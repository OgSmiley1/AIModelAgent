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pivotCache/pivotCacheDefinition2.xml" ContentType="application/vnd.openxmlformats-officedocument.spreadsheetml.pivotCacheDefinition+xml"/>
  <Override PartName="/xl/pivotTables/pivotTable2.xml" ContentType="application/vnd.openxmlformats-officedocument.spreadsheetml.pivotTable+xml"/>
  <Override PartName="/xl/worksheets/sheet4.xml" ContentType="application/vnd.openxmlformats-officedocument.spreadsheetml.worksheet+xml"/>
  <Override PartName="/xl/tables/table3.xml" ContentType="application/vnd.openxmlformats-officedocument.spreadsheetml.table+xml"/>
  <Override PartName="/xl/tables/table4.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worksheets/sheet5.xml" ContentType="application/vnd.openxmlformats-officedocument.spreadsheetml.worksheet+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ables/table7.xml" ContentType="application/vnd.openxmlformats-officedocument.spreadsheetml.table+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drawings/drawing1.xml" ContentType="application/vnd.openxmlformats-officedocument.drawing+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3896" tabRatio="600" firstSheet="1" activeTab="9" autoFilterDateGrouping="1"/>
  </bookViews>
  <sheets>
    <sheet xmlns:r="http://schemas.openxmlformats.org/officeDocument/2006/relationships" name="Sheet3" sheetId="1" state="hidden" r:id="rId1"/>
    <sheet xmlns:r="http://schemas.openxmlformats.org/officeDocument/2006/relationships" name="SelloutPlan v1Main" sheetId="2" state="visible" r:id="rId2"/>
    <sheet xmlns:r="http://schemas.openxmlformats.org/officeDocument/2006/relationships" name="AirrTable" sheetId="3" state="hidden" r:id="rId3"/>
    <sheet xmlns:r="http://schemas.openxmlformats.org/officeDocument/2006/relationships" name="Reports" sheetId="4" state="visible" r:id="rId4"/>
    <sheet xmlns:r="http://schemas.openxmlformats.org/officeDocument/2006/relationships" name="Airtable" sheetId="5" state="hidden" r:id="rId5"/>
    <sheet xmlns:r="http://schemas.openxmlformats.org/officeDocument/2006/relationships" name="Collection" sheetId="6" state="hidden" r:id="rId6"/>
    <sheet xmlns:r="http://schemas.openxmlformats.org/officeDocument/2006/relationships" name="Closed Sale" sheetId="7" state="hidden" r:id="rId7"/>
    <sheet xmlns:r="http://schemas.openxmlformats.org/officeDocument/2006/relationships" name="GPT cache" sheetId="8" state="veryHidden" r:id="rId8"/>
    <sheet xmlns:r="http://schemas.openxmlformats.org/officeDocument/2006/relationships" name="Developer Mode" sheetId="9" state="hidden" r:id="rId9"/>
    <sheet xmlns:r="http://schemas.openxmlformats.org/officeDocument/2006/relationships" name="Airtable follow ups" sheetId="10" state="visible" r:id="rId10"/>
    <sheet xmlns:r="http://schemas.openxmlformats.org/officeDocument/2006/relationships" name="Maaz Tracker" sheetId="11" state="visible" r:id="rId11"/>
    <sheet xmlns:r="http://schemas.openxmlformats.org/officeDocument/2006/relationships" name="Boutique Leads Tracker" sheetId="12" state="hidden" r:id="rId12"/>
    <sheet xmlns:r="http://schemas.openxmlformats.org/officeDocument/2006/relationships" name="WhatsApp Processor" sheetId="13" state="visible" r:id="rId13"/>
    <sheet xmlns:r="http://schemas.openxmlformats.org/officeDocument/2006/relationships" name="Executive Dashboard" sheetId="14" state="visible" r:id="rId14"/>
    <sheet xmlns:r="http://schemas.openxmlformats.org/officeDocument/2006/relationships" name="Client Summary" sheetId="15" state="visible" r:id="rId15"/>
    <sheet xmlns:r="http://schemas.openxmlformats.org/officeDocument/2006/relationships" name="Collection Reference" sheetId="16" state="visible" r:id="rId16"/>
    <sheet xmlns:r="http://schemas.openxmlformats.org/officeDocument/2006/relationships" name="Audit Log" sheetId="17" state="visible" r:id="rId17"/>
    <sheet xmlns:r="http://schemas.openxmlformats.org/officeDocument/2006/relationships" name="K-Rate" sheetId="18" state="visible" r:id="rId18"/>
    <sheet xmlns:r="http://schemas.openxmlformats.org/officeDocument/2006/relationships" name="WhatsApp_Parser" sheetId="19" state="visible" r:id="rId19"/>
    <sheet xmlns:r="http://schemas.openxmlformats.org/officeDocument/2006/relationships" name="Client_Summary" sheetId="20" state="visible" r:id="rId20"/>
    <sheet xmlns:r="http://schemas.openxmlformats.org/officeDocument/2006/relationships" name="Maaz_Dashboard" sheetId="21" state="visible" r:id="rId21"/>
    <sheet xmlns:r="http://schemas.openxmlformats.org/officeDocument/2006/relationships" name="Boutique_Dashboard" sheetId="22" state="visible" r:id="rId22"/>
    <sheet xmlns:r="http://schemas.openxmlformats.org/officeDocument/2006/relationships" name="Executive_Dashboard" sheetId="23" state="visible" r:id="rId23"/>
    <sheet xmlns:r="http://schemas.openxmlformats.org/officeDocument/2006/relationships" name="Developer_Mode" sheetId="24" state="hidden" r:id="rId24"/>
    <sheet xmlns:r="http://schemas.openxmlformats.org/officeDocument/2006/relationships" name="Audit_Log" sheetId="25" state="visible" r:id="rId25"/>
  </sheets>
  <externalReferences>
    <externalReference xmlns:r="http://schemas.openxmlformats.org/officeDocument/2006/relationships" r:id="rId28"/>
  </externalReferences>
  <definedNames>
    <definedName name="_xlcn.WorksheetConnection_CRCSelloutPlan2025.xlsmOpenPendingCases1" hidden="1">OpenPendingCases[]</definedName>
    <definedName name="_xlcn.WorksheetConnection_CRCSelloutPlan2025.xlsmTable61" hidden="1">Table6[]</definedName>
    <definedName name="_xleta.CONCATENATE" hidden="1" xlm="1">#NAME?</definedName>
    <definedName name="_xleta.DATE" hidden="1" xlm="1">#NAME?</definedName>
    <definedName name="_xleta.IF" hidden="1" xlm="1">#NAME?</definedName>
    <definedName name="_xleta.N" hidden="1" xlm="1">#NAME?</definedName>
    <definedName name="_xleta.PRICE" hidden="1" xlm="1">#NAME?</definedName>
    <definedName name="Slicer_SALES_ASSOCIATE">#N/A</definedName>
    <definedName name="dm_AvailabilityWeight">Developer_Mode!B6</definedName>
    <definedName name="dm_DateWeight">Developer_Mode!B7</definedName>
    <definedName name="dm_ProbabilityWeight">Developer_Mode!B8</definedName>
    <definedName name="dm_UrgentDays">Developer_Mode!B12</definedName>
    <definedName name="dm_FollowupDays">Developer_Mode!B13</definedName>
    <definedName name="dm_InactiveDays">Developer_Mode!B14</definedName>
    <definedName name="dm_BoutiqueNeedsFollowup">Developer_Mode!B15</definedName>
    <definedName name="dm_BoutiqueOverdue">Developer_Mode!B16</definedName>
    <definedName name="dm_ShowHighPriorityOnly">Developer_Mode!B20</definedName>
    <definedName name="dm_ShowPercentOnKPIs">Developer_Mode!B21</definedName>
    <definedName name="dm_APIKey">Developer_Mode!B25</definedName>
  </definedNames>
  <calcPr calcId="191029" fullCalcOnLoad="1"/>
  <pivotCaches>
    <pivotCache xmlns:r="http://schemas.openxmlformats.org/officeDocument/2006/relationships" cacheId="0" r:id="rId26"/>
    <pivotCache xmlns:r="http://schemas.openxmlformats.org/officeDocument/2006/relationships" cacheId="1" r:id="rId27"/>
  </pivotCaches>
</workbook>
</file>

<file path=xl/styles.xml><?xml version="1.0" encoding="utf-8"?>
<styleSheet xmlns="http://schemas.openxmlformats.org/spreadsheetml/2006/main">
  <numFmts count="8">
    <numFmt numFmtId="164" formatCode="d\-mmm\-yyyy"/>
    <numFmt numFmtId="165" formatCode="[$-409]dd\-mmmm\-yy;@"/>
    <numFmt numFmtId="166" formatCode="[$AED]\ #,##0"/>
    <numFmt numFmtId="167" formatCode="[$-409]mmmmm\-yy;@"/>
    <numFmt numFmtId="168" formatCode="[$AED]\ #,##0.00"/>
    <numFmt numFmtId="169" formatCode="_([$AED]\ * #,##0_);_([$AED]\ * \(#,##0\);_([$AED]\ * &quot;-&quot;_);_(@_)"/>
    <numFmt numFmtId="170" formatCode="_(&quot;$&quot;* #,##0.00_);_(&quot;$&quot;* \(#,##0.00\);_(&quot;$&quot;* &quot;-&quot;??_);_(@_)"/>
    <numFmt numFmtId="171" formatCode="0.0%"/>
  </numFmts>
  <fonts count="70">
    <font>
      <name val="Calibri"/>
      <family val="2"/>
      <color theme="1"/>
      <sz val="11"/>
      <scheme val="minor"/>
    </font>
    <font>
      <name val="Century Gothic"/>
      <family val="2"/>
      <color theme="1"/>
      <sz val="11"/>
    </font>
    <font>
      <name val="Calibri"/>
      <family val="2"/>
      <color theme="10"/>
      <sz val="11"/>
      <u val="single"/>
      <scheme val="minor"/>
    </font>
    <font>
      <name val="Calibri"/>
      <family val="2"/>
      <b val="1"/>
      <color theme="1"/>
      <sz val="12"/>
      <scheme val="minor"/>
    </font>
    <font>
      <name val="Century Gothic"/>
      <family val="2"/>
      <b val="1"/>
      <color theme="0"/>
      <sz val="12"/>
    </font>
    <font>
      <name val="Calibri"/>
      <family val="2"/>
      <b val="1"/>
      <color theme="1"/>
      <sz val="11"/>
      <scheme val="minor"/>
    </font>
    <font>
      <name val="Arial Black"/>
      <family val="2"/>
      <color theme="1"/>
      <sz val="11"/>
    </font>
    <font>
      <name val="Arial Black"/>
      <family val="2"/>
      <b val="1"/>
      <color theme="1"/>
      <sz val="12"/>
    </font>
    <font>
      <name val="Arial Black"/>
      <family val="2"/>
      <b val="1"/>
      <color theme="0"/>
      <sz val="11"/>
    </font>
    <font>
      <name val="Arial Black"/>
      <family val="2"/>
      <b val="1"/>
      <color theme="1"/>
      <sz val="11"/>
    </font>
    <font>
      <name val="Century Gothic"/>
      <family val="2"/>
      <b val="1"/>
      <color theme="1"/>
      <sz val="11"/>
    </font>
    <font>
      <name val="Arial Black"/>
      <family val="2"/>
      <color theme="1"/>
      <sz val="10"/>
    </font>
    <font>
      <name val="Calibri"/>
      <family val="2"/>
      <color rgb="FF000000"/>
      <sz val="12"/>
    </font>
    <font>
      <name val="Calibri"/>
      <family val="2"/>
      <b val="1"/>
      <color rgb="FF000000"/>
      <sz val="11"/>
      <scheme val="minor"/>
    </font>
    <font>
      <name val="Calibri"/>
      <family val="2"/>
      <b val="1"/>
      <color theme="1"/>
      <sz val="14"/>
      <scheme val="minor"/>
    </font>
    <font>
      <name val="Calibri"/>
      <family val="2"/>
      <color theme="1"/>
      <sz val="14"/>
      <scheme val="minor"/>
    </font>
    <font>
      <name val="Calibri"/>
      <family val="2"/>
      <color theme="1"/>
      <sz val="14"/>
    </font>
    <font>
      <name val="Calibri"/>
      <family val="2"/>
      <color theme="10"/>
      <sz val="14"/>
      <u val="single"/>
      <scheme val="minor"/>
    </font>
    <font>
      <name val="Calibri"/>
      <family val="2"/>
      <color theme="10"/>
      <sz val="14"/>
      <scheme val="minor"/>
    </font>
    <font>
      <name val="Calibri"/>
      <family val="2"/>
      <b val="1"/>
      <color theme="3" tint="-0.249977111117893"/>
      <sz val="14"/>
      <scheme val="minor"/>
    </font>
    <font>
      <name val="Calibri"/>
      <family val="2"/>
      <color rgb="FF000000"/>
      <sz val="14"/>
      <scheme val="minor"/>
    </font>
    <font>
      <name val="Calibri"/>
      <family val="2"/>
      <sz val="14"/>
      <scheme val="minor"/>
    </font>
    <font>
      <name val="Aptos Narrow"/>
      <family val="2"/>
      <color rgb="FF000000"/>
      <sz val="11"/>
    </font>
    <font>
      <name val="Century Gothic"/>
      <family val="2"/>
      <b val="1"/>
      <color theme="4" tint="-0.499984740745262"/>
      <sz val="12"/>
    </font>
    <font>
      <name val="Century Gothic"/>
      <family val="2"/>
      <color theme="4" tint="-0.499984740745262"/>
      <sz val="12"/>
    </font>
    <font>
      <name val="Arial Black"/>
      <family val="2"/>
      <b val="1"/>
      <color theme="1"/>
      <sz val="10"/>
    </font>
    <font>
      <name val="Calibri"/>
      <family val="2"/>
      <b val="1"/>
      <color rgb="FFFF0000"/>
      <sz val="14"/>
      <scheme val="minor"/>
    </font>
    <font>
      <name val="Calibri"/>
      <family val="2"/>
      <b val="1"/>
      <color rgb="FFED0000"/>
      <sz val="14"/>
      <scheme val="minor"/>
    </font>
    <font>
      <name val="Aptos"/>
      <charset val="1"/>
      <family val="2"/>
      <color rgb="FF000000"/>
      <sz val="12"/>
    </font>
    <font>
      <name val="Calibri"/>
      <family val="2"/>
      <b val="1"/>
      <sz val="11"/>
      <scheme val="minor"/>
    </font>
    <font>
      <name val="Calibri"/>
      <family val="2"/>
      <b val="1"/>
      <color theme="0"/>
      <sz val="11"/>
      <scheme val="minor"/>
    </font>
    <font>
      <name val="Calibri"/>
      <family val="2"/>
      <color theme="0"/>
      <sz val="11"/>
      <scheme val="minor"/>
    </font>
    <font>
      <name val="Calibri"/>
      <family val="2"/>
      <color theme="4" tint="-0.499984740745262"/>
      <sz val="18"/>
      <scheme val="minor"/>
    </font>
    <font>
      <name val="Calibri"/>
      <family val="2"/>
      <color theme="1"/>
      <sz val="11"/>
      <scheme val="minor"/>
    </font>
    <font>
      <name val="Calibri"/>
      <family val="2"/>
      <b val="1"/>
      <color theme="1"/>
      <sz val="26"/>
      <scheme val="minor"/>
    </font>
    <font>
      <name val="Arial Black"/>
      <family val="2"/>
      <b val="1"/>
      <sz val="11"/>
    </font>
    <font>
      <name val="Calibri"/>
      <family val="2"/>
      <b val="1"/>
      <color rgb="FF000000"/>
      <sz val="14"/>
      <scheme val="minor"/>
    </font>
    <font>
      <name val="Century Gothic"/>
      <family val="2"/>
      <b val="1"/>
      <sz val="26"/>
    </font>
    <font>
      <name val="Calibri"/>
      <family val="2"/>
      <b val="1"/>
      <color rgb="FFFFFFFF"/>
      <sz val="14"/>
    </font>
    <font>
      <name val="Calibri"/>
      <family val="2"/>
      <b val="1"/>
      <sz val="11"/>
    </font>
    <font>
      <name val="Calibri"/>
      <family val="2"/>
      <b val="1"/>
      <sz val="10"/>
    </font>
    <font>
      <name val="Calibri"/>
      <family val="2"/>
      <b val="1"/>
      <color rgb="FFFFFFFF"/>
      <sz val="12"/>
    </font>
    <font>
      <name val="Calibri"/>
      <family val="2"/>
      <b val="1"/>
      <color rgb="FFFFFFFF"/>
      <sz val="16"/>
    </font>
    <font>
      <name val="Calibri"/>
      <family val="2"/>
      <b val="1"/>
      <sz val="12"/>
    </font>
    <font>
      <name val="Calibri"/>
      <family val="2"/>
      <b val="1"/>
      <color rgb="FFFFFFFF"/>
      <sz val="10"/>
    </font>
    <font>
      <name val="Calibri"/>
      <family val="2"/>
      <b val="1"/>
      <color rgb="FFFFFFFF"/>
      <sz val="20"/>
    </font>
    <font>
      <name val="Calibri"/>
      <family val="2"/>
      <i val="1"/>
      <color rgb="FF666666"/>
      <sz val="12"/>
    </font>
    <font>
      <name val="Calibri"/>
      <family val="2"/>
      <b val="1"/>
      <sz val="14"/>
    </font>
    <font>
      <name val="Calibri"/>
      <family val="2"/>
      <b val="1"/>
      <color rgb="FFFFFFFF"/>
      <sz val="11"/>
    </font>
    <font>
      <name val="Calibri"/>
      <family val="2"/>
      <sz val="10"/>
    </font>
    <font>
      <name val="Calibri"/>
      <family val="2"/>
      <color theme="1"/>
      <sz val="12"/>
      <scheme val="minor"/>
    </font>
    <font>
      <name val="Calibri"/>
      <family val="2"/>
      <color rgb="FFFF0000"/>
      <sz val="12"/>
      <scheme val="minor"/>
    </font>
    <font>
      <name val="Calibri"/>
      <family val="2"/>
      <color indexed="8"/>
      <sz val="11"/>
      <scheme val="minor"/>
    </font>
    <font>
      <name val="Calibri"/>
      <b val="1"/>
      <color rgb="00FFFFFF"/>
      <sz val="20"/>
    </font>
    <font>
      <name val="Calibri"/>
      <i val="1"/>
      <color rgb="001C1C1C"/>
      <sz val="12"/>
    </font>
    <font>
      <name val="Calibri"/>
      <b val="1"/>
      <color rgb="00FFFFFF"/>
      <sz val="16"/>
    </font>
    <font>
      <name val="Calibri"/>
      <color rgb="001C1C1C"/>
      <sz val="11"/>
    </font>
    <font>
      <name val="Calibri"/>
      <b val="1"/>
      <color rgb="001C1C1C"/>
      <sz val="14"/>
    </font>
    <font>
      <name val="Calibri"/>
      <b val="1"/>
      <sz val="11"/>
    </font>
    <font>
      <name val="Calibri"/>
      <b val="1"/>
      <color rgb="00FFFFFF"/>
      <sz val="11"/>
    </font>
    <font>
      <name val="Calibri"/>
      <i val="1"/>
      <sz val="9"/>
    </font>
    <font>
      <name val="Calibri"/>
      <b val="1"/>
      <color rgb="001C1C1C"/>
      <sz val="12"/>
    </font>
    <font>
      <name val="Calibri"/>
      <i val="1"/>
      <color rgb="00C0C0C0"/>
      <sz val="11"/>
    </font>
    <font>
      <name val="Calibri"/>
      <b val="1"/>
      <color rgb="00FFFFFF"/>
      <sz val="14"/>
    </font>
    <font>
      <name val="Calibri"/>
      <b val="1"/>
      <color rgb="00B8860B"/>
      <sz val="14"/>
    </font>
    <font>
      <name val="Calibri"/>
      <b val="1"/>
      <color rgb="00DC143C"/>
      <sz val="12"/>
    </font>
    <font>
      <name val="Calibri"/>
      <b val="1"/>
      <color rgb="00B8860B"/>
      <sz val="11"/>
    </font>
    <font>
      <name val="Calibri"/>
      <i val="1"/>
      <sz val="10"/>
    </font>
    <font>
      <name val="Calibri"/>
      <b val="1"/>
      <color rgb="00DC143C"/>
      <sz val="11"/>
    </font>
    <font>
      <name val="Calibri"/>
      <b val="1"/>
      <color rgb="00FFFFFF"/>
      <sz val="10"/>
    </font>
  </fonts>
  <fills count="40">
    <fill>
      <patternFill/>
    </fill>
    <fill>
      <patternFill patternType="gray125"/>
    </fill>
    <fill>
      <patternFill patternType="solid">
        <fgColor theme="0" tint="-0.0499893185216834"/>
        <bgColor indexed="64"/>
      </patternFill>
    </fill>
    <fill>
      <patternFill patternType="solid">
        <fgColor theme="0"/>
        <bgColor indexed="64"/>
      </patternFill>
    </fill>
    <fill>
      <patternFill patternType="solid">
        <fgColor theme="9"/>
        <bgColor indexed="64"/>
      </patternFill>
    </fill>
    <fill>
      <patternFill patternType="solid">
        <fgColor theme="6" tint="-0.499984740745262"/>
        <bgColor indexed="64"/>
      </patternFill>
    </fill>
    <fill>
      <patternFill patternType="solid">
        <fgColor rgb="FFFFFF00"/>
        <bgColor indexed="64"/>
      </patternFill>
    </fill>
    <fill>
      <patternFill patternType="solid">
        <fgColor theme="8" tint="0.3999755851924192"/>
        <bgColor indexed="64"/>
      </patternFill>
    </fill>
    <fill>
      <patternFill patternType="solid">
        <fgColor theme="2" tint="-0.09997863704336681"/>
        <bgColor indexed="64"/>
      </patternFill>
    </fill>
    <fill>
      <patternFill patternType="solid">
        <fgColor rgb="FFF2F2F2"/>
        <bgColor indexed="64"/>
      </patternFill>
    </fill>
    <fill>
      <patternFill patternType="solid">
        <fgColor rgb="FF92D050"/>
        <bgColor indexed="64"/>
      </patternFill>
    </fill>
    <fill>
      <patternFill patternType="solid">
        <fgColor theme="9" tint="-0.499984740745262"/>
        <bgColor indexed="64"/>
      </patternFill>
    </fill>
    <fill>
      <patternFill patternType="solid">
        <fgColor theme="6" tint="0.3999755851924192"/>
        <bgColor indexed="64"/>
      </patternFill>
    </fill>
    <fill>
      <patternFill patternType="solid">
        <fgColor theme="6"/>
        <bgColor indexed="64"/>
      </patternFill>
    </fill>
    <fill>
      <patternFill patternType="solid">
        <fgColor rgb="FF2F5597"/>
        <bgColor rgb="FF2F5597"/>
      </patternFill>
    </fill>
    <fill>
      <patternFill patternType="solid">
        <fgColor rgb="FFE6E6FA"/>
        <bgColor rgb="FFE6E6FA"/>
      </patternFill>
    </fill>
    <fill>
      <patternFill patternType="solid">
        <fgColor rgb="FFFFFF99"/>
        <bgColor rgb="FFFFFF99"/>
      </patternFill>
    </fill>
    <fill>
      <patternFill patternType="solid">
        <fgColor rgb="FFFF6B6B"/>
        <bgColor rgb="FFFF6B6B"/>
      </patternFill>
    </fill>
    <fill>
      <patternFill patternType="solid">
        <fgColor rgb="FFFFE66D"/>
        <bgColor rgb="FFFFE66D"/>
      </patternFill>
    </fill>
    <fill>
      <patternFill patternType="solid">
        <fgColor rgb="FF25D366"/>
        <bgColor rgb="FF25D366"/>
      </patternFill>
    </fill>
    <fill>
      <patternFill patternType="solid">
        <fgColor rgb="FFF0F0F0"/>
        <bgColor rgb="FFF0F0F0"/>
      </patternFill>
    </fill>
    <fill>
      <patternFill patternType="solid">
        <fgColor rgb="FFFF6B35"/>
        <bgColor rgb="FFFF6B35"/>
      </patternFill>
    </fill>
    <fill>
      <patternFill patternType="solid">
        <fgColor rgb="FF4CAF50"/>
        <bgColor rgb="FF4CAF50"/>
      </patternFill>
    </fill>
    <fill>
      <patternFill patternType="solid">
        <fgColor rgb="FFFF5722"/>
        <bgColor rgb="FFFF5722"/>
      </patternFill>
    </fill>
    <fill>
      <patternFill patternType="solid">
        <fgColor rgb="FF2196F3"/>
        <bgColor rgb="FF2196F3"/>
      </patternFill>
    </fill>
    <fill>
      <patternFill patternType="solid">
        <fgColor rgb="FFFF9800"/>
        <bgColor rgb="FFFF9800"/>
      </patternFill>
    </fill>
    <fill>
      <patternFill patternType="solid">
        <fgColor rgb="FF9C27B0"/>
        <bgColor rgb="FF9C27B0"/>
      </patternFill>
    </fill>
    <fill>
      <patternFill patternType="solid">
        <fgColor rgb="FF607D8B"/>
        <bgColor rgb="FF607D8B"/>
      </patternFill>
    </fill>
    <fill>
      <patternFill patternType="solid">
        <fgColor rgb="FFFFE0B2"/>
        <bgColor rgb="FFFFE0B2"/>
      </patternFill>
    </fill>
    <fill>
      <patternFill patternType="solid">
        <fgColor rgb="FFC8E6C9"/>
        <bgColor rgb="FFC8E6C9"/>
      </patternFill>
    </fill>
    <fill>
      <patternFill patternType="solid">
        <fgColor rgb="FFFFCDD2"/>
        <bgColor rgb="FFFFCDD2"/>
      </patternFill>
    </fill>
    <fill>
      <patternFill patternType="solid">
        <fgColor rgb="00B8860B"/>
        <bgColor rgb="00B8860B"/>
      </patternFill>
    </fill>
    <fill>
      <patternFill patternType="solid">
        <fgColor rgb="00F5F5DC"/>
        <bgColor rgb="00F5F5DC"/>
      </patternFill>
    </fill>
    <fill>
      <patternFill patternType="solid">
        <fgColor rgb="002F4F4F"/>
        <bgColor rgb="002F4F4F"/>
      </patternFill>
    </fill>
    <fill>
      <patternFill patternType="solid">
        <fgColor rgb="00FFFF00"/>
        <bgColor rgb="00FFFF00"/>
      </patternFill>
    </fill>
    <fill>
      <patternFill patternType="solid">
        <fgColor rgb="00228B22"/>
        <bgColor rgb="00228B22"/>
      </patternFill>
    </fill>
    <fill>
      <patternFill patternType="solid">
        <fgColor rgb="004682B4"/>
        <bgColor rgb="004682B4"/>
      </patternFill>
    </fill>
    <fill>
      <patternFill patternType="solid">
        <fgColor rgb="00FF8C00"/>
        <bgColor rgb="00FF8C00"/>
      </patternFill>
    </fill>
    <fill>
      <patternFill patternType="solid">
        <fgColor rgb="00DC143C"/>
        <bgColor rgb="00DC143C"/>
      </patternFill>
    </fill>
    <fill>
      <patternFill patternType="solid">
        <fgColor rgb="008A2BE2"/>
        <bgColor rgb="008A2BE2"/>
      </patternFill>
    </fill>
  </fills>
  <borders count="26">
    <border>
      <left/>
      <right/>
      <top/>
      <bottom/>
      <diagonal/>
    </border>
    <border>
      <left style="thin">
        <color theme="5" tint="0.3999755851924192"/>
      </left>
      <right style="thin">
        <color theme="5" tint="0.3999755851924192"/>
      </right>
      <top style="thin">
        <color theme="5" tint="0.3999755851924192"/>
      </top>
      <bottom style="thin">
        <color theme="5" tint="0.399975585192419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auto="1"/>
      </left>
      <right style="thin">
        <color rgb="FF000000"/>
      </right>
      <top style="thin">
        <color rgb="FF000000"/>
      </top>
      <bottom style="thin">
        <color rgb="FF000000"/>
      </bottom>
      <diagonal/>
    </border>
    <border>
      <left style="thin">
        <color theme="5" tint="0.3999755851924192"/>
      </left>
      <right style="thin">
        <color theme="5" tint="0.3999755851924192"/>
      </right>
      <top style="thin">
        <color theme="5" tint="0.3999755851924192"/>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auto="1"/>
      </left>
      <right style="thin">
        <color auto="1"/>
      </right>
      <top style="thin">
        <color auto="1"/>
      </top>
      <bottom style="thin">
        <color auto="1"/>
      </bottom>
      <diagonal/>
    </border>
    <border>
      <left style="thick"/>
      <right style="thick"/>
      <top style="thick"/>
      <bottom style="thick"/>
    </border>
    <border>
      <left style="thin"/>
      <right style="thin"/>
      <top style="thin"/>
      <bottom style="thin"/>
    </border>
  </borders>
  <cellStyleXfs count="6">
    <xf numFmtId="0" fontId="33" fillId="0" borderId="0"/>
    <xf numFmtId="0" fontId="2" fillId="0" borderId="0"/>
    <xf numFmtId="44" fontId="33" fillId="0" borderId="0"/>
    <xf numFmtId="0" fontId="50" fillId="0" borderId="0"/>
    <xf numFmtId="9" fontId="50" fillId="0" borderId="0"/>
    <xf numFmtId="0" fontId="52" fillId="0" borderId="0"/>
  </cellStyleXfs>
  <cellXfs count="335">
    <xf numFmtId="0" fontId="0" fillId="0" borderId="0" pivotButton="0" quotePrefix="0" xfId="0"/>
    <xf numFmtId="0" fontId="1" fillId="0" borderId="0" applyAlignment="1" pivotButton="0" quotePrefix="0" xfId="0">
      <alignment horizontal="center" vertical="center"/>
    </xf>
    <xf numFmtId="0" fontId="0"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2" applyAlignment="1" pivotButton="0" quotePrefix="0" xfId="0">
      <alignment horizontal="center"/>
    </xf>
    <xf numFmtId="0" fontId="0" fillId="0" borderId="2" applyAlignment="1" pivotButton="0" quotePrefix="0" xfId="0">
      <alignment horizontal="center" vertical="center" wrapText="1"/>
    </xf>
    <xf numFmtId="0" fontId="0" fillId="0" borderId="3" applyAlignment="1" pivotButton="0" quotePrefix="0" xfId="0">
      <alignment horizontal="center"/>
    </xf>
    <xf numFmtId="0" fontId="0" fillId="0" borderId="3" applyAlignment="1" pivotButton="0" quotePrefix="0" xfId="0">
      <alignment horizontal="center" vertical="center" wrapText="1"/>
    </xf>
    <xf numFmtId="0" fontId="0" fillId="0" borderId="5" applyAlignment="1" pivotButton="0" quotePrefix="0" xfId="0">
      <alignment horizontal="center"/>
    </xf>
    <xf numFmtId="0" fontId="0" fillId="0" borderId="6" applyAlignment="1" pivotButton="0" quotePrefix="0" xfId="0">
      <alignment horizontal="center"/>
    </xf>
    <xf numFmtId="0" fontId="0" fillId="0" borderId="7" applyAlignment="1" pivotButton="0" quotePrefix="0" xfId="0">
      <alignment horizontal="center"/>
    </xf>
    <xf numFmtId="1" fontId="1" fillId="0" borderId="0" applyAlignment="1" pivotButton="0" quotePrefix="0" xfId="0">
      <alignment horizontal="center" vertical="center"/>
    </xf>
    <xf numFmtId="1" fontId="0" fillId="0" borderId="0" applyAlignment="1" pivotButton="0" quotePrefix="0" xfId="0">
      <alignment horizontal="center" vertical="center"/>
    </xf>
    <xf numFmtId="0" fontId="5" fillId="0" borderId="0" applyAlignment="1" pivotButton="0" quotePrefix="0" xfId="0">
      <alignment horizontal="center" vertical="center"/>
    </xf>
    <xf numFmtId="0" fontId="6" fillId="0" borderId="0" pivotButton="0" quotePrefix="0" xfId="0"/>
    <xf numFmtId="0" fontId="6" fillId="2" borderId="1" applyAlignment="1" pivotButton="0" quotePrefix="0" xfId="0">
      <alignment horizontal="center" vertical="center" wrapText="1"/>
    </xf>
    <xf numFmtId="0" fontId="9" fillId="0" borderId="0" pivotButton="0" quotePrefix="0" xfId="0"/>
    <xf numFmtId="164" fontId="9" fillId="2" borderId="1" applyAlignment="1" applyProtection="1" pivotButton="0" quotePrefix="0" xfId="0">
      <alignment horizontal="center" vertical="center"/>
      <protection locked="0" hidden="1"/>
    </xf>
    <xf numFmtId="0" fontId="6" fillId="0" borderId="0" applyProtection="1" pivotButton="0" quotePrefix="0" xfId="0">
      <protection locked="0" hidden="1"/>
    </xf>
    <xf numFmtId="165" fontId="6" fillId="0" borderId="0" applyProtection="1" pivotButton="0" quotePrefix="0" xfId="0">
      <protection locked="1" hidden="1"/>
    </xf>
    <xf numFmtId="0" fontId="6" fillId="0" borderId="0" applyProtection="1" pivotButton="0" quotePrefix="0" xfId="0">
      <protection locked="1" hidden="1"/>
    </xf>
    <xf numFmtId="0" fontId="4" fillId="7" borderId="8" applyAlignment="1" applyProtection="1" pivotButton="0" quotePrefix="0" xfId="0">
      <alignment horizontal="center" vertical="center"/>
      <protection locked="1" hidden="1"/>
    </xf>
    <xf numFmtId="0" fontId="4" fillId="7" borderId="8" applyAlignment="1" applyProtection="1" pivotButton="0" quotePrefix="0" xfId="0">
      <alignment horizontal="center" vertical="center" wrapText="1"/>
      <protection locked="1" hidden="1"/>
    </xf>
    <xf numFmtId="0" fontId="0" fillId="0" borderId="2" applyAlignment="1" pivotButton="1" quotePrefix="0" xfId="0">
      <alignment horizontal="center"/>
    </xf>
    <xf numFmtId="0" fontId="0" fillId="0" borderId="0" applyAlignment="1" pivotButton="0" quotePrefix="0" xfId="0">
      <alignment wrapText="1"/>
    </xf>
    <xf numFmtId="0" fontId="6" fillId="0" borderId="0" applyAlignment="1" pivotButton="0" quotePrefix="0" xfId="0">
      <alignment wrapText="1"/>
    </xf>
    <xf numFmtId="164" fontId="9" fillId="2" borderId="1" applyAlignment="1" applyProtection="1" pivotButton="0" quotePrefix="0" xfId="0">
      <alignment horizontal="center" vertical="center" wrapText="1"/>
      <protection locked="1" hidden="1"/>
    </xf>
    <xf numFmtId="0" fontId="9" fillId="2" borderId="1" applyAlignment="1" applyProtection="1" pivotButton="0" quotePrefix="0" xfId="0">
      <alignment horizontal="center" vertical="center" wrapText="1"/>
      <protection locked="1" hidden="1"/>
    </xf>
    <xf numFmtId="1" fontId="0" fillId="0" borderId="4" applyAlignment="1" pivotButton="0" quotePrefix="0" xfId="0">
      <alignment horizontal="center"/>
    </xf>
    <xf numFmtId="1" fontId="0" fillId="0" borderId="4" applyAlignment="1" pivotButton="0" quotePrefix="0" xfId="0">
      <alignment horizontal="center" vertical="center" wrapText="1"/>
    </xf>
    <xf numFmtId="2" fontId="9" fillId="2" borderId="1" applyAlignment="1" applyProtection="1" pivotButton="0" quotePrefix="0" xfId="0">
      <alignment horizontal="center" vertical="center" wrapText="1"/>
      <protection locked="1" hidden="1"/>
    </xf>
    <xf numFmtId="0" fontId="10" fillId="0" borderId="0" applyAlignment="1" pivotButton="0" quotePrefix="0" xfId="0">
      <alignment horizontal="center" vertical="center"/>
    </xf>
    <xf numFmtId="49" fontId="1" fillId="0" borderId="0" applyAlignment="1" pivotButton="0" quotePrefix="0" xfId="0">
      <alignment horizontal="center" vertical="center"/>
    </xf>
    <xf numFmtId="49" fontId="4" fillId="7" borderId="8" applyAlignment="1" applyProtection="1" pivotButton="0" quotePrefix="0" xfId="0">
      <alignment horizontal="center" vertical="center" wrapText="1"/>
      <protection locked="1" hidden="1"/>
    </xf>
    <xf numFmtId="49" fontId="0" fillId="0" borderId="0" applyAlignment="1" pivotButton="0" quotePrefix="0" xfId="0">
      <alignment horizontal="center" vertical="center"/>
    </xf>
    <xf numFmtId="164" fontId="11" fillId="2" borderId="1" applyAlignment="1" applyProtection="1" pivotButton="0" quotePrefix="0" xfId="0">
      <alignment horizontal="center" vertical="center"/>
      <protection locked="0" hidden="1"/>
    </xf>
    <xf numFmtId="0" fontId="11" fillId="2" borderId="1" applyAlignment="1" applyProtection="1" pivotButton="0" quotePrefix="0" xfId="0">
      <alignment horizontal="center" vertical="center"/>
      <protection locked="0" hidden="1"/>
    </xf>
    <xf numFmtId="0" fontId="11" fillId="0" borderId="0" applyProtection="1" pivotButton="0" quotePrefix="0" xfId="0">
      <protection locked="0" hidden="1"/>
    </xf>
    <xf numFmtId="0" fontId="3" fillId="2" borderId="0" applyAlignment="1" applyProtection="1" pivotButton="0" quotePrefix="0" xfId="0">
      <alignment horizontal="center" vertical="center"/>
      <protection locked="0" hidden="1"/>
    </xf>
    <xf numFmtId="164" fontId="9" fillId="2" borderId="1" applyAlignment="1" applyProtection="1" pivotButton="0" quotePrefix="0" xfId="0">
      <alignment horizontal="center" vertical="center"/>
      <protection locked="1" hidden="1"/>
    </xf>
    <xf numFmtId="0" fontId="1" fillId="0" borderId="0" applyAlignment="1" pivotButton="0" quotePrefix="0" xfId="0">
      <alignment horizontal="center" vertical="center" wrapText="1"/>
    </xf>
    <xf numFmtId="166" fontId="0" fillId="0" borderId="0" pivotButton="0" quotePrefix="0" xfId="0"/>
    <xf numFmtId="0" fontId="12" fillId="0" borderId="0" applyAlignment="1" pivotButton="0" quotePrefix="0" xfId="0">
      <alignment wrapText="1"/>
    </xf>
    <xf numFmtId="0" fontId="12" fillId="0" borderId="9" applyAlignment="1" pivotButton="0" quotePrefix="0" xfId="0">
      <alignment wrapText="1"/>
    </xf>
    <xf numFmtId="0" fontId="13" fillId="0" borderId="0" applyAlignment="1" pivotButton="0" quotePrefix="0" xfId="0">
      <alignment wrapText="1"/>
    </xf>
    <xf numFmtId="0" fontId="12" fillId="0" borderId="10" applyAlignment="1" pivotButton="0" quotePrefix="0" xfId="0">
      <alignment wrapText="1"/>
    </xf>
    <xf numFmtId="14" fontId="12" fillId="0" borderId="10" applyAlignment="1" pivotButton="0" quotePrefix="0" xfId="0">
      <alignment wrapText="1"/>
    </xf>
    <xf numFmtId="0" fontId="12" fillId="0" borderId="10" applyAlignment="1" pivotButton="0" quotePrefix="1" xfId="0">
      <alignment wrapText="1"/>
    </xf>
    <xf numFmtId="166" fontId="12" fillId="0" borderId="10" applyAlignment="1" pivotButton="0" quotePrefix="0" xfId="0">
      <alignment wrapText="1"/>
    </xf>
    <xf numFmtId="0" fontId="8" fillId="5" borderId="0" applyAlignment="1" pivotButton="0" quotePrefix="0" xfId="0">
      <alignment horizontal="center" vertical="center" wrapText="1"/>
    </xf>
    <xf numFmtId="49" fontId="11" fillId="2" borderId="1" applyAlignment="1" applyProtection="1" pivotButton="0" quotePrefix="0" xfId="0">
      <alignment horizontal="center" vertical="center"/>
      <protection locked="0" hidden="1"/>
    </xf>
    <xf numFmtId="0" fontId="6" fillId="0" borderId="0" applyAlignment="1" applyProtection="1" pivotButton="0" quotePrefix="0" xfId="0">
      <alignment wrapText="1"/>
      <protection locked="1" hidden="1"/>
    </xf>
    <xf numFmtId="166" fontId="6" fillId="0" borderId="0" applyProtection="1" pivotButton="0" quotePrefix="0" xfId="0">
      <protection locked="1" hidden="1"/>
    </xf>
    <xf numFmtId="0" fontId="9" fillId="2" borderId="15" applyAlignment="1" applyProtection="1" pivotButton="0" quotePrefix="0" xfId="0">
      <alignment horizontal="center" vertical="center" wrapText="1"/>
      <protection locked="1" hidden="1"/>
    </xf>
    <xf numFmtId="0" fontId="0" fillId="0" borderId="16" applyAlignment="1" pivotButton="0" quotePrefix="0" xfId="0">
      <alignment horizontal="center"/>
    </xf>
    <xf numFmtId="1" fontId="0" fillId="0" borderId="17" applyAlignment="1" pivotButton="0" quotePrefix="0" xfId="0">
      <alignment horizontal="center"/>
    </xf>
    <xf numFmtId="2" fontId="0" fillId="0" borderId="17" applyAlignment="1" pivotButton="0" quotePrefix="0" xfId="0">
      <alignment horizontal="center"/>
    </xf>
    <xf numFmtId="0" fontId="14" fillId="2" borderId="14" applyAlignment="1" pivotButton="0" quotePrefix="0" xfId="0">
      <alignment horizontal="center" vertical="center"/>
    </xf>
    <xf numFmtId="0" fontId="15" fillId="2" borderId="10" applyAlignment="1" applyProtection="1" pivotButton="0" quotePrefix="0" xfId="0">
      <alignment horizontal="center" vertical="center"/>
      <protection locked="0" hidden="1"/>
    </xf>
    <xf numFmtId="0" fontId="14" fillId="2" borderId="10" applyAlignment="1" applyProtection="1" pivotButton="0" quotePrefix="0" xfId="0">
      <alignment horizontal="center" vertical="center"/>
      <protection locked="0" hidden="1"/>
    </xf>
    <xf numFmtId="4" fontId="17" fillId="2" borderId="10" applyAlignment="1" applyProtection="1" pivotButton="0" quotePrefix="0" xfId="1">
      <alignment horizontal="center" vertical="center"/>
      <protection locked="0" hidden="1"/>
    </xf>
    <xf numFmtId="0" fontId="18" fillId="2" borderId="10" applyAlignment="1" applyProtection="1" pivotButton="0" quotePrefix="0" xfId="1">
      <alignment horizontal="center" vertical="center"/>
      <protection locked="0" hidden="1"/>
    </xf>
    <xf numFmtId="1" fontId="15" fillId="2" borderId="10" applyAlignment="1" applyProtection="1" pivotButton="0" quotePrefix="0" xfId="0">
      <alignment horizontal="center" vertical="center"/>
      <protection locked="0" hidden="1"/>
    </xf>
    <xf numFmtId="0" fontId="15" fillId="0" borderId="10" applyAlignment="1" applyProtection="1" pivotButton="0" quotePrefix="0" xfId="0">
      <alignment horizontal="center"/>
      <protection locked="0" hidden="1"/>
    </xf>
    <xf numFmtId="164" fontId="15" fillId="2" borderId="10" applyAlignment="1" applyProtection="1" pivotButton="0" quotePrefix="0" xfId="0">
      <alignment horizontal="center" vertical="center"/>
      <protection locked="0" hidden="1"/>
    </xf>
    <xf numFmtId="2" fontId="15" fillId="2" borderId="10" applyAlignment="1" applyProtection="1" pivotButton="0" quotePrefix="0" xfId="0">
      <alignment horizontal="center" vertical="center"/>
      <protection locked="0" hidden="1"/>
    </xf>
    <xf numFmtId="49" fontId="14" fillId="6" borderId="10" applyAlignment="1" applyProtection="1" pivotButton="0" quotePrefix="0" xfId="0">
      <alignment horizontal="center" vertical="center"/>
      <protection locked="0" hidden="1"/>
    </xf>
    <xf numFmtId="164" fontId="15" fillId="2" borderId="10" applyAlignment="1" applyProtection="1" pivotButton="0" quotePrefix="0" xfId="0">
      <alignment horizontal="center" vertical="center"/>
      <protection locked="1" hidden="1"/>
    </xf>
    <xf numFmtId="14" fontId="15" fillId="2" borderId="10" applyAlignment="1" applyProtection="1" pivotButton="0" quotePrefix="0" xfId="0">
      <alignment horizontal="center" vertical="center"/>
      <protection locked="0" hidden="1"/>
    </xf>
    <xf numFmtId="0" fontId="15" fillId="2" borderId="11" applyAlignment="1" applyProtection="1" pivotButton="0" quotePrefix="0" xfId="0">
      <alignment horizontal="center" vertical="center"/>
      <protection locked="0" hidden="1"/>
    </xf>
    <xf numFmtId="49" fontId="19" fillId="2" borderId="10" applyAlignment="1" applyProtection="1" pivotButton="0" quotePrefix="0" xfId="0">
      <alignment horizontal="center" vertical="center"/>
      <protection locked="0" hidden="1"/>
    </xf>
    <xf numFmtId="0" fontId="15" fillId="2" borderId="0" applyAlignment="1" applyProtection="1" pivotButton="0" quotePrefix="0" xfId="0">
      <alignment horizontal="center" vertical="center"/>
      <protection locked="0" hidden="1"/>
    </xf>
    <xf numFmtId="0" fontId="22" fillId="0" borderId="0" pivotButton="0" quotePrefix="0" xfId="0"/>
    <xf numFmtId="0" fontId="23" fillId="7" borderId="9" applyAlignment="1" applyProtection="1" pivotButton="0" quotePrefix="0" xfId="0">
      <alignment horizontal="center" vertical="center"/>
      <protection locked="1" hidden="1"/>
    </xf>
    <xf numFmtId="0" fontId="23" fillId="7" borderId="8" applyAlignment="1" applyProtection="1" pivotButton="0" quotePrefix="0" xfId="0">
      <alignment horizontal="center" vertical="center"/>
      <protection locked="1" hidden="1"/>
    </xf>
    <xf numFmtId="0" fontId="23" fillId="7" borderId="8" applyAlignment="1" applyProtection="1" pivotButton="0" quotePrefix="0" xfId="0">
      <alignment horizontal="center" vertical="center" wrapText="1"/>
      <protection locked="1" hidden="1"/>
    </xf>
    <xf numFmtId="1" fontId="23" fillId="7" borderId="8" applyAlignment="1" applyProtection="1" pivotButton="0" quotePrefix="0" xfId="0">
      <alignment horizontal="center" vertical="center"/>
      <protection locked="1" hidden="1"/>
    </xf>
    <xf numFmtId="0" fontId="24" fillId="7" borderId="8" applyAlignment="1" applyProtection="1" pivotButton="0" quotePrefix="0" xfId="0">
      <alignment horizontal="center" vertical="center"/>
      <protection locked="1" hidden="1"/>
    </xf>
    <xf numFmtId="0" fontId="9" fillId="5" borderId="8" applyAlignment="1" pivotButton="0" quotePrefix="0" xfId="0">
      <alignment horizontal="center" vertical="center" wrapText="1"/>
    </xf>
    <xf numFmtId="0" fontId="9" fillId="5" borderId="8" applyAlignment="1" pivotButton="0" quotePrefix="0" xfId="0">
      <alignment horizontal="center" vertical="center"/>
    </xf>
    <xf numFmtId="164" fontId="25" fillId="2" borderId="1" applyAlignment="1" applyProtection="1" pivotButton="0" quotePrefix="0" xfId="0">
      <alignment horizontal="center" vertical="center" wrapText="1"/>
      <protection locked="1" hidden="1"/>
    </xf>
    <xf numFmtId="2" fontId="25" fillId="2" borderId="1" applyAlignment="1" applyProtection="1" pivotButton="0" quotePrefix="0" xfId="0">
      <alignment horizontal="center" vertical="center" wrapText="1"/>
      <protection locked="1" hidden="1"/>
    </xf>
    <xf numFmtId="0" fontId="25" fillId="2" borderId="1" applyAlignment="1" applyProtection="1" pivotButton="0" quotePrefix="0" xfId="0">
      <alignment horizontal="center" vertical="center" wrapText="1"/>
      <protection locked="1" hidden="1"/>
    </xf>
    <xf numFmtId="164" fontId="25" fillId="2" borderId="1" applyAlignment="1" applyProtection="1" pivotButton="0" quotePrefix="0" xfId="0">
      <alignment horizontal="center" vertical="center"/>
      <protection locked="1" hidden="1"/>
    </xf>
    <xf numFmtId="164" fontId="9" fillId="2" borderId="15" applyAlignment="1" applyProtection="1" pivotButton="0" quotePrefix="0" xfId="0">
      <alignment horizontal="center" vertical="center" wrapText="1"/>
      <protection locked="1" hidden="1"/>
    </xf>
    <xf numFmtId="2" fontId="9" fillId="2" borderId="15" applyAlignment="1" applyProtection="1" pivotButton="0" quotePrefix="0" xfId="0">
      <alignment horizontal="center" vertical="center" wrapText="1"/>
      <protection locked="1" hidden="1"/>
    </xf>
    <xf numFmtId="164" fontId="9" fillId="2" borderId="15" applyAlignment="1" applyProtection="1" pivotButton="0" quotePrefix="0" xfId="0">
      <alignment horizontal="center" vertical="center"/>
      <protection locked="1" hidden="1"/>
    </xf>
    <xf numFmtId="0" fontId="1" fillId="10" borderId="0" applyAlignment="1" pivotButton="0" quotePrefix="0" xfId="0">
      <alignment horizontal="center" vertical="center" wrapText="1"/>
    </xf>
    <xf numFmtId="0" fontId="23" fillId="10" borderId="8" applyAlignment="1" applyProtection="1" pivotButton="0" quotePrefix="0" xfId="0">
      <alignment horizontal="center" vertical="center" wrapText="1"/>
      <protection locked="1" hidden="1"/>
    </xf>
    <xf numFmtId="164" fontId="25" fillId="2" borderId="1" applyAlignment="1" applyProtection="1" pivotButton="0" quotePrefix="0" xfId="0">
      <alignment horizontal="center" vertical="center"/>
      <protection locked="0" hidden="1"/>
    </xf>
    <xf numFmtId="1" fontId="25" fillId="2" borderId="1" applyAlignment="1" applyProtection="1" pivotButton="0" quotePrefix="0" xfId="0">
      <alignment horizontal="center" vertical="center"/>
      <protection locked="0" hidden="1"/>
    </xf>
    <xf numFmtId="0" fontId="25" fillId="2" borderId="1" applyAlignment="1" applyProtection="1" pivotButton="0" quotePrefix="0" xfId="0">
      <alignment horizontal="center" vertical="center"/>
      <protection locked="0" hidden="1"/>
    </xf>
    <xf numFmtId="166" fontId="25" fillId="2" borderId="1" applyAlignment="1" applyProtection="1" pivotButton="0" quotePrefix="0" xfId="0">
      <alignment horizontal="center" vertical="center"/>
      <protection locked="0" hidden="1"/>
    </xf>
    <xf numFmtId="0" fontId="15" fillId="2" borderId="10" applyAlignment="1" applyProtection="1" pivotButton="0" quotePrefix="0" xfId="0">
      <alignment horizontal="center" vertical="center"/>
      <protection locked="1" hidden="1"/>
    </xf>
    <xf numFmtId="0" fontId="15" fillId="2" borderId="12" applyAlignment="1" applyProtection="1" pivotButton="0" quotePrefix="0" xfId="0">
      <alignment horizontal="center" vertical="center"/>
      <protection locked="1" hidden="1"/>
    </xf>
    <xf numFmtId="49" fontId="14" fillId="2" borderId="10" applyAlignment="1" applyProtection="1" pivotButton="0" quotePrefix="0" xfId="0">
      <alignment horizontal="center" vertical="center"/>
      <protection locked="0" hidden="1"/>
    </xf>
    <xf numFmtId="0" fontId="23" fillId="10" borderId="8" applyAlignment="1" applyProtection="1" pivotButton="0" quotePrefix="0" xfId="0">
      <alignment horizontal="center" vertical="center"/>
      <protection locked="1" hidden="1"/>
    </xf>
    <xf numFmtId="167" fontId="25" fillId="2" borderId="1" applyAlignment="1" applyProtection="1" pivotButton="0" quotePrefix="0" xfId="0">
      <alignment horizontal="center" vertical="center"/>
      <protection locked="0" hidden="1"/>
    </xf>
    <xf numFmtId="0" fontId="28" fillId="0" borderId="0" pivotButton="0" quotePrefix="0" xfId="0"/>
    <xf numFmtId="0" fontId="8" fillId="5" borderId="18" applyAlignment="1" pivotButton="0" quotePrefix="0" xfId="0">
      <alignment horizontal="center" vertical="center"/>
    </xf>
    <xf numFmtId="0" fontId="8" fillId="5" borderId="18" applyAlignment="1" pivotButton="0" quotePrefix="0" xfId="0">
      <alignment horizontal="center" vertical="center" wrapText="1"/>
    </xf>
    <xf numFmtId="0" fontId="0" fillId="0" borderId="18" applyAlignment="1" pivotButton="0" quotePrefix="0" xfId="0">
      <alignment horizontal="center"/>
    </xf>
    <xf numFmtId="0" fontId="0" fillId="2" borderId="2" applyAlignment="1" pivotButton="0" quotePrefix="0" xfId="0">
      <alignment horizontal="center"/>
    </xf>
    <xf numFmtId="166" fontId="0" fillId="2" borderId="2" applyAlignment="1" pivotButton="0" quotePrefix="0" xfId="0">
      <alignment horizontal="center"/>
    </xf>
    <xf numFmtId="0" fontId="29" fillId="0" borderId="2" applyAlignment="1" pivotButton="0" quotePrefix="0" xfId="0">
      <alignment horizontal="center"/>
    </xf>
    <xf numFmtId="0" fontId="29" fillId="0" borderId="2" applyAlignment="1" pivotButton="1" quotePrefix="0" xfId="0">
      <alignment horizontal="center"/>
    </xf>
    <xf numFmtId="168" fontId="0" fillId="0" borderId="17" applyAlignment="1" pivotButton="0" quotePrefix="0" xfId="0">
      <alignment horizontal="center"/>
    </xf>
    <xf numFmtId="166" fontId="0" fillId="0" borderId="17" applyAlignment="1" pivotButton="0" quotePrefix="0" xfId="0">
      <alignment horizontal="center"/>
    </xf>
    <xf numFmtId="168" fontId="0" fillId="0" borderId="17" applyAlignment="1" pivotButton="0" quotePrefix="0" xfId="0">
      <alignment horizontal="center" wrapText="1"/>
    </xf>
    <xf numFmtId="164" fontId="15" fillId="0" borderId="10" applyAlignment="1" applyProtection="1" pivotButton="0" quotePrefix="0" xfId="0">
      <alignment horizontal="center" vertical="center"/>
      <protection locked="0" hidden="1"/>
    </xf>
    <xf numFmtId="0" fontId="0" fillId="0" borderId="7" applyAlignment="1" pivotButton="0" quotePrefix="0" xfId="0">
      <alignment horizontal="center" wrapText="1"/>
    </xf>
    <xf numFmtId="0" fontId="0" fillId="0" borderId="3" applyAlignment="1" pivotButton="0" quotePrefix="0" xfId="0">
      <alignment horizontal="center" vertical="center"/>
    </xf>
    <xf numFmtId="0" fontId="0" fillId="0" borderId="2" applyAlignment="1" pivotButton="0" quotePrefix="0" xfId="0">
      <alignment horizontal="center" vertical="center"/>
    </xf>
    <xf numFmtId="0" fontId="0" fillId="0" borderId="4" applyAlignment="1" pivotButton="0" quotePrefix="0" xfId="0">
      <alignment horizontal="center" vertical="center" wrapText="1"/>
    </xf>
    <xf numFmtId="0" fontId="0" fillId="0" borderId="16" applyAlignment="1" pivotButton="0" quotePrefix="0" xfId="0">
      <alignment horizontal="center" vertical="center"/>
    </xf>
    <xf numFmtId="0" fontId="0" fillId="0" borderId="18" applyAlignment="1" pivotButton="0" quotePrefix="0" xfId="0">
      <alignment horizontal="center" vertical="center"/>
    </xf>
    <xf numFmtId="0" fontId="0" fillId="0" borderId="17" applyAlignment="1" pivotButton="0" quotePrefix="0" xfId="0">
      <alignment horizontal="center" vertical="center" wrapText="1"/>
    </xf>
    <xf numFmtId="0" fontId="0" fillId="0" borderId="6" applyAlignment="1" pivotButton="0" quotePrefix="0" xfId="0">
      <alignment horizontal="center" vertical="center"/>
    </xf>
    <xf numFmtId="0" fontId="0" fillId="0" borderId="2" applyAlignment="1" pivotButton="1" quotePrefix="0" xfId="0">
      <alignment horizontal="center" vertical="center"/>
    </xf>
    <xf numFmtId="1" fontId="1" fillId="0" borderId="0" applyAlignment="1" pivotButton="0" quotePrefix="0" xfId="0">
      <alignment horizontal="center" vertical="center" wrapText="1"/>
    </xf>
    <xf numFmtId="1" fontId="0" fillId="0" borderId="0" applyAlignment="1" pivotButton="0" quotePrefix="0" xfId="0">
      <alignment horizontal="center" vertical="center" wrapText="1"/>
    </xf>
    <xf numFmtId="1" fontId="32" fillId="6" borderId="8" applyAlignment="1" applyProtection="1" pivotButton="0" quotePrefix="0" xfId="0">
      <alignment horizontal="center" vertical="center" wrapText="1"/>
      <protection locked="1" hidden="1"/>
    </xf>
    <xf numFmtId="0" fontId="25" fillId="2" borderId="1" applyAlignment="1" applyProtection="1" pivotButton="0" quotePrefix="0" xfId="0">
      <alignment horizontal="center" vertical="center" wrapText="1"/>
      <protection locked="0" hidden="1"/>
    </xf>
    <xf numFmtId="0" fontId="30" fillId="11" borderId="2" applyAlignment="1" pivotButton="0" quotePrefix="0" xfId="0">
      <alignment horizontal="center"/>
    </xf>
    <xf numFmtId="166" fontId="30" fillId="11" borderId="2" applyAlignment="1" pivotButton="0" quotePrefix="0" xfId="0">
      <alignment horizontal="center"/>
    </xf>
    <xf numFmtId="0" fontId="31" fillId="0" borderId="2" applyAlignment="1" pivotButton="1" quotePrefix="0" xfId="0">
      <alignment horizontal="center" vertical="center"/>
    </xf>
    <xf numFmtId="0" fontId="31" fillId="0" borderId="2" applyAlignment="1" pivotButton="0" quotePrefix="0" xfId="0">
      <alignment horizontal="center" vertical="center"/>
    </xf>
    <xf numFmtId="0" fontId="5" fillId="0" borderId="2" applyAlignment="1" pivotButton="0" quotePrefix="0" xfId="0">
      <alignment horizontal="center" vertical="center"/>
    </xf>
    <xf numFmtId="49" fontId="25" fillId="2" borderId="1" applyAlignment="1" applyProtection="1" pivotButton="0" quotePrefix="0" xfId="0">
      <alignment horizontal="center" vertical="center"/>
      <protection locked="0" hidden="1"/>
    </xf>
    <xf numFmtId="169" fontId="5" fillId="0" borderId="2" applyAlignment="1" pivotButton="0" quotePrefix="0" xfId="0">
      <alignment horizontal="center" vertical="center"/>
    </xf>
    <xf numFmtId="169" fontId="5" fillId="2" borderId="2" applyAlignment="1" pivotButton="0" quotePrefix="0" xfId="0">
      <alignment horizontal="center" vertical="center"/>
    </xf>
    <xf numFmtId="170" fontId="34" fillId="12" borderId="19" applyAlignment="1" pivotButton="0" quotePrefix="0" xfId="2">
      <alignment horizontal="center" vertical="center"/>
    </xf>
    <xf numFmtId="0" fontId="35" fillId="6" borderId="18" applyAlignment="1" pivotButton="0" quotePrefix="0" xfId="0">
      <alignment horizontal="center" vertical="center"/>
    </xf>
    <xf numFmtId="0" fontId="14" fillId="2" borderId="10" applyAlignment="1" applyProtection="1" pivotButton="0" quotePrefix="0" xfId="0">
      <alignment horizontal="center" vertical="center"/>
      <protection locked="0" hidden="0"/>
    </xf>
    <xf numFmtId="0" fontId="14" fillId="0" borderId="10" applyAlignment="1" applyProtection="1" pivotButton="0" quotePrefix="0" xfId="0">
      <alignment horizontal="center" vertical="center" wrapText="1"/>
      <protection locked="0" hidden="0"/>
    </xf>
    <xf numFmtId="0" fontId="14" fillId="2" borderId="12" applyAlignment="1" applyProtection="1" pivotButton="0" quotePrefix="0" xfId="0">
      <alignment horizontal="center" vertical="center"/>
      <protection locked="0" hidden="0"/>
    </xf>
    <xf numFmtId="0" fontId="15" fillId="2" borderId="10" applyAlignment="1" applyProtection="1" pivotButton="0" quotePrefix="0" xfId="0">
      <alignment horizontal="center" vertical="center"/>
      <protection locked="0" hidden="0"/>
    </xf>
    <xf numFmtId="0" fontId="15" fillId="2" borderId="12" applyAlignment="1" applyProtection="1" pivotButton="0" quotePrefix="0" xfId="0">
      <alignment horizontal="center" vertical="center"/>
      <protection locked="0" hidden="0"/>
    </xf>
    <xf numFmtId="0" fontId="0" fillId="0" borderId="0" applyAlignment="1" applyProtection="1" pivotButton="0" quotePrefix="0" xfId="0">
      <alignment horizontal="center" vertical="center" wrapText="1"/>
      <protection locked="0" hidden="0"/>
    </xf>
    <xf numFmtId="49" fontId="15" fillId="0" borderId="10" applyAlignment="1" applyProtection="1" pivotButton="0" quotePrefix="0" xfId="0">
      <alignment horizontal="center" vertical="center" wrapText="1"/>
      <protection locked="0" hidden="0"/>
    </xf>
    <xf numFmtId="49" fontId="14" fillId="2" borderId="10" applyAlignment="1" applyProtection="1" pivotButton="0" quotePrefix="0" xfId="0">
      <alignment horizontal="center" vertical="center"/>
      <protection locked="0" hidden="0"/>
    </xf>
    <xf numFmtId="49" fontId="14" fillId="2" borderId="12" applyAlignment="1" applyProtection="1" pivotButton="0" quotePrefix="0" xfId="0">
      <alignment horizontal="center" vertical="center"/>
      <protection locked="0" hidden="0"/>
    </xf>
    <xf numFmtId="164" fontId="15" fillId="3" borderId="10" applyAlignment="1" applyProtection="1" pivotButton="0" quotePrefix="0" xfId="0">
      <alignment horizontal="center" vertical="center" wrapText="1"/>
      <protection locked="0" hidden="0"/>
    </xf>
    <xf numFmtId="49" fontId="26" fillId="2" borderId="10" applyAlignment="1" applyProtection="1" pivotButton="0" quotePrefix="0" xfId="0">
      <alignment horizontal="center" vertical="center"/>
      <protection locked="0" hidden="0"/>
    </xf>
    <xf numFmtId="49" fontId="27" fillId="0" borderId="10" applyAlignment="1" applyProtection="1" pivotButton="0" quotePrefix="0" xfId="0">
      <alignment horizontal="center" vertical="center"/>
      <protection locked="0" hidden="0"/>
    </xf>
    <xf numFmtId="164" fontId="15" fillId="3" borderId="12" applyAlignment="1" applyProtection="1" pivotButton="0" quotePrefix="0" xfId="0">
      <alignment horizontal="center" vertical="center" wrapText="1"/>
      <protection locked="0" hidden="0"/>
    </xf>
    <xf numFmtId="0" fontId="0" fillId="10" borderId="0" applyAlignment="1" applyProtection="1" pivotButton="0" quotePrefix="0" xfId="0">
      <alignment horizontal="center" vertical="center" wrapText="1"/>
      <protection locked="0" hidden="0"/>
    </xf>
    <xf numFmtId="0" fontId="5" fillId="0" borderId="0" applyAlignment="1" applyProtection="1" pivotButton="0" quotePrefix="0" xfId="0">
      <alignment horizontal="center" vertical="center"/>
      <protection locked="0" hidden="0"/>
    </xf>
    <xf numFmtId="0" fontId="14" fillId="2" borderId="14" applyAlignment="1" applyProtection="1" pivotButton="0" quotePrefix="0" xfId="0">
      <alignment horizontal="center" vertical="center"/>
      <protection locked="0" hidden="0"/>
    </xf>
    <xf numFmtId="14" fontId="16" fillId="2" borderId="10" applyAlignment="1" applyProtection="1" pivotButton="0" quotePrefix="0" xfId="0">
      <alignment horizontal="center" vertical="center"/>
      <protection locked="0" hidden="0"/>
    </xf>
    <xf numFmtId="14" fontId="15" fillId="2" borderId="10" applyAlignment="1" applyProtection="1" pivotButton="0" quotePrefix="0" xfId="0">
      <alignment horizontal="center" vertical="center"/>
      <protection locked="0" hidden="0"/>
    </xf>
    <xf numFmtId="164" fontId="15" fillId="2" borderId="10" applyAlignment="1" applyProtection="1" pivotButton="0" quotePrefix="0" xfId="0">
      <alignment horizontal="center" vertical="center"/>
      <protection locked="0" hidden="0"/>
    </xf>
    <xf numFmtId="4" fontId="17" fillId="2" borderId="10" applyAlignment="1" applyProtection="1" pivotButton="0" quotePrefix="0" xfId="1">
      <alignment horizontal="center" vertical="center"/>
      <protection locked="0" hidden="0"/>
    </xf>
    <xf numFmtId="0" fontId="18" fillId="2" borderId="10" applyAlignment="1" applyProtection="1" pivotButton="0" quotePrefix="0" xfId="1">
      <alignment horizontal="center" vertical="center"/>
      <protection locked="0" hidden="0"/>
    </xf>
    <xf numFmtId="1" fontId="15" fillId="2" borderId="10" applyAlignment="1" applyProtection="1" pivotButton="0" quotePrefix="0" xfId="0">
      <alignment horizontal="center" vertical="center"/>
      <protection locked="0" hidden="0"/>
    </xf>
    <xf numFmtId="1" fontId="14" fillId="2" borderId="10" applyAlignment="1" applyProtection="1" pivotButton="0" quotePrefix="0" xfId="0">
      <alignment horizontal="center" vertical="center" wrapText="1"/>
      <protection locked="0" hidden="0"/>
    </xf>
    <xf numFmtId="0" fontId="15" fillId="0" borderId="10" applyAlignment="1" applyProtection="1" pivotButton="0" quotePrefix="0" xfId="0">
      <alignment horizontal="center"/>
      <protection locked="0" hidden="0"/>
    </xf>
    <xf numFmtId="49" fontId="19" fillId="2" borderId="10" applyAlignment="1" applyProtection="1" pivotButton="0" quotePrefix="0" xfId="0">
      <alignment horizontal="center" vertical="center"/>
      <protection locked="0" hidden="0"/>
    </xf>
    <xf numFmtId="164" fontId="15" fillId="2" borderId="10" applyAlignment="1" applyProtection="1" pivotButton="0" quotePrefix="0" xfId="0">
      <alignment horizontal="center" vertical="center" wrapText="1"/>
      <protection locked="0" hidden="0"/>
    </xf>
    <xf numFmtId="2" fontId="15" fillId="2" borderId="10" applyAlignment="1" applyProtection="1" pivotButton="0" quotePrefix="0" xfId="0">
      <alignment horizontal="center" vertical="center"/>
      <protection locked="0" hidden="0"/>
    </xf>
    <xf numFmtId="49" fontId="14" fillId="6" borderId="10" applyAlignment="1" applyProtection="1" pivotButton="0" quotePrefix="0" xfId="0">
      <alignment horizontal="center" vertical="center"/>
      <protection locked="0" hidden="0"/>
    </xf>
    <xf numFmtId="0" fontId="15" fillId="2" borderId="10" applyAlignment="1" applyProtection="1" pivotButton="0" quotePrefix="0" xfId="0">
      <alignment horizontal="center" vertical="center" wrapText="1"/>
      <protection locked="0" hidden="0"/>
    </xf>
    <xf numFmtId="0" fontId="20" fillId="9" borderId="10" applyAlignment="1" applyProtection="1" pivotButton="0" quotePrefix="0" xfId="0">
      <alignment horizontal="center" vertical="center" wrapText="1"/>
      <protection locked="0" hidden="0"/>
    </xf>
    <xf numFmtId="0" fontId="14" fillId="2" borderId="10" applyAlignment="1" applyProtection="1" pivotButton="0" quotePrefix="0" xfId="0">
      <alignment horizontal="center" vertical="center" wrapText="1"/>
      <protection locked="0" hidden="0"/>
    </xf>
    <xf numFmtId="0" fontId="15" fillId="2" borderId="11" applyAlignment="1" applyProtection="1" pivotButton="0" quotePrefix="0" xfId="0">
      <alignment horizontal="center" vertical="center"/>
      <protection locked="0" hidden="0"/>
    </xf>
    <xf numFmtId="0" fontId="15" fillId="2" borderId="0" applyAlignment="1" applyProtection="1" pivotButton="0" quotePrefix="0" xfId="0">
      <alignment horizontal="center" vertical="center"/>
      <protection locked="0" hidden="0"/>
    </xf>
    <xf numFmtId="1" fontId="15" fillId="2" borderId="10" applyAlignment="1" applyProtection="1" pivotButton="0" quotePrefix="0" xfId="0">
      <alignment horizontal="center" vertical="center" wrapText="1"/>
      <protection locked="0" hidden="0"/>
    </xf>
    <xf numFmtId="0" fontId="15" fillId="0" borderId="10" applyAlignment="1" applyProtection="1" pivotButton="0" quotePrefix="0" xfId="0">
      <alignment horizontal="center" vertical="center"/>
      <protection locked="0" hidden="0"/>
    </xf>
    <xf numFmtId="1" fontId="17" fillId="2" borderId="10" applyAlignment="1" applyProtection="1" pivotButton="0" quotePrefix="0" xfId="1">
      <alignment horizontal="center" vertical="center"/>
      <protection locked="0" hidden="0"/>
    </xf>
    <xf numFmtId="164" fontId="25" fillId="2" borderId="1" applyAlignment="1" applyProtection="1" pivotButton="0" quotePrefix="0" xfId="0">
      <alignment horizontal="center" vertical="center"/>
      <protection locked="0" hidden="0"/>
    </xf>
    <xf numFmtId="164" fontId="15" fillId="6" borderId="10" applyAlignment="1" applyProtection="1" pivotButton="0" quotePrefix="0" xfId="0">
      <alignment horizontal="center" vertical="center" wrapText="1"/>
      <protection locked="0" hidden="0"/>
    </xf>
    <xf numFmtId="14" fontId="15" fillId="2" borderId="12" applyAlignment="1" applyProtection="1" pivotButton="0" quotePrefix="0" xfId="0">
      <alignment horizontal="center" vertical="center"/>
      <protection locked="0" hidden="0"/>
    </xf>
    <xf numFmtId="164" fontId="15" fillId="2" borderId="12" applyAlignment="1" applyProtection="1" pivotButton="0" quotePrefix="0" xfId="0">
      <alignment horizontal="center" vertical="center"/>
      <protection locked="0" hidden="0"/>
    </xf>
    <xf numFmtId="0" fontId="18" fillId="2" borderId="12" applyAlignment="1" applyProtection="1" pivotButton="0" quotePrefix="0" xfId="1">
      <alignment horizontal="center" vertical="center"/>
      <protection locked="0" hidden="0"/>
    </xf>
    <xf numFmtId="1" fontId="17" fillId="2" borderId="12" applyAlignment="1" applyProtection="1" pivotButton="0" quotePrefix="0" xfId="1">
      <alignment horizontal="center" vertical="center"/>
      <protection locked="0" hidden="0"/>
    </xf>
    <xf numFmtId="164" fontId="15" fillId="2" borderId="12" applyAlignment="1" applyProtection="1" pivotButton="0" quotePrefix="0" xfId="0">
      <alignment horizontal="center" vertical="center" wrapText="1"/>
      <protection locked="0" hidden="0"/>
    </xf>
    <xf numFmtId="49" fontId="14" fillId="6" borderId="12" applyAlignment="1" applyProtection="1" pivotButton="0" quotePrefix="0" xfId="0">
      <alignment horizontal="center" vertical="center"/>
      <protection locked="0" hidden="0"/>
    </xf>
    <xf numFmtId="2" fontId="15" fillId="2" borderId="12" applyAlignment="1" applyProtection="1" pivotButton="0" quotePrefix="0" xfId="0">
      <alignment horizontal="center" vertical="center"/>
      <protection locked="0" hidden="0"/>
    </xf>
    <xf numFmtId="0" fontId="15" fillId="2" borderId="12" applyAlignment="1" applyProtection="1" pivotButton="0" quotePrefix="0" xfId="0">
      <alignment horizontal="center" vertical="center" wrapText="1"/>
      <protection locked="0" hidden="0"/>
    </xf>
    <xf numFmtId="0" fontId="15" fillId="0" borderId="10" applyAlignment="1" applyProtection="1" pivotButton="0" quotePrefix="0" xfId="0">
      <alignment horizontal="center" vertical="center" wrapText="1"/>
      <protection locked="0" hidden="0"/>
    </xf>
    <xf numFmtId="0" fontId="21" fillId="2" borderId="10" applyAlignment="1" applyProtection="1" pivotButton="0" quotePrefix="0" xfId="1">
      <alignment horizontal="center" vertical="center" wrapText="1"/>
      <protection locked="0" hidden="0"/>
    </xf>
    <xf numFmtId="0" fontId="14" fillId="6" borderId="10" applyAlignment="1" applyProtection="1" pivotButton="0" quotePrefix="0" xfId="0">
      <alignment horizontal="center" vertical="center"/>
      <protection locked="0" hidden="0"/>
    </xf>
    <xf numFmtId="0" fontId="15" fillId="6" borderId="10" applyAlignment="1" applyProtection="1" pivotButton="0" quotePrefix="0" xfId="0">
      <alignment horizontal="center" vertical="center"/>
      <protection locked="0" hidden="0"/>
    </xf>
    <xf numFmtId="1" fontId="17" fillId="2" borderId="10" applyAlignment="1" applyProtection="1" pivotButton="0" quotePrefix="0" xfId="1">
      <alignment horizontal="center" vertical="center" wrapText="1"/>
      <protection locked="0" hidden="0"/>
    </xf>
    <xf numFmtId="4" fontId="15" fillId="2" borderId="10" applyAlignment="1" applyProtection="1" pivotButton="0" quotePrefix="0" xfId="0">
      <alignment horizontal="center" vertical="center"/>
      <protection locked="0" hidden="0"/>
    </xf>
    <xf numFmtId="1" fontId="17" fillId="2" borderId="12" applyAlignment="1" applyProtection="1" pivotButton="0" quotePrefix="0" xfId="1">
      <alignment horizontal="center" vertical="center" wrapText="1"/>
      <protection locked="0" hidden="0"/>
    </xf>
    <xf numFmtId="0" fontId="15" fillId="0" borderId="12" applyAlignment="1" applyProtection="1" pivotButton="0" quotePrefix="0" xfId="0">
      <alignment horizontal="center" vertical="center"/>
      <protection locked="0" hidden="0"/>
    </xf>
    <xf numFmtId="4" fontId="15" fillId="2" borderId="12" applyAlignment="1" applyProtection="1" pivotButton="0" quotePrefix="0" xfId="0">
      <alignment horizontal="center" vertical="center"/>
      <protection locked="0" hidden="0"/>
    </xf>
    <xf numFmtId="49" fontId="19" fillId="2" borderId="12" applyAlignment="1" applyProtection="1" pivotButton="0" quotePrefix="0" xfId="0">
      <alignment horizontal="center" vertical="center"/>
      <protection locked="0" hidden="0"/>
    </xf>
    <xf numFmtId="0" fontId="15" fillId="2" borderId="13" applyAlignment="1" applyProtection="1" pivotButton="0" quotePrefix="0" xfId="0">
      <alignment horizontal="center" vertical="center"/>
      <protection locked="0" hidden="0"/>
    </xf>
    <xf numFmtId="4" fontId="17" fillId="2" borderId="10" applyAlignment="1" applyProtection="1" pivotButton="0" quotePrefix="0" xfId="1">
      <alignment horizontal="center" vertical="center"/>
      <protection locked="1" hidden="1"/>
    </xf>
    <xf numFmtId="1" fontId="15" fillId="13" borderId="10" applyAlignment="1" applyProtection="1" pivotButton="0" quotePrefix="0" xfId="0">
      <alignment horizontal="center" vertical="center"/>
      <protection locked="0" hidden="0"/>
    </xf>
    <xf numFmtId="0" fontId="15" fillId="6" borderId="12" applyAlignment="1" applyProtection="1" pivotButton="0" quotePrefix="0" xfId="0">
      <alignment horizontal="center" vertical="center"/>
      <protection locked="0" hidden="0"/>
    </xf>
    <xf numFmtId="164" fontId="15" fillId="6" borderId="12" applyAlignment="1" applyProtection="1" pivotButton="0" quotePrefix="0" xfId="0">
      <alignment horizontal="center" vertical="center"/>
      <protection locked="1" hidden="1"/>
    </xf>
    <xf numFmtId="0" fontId="18" fillId="6" borderId="12" applyAlignment="1" applyProtection="1" pivotButton="0" quotePrefix="0" xfId="1">
      <alignment horizontal="center" vertical="center"/>
      <protection locked="0" hidden="0"/>
    </xf>
    <xf numFmtId="2" fontId="15" fillId="6" borderId="12" applyAlignment="1" applyProtection="1" pivotButton="0" quotePrefix="0" xfId="0">
      <alignment horizontal="center" vertical="center"/>
      <protection locked="0" hidden="0"/>
    </xf>
    <xf numFmtId="0" fontId="15" fillId="6" borderId="11" applyAlignment="1" applyProtection="1" pivotButton="0" quotePrefix="0" xfId="0">
      <alignment horizontal="center" vertical="center"/>
      <protection locked="0" hidden="0"/>
    </xf>
    <xf numFmtId="0" fontId="15" fillId="6" borderId="0" applyAlignment="1" applyProtection="1" pivotButton="0" quotePrefix="0" xfId="0">
      <alignment horizontal="center" vertical="center"/>
      <protection locked="0" hidden="0"/>
    </xf>
    <xf numFmtId="0" fontId="1" fillId="6" borderId="0" applyAlignment="1" pivotButton="0" quotePrefix="0" xfId="0">
      <alignment horizontal="center" vertical="center"/>
    </xf>
    <xf numFmtId="164" fontId="15" fillId="10" borderId="13" applyAlignment="1" applyProtection="1" pivotButton="0" quotePrefix="0" xfId="0">
      <alignment horizontal="center" vertical="center" wrapText="1"/>
      <protection locked="0" hidden="0"/>
    </xf>
    <xf numFmtId="0" fontId="1" fillId="2" borderId="0" applyAlignment="1" pivotButton="0" quotePrefix="0" xfId="0">
      <alignment horizontal="center" vertical="center"/>
    </xf>
    <xf numFmtId="49" fontId="15" fillId="2" borderId="10" applyAlignment="1" applyProtection="1" pivotButton="0" quotePrefix="0" xfId="0">
      <alignment horizontal="center" vertical="center" wrapText="1"/>
      <protection locked="0" hidden="0"/>
    </xf>
    <xf numFmtId="0" fontId="15" fillId="2" borderId="10" applyAlignment="1" applyProtection="1" pivotButton="0" quotePrefix="0" xfId="0">
      <alignment horizontal="center"/>
      <protection locked="0" hidden="0"/>
    </xf>
    <xf numFmtId="49" fontId="14" fillId="2" borderId="10" applyAlignment="1" pivotButton="0" quotePrefix="0" xfId="0">
      <alignment horizontal="center" vertical="center"/>
    </xf>
    <xf numFmtId="1" fontId="36" fillId="2" borderId="10" applyAlignment="1" applyProtection="1" pivotButton="0" quotePrefix="0" xfId="0">
      <alignment horizontal="center" vertical="center" wrapText="1"/>
      <protection locked="0" hidden="0"/>
    </xf>
    <xf numFmtId="164" fontId="15" fillId="10" borderId="20" applyAlignment="1" applyProtection="1" pivotButton="0" quotePrefix="0" xfId="0">
      <alignment horizontal="center" vertical="center" wrapText="1"/>
      <protection locked="0" hidden="0"/>
    </xf>
    <xf numFmtId="0" fontId="15" fillId="2" borderId="21" applyAlignment="1" applyProtection="1" pivotButton="0" quotePrefix="0" xfId="0">
      <alignment horizontal="center" vertical="center"/>
      <protection locked="0" hidden="0"/>
    </xf>
    <xf numFmtId="0" fontId="15" fillId="2" borderId="22" applyAlignment="1" applyProtection="1" pivotButton="0" quotePrefix="0" xfId="0">
      <alignment horizontal="center" vertical="center"/>
      <protection locked="0" hidden="0"/>
    </xf>
    <xf numFmtId="0" fontId="15" fillId="2" borderId="20" applyAlignment="1" applyProtection="1" pivotButton="0" quotePrefix="0" xfId="0">
      <alignment horizontal="center" vertical="center"/>
      <protection locked="0" hidden="0"/>
    </xf>
    <xf numFmtId="0" fontId="0" fillId="2" borderId="10" applyAlignment="1" applyProtection="1" pivotButton="0" quotePrefix="0" xfId="0">
      <alignment horizontal="center" vertical="center"/>
      <protection locked="0" hidden="0"/>
    </xf>
    <xf numFmtId="0" fontId="3" fillId="2" borderId="10" applyAlignment="1" applyProtection="1" pivotButton="0" quotePrefix="0" xfId="0">
      <alignment horizontal="center" vertical="center"/>
      <protection locked="0" hidden="1"/>
    </xf>
    <xf numFmtId="0" fontId="10" fillId="0" borderId="10" applyAlignment="1" pivotButton="0" quotePrefix="0" xfId="0">
      <alignment horizontal="center" vertical="center"/>
    </xf>
    <xf numFmtId="0" fontId="1" fillId="0" borderId="10" applyAlignment="1" pivotButton="0" quotePrefix="0" xfId="0">
      <alignment horizontal="center" vertical="center"/>
    </xf>
    <xf numFmtId="0" fontId="0" fillId="0" borderId="10" applyAlignment="1" pivotButton="0" quotePrefix="0" xfId="0">
      <alignment horizontal="center" vertical="center"/>
    </xf>
    <xf numFmtId="0" fontId="0" fillId="10" borderId="10" applyAlignment="1" applyProtection="1" pivotButton="0" quotePrefix="0" xfId="0">
      <alignment horizontal="center" vertical="center" wrapText="1"/>
      <protection locked="0" hidden="0"/>
    </xf>
    <xf numFmtId="0" fontId="5" fillId="0" borderId="10" applyAlignment="1" applyProtection="1" pivotButton="0" quotePrefix="0" xfId="0">
      <alignment horizontal="center" vertical="center"/>
      <protection locked="0" hidden="0"/>
    </xf>
    <xf numFmtId="0" fontId="0" fillId="0" borderId="10" applyAlignment="1" applyProtection="1" pivotButton="0" quotePrefix="0" xfId="0">
      <alignment horizontal="center" vertical="center" wrapText="1"/>
      <protection locked="0" hidden="0"/>
    </xf>
    <xf numFmtId="0" fontId="0" fillId="0" borderId="10" applyAlignment="1" pivotButton="0" quotePrefix="0" xfId="0">
      <alignment horizontal="center" vertical="center" wrapText="1"/>
    </xf>
    <xf numFmtId="1" fontId="0" fillId="0" borderId="10" applyAlignment="1" pivotButton="0" quotePrefix="0" xfId="0">
      <alignment horizontal="center" vertical="center"/>
    </xf>
    <xf numFmtId="1" fontId="0" fillId="0" borderId="10" applyAlignment="1" pivotButton="0" quotePrefix="0" xfId="0">
      <alignment horizontal="center" vertical="center" wrapText="1"/>
    </xf>
    <xf numFmtId="0" fontId="0" fillId="0" borderId="10" pivotButton="0" quotePrefix="0" xfId="0"/>
    <xf numFmtId="49" fontId="14" fillId="2" borderId="11" applyAlignment="1" pivotButton="0" quotePrefix="0" xfId="0">
      <alignment horizontal="center" vertical="center"/>
    </xf>
    <xf numFmtId="0" fontId="5" fillId="2" borderId="2" applyAlignment="1" pivotButton="0" quotePrefix="0" xfId="0">
      <alignment horizontal="center"/>
    </xf>
    <xf numFmtId="0" fontId="31" fillId="0" borderId="2" applyAlignment="1" pivotButton="0" quotePrefix="0" xfId="0">
      <alignment horizontal="center"/>
    </xf>
    <xf numFmtId="0" fontId="30" fillId="0" borderId="2" applyAlignment="1" pivotButton="0" quotePrefix="0" xfId="0">
      <alignment horizontal="center"/>
    </xf>
    <xf numFmtId="0" fontId="5" fillId="2" borderId="2" applyAlignment="1" pivotButton="0" quotePrefix="0" xfId="0">
      <alignment horizontal="center" vertical="center"/>
    </xf>
    <xf numFmtId="0" fontId="38" fillId="14" borderId="0" pivotButton="0" quotePrefix="0" xfId="0"/>
    <xf numFmtId="0" fontId="39" fillId="15" borderId="0" pivotButton="0" quotePrefix="0" xfId="0"/>
    <xf numFmtId="0" fontId="40" fillId="16" borderId="0" pivotButton="0" quotePrefix="0" xfId="0"/>
    <xf numFmtId="0" fontId="41" fillId="14" borderId="23" applyAlignment="1" pivotButton="0" quotePrefix="0" xfId="0">
      <alignment horizontal="center" vertical="center"/>
    </xf>
    <xf numFmtId="0" fontId="42" fillId="19" borderId="0" pivotButton="0" quotePrefix="0" xfId="0"/>
    <xf numFmtId="0" fontId="43" fillId="0" borderId="0" pivotButton="0" quotePrefix="0" xfId="0"/>
    <xf numFmtId="0" fontId="41" fillId="21" borderId="0" applyAlignment="1" pivotButton="0" quotePrefix="0" xfId="0">
      <alignment horizontal="center" vertical="center"/>
    </xf>
    <xf numFmtId="0" fontId="40" fillId="15" borderId="0" pivotButton="0" quotePrefix="0" xfId="0"/>
    <xf numFmtId="0" fontId="43" fillId="15" borderId="0" pivotButton="0" quotePrefix="0" xfId="0"/>
    <xf numFmtId="0" fontId="44" fillId="22" borderId="0" applyAlignment="1" pivotButton="0" quotePrefix="0" xfId="0">
      <alignment horizontal="center" vertical="center"/>
    </xf>
    <xf numFmtId="0" fontId="47" fillId="15" borderId="0" pivotButton="0" quotePrefix="0" xfId="0"/>
    <xf numFmtId="0" fontId="40" fillId="0" borderId="0" pivotButton="0" quotePrefix="0" xfId="0"/>
    <xf numFmtId="0" fontId="47" fillId="0" borderId="0" applyAlignment="1" pivotButton="0" quotePrefix="0" xfId="0">
      <alignment horizontal="center"/>
    </xf>
    <xf numFmtId="0" fontId="38" fillId="22" borderId="0" applyAlignment="1" pivotButton="0" quotePrefix="0" xfId="0">
      <alignment horizontal="center"/>
    </xf>
    <xf numFmtId="0" fontId="38" fillId="25" borderId="0" applyAlignment="1" pivotButton="0" quotePrefix="0" xfId="0">
      <alignment horizontal="center"/>
    </xf>
    <xf numFmtId="0" fontId="38" fillId="23" borderId="0" applyAlignment="1" pivotButton="0" quotePrefix="0" xfId="0">
      <alignment horizontal="center"/>
    </xf>
    <xf numFmtId="0" fontId="48" fillId="14" borderId="0" applyAlignment="1" pivotButton="0" quotePrefix="0" xfId="0">
      <alignment horizontal="center" vertical="center"/>
    </xf>
    <xf numFmtId="0" fontId="49" fillId="0" borderId="0" applyAlignment="1" pivotButton="0" quotePrefix="0" xfId="0">
      <alignment horizontal="left" vertical="center"/>
    </xf>
    <xf numFmtId="0" fontId="49" fillId="28" borderId="0" applyAlignment="1" pivotButton="0" quotePrefix="0" xfId="0">
      <alignment horizontal="left" vertical="center"/>
    </xf>
    <xf numFmtId="0" fontId="49" fillId="29" borderId="0" applyAlignment="1" pivotButton="0" quotePrefix="0" xfId="0">
      <alignment horizontal="left" vertical="center"/>
    </xf>
    <xf numFmtId="0" fontId="49" fillId="30" borderId="0" applyAlignment="1" pivotButton="0" quotePrefix="0" xfId="0">
      <alignment horizontal="left" vertical="center"/>
    </xf>
    <xf numFmtId="0" fontId="49" fillId="0" borderId="0" pivotButton="0" quotePrefix="0" xfId="0"/>
    <xf numFmtId="0" fontId="49" fillId="29" borderId="0" pivotButton="0" quotePrefix="0" xfId="0"/>
    <xf numFmtId="0" fontId="50" fillId="0" borderId="5" applyAlignment="1" pivotButton="0" quotePrefix="0" xfId="3">
      <alignment horizontal="center"/>
    </xf>
    <xf numFmtId="0" fontId="50" fillId="0" borderId="6" applyAlignment="1" pivotButton="0" quotePrefix="0" xfId="3">
      <alignment horizontal="center"/>
    </xf>
    <xf numFmtId="0" fontId="50" fillId="0" borderId="0" pivotButton="0" quotePrefix="0" xfId="3"/>
    <xf numFmtId="0" fontId="50" fillId="6" borderId="6" applyAlignment="1" pivotButton="0" quotePrefix="0" xfId="3">
      <alignment horizontal="center"/>
    </xf>
    <xf numFmtId="0" fontId="50" fillId="0" borderId="7" applyAlignment="1" pivotButton="0" quotePrefix="0" xfId="3">
      <alignment horizontal="center" vertical="center" wrapText="1"/>
    </xf>
    <xf numFmtId="0" fontId="50" fillId="0" borderId="3" applyAlignment="1" pivotButton="0" quotePrefix="0" xfId="3">
      <alignment horizontal="center"/>
    </xf>
    <xf numFmtId="0" fontId="50" fillId="0" borderId="23" applyAlignment="1" pivotButton="0" quotePrefix="0" xfId="3">
      <alignment horizontal="center"/>
    </xf>
    <xf numFmtId="14" fontId="50" fillId="0" borderId="0" pivotButton="0" quotePrefix="0" xfId="3"/>
    <xf numFmtId="0" fontId="50" fillId="6" borderId="23" applyAlignment="1" pivotButton="0" quotePrefix="0" xfId="3">
      <alignment horizontal="center"/>
    </xf>
    <xf numFmtId="0" fontId="50" fillId="0" borderId="4" applyAlignment="1" pivotButton="0" quotePrefix="0" xfId="3">
      <alignment horizontal="center"/>
    </xf>
    <xf numFmtId="1" fontId="50" fillId="0" borderId="6" applyAlignment="1" pivotButton="0" quotePrefix="0" xfId="3">
      <alignment horizontal="center"/>
    </xf>
    <xf numFmtId="0" fontId="51" fillId="6" borderId="23" applyAlignment="1" pivotButton="0" quotePrefix="0" xfId="3">
      <alignment horizontal="center"/>
    </xf>
    <xf numFmtId="9" fontId="0" fillId="6" borderId="23" applyAlignment="1" pivotButton="0" quotePrefix="0" xfId="4">
      <alignment horizontal="center"/>
    </xf>
    <xf numFmtId="0" fontId="50" fillId="0" borderId="4" applyAlignment="1" pivotButton="0" quotePrefix="0" xfId="3">
      <alignment horizontal="center" vertical="center" wrapText="1"/>
    </xf>
    <xf numFmtId="0" fontId="50" fillId="0" borderId="16" applyAlignment="1" pivotButton="0" quotePrefix="0" xfId="3">
      <alignment horizontal="center"/>
    </xf>
    <xf numFmtId="0" fontId="50" fillId="0" borderId="18" applyAlignment="1" pivotButton="0" quotePrefix="0" xfId="3">
      <alignment horizontal="center"/>
    </xf>
    <xf numFmtId="0" fontId="50" fillId="6" borderId="18" applyAlignment="1" pivotButton="0" quotePrefix="0" xfId="3">
      <alignment horizontal="center"/>
    </xf>
    <xf numFmtId="9" fontId="0" fillId="6" borderId="18" applyAlignment="1" pivotButton="0" quotePrefix="0" xfId="4">
      <alignment horizontal="center"/>
    </xf>
    <xf numFmtId="0" fontId="50" fillId="0" borderId="17" applyAlignment="1" pivotButton="0" quotePrefix="0" xfId="3">
      <alignment horizontal="center" vertical="center" wrapText="1"/>
    </xf>
    <xf numFmtId="0" fontId="50" fillId="6" borderId="0" pivotButton="0" quotePrefix="0" xfId="3"/>
    <xf numFmtId="9" fontId="0" fillId="6" borderId="0" pivotButton="0" quotePrefix="0" xfId="4"/>
    <xf numFmtId="0" fontId="50" fillId="0" borderId="0" applyAlignment="1" pivotButton="0" quotePrefix="0" xfId="3">
      <alignment vertical="center" wrapText="1"/>
    </xf>
    <xf numFmtId="0" fontId="0" fillId="17" borderId="23" applyAlignment="1" pivotButton="0" quotePrefix="0" xfId="0">
      <alignment horizontal="center"/>
    </xf>
    <xf numFmtId="0" fontId="0" fillId="18" borderId="23" applyAlignment="1" pivotButton="0" quotePrefix="0" xfId="0">
      <alignment horizontal="center"/>
    </xf>
    <xf numFmtId="0" fontId="0" fillId="0" borderId="23" applyAlignment="1" pivotButton="0" quotePrefix="0" xfId="0">
      <alignment horizontal="center"/>
    </xf>
    <xf numFmtId="0" fontId="52" fillId="0" borderId="0" pivotButton="0" quotePrefix="0" xfId="5"/>
    <xf numFmtId="171" fontId="52" fillId="0" borderId="0" pivotButton="0" quotePrefix="0" xfId="5"/>
    <xf numFmtId="0" fontId="52" fillId="0" borderId="13" applyAlignment="1" pivotButton="0" quotePrefix="0" xfId="5">
      <alignment horizontal="center"/>
    </xf>
    <xf numFmtId="0" fontId="52" fillId="0" borderId="10" pivotButton="0" quotePrefix="0" xfId="5"/>
    <xf numFmtId="0" fontId="52" fillId="6" borderId="0" pivotButton="0" quotePrefix="0" xfId="5"/>
    <xf numFmtId="171" fontId="52" fillId="6" borderId="0" pivotButton="0" quotePrefix="0" xfId="5"/>
    <xf numFmtId="0" fontId="52" fillId="6" borderId="13" applyAlignment="1" pivotButton="0" quotePrefix="0" xfId="5">
      <alignment horizontal="center"/>
    </xf>
    <xf numFmtId="0" fontId="52" fillId="6" borderId="10" pivotButton="0" quotePrefix="0" xfId="5"/>
    <xf numFmtId="0" fontId="3" fillId="6" borderId="23" applyAlignment="1" pivotButton="0" quotePrefix="0" xfId="3">
      <alignment horizontal="center"/>
    </xf>
    <xf numFmtId="0" fontId="37" fillId="8" borderId="0" applyAlignment="1" applyProtection="1" pivotButton="0" quotePrefix="0" xfId="0">
      <alignment horizontal="center" vertical="center"/>
      <protection locked="1" hidden="1"/>
    </xf>
    <xf numFmtId="0" fontId="0" fillId="0" borderId="0" applyProtection="1" pivotButton="0" quotePrefix="0" xfId="0">
      <protection locked="1" hidden="1"/>
    </xf>
    <xf numFmtId="0" fontId="7" fillId="4" borderId="0" applyAlignment="1" pivotButton="0" quotePrefix="0" xfId="0">
      <alignment horizontal="center" vertical="center"/>
    </xf>
    <xf numFmtId="0" fontId="6" fillId="0" borderId="0" applyProtection="1" pivotButton="0" quotePrefix="0" xfId="0">
      <protection locked="0" hidden="1"/>
    </xf>
    <xf numFmtId="0" fontId="0" fillId="0" borderId="0" pivotButton="0" quotePrefix="0" xfId="0"/>
    <xf numFmtId="0" fontId="7" fillId="4" borderId="0" applyAlignment="1" pivotButton="0" quotePrefix="0" xfId="0">
      <alignment horizontal="center" vertical="center" wrapText="1"/>
    </xf>
    <xf numFmtId="0" fontId="6" fillId="0" borderId="0" applyProtection="1" pivotButton="0" quotePrefix="0" xfId="0">
      <protection locked="1" hidden="1"/>
    </xf>
    <xf numFmtId="166" fontId="6" fillId="0" borderId="0" applyProtection="1" pivotButton="0" quotePrefix="0" xfId="0">
      <protection locked="1" hidden="1"/>
    </xf>
    <xf numFmtId="0" fontId="6" fillId="0" borderId="0" applyAlignment="1" applyProtection="1" pivotButton="0" quotePrefix="0" xfId="0">
      <alignment wrapText="1"/>
      <protection locked="1" hidden="1"/>
    </xf>
    <xf numFmtId="0" fontId="5" fillId="0" borderId="0" applyAlignment="1" pivotButton="0" quotePrefix="0" xfId="0">
      <alignment horizontal="center" vertical="center"/>
    </xf>
    <xf numFmtId="0" fontId="0" fillId="20" borderId="0" applyAlignment="1" pivotButton="0" quotePrefix="0" xfId="0">
      <alignment horizontal="left" vertical="top" wrapText="1"/>
    </xf>
    <xf numFmtId="0" fontId="42" fillId="27" borderId="0" applyAlignment="1" pivotButton="0" quotePrefix="0" xfId="0">
      <alignment horizontal="center" vertical="center"/>
    </xf>
    <xf numFmtId="0" fontId="40" fillId="0" borderId="0" applyAlignment="1" pivotButton="0" quotePrefix="0" xfId="0">
      <alignment horizontal="center"/>
    </xf>
    <xf numFmtId="0" fontId="42" fillId="23" borderId="0" applyAlignment="1" pivotButton="0" quotePrefix="0" xfId="0">
      <alignment horizontal="center" vertical="center"/>
    </xf>
    <xf numFmtId="0" fontId="42" fillId="22" borderId="0" applyAlignment="1" pivotButton="0" quotePrefix="0" xfId="0">
      <alignment horizontal="center" vertical="center"/>
    </xf>
    <xf numFmtId="0" fontId="42" fillId="25" borderId="0" applyAlignment="1" pivotButton="0" quotePrefix="0" xfId="0">
      <alignment horizontal="center" vertical="center"/>
    </xf>
    <xf numFmtId="0" fontId="42" fillId="24" borderId="0" applyAlignment="1" pivotButton="0" quotePrefix="0" xfId="0">
      <alignment horizontal="center" vertical="center"/>
    </xf>
    <xf numFmtId="0" fontId="42" fillId="26" borderId="0" applyAlignment="1" pivotButton="0" quotePrefix="0" xfId="0">
      <alignment horizontal="center" vertical="center"/>
    </xf>
    <xf numFmtId="0" fontId="45" fillId="14" borderId="0" applyAlignment="1" pivotButton="0" quotePrefix="0" xfId="0">
      <alignment horizontal="center" vertical="center"/>
    </xf>
    <xf numFmtId="0" fontId="46" fillId="0" borderId="0" applyAlignment="1" pivotButton="0" quotePrefix="0" xfId="0">
      <alignment horizontal="center" vertical="center"/>
    </xf>
    <xf numFmtId="170" fontId="34" fillId="12" borderId="19" applyAlignment="1" pivotButton="0" quotePrefix="0" xfId="2">
      <alignment horizontal="center" vertical="center"/>
    </xf>
    <xf numFmtId="0" fontId="53" fillId="31" borderId="0" applyAlignment="1" pivotButton="0" quotePrefix="0" xfId="0">
      <alignment horizontal="center" vertical="center"/>
    </xf>
    <xf numFmtId="0" fontId="63" fillId="33" borderId="25" applyAlignment="1" pivotButton="0" quotePrefix="0" xfId="0">
      <alignment horizontal="center" vertical="center" wrapText="1"/>
    </xf>
    <xf numFmtId="0" fontId="56" fillId="0" borderId="25" applyAlignment="1" pivotButton="0" quotePrefix="0" xfId="0">
      <alignment horizontal="center" vertical="center" wrapText="1"/>
    </xf>
    <xf numFmtId="171" fontId="52" fillId="0" borderId="0" pivotButton="0" quotePrefix="0" xfId="5"/>
    <xf numFmtId="171" fontId="52" fillId="6" borderId="0" pivotButton="0" quotePrefix="0" xfId="5"/>
    <xf numFmtId="0" fontId="54" fillId="32" borderId="0" applyAlignment="1" pivotButton="0" quotePrefix="0" xfId="0">
      <alignment horizontal="center" vertical="center"/>
    </xf>
    <xf numFmtId="0" fontId="55" fillId="33" borderId="0" applyAlignment="1" pivotButton="0" quotePrefix="0" xfId="0">
      <alignment horizontal="center" vertical="center"/>
    </xf>
    <xf numFmtId="0" fontId="56" fillId="0" borderId="0" pivotButton="0" quotePrefix="0" xfId="0"/>
    <xf numFmtId="0" fontId="57" fillId="0" borderId="0" pivotButton="0" quotePrefix="0" xfId="0"/>
    <xf numFmtId="0" fontId="58" fillId="34" borderId="0" applyAlignment="1" pivotButton="0" quotePrefix="0" xfId="0">
      <alignment horizontal="left" vertical="top" wrapText="1"/>
    </xf>
    <xf numFmtId="0" fontId="55" fillId="35" borderId="0" applyAlignment="1" pivotButton="0" quotePrefix="0" xfId="0">
      <alignment horizontal="center" vertical="center"/>
    </xf>
    <xf numFmtId="0" fontId="59" fillId="33" borderId="24" applyAlignment="1" pivotButton="0" quotePrefix="0" xfId="0">
      <alignment horizontal="center" vertical="center"/>
    </xf>
    <xf numFmtId="0" fontId="60" fillId="0" borderId="0" applyAlignment="1" pivotButton="0" quotePrefix="0" xfId="0">
      <alignment horizontal="center" vertical="center"/>
    </xf>
    <xf numFmtId="0" fontId="55" fillId="36" borderId="0" applyAlignment="1" pivotButton="0" quotePrefix="0" xfId="0">
      <alignment horizontal="center" vertical="center"/>
    </xf>
    <xf numFmtId="0" fontId="61" fillId="32" borderId="25" applyAlignment="1" pivotButton="0" quotePrefix="0" xfId="0">
      <alignment horizontal="center" vertical="center"/>
    </xf>
    <xf numFmtId="0" fontId="62" fillId="0" borderId="0" pivotButton="0" quotePrefix="0" xfId="0"/>
    <xf numFmtId="0" fontId="56" fillId="0" borderId="25" applyAlignment="1" pivotButton="0" quotePrefix="0" xfId="0">
      <alignment horizontal="left" vertical="center" wrapText="1"/>
    </xf>
    <xf numFmtId="0" fontId="61" fillId="32" borderId="25" applyAlignment="1" pivotButton="0" quotePrefix="0" xfId="0">
      <alignment horizontal="center" vertical="center" wrapText="1"/>
    </xf>
    <xf numFmtId="0" fontId="64" fillId="0" borderId="25" applyAlignment="1" pivotButton="0" quotePrefix="0" xfId="0">
      <alignment horizontal="center" vertical="center"/>
    </xf>
    <xf numFmtId="0" fontId="56" fillId="0" borderId="25" applyAlignment="1" pivotButton="0" quotePrefix="0" xfId="0">
      <alignment horizontal="center" vertical="center"/>
    </xf>
    <xf numFmtId="0" fontId="55" fillId="37" borderId="0" applyAlignment="1" pivotButton="0" quotePrefix="0" xfId="0">
      <alignment horizontal="center" vertical="center"/>
    </xf>
    <xf numFmtId="0" fontId="53" fillId="38" borderId="0" applyAlignment="1" pivotButton="0" quotePrefix="0" xfId="0">
      <alignment horizontal="center" vertical="center"/>
    </xf>
    <xf numFmtId="0" fontId="65" fillId="37" borderId="0" applyAlignment="1" pivotButton="0" quotePrefix="0" xfId="0">
      <alignment horizontal="center" vertical="center"/>
    </xf>
    <xf numFmtId="0" fontId="58" fillId="0" borderId="0" pivotButton="0" quotePrefix="0" xfId="0"/>
    <xf numFmtId="0" fontId="66" fillId="0" borderId="0" pivotButton="0" quotePrefix="0" xfId="0"/>
    <xf numFmtId="0" fontId="67" fillId="0" borderId="0" pivotButton="0" quotePrefix="0" xfId="0"/>
    <xf numFmtId="0" fontId="68" fillId="0" borderId="0" pivotButton="0" quotePrefix="0" xfId="0"/>
    <xf numFmtId="0" fontId="55" fillId="39" borderId="0" applyAlignment="1" pivotButton="0" quotePrefix="0" xfId="0">
      <alignment horizontal="center" vertical="center"/>
    </xf>
    <xf numFmtId="0" fontId="69" fillId="33" borderId="24" applyAlignment="1" pivotButton="0" quotePrefix="0" xfId="0">
      <alignment horizontal="center" vertical="center"/>
    </xf>
    <xf numFmtId="0" fontId="63" fillId="33" borderId="25" applyAlignment="1" pivotButton="0" quotePrefix="0" xfId="0">
      <alignment horizontal="center" vertical="center"/>
    </xf>
    <xf numFmtId="0" fontId="56" fillId="0" borderId="25" applyAlignment="1" pivotButton="0" quotePrefix="0" xfId="0">
      <alignment horizontal="left" vertical="center"/>
    </xf>
  </cellXfs>
  <cellStyles count="6">
    <cellStyle name="Normal" xfId="0" builtinId="0"/>
    <cellStyle name="Hyperlink" xfId="1" builtinId="8"/>
    <cellStyle name="Currency" xfId="2" builtinId="4"/>
    <cellStyle name="Normal 2" xfId="3"/>
    <cellStyle name="Percent 2" xfId="4"/>
    <cellStyle name="Normal 3" xfId="5"/>
  </cellStyles>
  <dxfs count="464">
    <dxf>
      <numFmt numFmtId="1" formatCode="0"/>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left style="thin">
          <color indexed="64"/>
        </left>
        <right/>
        <top style="thin">
          <color indexed="64"/>
        </top>
        <bottom style="thin">
          <color indexed="64"/>
        </bottom>
        <vertical/>
        <horizontal/>
      </border>
    </dxf>
    <dxf>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left style="thin">
          <color indexed="64"/>
        </left>
        <right style="thin">
          <color indexed="64"/>
        </right>
        <top style="thin">
          <color indexed="64"/>
        </top>
        <bottom style="thin">
          <color indexed="64"/>
        </bottom>
        <vertical/>
        <horizontal/>
      </border>
    </dxf>
    <dxf>
      <fill>
        <patternFill patternType="solid">
          <fgColor indexed="64"/>
          <bgColor rgb="FFFFFF00"/>
        </patternFill>
      </fill>
      <alignment horizontal="center" vertical="bottom"/>
      <border>
        <left style="thin">
          <color auto="1"/>
        </left>
        <right style="thin">
          <color auto="1"/>
        </right>
        <top style="thin">
          <color auto="1"/>
        </top>
        <bottom style="thin">
          <color auto="1"/>
        </bottom>
        <vertical/>
        <horizontal/>
      </border>
    </dxf>
    <dxf>
      <fill>
        <patternFill patternType="solid">
          <fgColor indexed="64"/>
          <bgColor rgb="FFFFFF00"/>
        </patternFill>
      </fill>
      <alignment horizontal="center" vertical="bottom"/>
      <border>
        <left style="thin">
          <color indexed="64"/>
        </left>
        <right style="thin">
          <color indexed="64"/>
        </right>
        <top style="thin">
          <color indexed="64"/>
        </top>
        <bottom style="thin">
          <color indexed="64"/>
        </bottom>
        <vertical/>
        <horizontal/>
      </border>
    </dxf>
    <dxf>
      <fill>
        <patternFill patternType="solid">
          <fgColor indexed="64"/>
          <bgColor rgb="FFFFFF00"/>
        </patternFill>
      </fill>
      <alignment horizontal="center" vertical="bottom"/>
      <border>
        <left style="thin">
          <color indexed="64"/>
        </left>
        <right style="thin">
          <color indexed="64"/>
        </right>
        <top style="thin">
          <color indexed="64"/>
        </top>
        <bottom style="thin">
          <color indexed="64"/>
        </bottom>
        <vertical/>
        <horizontal/>
      </border>
    </dxf>
    <dxf>
      <fill>
        <patternFill patternType="solid">
          <fgColor indexed="64"/>
          <bgColor rgb="FFFFFF00"/>
        </patternFill>
      </fill>
      <alignment horizontal="center" vertical="bottom"/>
      <border>
        <left style="thin">
          <color indexed="64"/>
        </left>
        <right style="thin">
          <color indexed="64"/>
        </right>
        <top style="thin">
          <color indexed="64"/>
        </top>
        <bottom style="thin">
          <color indexed="64"/>
        </bottom>
        <vertical/>
        <horizontal/>
      </border>
    </dxf>
    <dxf>
      <fill>
        <patternFill patternType="solid">
          <fgColor indexed="64"/>
          <bgColor rgb="FFFFFF00"/>
        </patternFill>
      </fill>
      <alignment horizontal="center" vertical="bottom"/>
      <border>
        <left style="thin">
          <color indexed="64"/>
        </left>
        <right style="thin">
          <color indexed="64"/>
        </right>
        <top style="thin">
          <color indexed="64"/>
        </top>
        <bottom style="thin">
          <color indexed="64"/>
        </bottom>
        <vertical/>
        <horizontal/>
      </border>
    </dxf>
    <dxf>
      <fill>
        <patternFill patternType="solid">
          <fgColor indexed="64"/>
          <bgColor rgb="FFFFFF00"/>
        </patternFill>
      </fill>
      <alignment horizontal="center" vertical="bottom"/>
      <border outline="0">
        <left style="thin">
          <color indexed="64"/>
        </left>
        <right style="thin">
          <color indexed="64"/>
        </right>
        <top style="thin">
          <color indexed="64"/>
        </top>
        <bottom style="thin">
          <color indexed="64"/>
        </bottom>
      </border>
    </dxf>
    <dxf>
      <alignment horizontal="center" vertical="bottom"/>
      <border>
        <left style="thin">
          <color indexed="64"/>
        </left>
        <right style="thin">
          <color indexed="64"/>
        </right>
        <top style="thin">
          <color indexed="64"/>
        </top>
        <bottom style="thin">
          <color indexed="64"/>
        </bottom>
        <vertical/>
        <horizontal/>
      </border>
    </dxf>
    <dxf>
      <numFmt numFmtId="0" formatCode="General"/>
      <alignment horizontal="center" vertical="bottom"/>
      <border>
        <left style="thin">
          <color indexed="64"/>
        </left>
        <right style="thin">
          <color indexed="64"/>
        </right>
        <top style="thin">
          <color indexed="64"/>
        </top>
        <bottom style="thin">
          <color indexed="64"/>
        </bottom>
        <vertical/>
        <horizontal/>
      </border>
    </dxf>
    <dxf>
      <numFmt numFmtId="0" formatCode="General"/>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outline="0">
        <left style="thin">
          <color indexed="64"/>
        </left>
        <right style="thin">
          <color indexed="64"/>
        </right>
        <top style="thin">
          <color indexed="64"/>
        </top>
        <bottom style="thin">
          <color indexed="64"/>
        </bottom>
      </border>
    </dxf>
    <dxf>
      <numFmt numFmtId="19" formatCode="m/d/yyyy"/>
      <alignment horizontal="center" vertical="bottom"/>
      <border outline="0">
        <left style="thin">
          <color indexed="64"/>
        </left>
        <right style="thin">
          <color indexed="64"/>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alignment horizontal="center" vertical="bottom"/>
      <border>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dxf>
    <dxf>
      <border outline="0">
        <bottom style="thin">
          <color indexed="64"/>
        </bottom>
      </border>
    </dxf>
    <dxf>
      <alignment horizontal="center" vertical="bottom"/>
      <border outline="0">
        <left style="thin">
          <color indexed="64"/>
        </left>
        <right style="thin">
          <color indexed="64"/>
        </right>
        <top/>
        <bottom/>
      </border>
    </dxf>
    <dxf>
      <font>
        <b val="1"/>
        <color rgb="FF00B050"/>
      </font>
      <fill>
        <patternFill>
          <bgColor theme="0"/>
        </patternFill>
      </fill>
    </dxf>
    <dxf>
      <font>
        <color theme="1"/>
      </font>
      <fill>
        <patternFill>
          <bgColor theme="2" tint="-0.249946592608417"/>
        </patternFill>
      </fill>
    </dxf>
    <dxf>
      <fill>
        <patternFill>
          <bgColor theme="9" tint="0.3999450666829432"/>
        </patternFill>
      </fill>
    </dxf>
    <dxf>
      <fill>
        <patternFill>
          <bgColor theme="6" tint="0.3999450666829432"/>
        </patternFill>
      </fill>
    </dxf>
    <dxf>
      <fill>
        <patternFill>
          <bgColor theme="0" tint="-0.249946592608417"/>
        </patternFill>
      </fill>
    </dxf>
    <dxf>
      <font>
        <b val="1"/>
      </font>
      <fill>
        <patternFill patternType="darkDown">
          <fgColor rgb="FF6EA92D"/>
          <bgColor rgb="FF92D050"/>
        </patternFill>
      </fill>
    </dxf>
    <dxf>
      <numFmt numFmtId="0" formatCode="General"/>
    </dxf>
    <dxf>
      <numFmt numFmtId="0" formatCode="General"/>
    </dxf>
    <dxf>
      <alignment horizontal="center" vertical="bottom"/>
      <border>
        <left style="thin">
          <color indexed="64"/>
        </left>
        <right/>
        <top style="thin">
          <color indexed="64"/>
        </top>
        <bottom style="thin">
          <color indexed="64"/>
        </bottom>
        <vertical/>
        <horizontal/>
      </border>
    </dxf>
    <dxf>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border outline="0">
        <left style="thin">
          <color indexed="64"/>
        </left>
        <right style="thin">
          <color indexed="64"/>
        </right>
        <top/>
        <bottom/>
      </border>
    </dxf>
    <dxf>
      <font>
        <color rgb="FF9C0006"/>
      </font>
      <fill>
        <patternFill>
          <bgColor rgb="FFFFC7CE"/>
        </patternFill>
      </fill>
    </dxf>
    <dxf>
      <font>
        <name val="Calibri"/>
        <family val="2"/>
        <strike val="0"/>
        <outline val="0"/>
        <shadow val="0"/>
        <condense val="0"/>
        <color rgb="FF000000"/>
        <extend val="0"/>
        <sz val="12"/>
        <vertAlign val="baseline"/>
      </font>
      <numFmt numFmtId="0" formatCode="General"/>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name val="Calibri"/>
        <family val="2"/>
        <strike val="0"/>
        <outline val="0"/>
        <shadow val="0"/>
        <condense val="0"/>
        <color rgb="FF000000"/>
        <extend val="0"/>
        <sz val="12"/>
        <vertAlign val="baseline"/>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name val="Calibri"/>
        <family val="2"/>
        <strike val="0"/>
        <outline val="0"/>
        <shadow val="0"/>
        <condense val="0"/>
        <color rgb="FF000000"/>
        <extend val="0"/>
        <sz val="12"/>
        <vertAlign val="baseline"/>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name val="Calibri"/>
        <family val="2"/>
        <strike val="0"/>
        <outline val="0"/>
        <shadow val="0"/>
        <condense val="0"/>
        <color rgb="FF000000"/>
        <extend val="0"/>
        <sz val="12"/>
        <vertAlign val="baseline"/>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name val="Calibri"/>
        <family val="2"/>
        <strike val="0"/>
        <outline val="0"/>
        <shadow val="0"/>
        <condense val="0"/>
        <color rgb="FF000000"/>
        <extend val="0"/>
        <sz val="12"/>
        <vertAlign val="baseline"/>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name val="Calibri"/>
        <family val="2"/>
        <strike val="0"/>
        <outline val="0"/>
        <shadow val="0"/>
        <condense val="0"/>
        <color rgb="FF000000"/>
        <extend val="0"/>
        <sz val="12"/>
        <vertAlign val="baseline"/>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name val="Calibri"/>
        <family val="2"/>
        <strike val="0"/>
        <outline val="0"/>
        <shadow val="0"/>
        <condense val="0"/>
        <color rgb="FF000000"/>
        <extend val="0"/>
        <sz val="12"/>
        <vertAlign val="baseline"/>
      </font>
      <numFmt numFmtId="166" formatCode="[$AED]\ #,##0"/>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name val="Calibri"/>
        <family val="2"/>
        <strike val="0"/>
        <outline val="0"/>
        <shadow val="0"/>
        <condense val="0"/>
        <color rgb="FF000000"/>
        <extend val="0"/>
        <sz val="12"/>
        <vertAlign val="baseline"/>
      </font>
      <numFmt numFmtId="166" formatCode="[$AED]\ #,##0"/>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name val="Calibri"/>
        <family val="2"/>
        <strike val="0"/>
        <outline val="0"/>
        <shadow val="0"/>
        <condense val="0"/>
        <color rgb="FF000000"/>
        <extend val="0"/>
        <sz val="12"/>
        <vertAlign val="baseline"/>
      </font>
      <numFmt numFmtId="0" formatCode="General"/>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name val="Calibri"/>
        <family val="2"/>
        <strike val="0"/>
        <outline val="0"/>
        <shadow val="0"/>
        <condense val="0"/>
        <color rgb="FF000000"/>
        <extend val="0"/>
        <sz val="12"/>
        <vertAlign val="baseline"/>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name val="Calibri"/>
        <family val="2"/>
        <strike val="0"/>
        <outline val="0"/>
        <shadow val="0"/>
        <condense val="0"/>
        <color rgb="FF000000"/>
        <extend val="0"/>
        <sz val="12"/>
        <vertAlign val="baseline"/>
      </font>
      <numFmt numFmtId="19" formatCode="m/d/yyyy"/>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name val="Calibri"/>
        <family val="2"/>
        <strike val="0"/>
        <outline val="0"/>
        <shadow val="0"/>
        <condense val="0"/>
        <color rgb="FF000000"/>
        <extend val="0"/>
        <sz val="12"/>
        <vertAlign val="baseline"/>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name val="Calibri"/>
        <family val="2"/>
        <strike val="0"/>
        <outline val="0"/>
        <shadow val="0"/>
        <condense val="0"/>
        <color rgb="FF000000"/>
        <extend val="0"/>
        <sz val="12"/>
        <vertAlign val="baseline"/>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thin">
          <color indexed="64"/>
        </left>
        <right style="thin">
          <color indexed="64"/>
        </right>
        <top style="thin">
          <color indexed="64"/>
        </top>
        <bottom style="thin">
          <color auto="1"/>
        </bottom>
      </border>
    </dxf>
    <dxf>
      <font>
        <name val="Calibri"/>
        <family val="2"/>
        <strike val="0"/>
        <outline val="0"/>
        <shadow val="0"/>
        <condense val="0"/>
        <color rgb="FF000000"/>
        <extend val="0"/>
        <sz val="12"/>
        <vertAlign val="baseline"/>
      </font>
      <fill>
        <patternFill>
          <fgColor indexed="64"/>
          <bgColor indexed="65"/>
        </patternFill>
      </fill>
      <alignment horizontal="general" vertical="bottom" wrapText="1"/>
    </dxf>
    <dxf>
      <border outline="0">
        <bottom style="thin">
          <color auto="1"/>
        </bottom>
      </border>
    </dxf>
    <dxf>
      <font>
        <name val="Calibri"/>
        <family val="2"/>
        <strike val="0"/>
        <outline val="0"/>
        <shadow val="0"/>
        <condense val="0"/>
        <color rgb="FF000000"/>
        <extend val="0"/>
        <sz val="12"/>
        <vertAlign val="baseline"/>
      </font>
      <fill>
        <patternFill>
          <fgColor indexed="64"/>
          <bgColor indexed="65"/>
        </patternFill>
      </fill>
      <alignment horizontal="general" vertical="bottom" wrapText="1"/>
    </dxf>
    <dxf>
      <font>
        <name val="Arial Black"/>
        <family val="2"/>
        <strike val="0"/>
        <outline val="0"/>
        <shadow val="0"/>
        <condense val="0"/>
        <color theme="1"/>
        <extend val="0"/>
        <sz val="11"/>
        <vertAlign val="baseline"/>
      </font>
      <protection locked="0" hidden="1"/>
    </dxf>
    <dxf>
      <font>
        <name val="Arial Black"/>
        <family val="2"/>
        <strike val="0"/>
        <outline val="0"/>
        <shadow val="0"/>
        <condense val="0"/>
        <color theme="1"/>
        <extend val="0"/>
        <sz val="10"/>
        <vertAlign val="baseline"/>
      </font>
      <fill>
        <patternFill patternType="solid">
          <fgColor indexed="64"/>
          <bgColor theme="0" tint="-0.0499893185216834"/>
        </patternFill>
      </fill>
      <alignment horizontal="center" vertical="center"/>
      <border>
        <left style="thin">
          <color theme="5" tint="0.3999755851924192"/>
        </left>
        <right style="thin">
          <color theme="5" tint="0.3999755851924192"/>
        </right>
        <top style="thin">
          <color theme="5" tint="0.3999755851924192"/>
        </top>
        <bottom style="thin">
          <color theme="5" tint="0.3999755851924192"/>
        </bottom>
        <vertical/>
        <horizontal/>
      </border>
      <protection locked="0" hidden="1"/>
    </dxf>
    <dxf>
      <font>
        <name val="Arial Black"/>
        <family val="2"/>
        <strike val="0"/>
        <outline val="0"/>
        <shadow val="0"/>
        <condense val="0"/>
        <color theme="1"/>
        <extend val="0"/>
        <sz val="11"/>
        <vertAlign val="baseline"/>
      </font>
      <protection locked="0" hidden="1"/>
    </dxf>
    <dxf>
      <font>
        <name val="Arial Black"/>
        <family val="2"/>
        <strike val="0"/>
        <outline val="0"/>
        <shadow val="0"/>
        <condense val="0"/>
        <color theme="1"/>
        <extend val="0"/>
        <sz val="11"/>
        <vertAlign val="baseline"/>
      </font>
      <protection locked="0" hidden="1"/>
    </dxf>
    <dxf>
      <font>
        <name val="Arial Black"/>
        <family val="2"/>
        <strike val="0"/>
        <outline val="0"/>
        <shadow val="0"/>
        <condense val="0"/>
        <color theme="1"/>
        <extend val="0"/>
        <sz val="11"/>
        <vertAlign val="baseline"/>
      </font>
      <protection locked="0" hidden="1"/>
    </dxf>
    <dxf>
      <font>
        <name val="Arial Black"/>
        <family val="2"/>
        <strike val="0"/>
        <outline val="0"/>
        <shadow val="0"/>
        <condense val="0"/>
        <color theme="1"/>
        <extend val="0"/>
        <sz val="11"/>
        <vertAlign val="baseline"/>
      </font>
      <protection locked="0" hidden="1"/>
    </dxf>
    <dxf>
      <font>
        <name val="Arial Black"/>
        <family val="2"/>
        <strike val="0"/>
        <outline val="0"/>
        <shadow val="0"/>
        <condense val="0"/>
        <color theme="1"/>
        <extend val="0"/>
        <sz val="11"/>
        <vertAlign val="baseline"/>
      </font>
      <protection locked="0" hidden="1"/>
    </dxf>
    <dxf>
      <font>
        <name val="Arial Black"/>
        <family val="2"/>
        <strike val="0"/>
        <outline val="0"/>
        <shadow val="0"/>
        <condense val="0"/>
        <color theme="1"/>
        <extend val="0"/>
        <sz val="11"/>
        <vertAlign val="baseline"/>
      </font>
      <protection locked="0" hidden="1"/>
    </dxf>
    <dxf>
      <font>
        <name val="Arial Black"/>
        <family val="2"/>
        <strike val="0"/>
        <outline val="0"/>
        <shadow val="0"/>
        <condense val="0"/>
        <color theme="1"/>
        <extend val="0"/>
        <sz val="11"/>
        <vertAlign val="baseline"/>
      </font>
      <protection locked="0" hidden="1"/>
    </dxf>
    <dxf>
      <font>
        <name val="Arial Black"/>
        <family val="2"/>
        <strike val="0"/>
        <outline val="0"/>
        <shadow val="0"/>
        <condense val="0"/>
        <color theme="1"/>
        <extend val="0"/>
        <sz val="11"/>
        <vertAlign val="baseline"/>
      </font>
    </dxf>
    <dxf>
      <font>
        <name val="Arial Black"/>
        <family val="2"/>
        <strike val="0"/>
        <outline val="0"/>
        <shadow val="0"/>
        <condense val="0"/>
        <color theme="1"/>
        <extend val="0"/>
        <sz val="11"/>
        <vertAlign val="baseline"/>
      </font>
      <protection locked="0" hidden="1"/>
    </dxf>
    <dxf>
      <font>
        <name val="Arial Black"/>
        <family val="2"/>
        <b val="1"/>
        <strike val="0"/>
        <outline val="0"/>
        <shadow val="0"/>
        <condense val="0"/>
        <color theme="0"/>
        <extend val="0"/>
        <sz val="11"/>
        <vertAlign val="baseline"/>
      </font>
      <fill>
        <patternFill patternType="solid">
          <fgColor indexed="64"/>
          <bgColor theme="6" tint="-0.499984740745262"/>
        </patternFill>
      </fill>
      <alignment horizontal="center" vertical="center" wrapText="1"/>
      <border outline="0">
        <left style="thin">
          <color auto="1"/>
        </left>
        <right style="thin">
          <color auto="1"/>
        </right>
        <top/>
        <bottom/>
      </border>
    </dxf>
    <dxf>
      <font>
        <name val="Arial Black"/>
        <family val="2"/>
        <b val="1"/>
        <strike val="0"/>
        <outline val="0"/>
        <shadow val="0"/>
        <condense val="0"/>
        <color theme="1"/>
        <extend val="0"/>
        <sz val="11"/>
        <vertAlign val="baseline"/>
      </font>
      <fill>
        <patternFill patternType="solid">
          <fgColor indexed="64"/>
          <bgColor theme="0" tint="-0.0499893185216834"/>
        </patternFill>
      </fill>
      <alignment horizontal="center" vertical="center" wrapText="1"/>
      <border outline="0">
        <left style="thin">
          <color theme="5" tint="0.3999755851924192"/>
        </left>
        <right style="thin">
          <color theme="5" tint="0.3999755851924192"/>
        </right>
        <top style="thin">
          <color theme="5" tint="0.3999755851924192"/>
        </top>
        <bottom style="thin">
          <color theme="5" tint="0.3999755851924192"/>
        </bottom>
      </border>
      <protection locked="1" hidden="1"/>
    </dxf>
    <dxf>
      <font>
        <name val="Arial Black"/>
        <family val="2"/>
        <b val="1"/>
        <strike val="0"/>
        <outline val="0"/>
        <shadow val="0"/>
        <condense val="0"/>
        <color theme="1"/>
        <extend val="0"/>
        <sz val="11"/>
        <vertAlign val="baseline"/>
      </font>
      <fill>
        <patternFill patternType="solid">
          <fgColor indexed="64"/>
          <bgColor theme="0" tint="-0.0499893185216834"/>
        </patternFill>
      </fill>
      <alignment horizontal="center" vertical="center" wrapText="1"/>
      <border outline="0">
        <left style="thin">
          <color theme="5" tint="0.3999755851924192"/>
        </left>
        <right style="thin">
          <color theme="5" tint="0.3999755851924192"/>
        </right>
        <top style="thin">
          <color theme="5" tint="0.3999755851924192"/>
        </top>
        <bottom style="thin">
          <color theme="5" tint="0.3999755851924192"/>
        </bottom>
      </border>
      <protection locked="1" hidden="1"/>
    </dxf>
    <dxf>
      <font>
        <name val="Arial Black"/>
        <family val="2"/>
        <b val="1"/>
        <strike val="0"/>
        <outline val="0"/>
        <shadow val="0"/>
        <condense val="0"/>
        <color theme="1"/>
        <extend val="0"/>
        <sz val="11"/>
        <vertAlign val="baseline"/>
      </font>
      <numFmt numFmtId="0" formatCode="General"/>
      <fill>
        <patternFill patternType="solid">
          <fgColor indexed="64"/>
          <bgColor theme="0" tint="-0.0499893185216834"/>
        </patternFill>
      </fill>
      <alignment horizontal="center" vertical="center" wrapText="1"/>
      <border>
        <left style="thin">
          <color theme="5" tint="0.3999755851924192"/>
        </left>
        <right style="thin">
          <color theme="5" tint="0.3999755851924192"/>
        </right>
        <top style="thin">
          <color theme="5" tint="0.3999755851924192"/>
        </top>
        <bottom style="thin">
          <color theme="5" tint="0.3999755851924192"/>
        </bottom>
      </border>
      <protection locked="1" hidden="1"/>
    </dxf>
    <dxf>
      <font>
        <name val="Arial Black"/>
        <family val="2"/>
        <b val="1"/>
        <strike val="0"/>
        <outline val="0"/>
        <shadow val="0"/>
        <condense val="0"/>
        <color theme="1"/>
        <extend val="0"/>
        <sz val="11"/>
        <vertAlign val="baseline"/>
      </font>
      <numFmt numFmtId="164" formatCode="d\-mmm\-yyyy"/>
      <fill>
        <patternFill patternType="solid">
          <fgColor indexed="64"/>
          <bgColor theme="0" tint="-0.0499893185216834"/>
        </patternFill>
      </fill>
      <alignment horizontal="center" vertical="center" wrapText="1"/>
      <border outline="0">
        <left style="thin">
          <color theme="5" tint="0.3999755851924192"/>
        </left>
        <right style="thin">
          <color theme="5" tint="0.3999755851924192"/>
        </right>
        <top style="thin">
          <color theme="5" tint="0.3999755851924192"/>
        </top>
        <bottom style="thin">
          <color theme="5" tint="0.3999755851924192"/>
        </bottom>
      </border>
      <protection locked="1" hidden="1"/>
    </dxf>
    <dxf>
      <font>
        <name val="Arial Black"/>
        <family val="2"/>
        <b val="1"/>
        <strike val="0"/>
        <outline val="0"/>
        <shadow val="0"/>
        <condense val="0"/>
        <color theme="1"/>
        <extend val="0"/>
        <sz val="11"/>
        <vertAlign val="baseline"/>
      </font>
      <numFmt numFmtId="164" formatCode="d\-mmm\-yyyy"/>
      <fill>
        <patternFill patternType="solid">
          <fgColor indexed="64"/>
          <bgColor theme="0" tint="-0.0499893185216834"/>
        </patternFill>
      </fill>
      <alignment horizontal="center" vertical="center"/>
      <border outline="0">
        <left style="thin">
          <color theme="5" tint="0.3999755851924192"/>
        </left>
        <right style="thin">
          <color theme="5" tint="0.3999755851924192"/>
        </right>
        <top style="thin">
          <color theme="5" tint="0.3999755851924192"/>
        </top>
        <bottom style="thin">
          <color theme="5" tint="0.3999755851924192"/>
        </bottom>
      </border>
      <protection locked="1" hidden="1"/>
    </dxf>
    <dxf>
      <font>
        <name val="Arial Black"/>
        <family val="2"/>
        <b val="1"/>
        <strike val="0"/>
        <outline val="0"/>
        <shadow val="0"/>
        <condense val="0"/>
        <color theme="1"/>
        <extend val="0"/>
        <sz val="11"/>
        <vertAlign val="baseline"/>
      </font>
      <fill>
        <patternFill patternType="solid">
          <fgColor indexed="64"/>
          <bgColor theme="0" tint="-0.0499893185216834"/>
        </patternFill>
      </fill>
      <alignment horizontal="center" vertical="center" wrapText="1"/>
      <border outline="0">
        <left style="thin">
          <color theme="5" tint="0.3999755851924192"/>
        </left>
        <right style="thin">
          <color theme="5" tint="0.3999755851924192"/>
        </right>
        <top style="thin">
          <color theme="5" tint="0.3999755851924192"/>
        </top>
        <bottom style="thin">
          <color theme="5" tint="0.3999755851924192"/>
        </bottom>
      </border>
      <protection locked="1" hidden="1"/>
    </dxf>
    <dxf>
      <font>
        <name val="Arial Black"/>
        <family val="2"/>
        <b val="1"/>
        <strike val="0"/>
        <outline val="0"/>
        <shadow val="0"/>
        <condense val="0"/>
        <color theme="1"/>
        <extend val="0"/>
        <sz val="11"/>
        <vertAlign val="baseline"/>
      </font>
      <numFmt numFmtId="2" formatCode="0.00"/>
      <fill>
        <patternFill patternType="solid">
          <fgColor indexed="64"/>
          <bgColor theme="0" tint="-0.0499893185216834"/>
        </patternFill>
      </fill>
      <alignment horizontal="center" vertical="center" wrapText="1"/>
      <border outline="0">
        <left style="thin">
          <color theme="5" tint="0.3999755851924192"/>
        </left>
        <right style="thin">
          <color theme="5" tint="0.3999755851924192"/>
        </right>
        <top style="thin">
          <color theme="5" tint="0.3999755851924192"/>
        </top>
        <bottom style="thin">
          <color theme="5" tint="0.3999755851924192"/>
        </bottom>
      </border>
      <protection locked="1" hidden="1"/>
    </dxf>
    <dxf>
      <font>
        <name val="Arial Black"/>
        <family val="2"/>
        <b val="1"/>
        <strike val="0"/>
        <outline val="0"/>
        <shadow val="0"/>
        <condense val="0"/>
        <color theme="1"/>
        <extend val="0"/>
        <sz val="11"/>
        <vertAlign val="baseline"/>
      </font>
      <numFmt numFmtId="2" formatCode="0.00"/>
      <fill>
        <patternFill patternType="solid">
          <fgColor indexed="64"/>
          <bgColor theme="0" tint="-0.0499893185216834"/>
        </patternFill>
      </fill>
      <alignment horizontal="center" vertical="center" wrapText="1"/>
      <border outline="0">
        <left style="thin">
          <color theme="5" tint="0.3999755851924192"/>
        </left>
        <right style="thin">
          <color theme="5" tint="0.3999755851924192"/>
        </right>
        <top style="thin">
          <color theme="5" tint="0.3999755851924192"/>
        </top>
        <bottom style="thin">
          <color theme="5" tint="0.3999755851924192"/>
        </bottom>
      </border>
      <protection locked="1" hidden="1"/>
    </dxf>
    <dxf>
      <font>
        <name val="Arial Black"/>
        <family val="2"/>
        <b val="1"/>
        <strike val="0"/>
        <outline val="0"/>
        <shadow val="0"/>
        <condense val="0"/>
        <color theme="1"/>
        <extend val="0"/>
        <sz val="11"/>
        <vertAlign val="baseline"/>
      </font>
      <numFmt numFmtId="164" formatCode="d\-mmm\-yyyy"/>
      <fill>
        <patternFill patternType="solid">
          <fgColor indexed="64"/>
          <bgColor theme="0" tint="-0.0499893185216834"/>
        </patternFill>
      </fill>
      <alignment horizontal="center" vertical="center" wrapText="1"/>
      <border outline="0">
        <left style="thin">
          <color theme="5" tint="0.3999755851924192"/>
        </left>
        <right style="thin">
          <color theme="5" tint="0.3999755851924192"/>
        </right>
        <top style="thin">
          <color theme="5" tint="0.3999755851924192"/>
        </top>
        <bottom style="thin">
          <color theme="5" tint="0.3999755851924192"/>
        </bottom>
      </border>
      <protection locked="1" hidden="1"/>
    </dxf>
    <dxf>
      <border outline="0">
        <top style="thin">
          <color auto="1"/>
        </top>
        <bottom style="thin">
          <color theme="5" tint="0.3999755851924192"/>
        </bottom>
      </border>
    </dxf>
    <dxf>
      <font>
        <name val="Arial Black"/>
        <family val="2"/>
        <b val="1"/>
        <strike val="0"/>
        <outline val="0"/>
        <shadow val="0"/>
        <condense val="0"/>
        <color theme="1"/>
        <extend val="0"/>
        <sz val="11"/>
        <vertAlign val="baseline"/>
      </font>
      <fill>
        <patternFill patternType="solid">
          <fgColor indexed="64"/>
          <bgColor theme="0" tint="-0.0499893185216834"/>
        </patternFill>
      </fill>
      <alignment horizontal="center" vertical="center" wrapText="1"/>
      <protection locked="1" hidden="1"/>
    </dxf>
    <dxf>
      <font>
        <name val="Arial Black"/>
        <family val="2"/>
        <b val="1"/>
        <strike val="0"/>
        <outline val="0"/>
        <shadow val="0"/>
        <condense val="0"/>
        <color theme="1"/>
        <extend val="0"/>
        <sz val="11"/>
        <vertAlign val="baseline"/>
      </font>
      <fill>
        <patternFill patternType="solid">
          <fgColor indexed="64"/>
          <bgColor theme="6" tint="-0.499984740745262"/>
        </patternFill>
      </fill>
      <alignment horizontal="center" vertical="center" wrapText="1"/>
      <border outline="0">
        <left style="thin">
          <color auto="1"/>
        </left>
        <right style="thin">
          <color auto="1"/>
        </right>
        <top/>
        <bottom/>
      </border>
    </dxf>
    <dxf>
      <font>
        <b val="1"/>
      </font>
    </dxf>
    <dxf>
      <font>
        <b val="1"/>
      </font>
    </dxf>
    <dxf>
      <font>
        <b val="1"/>
      </font>
      <numFmt numFmtId="169" formatCode="_([$AED]\ * #,##0_);_([$AED]\ * \(#,##0\);_([$AED]\ * &quot;-&quot;_);_(@_)"/>
    </dxf>
    <dxf>
      <fill>
        <patternFill>
          <fgColor indexed="64"/>
          <bgColor indexed="65"/>
        </patternFill>
      </fill>
    </dxf>
    <dxf>
      <fill>
        <patternFill>
          <bgColor theme="0" tint="-0.0499893185216834"/>
        </patternFill>
      </fill>
    </dxf>
    <dxf>
      <fill>
        <patternFill>
          <bgColor theme="0" tint="-0.0499893185216834"/>
        </patternFill>
      </fill>
    </dxf>
    <dxf>
      <fill>
        <patternFill>
          <bgColor theme="0" tint="-0.0499893185216834"/>
        </patternFill>
      </fill>
    </dxf>
    <dxf>
      <fill>
        <patternFill>
          <bgColor theme="0" tint="-0.0499893185216834"/>
        </patternFill>
      </fill>
    </dxf>
    <dxf>
      <fill>
        <patternFill>
          <bgColor theme="0" tint="-0.0499893185216834"/>
        </patternFill>
      </fill>
    </dxf>
    <dxf>
      <fill>
        <patternFill>
          <bgColor theme="0" tint="-0.0499893185216834"/>
        </patternFill>
      </fill>
    </dxf>
    <dxf>
      <fill>
        <patternFill>
          <bgColor theme="0" tint="-0.0499893185216834"/>
        </patternFill>
      </fill>
    </dxf>
    <dxf>
      <fill>
        <patternFill>
          <bgColor theme="0" tint="-0.0499893185216834"/>
        </patternFill>
      </fill>
    </dxf>
    <dxf>
      <fill>
        <patternFill>
          <bgColor theme="0" tint="-0.0499893185216834"/>
        </patternFill>
      </fill>
    </dxf>
    <dxf>
      <fill>
        <patternFill>
          <bgColor theme="0" tint="-0.0499893185216834"/>
        </patternFill>
      </fill>
    </dxf>
    <dxf>
      <fill>
        <patternFill>
          <bgColor theme="0" tint="-0.0499893185216834"/>
        </patternFill>
      </fill>
    </dxf>
    <dxf>
      <font>
        <b val="1"/>
      </font>
    </dxf>
    <dxf>
      <font>
        <b val="1"/>
      </font>
    </dxf>
    <dxf>
      <font>
        <b val="1"/>
      </font>
    </dxf>
    <dxf>
      <font>
        <b val="1"/>
      </font>
    </dxf>
    <dxf>
      <font>
        <b val="1"/>
      </font>
    </dxf>
    <dxf>
      <font>
        <b val="1"/>
      </font>
    </dxf>
    <dxf>
      <font>
        <b val="1"/>
      </font>
    </dxf>
    <dxf>
      <font>
        <b val="1"/>
      </font>
    </dxf>
    <dxf>
      <font>
        <b val="1"/>
      </font>
    </dxf>
    <dxf>
      <font>
        <b val="1"/>
      </font>
    </dxf>
    <dxf>
      <font>
        <b val="1"/>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val="1"/>
      </font>
      <numFmt numFmtId="169" formatCode="_([$AED]\ * #,##0_);_([$AED]\ * \(#,##0\);_([$AED]\ * &quot;-&quot;_);_(@_)"/>
    </dxf>
    <dxf>
      <font>
        <b val="1"/>
      </font>
    </dxf>
    <dxf>
      <numFmt numFmtId="169" formatCode="_([$AED]\ * #,##0_);_([$AED]\ * \(#,##0\);_([$AED]\ * &quot;-&quot;_);_(@_)"/>
    </dxf>
    <dxf>
      <font>
        <color theme="0"/>
      </font>
    </dxf>
    <dxf>
      <font>
        <color theme="0"/>
      </font>
    </dxf>
    <dxf>
      <fill>
        <patternFill patternType="solid">
          <bgColor theme="0" tint="-0.0499893185216834"/>
        </patternFill>
      </fill>
    </dxf>
    <dxf>
      <font>
        <color auto="1"/>
      </font>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166" formatCode="[$AED]\ #,##0"/>
    </dxf>
    <dxf>
      <numFmt numFmtId="166" formatCode="[$AED]\ #,##0"/>
    </dxf>
    <dxf>
      <font>
        <b val="1"/>
      </font>
    </dxf>
    <dxf>
      <numFmt numFmtId="166" formatCode="[$AED]\ #,##0"/>
    </dxf>
    <dxf>
      <numFmt numFmtId="166" formatCode="[$AED]\ #,##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0.0499893185216834"/>
        </patternFill>
      </fill>
    </dxf>
    <dxf>
      <fill>
        <patternFill>
          <bgColor theme="0" tint="-0.0499893185216834"/>
        </patternFill>
      </fill>
    </dxf>
    <dxf>
      <fill>
        <patternFill>
          <bgColor theme="0" tint="-0.0499893185216834"/>
        </patternFill>
      </fill>
    </dxf>
    <dxf>
      <fill>
        <patternFill>
          <bgColor theme="0" tint="-0.0499893185216834"/>
        </patternFill>
      </fill>
    </dxf>
    <dxf>
      <fill>
        <patternFill>
          <bgColor theme="0" tint="-0.0499893185216834"/>
        </patternFill>
      </fill>
    </dxf>
    <dxf>
      <fill>
        <patternFill>
          <bgColor theme="9" tint="-0.499984740745262"/>
        </patternFill>
      </fill>
    </dxf>
    <dxf>
      <fill>
        <patternFill>
          <bgColor theme="9" tint="-0.499984740745262"/>
        </patternFill>
      </fill>
    </dxf>
    <dxf>
      <font>
        <color auto="1"/>
      </font>
    </dxf>
    <dxf>
      <font>
        <b val="1"/>
      </font>
    </dxf>
    <dxf>
      <font>
        <color auto="1"/>
      </font>
    </dxf>
    <dxf>
      <font>
        <color auto="1"/>
      </font>
    </dxf>
    <dxf>
      <font>
        <b val="1"/>
      </font>
    </dxf>
    <dxf>
      <font>
        <b val="1"/>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b val="1"/>
      </font>
    </dxf>
    <dxf>
      <font>
        <color auto="1"/>
      </font>
    </dxf>
    <dxf>
      <font>
        <color auto="1"/>
      </font>
    </dxf>
    <dxf>
      <font>
        <color auto="1"/>
      </font>
    </dxf>
    <dxf>
      <font>
        <color auto="1"/>
      </font>
    </dxf>
    <dxf>
      <font>
        <color auto="1"/>
      </font>
    </dxf>
    <dxf>
      <font>
        <color auto="1"/>
      </font>
    </dxf>
    <dxf>
      <numFmt numFmtId="0" formatCode="General"/>
    </dxf>
    <dxf>
      <numFmt numFmtId="166" formatCode="[$AED]\ #,##0"/>
    </dxf>
    <dxf>
      <numFmt numFmtId="166" formatCode="[$AED]\ #,##0"/>
    </dxf>
    <dxf>
      <numFmt numFmtId="171" formatCode="&quot;$&quot;#,##0.00"/>
    </dxf>
    <dxf>
      <fill>
        <patternFill patternType="solid">
          <bgColor theme="0" tint="-0.0499893185216834"/>
        </patternFill>
      </fill>
    </dxf>
    <dxf>
      <font>
        <color auto="1"/>
      </font>
    </dxf>
    <dxf>
      <font>
        <color auto="1"/>
      </font>
    </dxf>
    <dxf>
      <font>
        <b val="1"/>
      </font>
    </dxf>
    <dxf>
      <font>
        <b val="1"/>
      </font>
    </dxf>
    <dxf>
      <font>
        <color auto="1"/>
      </font>
    </dxf>
    <dxf>
      <font>
        <b val="1"/>
      </font>
    </dxf>
    <dxf>
      <font>
        <b val="1"/>
      </font>
    </dxf>
    <dxf>
      <numFmt numFmtId="166" formatCode="[$AED]\ #,##0"/>
    </dxf>
    <dxf>
      <numFmt numFmtId="166" formatCode="[$AED]\ #,##0"/>
    </dxf>
    <dxf>
      <fill>
        <patternFill patternType="solid">
          <bgColor theme="0" tint="-0.0499893185216834"/>
        </patternFill>
      </fill>
    </dxf>
    <dxf>
      <fill>
        <patternFill patternType="solid">
          <bgColor theme="0" tint="-0.0499893185216834"/>
        </patternFill>
      </fill>
    </dxf>
    <dxf>
      <fill>
        <patternFill patternType="solid">
          <bgColor theme="0" tint="-0.0499893185216834"/>
        </patternFill>
      </fill>
    </dxf>
    <dxf>
      <fill>
        <patternFill patternType="solid">
          <bgColor theme="0" tint="-0.0499893185216834"/>
        </patternFill>
      </fill>
    </dxf>
    <dxf>
      <fill>
        <patternFill patternType="solid">
          <bgColor theme="0" tint="-0.0499893185216834"/>
        </patternFill>
      </fill>
    </dxf>
    <dxf>
      <fill>
        <patternFill patternType="solid">
          <bgColor theme="0" tint="-0.0499893185216834"/>
        </patternFill>
      </fill>
    </dxf>
    <dxf>
      <fill>
        <patternFill patternType="solid">
          <bgColor theme="0" tint="-0.0499893185216834"/>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font>
        <b val="1"/>
      </font>
    </dxf>
    <dxf>
      <font>
        <b val="1"/>
      </font>
    </dxf>
    <dxf>
      <font>
        <b val="1"/>
      </font>
    </dxf>
    <dxf>
      <font>
        <b val="1"/>
      </font>
    </dxf>
    <dxf>
      <font>
        <b val="1"/>
      </font>
    </dxf>
    <dxf>
      <font>
        <color theme="0"/>
      </font>
    </dxf>
    <dxf>
      <font>
        <color theme="0"/>
      </font>
    </dxf>
    <dxf>
      <fill>
        <patternFill patternType="solid">
          <bgColor theme="0" tint="-0.0499893185216834"/>
        </patternFill>
      </fill>
    </dxf>
    <dxf>
      <font>
        <color auto="1"/>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border>
        <left style="thin">
          <color indexed="64"/>
        </left>
        <right style="thin">
          <color indexed="64"/>
        </right>
        <top style="thin">
          <color indexed="64"/>
        </top>
        <bottom style="thin">
          <color indexed="64"/>
        </bottom>
      </border>
    </dxf>
    <dxf>
      <alignment horizontal="center" vertical="center" wrapText="1"/>
      <border outline="0">
        <left style="thin">
          <color indexed="64"/>
        </left>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dxf>
    <dxf>
      <border outline="0">
        <bottom style="thin">
          <color indexed="64"/>
        </bottom>
      </border>
    </dxf>
    <dxf>
      <alignment horizontal="center" vertical="bottom"/>
      <border outline="0">
        <left style="thin">
          <color indexed="64"/>
        </left>
        <right style="thin">
          <color indexed="64"/>
        </right>
        <top/>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sz val="14"/>
        <vertAlign val="baseline"/>
        <scheme val="minor"/>
      </font>
      <numFmt numFmtId="0" formatCode="General"/>
      <fill>
        <patternFill patternType="solid">
          <fgColor indexed="64"/>
          <bgColor theme="0" tint="-0.0499893185216834"/>
        </patternFill>
      </fill>
      <alignment horizontal="center" vertical="center"/>
      <protection locked="0" hidden="0"/>
    </dxf>
    <dxf>
      <font>
        <name val="Calibri"/>
        <family val="2"/>
        <strike val="0"/>
        <outline val="0"/>
        <shadow val="0"/>
        <sz val="14"/>
        <vertAlign val="baseline"/>
        <scheme val="minor"/>
      </font>
      <numFmt numFmtId="0" formatCode="General"/>
      <fill>
        <patternFill patternType="solid">
          <fgColor indexed="64"/>
          <bgColor theme="0" tint="-0.0499893185216834"/>
        </patternFill>
      </fill>
      <alignment horizontal="center" vertical="center"/>
      <protection locked="0" hidden="0"/>
    </dxf>
    <dxf>
      <font>
        <name val="Calibri"/>
        <family val="2"/>
        <strike val="0"/>
        <outline val="0"/>
        <shadow val="0"/>
        <sz val="14"/>
        <vertAlign val="baseline"/>
        <scheme val="minor"/>
      </font>
      <numFmt numFmtId="0" formatCode="General"/>
      <fill>
        <patternFill patternType="solid">
          <fgColor indexed="64"/>
          <bgColor theme="0" tint="-0.0499893185216834"/>
        </patternFill>
      </fill>
      <alignment horizontal="center" vertical="center"/>
      <protection locked="0" hidden="0"/>
    </dxf>
    <dxf>
      <font>
        <name val="Calibri"/>
        <family val="2"/>
        <strike val="0"/>
        <outline val="0"/>
        <shadow val="0"/>
        <sz val="14"/>
        <vertAlign val="baseline"/>
        <scheme val="minor"/>
      </font>
      <numFmt numFmtId="0" formatCode="General"/>
      <fill>
        <patternFill patternType="solid">
          <fgColor indexed="64"/>
          <bgColor theme="0" tint="-0.0499893185216834"/>
        </patternFill>
      </fill>
      <alignment horizontal="center" vertical="center"/>
      <protection locked="0" hidden="0"/>
    </dxf>
    <dxf>
      <font>
        <name val="Calibri"/>
        <family val="2"/>
        <strike val="0"/>
        <outline val="0"/>
        <shadow val="0"/>
        <sz val="14"/>
        <vertAlign val="baseline"/>
        <scheme val="minor"/>
      </font>
      <numFmt numFmtId="0" formatCode="General"/>
      <fill>
        <patternFill patternType="solid">
          <fgColor indexed="64"/>
          <bgColor theme="0" tint="-0.0499893185216834"/>
        </patternFill>
      </fill>
      <alignment horizontal="center" vertical="center"/>
      <border>
        <left style="thin">
          <color rgb="FF000000"/>
        </left>
        <right/>
        <top style="thin">
          <color rgb="FF000000"/>
        </top>
        <bottom style="thin">
          <color rgb="FF000000"/>
        </bottom>
      </border>
      <protection locked="0" hidden="0"/>
    </dxf>
    <dxf>
      <font>
        <name val="Calibri"/>
        <family val="2"/>
        <strike val="0"/>
        <outline val="0"/>
        <shadow val="0"/>
        <condense val="0"/>
        <color theme="1"/>
        <extend val="0"/>
        <sz val="14"/>
        <vertAlign val="baseline"/>
        <scheme val="minor"/>
      </font>
      <numFmt numFmtId="0" formatCode="General"/>
      <fill>
        <patternFill patternType="solid">
          <fgColor indexed="64"/>
          <bgColor theme="0" tint="-0.0499893185216834"/>
        </patternFill>
      </fill>
      <alignment horizontal="center" vertical="center"/>
      <border>
        <left style="thin">
          <color rgb="FF000000"/>
        </left>
        <right style="thin">
          <color rgb="FF000000"/>
        </right>
        <top/>
        <bottom style="thin">
          <color rgb="FF000000"/>
        </bottom>
      </border>
      <protection locked="0" hidden="0"/>
    </dxf>
    <dxf>
      <font>
        <name val="Calibri"/>
        <family val="2"/>
        <strike val="0"/>
        <outline val="0"/>
        <shadow val="0"/>
        <sz val="14"/>
        <vertAlign val="baseline"/>
        <scheme val="minor"/>
      </font>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condense val="0"/>
        <color theme="1"/>
        <extend val="0"/>
        <sz val="14"/>
        <vertAlign val="baseline"/>
        <scheme val="minor"/>
      </font>
      <fill>
        <patternFill patternType="solid">
          <fgColor indexed="64"/>
          <bgColor theme="0" tint="-0.0499893185216834"/>
        </patternFill>
      </fill>
      <alignment horizontal="center" vertical="center" wrapText="1"/>
      <border>
        <left style="thin">
          <color rgb="FF000000"/>
        </left>
        <right style="thin">
          <color rgb="FF000000"/>
        </right>
        <top style="thin">
          <color rgb="FF000000"/>
        </top>
        <bottom style="thin">
          <color rgb="FF000000"/>
        </bottom>
      </border>
      <protection locked="0" hidden="0"/>
    </dxf>
    <dxf>
      <font>
        <name val="Calibri"/>
        <family val="2"/>
        <strike val="0"/>
        <outline val="0"/>
        <shadow val="0"/>
        <sz val="14"/>
        <vertAlign val="baseline"/>
        <scheme val="minor"/>
      </font>
      <fill>
        <patternFill patternType="solid">
          <fgColor indexed="64"/>
          <bgColor theme="0" tint="-0.0499893185216834"/>
        </patternFill>
      </fill>
      <alignment horizontal="center" vertical="center" wrapText="1"/>
      <border>
        <left style="thin">
          <color rgb="FF000000"/>
        </left>
        <right style="thin">
          <color rgb="FF000000"/>
        </right>
        <top style="thin">
          <color rgb="FF000000"/>
        </top>
        <bottom style="thin">
          <color rgb="FF000000"/>
        </bottom>
      </border>
      <protection locked="0" hidden="0"/>
    </dxf>
    <dxf>
      <font>
        <name val="Calibri"/>
        <family val="2"/>
        <strike val="0"/>
        <outline val="0"/>
        <shadow val="0"/>
        <sz val="14"/>
        <vertAlign val="baseline"/>
        <scheme val="minor"/>
      </font>
      <numFmt numFmtId="0" formatCode="General"/>
      <fill>
        <patternFill patternType="solid">
          <fgColor indexed="64"/>
          <bgColor theme="0" tint="-0.0499893185216834"/>
        </patternFill>
      </fill>
      <alignment horizontal="center" vertical="center" wrapText="1"/>
      <border>
        <left style="thin">
          <color rgb="FF000000"/>
        </left>
        <right style="thin">
          <color rgb="FF000000"/>
        </right>
        <top style="thin">
          <color rgb="FF000000"/>
        </top>
        <bottom style="thin">
          <color rgb="FF000000"/>
        </bottom>
      </border>
      <protection locked="0" hidden="0"/>
    </dxf>
    <dxf>
      <font>
        <name val="Calibri"/>
        <family val="2"/>
        <strike val="0"/>
        <outline val="0"/>
        <shadow val="0"/>
        <sz val="14"/>
        <vertAlign val="baseline"/>
        <scheme val="minor"/>
      </font>
      <numFmt numFmtId="2" formatCode="0.00"/>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name val="Calibri"/>
        <family val="2"/>
        <b val="1"/>
        <strike val="0"/>
        <outline val="0"/>
        <shadow val="0"/>
        <condense val="0"/>
        <color theme="1"/>
        <extend val="0"/>
        <sz val="14"/>
        <vertAlign val="baseline"/>
        <scheme val="minor"/>
      </font>
      <numFmt numFmtId="30" formatCode="@"/>
      <fill>
        <patternFill patternType="solid">
          <fgColor indexed="64"/>
          <bgColor rgb="FFFFFF00"/>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sz val="14"/>
        <vertAlign val="baseline"/>
        <scheme val="minor"/>
      </font>
      <numFmt numFmtId="0" formatCode="General"/>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name val="Calibri"/>
        <family val="2"/>
        <strike val="0"/>
        <outline val="0"/>
        <shadow val="0"/>
        <sz val="14"/>
        <vertAlign val="baseline"/>
        <scheme val="minor"/>
      </font>
      <numFmt numFmtId="0" formatCode="General"/>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name val="Calibri"/>
        <family val="2"/>
        <strike val="0"/>
        <outline val="0"/>
        <shadow val="0"/>
        <sz val="14"/>
        <vertAlign val="baseline"/>
        <scheme val="minor"/>
      </font>
      <numFmt numFmtId="164" formatCode="d\-mmm\-yyyy"/>
      <fill>
        <patternFill patternType="solid">
          <fgColor indexed="64"/>
          <bgColor theme="0" tint="-0.0499893185216834"/>
        </patternFill>
      </fill>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name val="Calibri"/>
        <family val="2"/>
        <strike val="0"/>
        <outline val="0"/>
        <shadow val="0"/>
        <condense val="0"/>
        <color theme="1"/>
        <extend val="0"/>
        <sz val="14"/>
        <vertAlign val="baseline"/>
        <scheme val="minor"/>
      </font>
      <numFmt numFmtId="164" formatCode="d\-mmm\-yyyy"/>
      <fill>
        <patternFill patternType="solid">
          <fgColor indexed="64"/>
          <bgColor theme="0" tint="-0.0499893185216834"/>
        </patternFill>
      </fill>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name val="Calibri"/>
        <family val="2"/>
        <b val="1"/>
        <strike val="0"/>
        <outline val="0"/>
        <shadow val="0"/>
        <condense val="0"/>
        <color theme="3" tint="-0.249977111117893"/>
        <extend val="0"/>
        <sz val="14"/>
        <vertAlign val="baseline"/>
        <scheme val="minor"/>
      </font>
      <numFmt numFmtId="30" formatCode="@"/>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sz val="14"/>
        <vertAlign val="baseline"/>
        <scheme val="minor"/>
      </font>
      <numFmt numFmtId="0" formatCode="General"/>
      <alignment horizont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name val="Calibri"/>
        <family val="2"/>
        <strike val="0"/>
        <outline val="0"/>
        <shadow val="0"/>
        <condense val="0"/>
        <color theme="1"/>
        <extend val="0"/>
        <sz val="14"/>
        <vertAlign val="baseline"/>
        <scheme val="minor"/>
      </font>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vertical/>
        <horizontal/>
      </border>
      <protection locked="0" hidden="0"/>
    </dxf>
    <dxf>
      <font>
        <name val="Calibri"/>
        <family val="2"/>
        <strike val="0"/>
        <outline val="0"/>
        <shadow val="0"/>
        <sz val="14"/>
        <vertAlign val="baseline"/>
        <scheme val="minor"/>
      </font>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condense val="0"/>
        <color theme="10"/>
        <extend val="0"/>
        <sz val="14"/>
        <u val="single"/>
        <vertAlign val="baseline"/>
        <scheme val="minor"/>
      </font>
      <numFmt numFmtId="1" formatCode="0"/>
      <fill>
        <patternFill patternType="solid">
          <fgColor indexed="64"/>
          <bgColor theme="0" tint="-0.0499893185216834"/>
        </patternFill>
      </fill>
      <alignment horizontal="center" vertical="center" wrapText="1"/>
      <border>
        <left style="thin">
          <color rgb="FF000000"/>
        </left>
        <right style="thin">
          <color rgb="FF000000"/>
        </right>
        <top style="thin">
          <color rgb="FF000000"/>
        </top>
        <bottom style="thin">
          <color rgb="FF000000"/>
        </bottom>
        <vertical/>
        <horizontal/>
      </border>
      <protection locked="0" hidden="0"/>
    </dxf>
    <dxf>
      <font>
        <name val="Calibri"/>
        <family val="2"/>
        <strike val="0"/>
        <outline val="0"/>
        <shadow val="0"/>
        <sz val="14"/>
        <vertAlign val="baseline"/>
        <scheme val="minor"/>
      </font>
      <numFmt numFmtId="1" formatCode="0"/>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condense val="0"/>
        <color theme="10"/>
        <extend val="0"/>
        <sz val="14"/>
        <vertAlign val="baseline"/>
        <scheme val="minor"/>
      </font>
      <numFmt numFmtId="0" formatCode="General"/>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sz val="14"/>
        <vertAlign val="baseline"/>
        <scheme val="minor"/>
      </font>
      <numFmt numFmtId="4" formatCode="#,##0.00"/>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sz val="14"/>
        <vertAlign val="baseline"/>
        <scheme val="minor"/>
      </font>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b val="1"/>
        <strike val="0"/>
        <outline val="0"/>
        <shadow val="0"/>
        <sz val="14"/>
        <vertAlign val="baseline"/>
        <scheme val="minor"/>
      </font>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sz val="14"/>
        <vertAlign val="baseline"/>
        <scheme val="minor"/>
      </font>
      <fill>
        <patternFill patternType="solid">
          <fgColor indexed="64"/>
          <bgColor theme="0" tint="-0.0499893185216834"/>
        </patternFill>
      </fill>
      <alignment horizontal="center" vertical="center"/>
      <border>
        <left/>
        <right style="thin">
          <color rgb="FF000000"/>
        </right>
        <top style="thin">
          <color rgb="FF000000"/>
        </top>
        <bottom style="thin">
          <color rgb="FF000000"/>
        </bottom>
      </border>
      <protection locked="0" hidden="0"/>
    </dxf>
    <dxf>
      <font>
        <name val="Calibri"/>
        <family val="2"/>
        <b val="1"/>
        <strike val="0"/>
        <outline val="0"/>
        <shadow val="0"/>
        <sz val="14"/>
        <vertAlign val="baseline"/>
        <scheme val="minor"/>
      </font>
      <numFmt numFmtId="30" formatCode="@"/>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sz val="14"/>
        <vertAlign val="baseline"/>
        <scheme val="minor"/>
      </font>
      <numFmt numFmtId="164" formatCode="d\-mmm\-yyyy"/>
      <fill>
        <patternFill patternType="solid">
          <fgColor indexed="64"/>
          <bgColor rgb="FF92D050"/>
        </patternFill>
      </fill>
      <alignment horizontal="center" vertical="center" wrapText="1"/>
      <border>
        <left style="thin">
          <color rgb="FF000000"/>
        </left>
        <right/>
        <top style="thin">
          <color rgb="FF000000"/>
        </top>
        <bottom style="thin">
          <color rgb="FF000000"/>
        </bottom>
      </border>
      <protection locked="0" hidden="0"/>
    </dxf>
    <dxf>
      <font>
        <name val="Calibri"/>
        <family val="2"/>
        <strike val="0"/>
        <outline val="0"/>
        <shadow val="0"/>
        <condense val="0"/>
        <color theme="1"/>
        <extend val="0"/>
        <sz val="14"/>
        <vertAlign val="baseline"/>
        <scheme val="minor"/>
      </font>
      <numFmt numFmtId="0" formatCode="General"/>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sz val="14"/>
        <vertAlign val="baseline"/>
        <scheme val="minor"/>
      </font>
      <numFmt numFmtId="164" formatCode="d\-mmm\-yyyy"/>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sz val="14"/>
        <vertAlign val="baseline"/>
        <scheme val="minor"/>
      </font>
      <numFmt numFmtId="19" formatCode="m/d/yyyy"/>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sz val="14"/>
        <vertAlign val="baseline"/>
        <scheme val="minor"/>
      </font>
      <numFmt numFmtId="19" formatCode="m/d/yyyy"/>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condense val="0"/>
        <color theme="1"/>
        <extend val="0"/>
        <sz val="14"/>
        <vertAlign val="baseline"/>
        <scheme val="minor"/>
      </font>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border>
      <protection locked="0" hidden="0"/>
    </dxf>
    <dxf>
      <font>
        <name val="Calibri"/>
        <family val="2"/>
        <strike val="0"/>
        <outline val="0"/>
        <shadow val="0"/>
        <condense val="0"/>
        <color theme="1"/>
        <extend val="0"/>
        <sz val="14"/>
        <vertAlign val="baseline"/>
        <scheme val="minor"/>
      </font>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name val="Calibri"/>
        <family val="2"/>
        <strike val="0"/>
        <outline val="0"/>
        <shadow val="0"/>
        <condense val="0"/>
        <color theme="1"/>
        <extend val="0"/>
        <sz val="14"/>
        <vertAlign val="baseline"/>
        <scheme val="minor"/>
      </font>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name val="Calibri"/>
        <family val="2"/>
        <strike val="0"/>
        <outline val="0"/>
        <shadow val="0"/>
        <condense val="0"/>
        <color theme="1"/>
        <extend val="0"/>
        <sz val="14"/>
        <vertAlign val="baseline"/>
        <scheme val="minor"/>
      </font>
      <numFmt numFmtId="0" formatCode="General"/>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name val="Calibri"/>
        <family val="2"/>
        <b val="1"/>
        <strike val="0"/>
        <outline val="0"/>
        <shadow val="0"/>
        <condense val="0"/>
        <color theme="1"/>
        <extend val="0"/>
        <sz val="14"/>
        <vertAlign val="baseline"/>
        <scheme val="minor"/>
      </font>
      <fill>
        <patternFill patternType="solid">
          <fgColor indexed="64"/>
          <bgColor theme="0" tint="-0.0499893185216834"/>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border>
        <left style="thin">
          <color auto="1"/>
        </left>
        <right style="thin">
          <color auto="1"/>
        </right>
        <top style="thin">
          <color indexed="64"/>
        </top>
        <bottom/>
      </border>
    </dxf>
    <dxf>
      <font>
        <name val="Calibri"/>
        <family val="2"/>
        <strike val="0"/>
        <outline val="0"/>
        <shadow val="0"/>
        <sz val="14"/>
        <vertAlign val="baseline"/>
        <scheme val="minor"/>
      </font>
      <fill>
        <patternFill patternType="solid">
          <fgColor indexed="64"/>
          <bgColor theme="0" tint="-0.0499893185216834"/>
        </patternFill>
      </fill>
      <alignment horizontal="center" vertical="center"/>
      <protection locked="0" hidden="0"/>
    </dxf>
    <dxf>
      <font>
        <name val="Century Gothic"/>
        <family val="2"/>
        <b val="1"/>
        <strike val="0"/>
        <outline val="0"/>
        <shadow val="0"/>
        <condense val="0"/>
        <color theme="0"/>
        <extend val="0"/>
        <sz val="12"/>
        <vertAlign val="baseline"/>
      </font>
      <fill>
        <patternFill patternType="solid">
          <fgColor indexed="64"/>
          <bgColor theme="8" tint="0.3999755851924192"/>
        </patternFill>
      </fill>
      <alignment horizontal="center" vertical="center"/>
      <border>
        <left style="thin">
          <color auto="1"/>
        </left>
        <right style="thin">
          <color auto="1"/>
        </right>
        <top/>
        <bottom/>
      </border>
      <protection locked="1" hidden="1"/>
    </dxf>
    <dxf>
      <font>
        <b val="1"/>
      </font>
      <fill>
        <patternFill patternType="darkDown">
          <fgColor rgb="FF6EA92D"/>
          <bgColor rgb="FF92D050"/>
        </patternFill>
      </fill>
    </dxf>
    <dxf>
      <font>
        <b val="1"/>
      </font>
      <fill>
        <patternFill patternType="darkDown">
          <fgColor rgb="FF6EA92D"/>
          <bgColor rgb="FF92D050"/>
        </patternFill>
      </fill>
    </dxf>
    <dxf>
      <font>
        <b val="1"/>
      </font>
      <fill>
        <patternFill patternType="solid">
          <bgColor theme="0" tint="-0.1499984740745262"/>
        </patternFill>
      </fill>
    </dxf>
    <dxf>
      <font>
        <b val="1"/>
      </font>
      <fill>
        <patternFill patternType="darkDown">
          <fgColor rgb="FF6EA92D"/>
          <bgColor rgb="FF92D050"/>
        </patternFill>
      </fill>
    </dxf>
    <dxf>
      <fill>
        <patternFill>
          <bgColor theme="9" tint="0.3999450666829432"/>
        </patternFill>
      </fill>
    </dxf>
    <dxf>
      <fill>
        <patternFill>
          <bgColor theme="6" tint="0.3999450666829432"/>
        </patternFill>
      </fill>
    </dxf>
    <dxf>
      <font>
        <b val="1"/>
        <strike val="1"/>
      </font>
      <fill>
        <patternFill>
          <bgColor theme="0" tint="-0.249946592608417"/>
        </patternFill>
      </fill>
    </dxf>
    <dxf>
      <fill>
        <patternFill>
          <bgColor theme="9" tint="0.3999450666829432"/>
        </patternFill>
      </fill>
    </dxf>
    <dxf>
      <fill>
        <patternFill>
          <bgColor theme="6" tint="0.3999450666829432"/>
        </patternFill>
      </fill>
    </dxf>
    <dxf>
      <font>
        <b val="1"/>
        <strike val="1"/>
      </font>
      <fill>
        <patternFill>
          <bgColor theme="0" tint="-0.249946592608417"/>
        </patternFill>
      </fill>
    </dxf>
    <dxf>
      <fill>
        <patternFill>
          <bgColor theme="9" tint="0.3999450666829432"/>
        </patternFill>
      </fill>
    </dxf>
    <dxf>
      <fill>
        <patternFill>
          <bgColor theme="6" tint="0.3999450666829432"/>
        </patternFill>
      </fill>
    </dxf>
    <dxf>
      <font>
        <strike val="1"/>
      </font>
      <fill>
        <patternFill>
          <bgColor theme="0" tint="-0.249946592608417"/>
        </patternFill>
      </fill>
    </dxf>
    <dxf>
      <font>
        <b val="1"/>
        <strike val="1"/>
        <color rgb="FF00B050"/>
      </font>
      <fill>
        <patternFill>
          <bgColor theme="0"/>
        </patternFill>
      </fill>
    </dxf>
    <dxf>
      <font>
        <color theme="1"/>
      </font>
      <fill>
        <patternFill>
          <bgColor theme="2" tint="-0.249946592608417"/>
        </patternFill>
      </fill>
    </dxf>
    <dxf>
      <fill>
        <patternFill>
          <bgColor theme="9" tint="0.3999450666829432"/>
        </patternFill>
      </fill>
    </dxf>
    <dxf>
      <fill>
        <patternFill>
          <bgColor theme="6" tint="0.3999450666829432"/>
        </patternFill>
      </fill>
    </dxf>
    <dxf>
      <font>
        <b val="1"/>
        <strike val="1"/>
      </font>
      <fill>
        <patternFill>
          <bgColor theme="0" tint="-0.249946592608417"/>
        </patternFill>
      </fill>
    </dxf>
    <dxf>
      <font>
        <b val="1"/>
      </font>
      <fill>
        <patternFill patternType="darkDown">
          <fgColor rgb="FF6EA92D"/>
          <bgColor rgb="FF92D050"/>
        </patternFill>
      </fill>
    </dxf>
    <dxf>
      <numFmt numFmtId="166" formatCode="[$AED]\ #,##0"/>
    </dxf>
    <dxf>
      <numFmt numFmtId="166" formatCode="[$AED]\ #,##0"/>
    </dxf>
    <dxf>
      <numFmt numFmtId="166" formatCode="[$AED]\ #,##0"/>
    </dxf>
    <dxf>
      <numFmt numFmtId="166" formatCode="[$AED]\ #,##0"/>
    </dxf>
    <dxf>
      <fill>
        <patternFill patternType="solid">
          <bgColor theme="0" tint="-0.0499893185216834"/>
        </patternFill>
      </fill>
    </dxf>
    <dxf>
      <font>
        <color auto="1"/>
      </font>
    </dxf>
    <dxf>
      <font>
        <color auto="1"/>
      </font>
    </dxf>
    <dxf>
      <font>
        <b val="1"/>
      </font>
    </dxf>
    <dxf>
      <font>
        <b val="1"/>
      </font>
    </dxf>
    <dxf>
      <font>
        <color auto="1"/>
      </font>
    </dxf>
    <dxf>
      <font>
        <b val="1"/>
      </font>
    </dxf>
    <dxf>
      <font>
        <b val="1"/>
      </font>
    </dxf>
    <dxf>
      <numFmt numFmtId="166" formatCode="[$AED]\ #,##0"/>
    </dxf>
    <dxf>
      <numFmt numFmtId="166" formatCode="[$AED]\ #,##0"/>
    </dxf>
    <dxf>
      <fill>
        <patternFill patternType="solid">
          <bgColor theme="0" tint="-0.0499893185216834"/>
        </patternFill>
      </fill>
    </dxf>
    <dxf>
      <fill>
        <patternFill patternType="solid">
          <bgColor theme="0" tint="-0.0499893185216834"/>
        </patternFill>
      </fill>
    </dxf>
    <dxf>
      <fill>
        <patternFill patternType="solid">
          <bgColor theme="0" tint="-0.0499893185216834"/>
        </patternFill>
      </fill>
    </dxf>
    <dxf>
      <fill>
        <patternFill patternType="solid">
          <bgColor theme="0" tint="-0.0499893185216834"/>
        </patternFill>
      </fill>
    </dxf>
    <dxf>
      <fill>
        <patternFill patternType="solid">
          <bgColor theme="0" tint="-0.0499893185216834"/>
        </patternFill>
      </fill>
    </dxf>
    <dxf>
      <fill>
        <patternFill patternType="solid">
          <bgColor theme="0" tint="-0.0499893185216834"/>
        </patternFill>
      </fill>
    </dxf>
    <dxf>
      <fill>
        <patternFill patternType="solid">
          <bgColor theme="0" tint="-0.0499893185216834"/>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pivotCacheDefinition" Target="/xl/pivotCache/pivotCacheDefinition1.xml" Id="rId26"/><Relationship Type="http://schemas.openxmlformats.org/officeDocument/2006/relationships/pivotCacheDefinition" Target="/xl/pivotCache/pivotCacheDefinition2.xml" Id="rId27"/><Relationship Type="http://schemas.openxmlformats.org/officeDocument/2006/relationships/externalLink" Target="/xl/externalLinks/externalLink1.xml" Id="rId28"/><Relationship Type="http://schemas.openxmlformats.org/officeDocument/2006/relationships/styles" Target="styles.xml" Id="rId29"/><Relationship Type="http://schemas.openxmlformats.org/officeDocument/2006/relationships/theme" Target="theme/theme1.xml" Id="rId30"/><Relationship Type="http://schemas.microsoft.com/office/2006/relationships/vbaProject" Target="vbaProject.bin" Id="rId3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en-US"/>
              <a:t>Client Priority Distribution</a:t>
            </a:r>
          </a:p>
        </rich>
      </tx>
      <overlay val="1"/>
    </title>
    <plotArea>
      <layout/>
      <pieChart>
        <varyColors val="1"/>
        <ser>
          <idx val="0"/>
          <order val="0"/>
          <tx>
            <strRef>
              <f>'Executive Dashboard'!$B$11</f>
              <strCache>
                <ptCount val="1"/>
                <pt idx="0">
                  <v>Count</v>
                </pt>
              </strCache>
            </strRef>
          </tx>
          <spPr>
            <a:ln xmlns:a="http://schemas.openxmlformats.org/drawingml/2006/main">
              <a:prstDash val="solid"/>
            </a:ln>
          </spPr>
          <dLbls>
            <spPr>
              <a:noFill xmlns:a="http://schemas.openxmlformats.org/drawingml/2006/main"/>
              <a:ln xmlns:a="http://schemas.openxmlformats.org/drawingml/2006/main">
                <a:noFill/>
                <a:prstDash val="solid"/>
              </a:ln>
            </spPr>
            <showLegendKey val="1"/>
            <showVal val="1"/>
            <showCatName val="1"/>
            <showSerName val="1"/>
            <showPercent val="1"/>
            <showBubbleSize val="1"/>
            <showLeaderLines val="1"/>
          </dLbls>
          <cat>
            <strRef>
              <f>'Executive Dashboard'!$A$12:$A$14</f>
              <strCache>
                <ptCount val="3"/>
                <pt idx="0">
                  <v>High (80+)</v>
                </pt>
                <pt idx="1">
                  <v>Medium (60-79)</v>
                </pt>
                <pt idx="2">
                  <v>Low (&lt;60)</v>
                </pt>
              </strCache>
            </strRef>
          </cat>
          <val>
            <numRef>
              <f>'Executive Dashboard'!$B$12:$B$14</f>
              <numCache>
                <formatCode>General</formatCode>
                <ptCount val="3"/>
                <pt idx="0">
                  <v>21</v>
                </pt>
                <pt idx="1">
                  <v>196</v>
                </pt>
                <pt idx="2">
                  <v>38</v>
                </pt>
              </numCache>
            </numRef>
          </val>
        </ser>
        <dLbls>
          <showLegendKey val="1"/>
          <showVal val="1"/>
          <showCatName val="1"/>
          <showSerName val="1"/>
          <showPercent val="1"/>
          <showBubbleSize val="1"/>
          <showLeaderLines val="1"/>
        </dLbls>
        <firstSliceAng val="0"/>
      </pieChart>
    </plotArea>
    <legend>
      <legendPos val="r"/>
      <overlay val="1"/>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en-US"/>
              <a:t>Requests by Collection</a:t>
            </a:r>
          </a:p>
        </rich>
      </tx>
      <overlay val="1"/>
    </title>
    <plotArea>
      <layout/>
      <barChart>
        <barDir val="col"/>
        <grouping val="clustered"/>
        <varyColors val="1"/>
        <ser>
          <idx val="0"/>
          <order val="0"/>
          <tx>
            <strRef>
              <f>'Executive Dashboard'!$B$21</f>
              <strCache>
                <ptCount val="1"/>
                <pt idx="0">
                  <v>Requests</v>
                </pt>
              </strCache>
            </strRef>
          </tx>
          <spPr>
            <a:ln xmlns:a="http://schemas.openxmlformats.org/drawingml/2006/main">
              <a:prstDash val="solid"/>
            </a:ln>
          </spPr>
          <invertIfNegative val="1"/>
          <cat>
            <strRef>
              <f>'Executive Dashboard'!$A$22:$A$25</f>
              <strCache>
                <ptCount val="4"/>
                <pt idx="0">
                  <v>Patrimony</v>
                </pt>
                <pt idx="1">
                  <v>Other</v>
                </pt>
                <pt idx="2">
                  <v>Overseas</v>
                </pt>
                <pt idx="3">
                  <v>Traditionnelle</v>
                </pt>
              </strCache>
            </strRef>
          </cat>
          <val>
            <numRef>
              <f>'Executive Dashboard'!$B$22:$B$25</f>
              <numCache>
                <formatCode>General</formatCode>
                <ptCount val="4"/>
                <pt idx="0">
                  <v>104</v>
                </pt>
                <pt idx="1">
                  <v>81</v>
                </pt>
                <pt idx="2">
                  <v>69</v>
                </pt>
                <pt idx="3">
                  <v>1</v>
                </pt>
              </numCache>
            </numRef>
          </val>
        </ser>
        <dLbls>
          <showLegendKey val="0"/>
          <showVal val="0"/>
          <showCatName val="0"/>
          <showSerName val="0"/>
          <showPercent val="0"/>
          <showBubbleSize val="0"/>
        </dLbls>
        <gapWidth val="150"/>
        <axId val="10"/>
        <axId val="100"/>
      </barChart>
      <catAx>
        <axId val="10"/>
        <scaling>
          <orientation val="minMax"/>
        </scaling>
        <delete val="1"/>
        <axPos val="b"/>
        <numFmt formatCode="General" sourceLinked="1"/>
        <majorTickMark val="none"/>
        <minorTickMark val="none"/>
        <tickLblPos val="nextTo"/>
        <crossAx val="100"/>
        <crosses val="autoZero"/>
        <auto val="1"/>
        <lblAlgn val="ctr"/>
        <lblOffset val="100"/>
        <noMultiLvlLbl val="1"/>
      </catAx>
      <valAx>
        <axId val="100"/>
        <scaling>
          <orientation val="minMax"/>
        </scaling>
        <delete val="1"/>
        <axPos val="l"/>
        <majorGridlines/>
        <numFmt formatCode="General" sourceLinked="1"/>
        <majorTickMark val="none"/>
        <minorTickMark val="none"/>
        <tickLblPos val="nextTo"/>
        <crossAx val="10"/>
        <crosses val="autoZero"/>
        <crossBetween val="between"/>
      </valAx>
    </plotArea>
    <legend>
      <legendPos val="r"/>
      <overlay val="0"/>
    </legend>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en-US"/>
              <a:t>Request Trend (Weekly)</a:t>
            </a:r>
          </a:p>
        </rich>
      </tx>
      <overlay val="1"/>
    </title>
    <plotArea>
      <layout/>
      <lineChart>
        <grouping val="standard"/>
        <varyColors val="1"/>
        <ser>
          <idx val="0"/>
          <order val="0"/>
          <tx>
            <strRef>
              <f>'Executive Dashboard'!$I$11</f>
              <strCache>
                <ptCount val="1"/>
                <pt idx="0">
                  <v>Requests</v>
                </pt>
              </strCache>
            </strRef>
          </tx>
          <spPr>
            <a:ln xmlns:a="http://schemas.openxmlformats.org/drawingml/2006/main">
              <a:prstDash val="solid"/>
            </a:ln>
          </spPr>
          <marker>
            <symbol val="none"/>
            <spPr>
              <a:ln xmlns:a="http://schemas.openxmlformats.org/drawingml/2006/main">
                <a:prstDash val="solid"/>
              </a:ln>
            </spPr>
          </marker>
          <cat>
            <strRef>
              <f>'Executive Dashboard'!$H$12:$H$74</f>
              <strCache>
                <ptCount val="63"/>
                <pt idx="0">
                  <v>2023-08-07</v>
                </pt>
                <pt idx="1">
                  <v>2023-10-16</v>
                </pt>
                <pt idx="2">
                  <v>2023-10-23</v>
                </pt>
                <pt idx="3">
                  <v>2023-11-13</v>
                </pt>
                <pt idx="4">
                  <v>2023-11-20</v>
                </pt>
                <pt idx="5">
                  <v>2023-12-11</v>
                </pt>
                <pt idx="6">
                  <v>2024-01-01</v>
                </pt>
                <pt idx="7">
                  <v>2024-01-15</v>
                </pt>
                <pt idx="8">
                  <v>2024-02-05</v>
                </pt>
                <pt idx="9">
                  <v>2024-02-12</v>
                </pt>
                <pt idx="10">
                  <v>2024-02-19</v>
                </pt>
                <pt idx="11">
                  <v>2024-04-08</v>
                </pt>
                <pt idx="12">
                  <v>2024-05-06</v>
                </pt>
                <pt idx="13">
                  <v>2024-07-01</v>
                </pt>
                <pt idx="14">
                  <v>2024-07-08</v>
                </pt>
                <pt idx="15">
                  <v>2024-07-15</v>
                </pt>
                <pt idx="16">
                  <v>2024-07-22</v>
                </pt>
                <pt idx="17">
                  <v>2024-08-05</v>
                </pt>
                <pt idx="18">
                  <v>2024-08-12</v>
                </pt>
                <pt idx="19">
                  <v>2024-08-19</v>
                </pt>
                <pt idx="20">
                  <v>2024-08-26</v>
                </pt>
                <pt idx="21">
                  <v>2024-09-09</v>
                </pt>
                <pt idx="22">
                  <v>2024-09-16</v>
                </pt>
                <pt idx="23">
                  <v>2024-09-23</v>
                </pt>
                <pt idx="24">
                  <v>2024-10-07</v>
                </pt>
                <pt idx="25">
                  <v>2024-10-14</v>
                </pt>
                <pt idx="26">
                  <v>2024-10-21</v>
                </pt>
                <pt idx="27">
                  <v>2024-10-28</v>
                </pt>
                <pt idx="28">
                  <v>2024-11-11</v>
                </pt>
                <pt idx="29">
                  <v>2024-11-18</v>
                </pt>
                <pt idx="30">
                  <v>2024-12-16</v>
                </pt>
                <pt idx="31">
                  <v>2024-12-23</v>
                </pt>
                <pt idx="32">
                  <v>2024-12-30</v>
                </pt>
                <pt idx="33">
                  <v>2025-01-06</v>
                </pt>
                <pt idx="34">
                  <v>2025-01-13</v>
                </pt>
                <pt idx="35">
                  <v>2025-01-20</v>
                </pt>
                <pt idx="36">
                  <v>2025-01-27</v>
                </pt>
                <pt idx="37">
                  <v>2025-02-03</v>
                </pt>
                <pt idx="38">
                  <v>2025-02-10</v>
                </pt>
                <pt idx="39">
                  <v>2025-02-17</v>
                </pt>
                <pt idx="40">
                  <v>2025-02-24</v>
                </pt>
                <pt idx="41">
                  <v>2025-03-03</v>
                </pt>
                <pt idx="42">
                  <v>2025-03-10</v>
                </pt>
                <pt idx="43">
                  <v>2025-03-24</v>
                </pt>
                <pt idx="44">
                  <v>2025-03-31</v>
                </pt>
                <pt idx="45">
                  <v>2025-04-07</v>
                </pt>
                <pt idx="46">
                  <v>2025-04-14</v>
                </pt>
                <pt idx="47">
                  <v>2025-04-21</v>
                </pt>
                <pt idx="48">
                  <v>2025-04-28</v>
                </pt>
                <pt idx="49">
                  <v>2025-05-12</v>
                </pt>
                <pt idx="50">
                  <v>2025-05-19</v>
                </pt>
                <pt idx="51">
                  <v>2025-05-26</v>
                </pt>
                <pt idx="52">
                  <v>2025-06-02</v>
                </pt>
                <pt idx="53">
                  <v>2025-06-16</v>
                </pt>
                <pt idx="54">
                  <v>2025-06-23</v>
                </pt>
                <pt idx="55">
                  <v>2025-06-30</v>
                </pt>
                <pt idx="56">
                  <v>2025-07-14</v>
                </pt>
                <pt idx="57">
                  <v>2025-07-28</v>
                </pt>
                <pt idx="58">
                  <v>2025-08-04</v>
                </pt>
                <pt idx="59">
                  <v>2025-09-29</v>
                </pt>
                <pt idx="60">
                  <v>2025-10-27</v>
                </pt>
                <pt idx="61">
                  <v>2025-11-03</v>
                </pt>
                <pt idx="62">
                  <v>2025-12-01</v>
                </pt>
              </strCache>
            </strRef>
          </cat>
          <val>
            <numRef>
              <f>'Executive Dashboard'!$I$12:$I$74</f>
              <numCache>
                <formatCode>General</formatCode>
                <ptCount val="63"/>
                <pt idx="0">
                  <v>1</v>
                </pt>
                <pt idx="1">
                  <v>1</v>
                </pt>
                <pt idx="2">
                  <v>1</v>
                </pt>
                <pt idx="3">
                  <v>1</v>
                </pt>
                <pt idx="4">
                  <v>1</v>
                </pt>
                <pt idx="5">
                  <v>1</v>
                </pt>
                <pt idx="6">
                  <v>1</v>
                </pt>
                <pt idx="7">
                  <v>1</v>
                </pt>
                <pt idx="8">
                  <v>3</v>
                </pt>
                <pt idx="9">
                  <v>1</v>
                </pt>
                <pt idx="10">
                  <v>1</v>
                </pt>
                <pt idx="11">
                  <v>3</v>
                </pt>
                <pt idx="12">
                  <v>5</v>
                </pt>
                <pt idx="13">
                  <v>1</v>
                </pt>
                <pt idx="14">
                  <v>1</v>
                </pt>
                <pt idx="15">
                  <v>4</v>
                </pt>
                <pt idx="16">
                  <v>4</v>
                </pt>
                <pt idx="17">
                  <v>2</v>
                </pt>
                <pt idx="18">
                  <v>2</v>
                </pt>
                <pt idx="19">
                  <v>2</v>
                </pt>
                <pt idx="20">
                  <v>0</v>
                </pt>
                <pt idx="21">
                  <v>0</v>
                </pt>
                <pt idx="22">
                  <v>1</v>
                </pt>
                <pt idx="23">
                  <v>2</v>
                </pt>
                <pt idx="24">
                  <v>10</v>
                </pt>
                <pt idx="25">
                  <v>5</v>
                </pt>
                <pt idx="26">
                  <v>1</v>
                </pt>
                <pt idx="27">
                  <v>3</v>
                </pt>
                <pt idx="28">
                  <v>4</v>
                </pt>
                <pt idx="29">
                  <v>3</v>
                </pt>
                <pt idx="30">
                  <v>4</v>
                </pt>
                <pt idx="31">
                  <v>1</v>
                </pt>
                <pt idx="32">
                  <v>15</v>
                </pt>
                <pt idx="33">
                  <v>10</v>
                </pt>
                <pt idx="34">
                  <v>46</v>
                </pt>
                <pt idx="35">
                  <v>7</v>
                </pt>
                <pt idx="36">
                  <v>9</v>
                </pt>
                <pt idx="37">
                  <v>1</v>
                </pt>
                <pt idx="38">
                  <v>2</v>
                </pt>
                <pt idx="39">
                  <v>3</v>
                </pt>
                <pt idx="40">
                  <v>13</v>
                </pt>
                <pt idx="41">
                  <v>4</v>
                </pt>
                <pt idx="42">
                  <v>2</v>
                </pt>
                <pt idx="43">
                  <v>10</v>
                </pt>
                <pt idx="44">
                  <v>4</v>
                </pt>
                <pt idx="45">
                  <v>1</v>
                </pt>
                <pt idx="46">
                  <v>7</v>
                </pt>
                <pt idx="47">
                  <v>2</v>
                </pt>
                <pt idx="48">
                  <v>6</v>
                </pt>
                <pt idx="49">
                  <v>4</v>
                </pt>
                <pt idx="50">
                  <v>4</v>
                </pt>
                <pt idx="51">
                  <v>1</v>
                </pt>
                <pt idx="52">
                  <v>2</v>
                </pt>
                <pt idx="53">
                  <v>3</v>
                </pt>
                <pt idx="54">
                  <v>3</v>
                </pt>
                <pt idx="55">
                  <v>3</v>
                </pt>
                <pt idx="56">
                  <v>5</v>
                </pt>
                <pt idx="57">
                  <v>3</v>
                </pt>
                <pt idx="58">
                  <v>3</v>
                </pt>
                <pt idx="59">
                  <v>1</v>
                </pt>
                <pt idx="60">
                  <v>1</v>
                </pt>
                <pt idx="61">
                  <v>1</v>
                </pt>
                <pt idx="62">
                  <v>4</v>
                </pt>
              </numCache>
            </numRef>
          </val>
          <smooth val="1"/>
        </ser>
        <dLbls>
          <showLegendKey val="0"/>
          <showVal val="0"/>
          <showCatName val="0"/>
          <showSerName val="0"/>
          <showPercent val="0"/>
          <showBubbleSize val="0"/>
        </dLbls>
        <smooth val="0"/>
        <axId val="10"/>
        <axId val="100"/>
      </lineChart>
      <catAx>
        <axId val="10"/>
        <scaling>
          <orientation val="minMax"/>
        </scaling>
        <delete val="1"/>
        <axPos val="b"/>
        <numFmt formatCode="General" sourceLinked="1"/>
        <majorTickMark val="none"/>
        <minorTickMark val="none"/>
        <tickLblPos val="nextTo"/>
        <crossAx val="100"/>
        <crosses val="autoZero"/>
        <auto val="1"/>
        <lblAlgn val="ctr"/>
        <lblOffset val="100"/>
        <noMultiLvlLbl val="1"/>
      </catAx>
      <valAx>
        <axId val="100"/>
        <scaling>
          <orientation val="minMax"/>
        </scaling>
        <delete val="1"/>
        <axPos val="l"/>
        <majorGridlines/>
        <numFmt formatCode="General" sourceLinked="1"/>
        <majorTickMark val="none"/>
        <minorTickMark val="none"/>
        <tickLblPos val="nextTo"/>
        <crossAx val="10"/>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3</col>
      <colOff>0</colOff>
      <row>9</row>
      <rowOff>0</rowOff>
    </from>
    <ext cx="3600000" cy="252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3</col>
      <colOff>0</colOff>
      <row>19</row>
      <rowOff>0</rowOff>
    </from>
    <ext cx="4320000" cy="288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7</col>
      <colOff>0</colOff>
      <row>19</row>
      <rowOff>0</rowOff>
    </from>
    <ext cx="3600000" cy="25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wsDr>
</file>

<file path=xl/externalLinks/_rels/externalLink1.xml.rels><Relationships xmlns="http://schemas.openxmlformats.org/package/2006/relationships"><Relationship Type="http://schemas.openxmlformats.org/officeDocument/2006/relationships/externalLinkPath" Target="https://d.docs.live.net/F34AE7BC9827571B/Documents/exported-data%20(52).xlsm" TargetMode="External" Id="rId2"/></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3"/>
      <sheetName val="Sheet2"/>
      <sheetName val="Collection"/>
    </sheetNames>
    <sheetDataSet>
      <sheetData sheetId="0" refreshError="1"/>
      <sheetData sheetId="1" refreshError="1"/>
      <sheetData sheetId="2" refreshError="1"/>
      <sheetData sheetId="3">
        <row r="1">
          <cell r="B1" t="str">
            <v xml:space="preserve">Timepiece Reference </v>
          </cell>
          <cell r="C1" t="str">
            <v xml:space="preserve">Collection name </v>
          </cell>
          <cell r="D1" t="str">
            <v>Price</v>
          </cell>
        </row>
        <row r="2">
          <cell r="B2" t="str">
            <v>4017C/000G-130C</v>
          </cell>
          <cell r="C2" t="str">
            <v>Regulator perpetual calendar - Jewellery</v>
          </cell>
          <cell r="D2" t="str">
            <v>6,000,000 AED</v>
          </cell>
        </row>
        <row r="3">
          <cell r="B3" t="str">
            <v>2400C/000G-160C</v>
          </cell>
          <cell r="C3" t="str">
            <v>Miniature - Ode to Izanagi</v>
          </cell>
          <cell r="D3" t="str">
            <v>6,000,000 AED</v>
          </cell>
        </row>
        <row r="4">
          <cell r="B4" t="str">
            <v>9890C/000R-202C</v>
          </cell>
          <cell r="C4" t="str">
            <v>Armillary tourbillon - Ode to Chronos</v>
          </cell>
          <cell r="D4" t="str">
            <v>6,000,000 AED</v>
          </cell>
        </row>
        <row r="5">
          <cell r="B5" t="str">
            <v>9720C/000R-212C</v>
          </cell>
          <cell r="C5" t="str">
            <v>Celestia astronomical grand complication</v>
          </cell>
          <cell r="D5" t="str">
            <v>6,000,000 AED</v>
          </cell>
        </row>
        <row r="6">
          <cell r="D6" t="str">
            <v>6,000,000 AED</v>
          </cell>
        </row>
        <row r="7">
          <cell r="B7" t="str">
            <v>80172/000R-246C</v>
          </cell>
          <cell r="C7" t="str">
            <v>Minute repeater perpetual calendar - Ornamental</v>
          </cell>
          <cell r="D7" t="str">
            <v>NA</v>
          </cell>
        </row>
        <row r="8">
          <cell r="B8" t="str">
            <v>82035/000P-H063</v>
          </cell>
          <cell r="C8" t="str">
            <v>Historiques American 1921 - Arabic</v>
          </cell>
          <cell r="D8" t="str">
            <v>192,000 AED</v>
          </cell>
        </row>
        <row r="9">
          <cell r="D9" t="str">
            <v>192,000 AED</v>
          </cell>
        </row>
        <row r="10">
          <cell r="B10" t="str">
            <v>4200H/222A-B934</v>
          </cell>
          <cell r="C10" t="str">
            <v>Historiques 222</v>
          </cell>
          <cell r="D10" t="str">
            <v>121,000 AED</v>
          </cell>
        </row>
        <row r="11">
          <cell r="D11" t="str">
            <v>121,000 AED</v>
          </cell>
        </row>
        <row r="12">
          <cell r="B12" t="str">
            <v>6057T/000G-H067</v>
          </cell>
          <cell r="C12" t="str">
            <v>Traditionnelle tourbillon high jewellery</v>
          </cell>
          <cell r="D12" t="str">
            <v>2,720,000 AED</v>
          </cell>
        </row>
        <row r="13">
          <cell r="D13" t="str">
            <v>2,720,000 AED</v>
          </cell>
        </row>
        <row r="14">
          <cell r="B14" t="str">
            <v>85180/000J-H069</v>
          </cell>
          <cell r="C14" t="str">
            <v>Patrimony self-winding</v>
          </cell>
          <cell r="D14" t="str">
            <v>134,000 AED</v>
          </cell>
        </row>
        <row r="15">
          <cell r="D15" t="str">
            <v>134,000 AED</v>
          </cell>
        </row>
        <row r="16">
          <cell r="B16" t="str">
            <v>4600E/000R-H101</v>
          </cell>
          <cell r="C16" t="str">
            <v>Fiftysix self-winding</v>
          </cell>
          <cell r="D16" t="str">
            <v>96,500 AED</v>
          </cell>
        </row>
        <row r="17">
          <cell r="D17" t="str">
            <v>96,500 AED</v>
          </cell>
        </row>
        <row r="18">
          <cell r="B18" t="str">
            <v>2400A/000R-H024</v>
          </cell>
          <cell r="C18" t="str">
            <v>Métiers d’Art Tribute to traditional symbols - Eternal flow</v>
          </cell>
          <cell r="D18" t="str">
            <v>560,000 AED</v>
          </cell>
        </row>
        <row r="19">
          <cell r="B19" t="str">
            <v>2405A/000R-H022</v>
          </cell>
          <cell r="C19" t="str">
            <v>Métiers d’Art Tribute to traditional symbols - Moonlight slivers</v>
          </cell>
          <cell r="D19" t="str">
            <v>560,000 AED</v>
          </cell>
        </row>
        <row r="20">
          <cell r="B20" t="str">
            <v>2400A/000G-H023</v>
          </cell>
          <cell r="C20" t="str">
            <v>Métiers d’Art Tribute to traditional symbols - Eternal flow</v>
          </cell>
          <cell r="D20" t="str">
            <v>560,000 AED</v>
          </cell>
        </row>
        <row r="21">
          <cell r="B21" t="str">
            <v>2405A/000G-H021</v>
          </cell>
          <cell r="C21" t="str">
            <v>Métiers d’Art Tribute to traditional symbols - Moonlight slivers</v>
          </cell>
          <cell r="D21" t="str">
            <v>560,000 AED</v>
          </cell>
        </row>
        <row r="22">
          <cell r="B22" t="str">
            <v>86073/000R-H034</v>
          </cell>
          <cell r="C22" t="str">
            <v>Métiers d'Art The legend of the Chinese zodiac - year of the snake</v>
          </cell>
          <cell r="D22" t="str">
            <v>560,000 AED</v>
          </cell>
        </row>
        <row r="23">
          <cell r="B23" t="str">
            <v>86073/000P-H033</v>
          </cell>
          <cell r="C23" t="str">
            <v>Métiers d'Art The legend of the Chinese zodiac - year of the snake</v>
          </cell>
          <cell r="D23" t="str">
            <v>620,000 AED</v>
          </cell>
        </row>
        <row r="24">
          <cell r="B24" t="str">
            <v>4300V/220R-B642</v>
          </cell>
          <cell r="C24" t="str">
            <v>Overseas perpetual calendar ultra-thin skeleton</v>
          </cell>
          <cell r="D24" t="str">
            <v>605,000 AED</v>
          </cell>
        </row>
        <row r="25">
          <cell r="B25" t="str">
            <v>4300V/220R-B547</v>
          </cell>
          <cell r="C25" t="str">
            <v>Overseas perpetual calendar ultra-thin skeleton</v>
          </cell>
          <cell r="D25" t="str">
            <v>605,000 AED</v>
          </cell>
        </row>
        <row r="26">
          <cell r="B26" t="str">
            <v>4300V/220R-B509</v>
          </cell>
          <cell r="C26" t="str">
            <v>Overseas perpetual calendar ultra-thin</v>
          </cell>
          <cell r="D26" t="str">
            <v>442,000 AED</v>
          </cell>
        </row>
        <row r="27">
          <cell r="B27" t="str">
            <v>4300V/220R-B064</v>
          </cell>
          <cell r="C27" t="str">
            <v>Overseas perpetual calendar ultra-thin</v>
          </cell>
          <cell r="D27" t="str">
            <v>442,000 AED</v>
          </cell>
        </row>
        <row r="28">
          <cell r="B28" t="str">
            <v>4300V/220G-B946</v>
          </cell>
          <cell r="C28" t="str">
            <v>Overseas perpetual calendar ultra-thin skeleton</v>
          </cell>
          <cell r="D28" t="str">
            <v>605,000 AED</v>
          </cell>
        </row>
        <row r="29">
          <cell r="B29" t="str">
            <v>4300V/220G-B945</v>
          </cell>
          <cell r="C29" t="str">
            <v>Overseas perpetual calendar ultra-thin</v>
          </cell>
          <cell r="D29" t="str">
            <v>442,000 AED</v>
          </cell>
        </row>
        <row r="30">
          <cell r="B30" t="str">
            <v>6007V/210G-B955</v>
          </cell>
          <cell r="C30" t="str">
            <v>Overseas tourbillon high jewellery</v>
          </cell>
          <cell r="D30" t="str">
            <v>1,020,000 AED</v>
          </cell>
        </row>
        <row r="31">
          <cell r="B31" t="str">
            <v>6000V/210T-H032</v>
          </cell>
          <cell r="C31" t="str">
            <v>Overseas tourbillon</v>
          </cell>
          <cell r="D31" t="str">
            <v>580,000 AED</v>
          </cell>
        </row>
        <row r="32">
          <cell r="B32" t="str">
            <v>7920V/210R-B965</v>
          </cell>
          <cell r="C32" t="str">
            <v>Overseas dual time Green</v>
          </cell>
          <cell r="D32" t="str">
            <v>286,000 AED</v>
          </cell>
        </row>
        <row r="33">
          <cell r="B33" t="str">
            <v>5520V/210R-B966</v>
          </cell>
          <cell r="C33" t="str">
            <v>Overseas chronograph Pink Gold</v>
          </cell>
          <cell r="D33" t="str">
            <v>299,000 AED</v>
          </cell>
        </row>
        <row r="34">
          <cell r="B34" t="str">
            <v>4605V/200R-B969</v>
          </cell>
          <cell r="C34" t="str">
            <v>Overseas self-winding Green Diamonds - Pink Gold</v>
          </cell>
          <cell r="D34" t="str">
            <v>220,000 AED</v>
          </cell>
        </row>
        <row r="35">
          <cell r="B35" t="str">
            <v>4520V/210R-B967</v>
          </cell>
          <cell r="C35" t="str">
            <v>Overseas self-winding Green</v>
          </cell>
          <cell r="D35" t="str">
            <v>229,000 AED</v>
          </cell>
        </row>
        <row r="36">
          <cell r="B36" t="str">
            <v>4600V/200R-H134</v>
          </cell>
          <cell r="C36" t="str">
            <v>Overseas self-winding</v>
          </cell>
          <cell r="D36" t="str">
            <v>196,000 AED</v>
          </cell>
        </row>
        <row r="37">
          <cell r="B37" t="str">
            <v>4010U/000G-H070</v>
          </cell>
          <cell r="C37" t="str">
            <v>Patrimony moon phase retrograde date</v>
          </cell>
          <cell r="D37" t="str">
            <v>187,000 AED</v>
          </cell>
        </row>
        <row r="38">
          <cell r="B38" t="str">
            <v>1208J/118G-H094</v>
          </cell>
          <cell r="C38" t="str">
            <v>Grand Lady Kalla</v>
          </cell>
          <cell r="D38" t="str">
            <v>5,350,000 AED</v>
          </cell>
        </row>
        <row r="39">
          <cell r="B39" t="str">
            <v>82172/000R-H008</v>
          </cell>
          <cell r="C39" t="str">
            <v>Traditionnelle manual-winding</v>
          </cell>
          <cell r="D39" t="str">
            <v>89,500 AED</v>
          </cell>
        </row>
        <row r="40">
          <cell r="B40" t="str">
            <v>4017C/000R-143C</v>
          </cell>
          <cell r="C40" t="str">
            <v>Regulator perpetual calendar - Jewellery</v>
          </cell>
          <cell r="D40" t="str">
            <v>NA</v>
          </cell>
        </row>
        <row r="41">
          <cell r="B41" t="str">
            <v>4017C/000G-146C</v>
          </cell>
          <cell r="C41" t="str">
            <v>Regulator perpetual calendar - Jewellery</v>
          </cell>
          <cell r="D41" t="str">
            <v>NA</v>
          </cell>
        </row>
        <row r="42">
          <cell r="B42" t="str">
            <v>9720C/000G-134C</v>
          </cell>
          <cell r="C42" t="str">
            <v>Celestia Astronomical Grand Complication (Set for Riyadh)</v>
          </cell>
          <cell r="D42" t="str">
            <v>6,000,000 AED</v>
          </cell>
        </row>
        <row r="43">
          <cell r="B43" t="str">
            <v>6620C/000G-132C</v>
          </cell>
          <cell r="C43" t="str">
            <v>Astronomical striking grand complication</v>
          </cell>
          <cell r="D43" t="str">
            <v>8,550,000 AED</v>
          </cell>
        </row>
        <row r="44">
          <cell r="B44" t="str">
            <v>7500U/000R-B994</v>
          </cell>
          <cell r="C44" t="str">
            <v>Métiers d'Art Tribute to Explorer Naturalists - Cap de Bonne-Espérance</v>
          </cell>
          <cell r="D44" t="str">
            <v>675,000 AED</v>
          </cell>
        </row>
        <row r="45">
          <cell r="B45" t="str">
            <v>7500U/000G-B991</v>
          </cell>
          <cell r="C45" t="str">
            <v>Métiers d'Art Tribute to Explorer Naturalists - Cap-Vert</v>
          </cell>
          <cell r="D45" t="str">
            <v>675,000 AED</v>
          </cell>
        </row>
        <row r="46">
          <cell r="B46" t="str">
            <v>4116U/000G-B909</v>
          </cell>
          <cell r="C46" t="str">
            <v>Patrimony self-winding jewellery</v>
          </cell>
          <cell r="D46" t="str">
            <v>310,000 AED</v>
          </cell>
        </row>
        <row r="47">
          <cell r="B47" t="str">
            <v>1225V/000R-B592</v>
          </cell>
          <cell r="C47" t="str">
            <v>Overseas quartz</v>
          </cell>
          <cell r="D47" t="str">
            <v>125,000 AED</v>
          </cell>
        </row>
        <row r="48">
          <cell r="B48" t="str">
            <v>1225V/200A-B590</v>
          </cell>
          <cell r="C48" t="str">
            <v>Overseas quartz</v>
          </cell>
          <cell r="D48" t="str">
            <v>62,500 AED</v>
          </cell>
        </row>
        <row r="49">
          <cell r="B49" t="str">
            <v>4600V/200R-B979</v>
          </cell>
          <cell r="C49" t="str">
            <v xml:space="preserve">Overseas self-winding Blue 34.5 mm </v>
          </cell>
          <cell r="D49" t="str">
            <v>196,000 AED</v>
          </cell>
        </row>
        <row r="50">
          <cell r="B50" t="str">
            <v>4605V/200R-B978</v>
          </cell>
          <cell r="C50" t="str">
            <v xml:space="preserve">Overseas self-winding Blue 35 mm </v>
          </cell>
          <cell r="D50" t="str">
            <v>220,000 AED</v>
          </cell>
        </row>
        <row r="51">
          <cell r="B51" t="str">
            <v>4605V/200R-B968</v>
          </cell>
          <cell r="C51" t="str">
            <v xml:space="preserve">Overseas self-winding Pink Gold </v>
          </cell>
          <cell r="D51" t="str">
            <v>220,000 AED</v>
          </cell>
        </row>
        <row r="52">
          <cell r="B52" t="str">
            <v>4600V/200A-B980</v>
          </cell>
          <cell r="C52" t="str">
            <v>Overseas self-winding</v>
          </cell>
          <cell r="D52" t="str">
            <v>87,500 AED</v>
          </cell>
        </row>
        <row r="53">
          <cell r="B53" t="str">
            <v>4605V/200A-B971</v>
          </cell>
          <cell r="C53" t="str">
            <v>Overseas self-winding</v>
          </cell>
          <cell r="D53" t="str">
            <v>116,000 AED</v>
          </cell>
        </row>
        <row r="54">
          <cell r="B54" t="str">
            <v>4520V/210R-B705</v>
          </cell>
          <cell r="C54" t="str">
            <v>Overseas self-winding</v>
          </cell>
          <cell r="D54" t="str">
            <v>229,000 AED</v>
          </cell>
        </row>
        <row r="55">
          <cell r="B55" t="str">
            <v>4520V/210A-B483</v>
          </cell>
          <cell r="C55" t="str">
            <v>Overseas self-winding</v>
          </cell>
          <cell r="D55" t="str">
            <v>94,500 AED</v>
          </cell>
        </row>
        <row r="56">
          <cell r="B56" t="str">
            <v>4520V/210A-B128</v>
          </cell>
          <cell r="C56" t="str">
            <v>Overseas self-winding</v>
          </cell>
          <cell r="D56" t="str">
            <v>94,500 AED</v>
          </cell>
        </row>
        <row r="57">
          <cell r="B57" t="str">
            <v>4520V/210A-B126</v>
          </cell>
          <cell r="C57" t="str">
            <v>Overseas self-winding</v>
          </cell>
          <cell r="D57" t="str">
            <v>94,500 AED</v>
          </cell>
        </row>
        <row r="58">
          <cell r="B58" t="str">
            <v>7920V/000R-B336</v>
          </cell>
          <cell r="C58" t="str">
            <v>Overseas dual time</v>
          </cell>
          <cell r="D58" t="str">
            <v>184,000 AED</v>
          </cell>
        </row>
        <row r="59">
          <cell r="B59" t="str">
            <v>7920V/210A-B546</v>
          </cell>
          <cell r="C59" t="str">
            <v>Overseas dual time Black</v>
          </cell>
          <cell r="D59" t="str">
            <v>117,000 AED</v>
          </cell>
        </row>
        <row r="60">
          <cell r="B60" t="str">
            <v>7920V/210A-B334</v>
          </cell>
          <cell r="C60" t="str">
            <v>Overseas dual time Blue</v>
          </cell>
          <cell r="D60" t="str">
            <v>117,000 AED</v>
          </cell>
        </row>
        <row r="61">
          <cell r="B61" t="str">
            <v>7920V/210A-B333</v>
          </cell>
          <cell r="C61" t="str">
            <v>Overseas dual time Silver</v>
          </cell>
          <cell r="D61" t="str">
            <v>117,000 AED</v>
          </cell>
        </row>
        <row r="62">
          <cell r="B62" t="str">
            <v>6000V/210T-B935</v>
          </cell>
          <cell r="C62" t="str">
            <v>Overseas tourbillon skeleton - Titanium 42.5 mm</v>
          </cell>
          <cell r="D62" t="str">
            <v>735,000 AED</v>
          </cell>
        </row>
        <row r="63">
          <cell r="B63" t="str">
            <v>6000V/210R-B934</v>
          </cell>
          <cell r="C63" t="str">
            <v>Overseas tourbillon skeleton</v>
          </cell>
          <cell r="D63" t="str">
            <v>840,000 AED</v>
          </cell>
        </row>
        <row r="64">
          <cell r="B64" t="str">
            <v>6000V/210R-B733</v>
          </cell>
          <cell r="C64" t="str">
            <v>Overseas tourbillon</v>
          </cell>
          <cell r="D64" t="str">
            <v>680,000 AED</v>
          </cell>
        </row>
        <row r="65">
          <cell r="B65" t="str">
            <v>5520V/210R-B952</v>
          </cell>
          <cell r="C65" t="str">
            <v>Overseas chronograph</v>
          </cell>
          <cell r="D65" t="str">
            <v>299,000 AED</v>
          </cell>
        </row>
        <row r="66">
          <cell r="B66" t="str">
            <v>5520V/210A-B686</v>
          </cell>
          <cell r="C66" t="str">
            <v>Overseas chronograph</v>
          </cell>
          <cell r="D66" t="str">
            <v>135,000 AED</v>
          </cell>
        </row>
        <row r="67">
          <cell r="B67" t="str">
            <v>5520V/210A-B481</v>
          </cell>
          <cell r="C67" t="str">
            <v>Overseas chronograph</v>
          </cell>
          <cell r="D67" t="str">
            <v>135,000 AED</v>
          </cell>
        </row>
        <row r="68">
          <cell r="B68" t="str">
            <v>5520V/210A-B148</v>
          </cell>
          <cell r="C68" t="str">
            <v>Overseas chronograph</v>
          </cell>
          <cell r="D68" t="str">
            <v>135,000 AED</v>
          </cell>
        </row>
        <row r="69">
          <cell r="B69" t="str">
            <v>86073/000R-B983</v>
          </cell>
          <cell r="C69" t="str">
            <v>Métiers d'Art The legend of the Chinese zodiac - year of the dragon</v>
          </cell>
          <cell r="D69" t="str">
            <v>448,000 AED</v>
          </cell>
        </row>
        <row r="70">
          <cell r="B70" t="str">
            <v>86073/000P-B982</v>
          </cell>
          <cell r="C70" t="str">
            <v>Métiers d'Art The legend of the Chinese zodiac - year of the dragon</v>
          </cell>
          <cell r="D70" t="str">
            <v>545,000 AED</v>
          </cell>
        </row>
        <row r="71">
          <cell r="B71" t="str">
            <v>4000U/000P-H003</v>
          </cell>
          <cell r="C71" t="str">
            <v>Patrimony retrograde day-date</v>
          </cell>
          <cell r="D71" t="str">
            <v>234,000 AED</v>
          </cell>
        </row>
        <row r="72">
          <cell r="B72" t="str">
            <v>9827C/000G-078C</v>
          </cell>
          <cell r="C72" t="str">
            <v>Armillary tourbillon perpetual calendar - Planetaria Jewellery</v>
          </cell>
          <cell r="D72" t="str">
            <v>NA</v>
          </cell>
        </row>
        <row r="73">
          <cell r="B73" t="str">
            <v>89667/000G-095C</v>
          </cell>
          <cell r="C73" t="str">
            <v>14-day Openworked tourbillon - High Jewellery</v>
          </cell>
          <cell r="D73" t="str">
            <v>NA</v>
          </cell>
        </row>
        <row r="74">
          <cell r="B74" t="str">
            <v>9727C/000G-015C</v>
          </cell>
          <cell r="C74" t="str">
            <v>Celestia Astronomical Grand Complication - High Jewellery</v>
          </cell>
          <cell r="D74" t="str">
            <v>NA</v>
          </cell>
        </row>
        <row r="75">
          <cell r="B75" t="str">
            <v>6605C/000R-127C</v>
          </cell>
          <cell r="C75" t="str">
            <v>Minute repeater Grand feu enamel - Jewellery</v>
          </cell>
          <cell r="D75" t="str">
            <v>NA</v>
          </cell>
        </row>
        <row r="76">
          <cell r="B76" t="str">
            <v>9720C/000P-126C</v>
          </cell>
          <cell r="C76" t="str">
            <v>Celestia Astronomical Grand Complication (set for Dubai)</v>
          </cell>
          <cell r="D76" t="str">
            <v>6,500,000 AED</v>
          </cell>
        </row>
        <row r="77">
          <cell r="B77" t="str">
            <v>5500V/110A-B686</v>
          </cell>
          <cell r="C77" t="str">
            <v>Overseas chronograph</v>
          </cell>
          <cell r="D77" t="str">
            <v>135,000 AED</v>
          </cell>
        </row>
        <row r="78">
          <cell r="B78" t="str">
            <v>4000V/210A-B911</v>
          </cell>
          <cell r="C78" t="str">
            <v>Overseas moon phase retrograde date</v>
          </cell>
          <cell r="D78" t="str">
            <v>166,000 AED</v>
          </cell>
        </row>
        <row r="79">
          <cell r="B79" t="str">
            <v>4305T/000R-B947</v>
          </cell>
          <cell r="C79" t="str">
            <v>Traditionnelle perpetual calendar ultra-thin</v>
          </cell>
          <cell r="D79" t="str">
            <v>336,000 AED</v>
          </cell>
        </row>
        <row r="80">
          <cell r="B80" t="str">
            <v>1405T/000R-B636</v>
          </cell>
          <cell r="C80" t="str">
            <v>Traditionnelle manual-winding</v>
          </cell>
          <cell r="D80" t="str">
            <v>112,000 AED</v>
          </cell>
        </row>
        <row r="81">
          <cell r="B81" t="str">
            <v>7006T/000G-B913</v>
          </cell>
          <cell r="C81" t="str">
            <v>Traditionnelle moon phase</v>
          </cell>
          <cell r="D81" t="str">
            <v>310,000 AED</v>
          </cell>
        </row>
        <row r="82">
          <cell r="B82" t="str">
            <v>6040T/000R-B961</v>
          </cell>
          <cell r="C82" t="str">
            <v>Traditionnelle tourbillon</v>
          </cell>
          <cell r="D82" t="str">
            <v>755,000 AED</v>
          </cell>
        </row>
        <row r="83">
          <cell r="B83" t="str">
            <v>6040T/000R-B960</v>
          </cell>
          <cell r="C83" t="str">
            <v>Traditionnelle tourbillon</v>
          </cell>
          <cell r="D83" t="str">
            <v>755,000 AED</v>
          </cell>
        </row>
        <row r="84">
          <cell r="B84" t="str">
            <v>6040T/000R-B959</v>
          </cell>
          <cell r="C84" t="str">
            <v>Traditionnelle tourbillon</v>
          </cell>
          <cell r="D84" t="str">
            <v>755,000 AED</v>
          </cell>
        </row>
        <row r="85">
          <cell r="B85" t="str">
            <v>6010T/000R-B638</v>
          </cell>
          <cell r="C85" t="str">
            <v>Traditionnelle tourbillon retrograde date openface</v>
          </cell>
          <cell r="D85" t="str">
            <v>650,000 AED</v>
          </cell>
        </row>
        <row r="86">
          <cell r="B86" t="str">
            <v>6000T/000P-H025</v>
          </cell>
          <cell r="C86" t="str">
            <v>Traditionnelle tourbillon</v>
          </cell>
          <cell r="D86" t="str">
            <v>650,000 AED</v>
          </cell>
        </row>
        <row r="87">
          <cell r="B87" t="str">
            <v>1205F/000R-B984</v>
          </cell>
          <cell r="C87" t="str">
            <v>Égérie quartz</v>
          </cell>
          <cell r="D87" t="str">
            <v>81,000 AED</v>
          </cell>
        </row>
        <row r="88">
          <cell r="B88" t="str">
            <v>8006F/000G-B942</v>
          </cell>
          <cell r="C88" t="str">
            <v>Égérie Creative Edition</v>
          </cell>
          <cell r="D88" t="str">
            <v>428,000 AED</v>
          </cell>
        </row>
        <row r="89">
          <cell r="B89" t="str">
            <v>8005F/000R-B958</v>
          </cell>
          <cell r="C89" t="str">
            <v>Égérie moon phase</v>
          </cell>
          <cell r="D89" t="str">
            <v>149,000 AED</v>
          </cell>
        </row>
        <row r="90">
          <cell r="B90" t="str">
            <v>4605F/000R-B957</v>
          </cell>
          <cell r="C90" t="str">
            <v>Égérie self-winding</v>
          </cell>
          <cell r="D90" t="str">
            <v>129,000 AED</v>
          </cell>
        </row>
        <row r="91">
          <cell r="B91" t="str">
            <v>8016F/127R-B977</v>
          </cell>
          <cell r="C91" t="str">
            <v>Égérie moon phase jewellery</v>
          </cell>
          <cell r="D91" t="str">
            <v>785,000 AED</v>
          </cell>
        </row>
        <row r="92">
          <cell r="B92" t="str">
            <v>8006F/000R-B976</v>
          </cell>
          <cell r="C92" t="str">
            <v>Égérie moon phase</v>
          </cell>
          <cell r="D92" t="str">
            <v>310,000 AED</v>
          </cell>
        </row>
        <row r="93">
          <cell r="B93" t="str">
            <v>8005F/120R-H002</v>
          </cell>
          <cell r="C93" t="str">
            <v>Égérie moon phase</v>
          </cell>
          <cell r="D93" t="str">
            <v>215,000 AED</v>
          </cell>
        </row>
        <row r="94">
          <cell r="B94" t="str">
            <v>5500V/110R-B952</v>
          </cell>
          <cell r="C94" t="str">
            <v>Overseas chronograph</v>
          </cell>
          <cell r="D94" t="str">
            <v>299,000 AED</v>
          </cell>
        </row>
        <row r="95">
          <cell r="B95" t="str">
            <v>7620A/000R-B927</v>
          </cell>
          <cell r="C95" t="str">
            <v>Métiers d'Art Tribute to great civilisations - Grand sphinx de Tanis</v>
          </cell>
          <cell r="D95" t="str">
            <v>NA</v>
          </cell>
        </row>
        <row r="96">
          <cell r="B96" t="str">
            <v>7620A/000R-B926</v>
          </cell>
          <cell r="C96" t="str">
            <v>Métiers d'Art Tribute to great civilisations - Lion de Darius</v>
          </cell>
          <cell r="D96" t="str">
            <v>NA</v>
          </cell>
        </row>
        <row r="97">
          <cell r="B97" t="str">
            <v>7620A/000G-B929</v>
          </cell>
          <cell r="C97" t="str">
            <v>Métiers d'Art Tribute to great civilisations - Buste d'Auguste</v>
          </cell>
          <cell r="D97" t="str">
            <v>NA</v>
          </cell>
        </row>
        <row r="98">
          <cell r="B98" t="str">
            <v>7620A/000G-B928</v>
          </cell>
          <cell r="C98" t="str">
            <v>Métiers d'Art Tribute to great civilisations - Victoire de Samothrace</v>
          </cell>
          <cell r="D98" t="str">
            <v>NA</v>
          </cell>
        </row>
        <row r="99">
          <cell r="B99" t="str">
            <v>86073/000R-B933</v>
          </cell>
          <cell r="C99" t="str">
            <v>Métiers d'Art The legend of the Chinese zodiac - year of the rabbit</v>
          </cell>
          <cell r="D99" t="str">
            <v>448,000 AED</v>
          </cell>
        </row>
        <row r="100">
          <cell r="B100" t="str">
            <v>86073/000P-B932</v>
          </cell>
          <cell r="C100" t="str">
            <v>Métiers d'Art The legend of the Chinese zodiac - year of the rabbit</v>
          </cell>
          <cell r="D100" t="str">
            <v>545,000 AED</v>
          </cell>
        </row>
        <row r="101">
          <cell r="B101" t="str">
            <v>4115U/000R-B907</v>
          </cell>
          <cell r="C101" t="str">
            <v>Patrimony self-winding</v>
          </cell>
          <cell r="D101" t="str">
            <v>138,000 AED</v>
          </cell>
        </row>
        <row r="102">
          <cell r="B102" t="str">
            <v>4115U/000G-B908</v>
          </cell>
          <cell r="C102" t="str">
            <v>Patrimony self-winding</v>
          </cell>
          <cell r="D102" t="str">
            <v>138,000 AED</v>
          </cell>
        </row>
        <row r="103">
          <cell r="B103" t="str">
            <v>4200H/222J-B935</v>
          </cell>
          <cell r="C103" t="str">
            <v>Historiques 222</v>
          </cell>
          <cell r="D103" t="str">
            <v>279,000 AED</v>
          </cell>
        </row>
        <row r="104">
          <cell r="B104" t="str">
            <v>9820C/000R-079C</v>
          </cell>
          <cell r="C104" t="str">
            <v>Armillary tourbillon perpetual calendar - Planetaria</v>
          </cell>
          <cell r="D104" t="str">
            <v>4,380,000 AED</v>
          </cell>
        </row>
        <row r="105">
          <cell r="B105" t="str">
            <v>7900V/110A-B546</v>
          </cell>
          <cell r="C105" t="str">
            <v>Overseas dual time</v>
          </cell>
          <cell r="D105" t="str">
            <v>117,000 AED</v>
          </cell>
        </row>
        <row r="106">
          <cell r="B106" t="str">
            <v>7900V/110A-B334</v>
          </cell>
          <cell r="C106" t="str">
            <v>Overseas dual time</v>
          </cell>
          <cell r="D106" t="str">
            <v>117,000 AED</v>
          </cell>
        </row>
        <row r="107">
          <cell r="B107" t="str">
            <v>7900V/110A-B333</v>
          </cell>
          <cell r="C107" t="str">
            <v>Overseas dual time</v>
          </cell>
          <cell r="D107" t="str">
            <v>117,000 AED</v>
          </cell>
        </row>
        <row r="108">
          <cell r="B108" t="str">
            <v>6000V/110R-B733</v>
          </cell>
          <cell r="C108" t="str">
            <v>Overseas tourbillon</v>
          </cell>
          <cell r="D108" t="str">
            <v>680,000 AED</v>
          </cell>
        </row>
        <row r="109">
          <cell r="B109" t="str">
            <v>6000V/110A-B544</v>
          </cell>
          <cell r="C109" t="str">
            <v>Overseas tourbillon</v>
          </cell>
          <cell r="D109" t="str">
            <v>515,000 AED</v>
          </cell>
        </row>
        <row r="110">
          <cell r="B110" t="str">
            <v>5500V/000R-B074</v>
          </cell>
          <cell r="C110" t="str">
            <v>Overseas chronograph</v>
          </cell>
          <cell r="D110" t="str">
            <v>206,000 AED</v>
          </cell>
        </row>
        <row r="111">
          <cell r="B111" t="str">
            <v>5500V/110A-B481</v>
          </cell>
          <cell r="C111" t="str">
            <v>Overseas chronograph</v>
          </cell>
          <cell r="D111" t="str">
            <v>135,000 AED</v>
          </cell>
        </row>
        <row r="112">
          <cell r="B112" t="str">
            <v>5500V/110A-B148</v>
          </cell>
          <cell r="C112" t="str">
            <v>Overseas chronograph</v>
          </cell>
          <cell r="D112" t="str">
            <v>135,000 AED</v>
          </cell>
        </row>
        <row r="113">
          <cell r="B113" t="str">
            <v>4500V/110R-B705</v>
          </cell>
          <cell r="C113" t="str">
            <v>Overseas self-winding</v>
          </cell>
          <cell r="D113" t="str">
            <v>229,000 AED</v>
          </cell>
        </row>
        <row r="114">
          <cell r="B114" t="str">
            <v>4500V/000R-B127</v>
          </cell>
          <cell r="C114" t="str">
            <v>Overseas self-winding</v>
          </cell>
          <cell r="D114" t="str">
            <v>153,000 AED</v>
          </cell>
        </row>
        <row r="115">
          <cell r="B115" t="str">
            <v>4500V/110A-B483</v>
          </cell>
          <cell r="C115" t="str">
            <v>Overseas self-winding</v>
          </cell>
          <cell r="D115" t="str">
            <v>94,500 AED</v>
          </cell>
        </row>
        <row r="116">
          <cell r="B116" t="str">
            <v>4500V/110A-B128</v>
          </cell>
          <cell r="C116" t="str">
            <v>Overseas self-winding</v>
          </cell>
          <cell r="D116" t="str">
            <v>94,500 AED</v>
          </cell>
        </row>
        <row r="117">
          <cell r="B117" t="str">
            <v>4500V/110A-B126</v>
          </cell>
          <cell r="C117" t="str">
            <v>Overseas self-winding</v>
          </cell>
          <cell r="D117" t="str">
            <v>94,500 AED</v>
          </cell>
        </row>
        <row r="118">
          <cell r="B118" t="str">
            <v>4300V/120R-B547</v>
          </cell>
          <cell r="C118" t="str">
            <v>Overseas perpetual calendar ultra-thin skeleton</v>
          </cell>
          <cell r="D118" t="str">
            <v>605,000 AED</v>
          </cell>
        </row>
        <row r="119">
          <cell r="B119" t="str">
            <v>4300V/120R-B064</v>
          </cell>
          <cell r="C119" t="str">
            <v>Overseas perpetual calendar ultra-thin</v>
          </cell>
          <cell r="D119" t="str">
            <v>442,000 AED</v>
          </cell>
        </row>
        <row r="120">
          <cell r="B120" t="str">
            <v>4300V/120G-B946</v>
          </cell>
          <cell r="C120" t="str">
            <v>Overseas perpetual calendar ultra-thin skeleton</v>
          </cell>
          <cell r="D120" t="str">
            <v>605,000 AED</v>
          </cell>
        </row>
        <row r="121">
          <cell r="B121" t="str">
            <v>4300V/120G-B945</v>
          </cell>
          <cell r="C121" t="str">
            <v>Overseas perpetual calendar ultra-thin</v>
          </cell>
          <cell r="D121" t="str">
            <v>442,000 AED</v>
          </cell>
        </row>
        <row r="122">
          <cell r="B122" t="str">
            <v>2305V/000R-B077</v>
          </cell>
          <cell r="C122" t="str">
            <v>Overseas self-winding</v>
          </cell>
          <cell r="D122" t="str">
            <v>167,000 AED</v>
          </cell>
        </row>
        <row r="123">
          <cell r="B123" t="str">
            <v>2305V/100R-B077</v>
          </cell>
          <cell r="C123" t="str">
            <v>Overseas self-winding</v>
          </cell>
          <cell r="D123" t="str">
            <v>216,000 AED</v>
          </cell>
        </row>
        <row r="124">
          <cell r="B124" t="str">
            <v>2305V/100A-B170</v>
          </cell>
          <cell r="C124" t="str">
            <v>Overseas self-winding</v>
          </cell>
          <cell r="D124" t="str">
            <v>112,000 AED</v>
          </cell>
        </row>
        <row r="125">
          <cell r="B125" t="str">
            <v>2305V/100A-B078</v>
          </cell>
          <cell r="C125" t="str">
            <v>Overseas self-winding</v>
          </cell>
          <cell r="D125" t="str">
            <v>112,000 AED</v>
          </cell>
        </row>
        <row r="126">
          <cell r="B126" t="str">
            <v>1205V/000R-B592</v>
          </cell>
          <cell r="C126" t="str">
            <v>Overseas quartz</v>
          </cell>
          <cell r="D126" t="str">
            <v>125,000 AED</v>
          </cell>
        </row>
        <row r="127">
          <cell r="B127" t="str">
            <v>1205V/100A-B591</v>
          </cell>
          <cell r="C127" t="str">
            <v>Overseas quartz</v>
          </cell>
          <cell r="D127" t="str">
            <v>62,500 AED</v>
          </cell>
        </row>
        <row r="128">
          <cell r="B128" t="str">
            <v>1205V/100A-B590</v>
          </cell>
          <cell r="C128" t="str">
            <v>Overseas quartz</v>
          </cell>
          <cell r="D128" t="str">
            <v>62,500 AED</v>
          </cell>
        </row>
        <row r="129">
          <cell r="B129" t="str">
            <v>6000V/110T-B935</v>
          </cell>
          <cell r="C129" t="str">
            <v>Overseas tourbillon skeleton</v>
          </cell>
          <cell r="D129" t="str">
            <v>735,000 AED</v>
          </cell>
        </row>
        <row r="130">
          <cell r="B130" t="str">
            <v>6000V/110R-B934</v>
          </cell>
          <cell r="C130" t="str">
            <v>Overseas tourbillon skeleton</v>
          </cell>
          <cell r="D130" t="str">
            <v>840,000 AED</v>
          </cell>
        </row>
        <row r="131">
          <cell r="B131" t="str">
            <v>4300V/120R-B642</v>
          </cell>
          <cell r="C131" t="str">
            <v>Overseas perpetual calendar ultra-thin skeleton</v>
          </cell>
          <cell r="D131" t="str">
            <v>605,000 AED</v>
          </cell>
        </row>
        <row r="132">
          <cell r="B132" t="str">
            <v>4110U/000R-B905</v>
          </cell>
          <cell r="C132" t="str">
            <v>Patrimony self-winding</v>
          </cell>
          <cell r="D132" t="str">
            <v>110,000 AED</v>
          </cell>
        </row>
        <row r="133">
          <cell r="B133" t="str">
            <v>4110U/000G-B906</v>
          </cell>
          <cell r="C133" t="str">
            <v>Patrimony self-winding</v>
          </cell>
          <cell r="D133" t="str">
            <v>110,000 AED</v>
          </cell>
        </row>
        <row r="134">
          <cell r="B134" t="str">
            <v>5000T/000P-B975</v>
          </cell>
          <cell r="C134" t="str">
            <v>Traditionnelle perpetual calendar chronograph</v>
          </cell>
          <cell r="D134" t="str">
            <v>680,000 AED</v>
          </cell>
        </row>
        <row r="135">
          <cell r="B135" t="str">
            <v>4305T/000G-B948</v>
          </cell>
          <cell r="C135" t="str">
            <v>Traditionnelle perpetual calendar ultra-thin</v>
          </cell>
          <cell r="D135" t="str">
            <v>336,000 AED</v>
          </cell>
        </row>
        <row r="136">
          <cell r="B136" t="str">
            <v>6657C/000G-022C</v>
          </cell>
          <cell r="C136" t="str">
            <v>Openworked Minute repeater - High Jewellery</v>
          </cell>
          <cell r="D136" t="str">
            <v>NA</v>
          </cell>
        </row>
        <row r="137">
          <cell r="B137" t="str">
            <v>7900V/000R-B336</v>
          </cell>
          <cell r="C137" t="str">
            <v>Overseas dual time</v>
          </cell>
          <cell r="D137" t="str">
            <v>184,000 AED</v>
          </cell>
        </row>
        <row r="138">
          <cell r="B138" t="str">
            <v>6000T/000R-B972</v>
          </cell>
          <cell r="C138" t="str">
            <v>Traditionnelle tourbillon</v>
          </cell>
          <cell r="D138" t="str">
            <v>560,000 AED</v>
          </cell>
        </row>
        <row r="139">
          <cell r="B139" t="str">
            <v>6000T/000P-B974</v>
          </cell>
          <cell r="C139" t="str">
            <v>TRADITIONNELLE TOURBILLON</v>
          </cell>
          <cell r="D139" t="str">
            <v>650,000 AED</v>
          </cell>
        </row>
        <row r="140">
          <cell r="B140" t="str">
            <v>6000T/000P-B973</v>
          </cell>
          <cell r="C140" t="str">
            <v>TRADITIONNELLE TOURBILLON</v>
          </cell>
          <cell r="D140" t="str">
            <v>650,000 AED</v>
          </cell>
        </row>
        <row r="141">
          <cell r="B141" t="str">
            <v>4010T/000G-B740</v>
          </cell>
          <cell r="C141" t="str">
            <v>Traditionnelle complete calendar</v>
          </cell>
          <cell r="D141" t="str">
            <v>172,000 AED</v>
          </cell>
        </row>
        <row r="142">
          <cell r="B142" t="str">
            <v>4020T/000R-B654</v>
          </cell>
          <cell r="C142" t="str">
            <v>Traditionnelle complete calendar openface</v>
          </cell>
          <cell r="D142" t="str">
            <v>199,000 AED</v>
          </cell>
        </row>
        <row r="143">
          <cell r="B143" t="str">
            <v>4020T/000G-B655</v>
          </cell>
          <cell r="C143" t="str">
            <v>Traditionnelle complete calendar openface</v>
          </cell>
          <cell r="D143" t="str">
            <v>199,000 AED</v>
          </cell>
        </row>
        <row r="144">
          <cell r="B144" t="str">
            <v>86073/000R-B901</v>
          </cell>
          <cell r="C144" t="str">
            <v>Métiers d'Art The legend of the Chinese zodiac - Year of the tiger</v>
          </cell>
          <cell r="D144" t="str">
            <v>448,000 AED</v>
          </cell>
        </row>
        <row r="145">
          <cell r="B145" t="str">
            <v>86073/000P-B900</v>
          </cell>
          <cell r="C145" t="str">
            <v>Métiers d'Art The legend of the Chinese zodiac - Year of the tiger</v>
          </cell>
          <cell r="D145" t="str">
            <v>545,000 AED</v>
          </cell>
        </row>
        <row r="146">
          <cell r="B146" t="str">
            <v>7910V/000T-B922</v>
          </cell>
          <cell r="C146" t="str">
            <v>Overseas dual time</v>
          </cell>
          <cell r="D146" t="str">
            <v>123,000 AED</v>
          </cell>
        </row>
        <row r="147">
          <cell r="B147" t="str">
            <v>6000V/110R-B733</v>
          </cell>
          <cell r="C147" t="str">
            <v>Overseas tourbillon</v>
          </cell>
          <cell r="D147" t="str">
            <v>680,000 AED</v>
          </cell>
        </row>
        <row r="148">
          <cell r="B148" t="str">
            <v>5510V/000T-B923</v>
          </cell>
          <cell r="C148" t="str">
            <v>Overseas chronograph</v>
          </cell>
          <cell r="D148" t="str">
            <v>145,000 AED</v>
          </cell>
        </row>
        <row r="149">
          <cell r="B149" t="str">
            <v>4300V/000R-B509</v>
          </cell>
          <cell r="C149" t="str">
            <v>Overseas perpetual calendar ultra-thin</v>
          </cell>
          <cell r="D149" t="str">
            <v>369,000 AED</v>
          </cell>
        </row>
        <row r="150">
          <cell r="B150" t="str">
            <v>4300V/120R-B509</v>
          </cell>
          <cell r="C150" t="str">
            <v>Overseas perpetual calendar ultra-thin</v>
          </cell>
          <cell r="D150" t="str">
            <v>442,000 AED</v>
          </cell>
        </row>
        <row r="151">
          <cell r="B151" t="str">
            <v>4300V/000R-B064</v>
          </cell>
          <cell r="C151" t="str">
            <v>Overseas perpetual calendar ultra-thin</v>
          </cell>
          <cell r="D151" t="str">
            <v>369,000 AED</v>
          </cell>
        </row>
        <row r="152">
          <cell r="B152" t="str">
            <v>4300V/120R-B547</v>
          </cell>
          <cell r="C152" t="str">
            <v>Overseas perpetual calendar ultra-thin skeleton</v>
          </cell>
          <cell r="D152" t="str">
            <v>605,000 AED</v>
          </cell>
        </row>
        <row r="153">
          <cell r="B153" t="str">
            <v>4300V/120G-B946</v>
          </cell>
          <cell r="C153" t="str">
            <v>Overseas perpetual calendar ultra-thin skeleton</v>
          </cell>
          <cell r="D153" t="str">
            <v>605,000 AED</v>
          </cell>
        </row>
        <row r="154">
          <cell r="B154" t="str">
            <v>4300V/120G-B945</v>
          </cell>
          <cell r="C154" t="str">
            <v>Overseas perpetual calendar ultra-thin</v>
          </cell>
          <cell r="D154" t="str">
            <v>442,000 AED</v>
          </cell>
        </row>
        <row r="155">
          <cell r="B155" t="str">
            <v>4605F/110R-B496</v>
          </cell>
          <cell r="C155" t="str">
            <v>Égérie self-winding</v>
          </cell>
          <cell r="D155" t="str">
            <v>173,000 AED</v>
          </cell>
        </row>
        <row r="156">
          <cell r="B156" t="str">
            <v>4606F/000R-B648</v>
          </cell>
          <cell r="C156" t="str">
            <v>Égérie self-winding</v>
          </cell>
          <cell r="D156" t="str">
            <v>249,000 AED</v>
          </cell>
        </row>
        <row r="157">
          <cell r="B157" t="str">
            <v>4606F/000G-B649</v>
          </cell>
          <cell r="C157" t="str">
            <v>Égérie self-winding</v>
          </cell>
          <cell r="D157" t="str">
            <v>249,000 AED</v>
          </cell>
        </row>
        <row r="158">
          <cell r="B158" t="str">
            <v>82035/000P-B748</v>
          </cell>
          <cell r="C158" t="str">
            <v>Historiques American 1921 - Collection Excellence Platine</v>
          </cell>
          <cell r="D158" t="str">
            <v>201,000 AED</v>
          </cell>
        </row>
        <row r="159">
          <cell r="B159" t="str">
            <v>82035/000G-B735</v>
          </cell>
          <cell r="C159" t="str">
            <v>Historiques American 1921</v>
          </cell>
          <cell r="D159" t="str">
            <v>153,000 AED</v>
          </cell>
        </row>
        <row r="160">
          <cell r="B160" t="str">
            <v>1100S/000G-B734</v>
          </cell>
          <cell r="C160" t="str">
            <v>Historiques American 1921</v>
          </cell>
          <cell r="D160" t="str">
            <v>127,000 AED</v>
          </cell>
        </row>
        <row r="161">
          <cell r="B161" t="str">
            <v>5100T/000R-B623</v>
          </cell>
          <cell r="C161" t="str">
            <v>Traditionnelle tourbillon chronograph</v>
          </cell>
          <cell r="D161" t="str">
            <v>890,000 AED</v>
          </cell>
        </row>
        <row r="162">
          <cell r="B162" t="str">
            <v>89000/000R-B645</v>
          </cell>
          <cell r="C162" t="str">
            <v>Traditionnelle tourbillon</v>
          </cell>
          <cell r="D162" t="str">
            <v>1,110,000 AED</v>
          </cell>
        </row>
        <row r="163">
          <cell r="B163" t="str">
            <v>5400T/000P-B637</v>
          </cell>
          <cell r="C163" t="str">
            <v>Traditionnelle split-seconds chronograph ultra-thin - Collection Excellence Platine</v>
          </cell>
          <cell r="D163" t="str">
            <v>1,200,000 AED</v>
          </cell>
        </row>
        <row r="164">
          <cell r="B164" t="str">
            <v>3200T/002P-B578</v>
          </cell>
          <cell r="C164" t="str">
            <v>Traditionnelle Twin Beat perpetual calendar</v>
          </cell>
          <cell r="D164" t="str">
            <v>1,020,000 AED</v>
          </cell>
        </row>
        <row r="165">
          <cell r="B165" t="str">
            <v>8016F/127G-B499</v>
          </cell>
          <cell r="C165" t="str">
            <v>Égérie moon phase jewellery</v>
          </cell>
          <cell r="D165" t="str">
            <v>785,000 AED</v>
          </cell>
        </row>
        <row r="166">
          <cell r="B166" t="str">
            <v>37640/000G-B659</v>
          </cell>
          <cell r="C166" t="str">
            <v>Heures Créatives Heure Romantique</v>
          </cell>
          <cell r="D166" t="str">
            <v>237,000 AED</v>
          </cell>
        </row>
        <row r="167">
          <cell r="B167" t="str">
            <v>86073/000P-B647</v>
          </cell>
          <cell r="C167" t="str">
            <v>Métiers d'Art The legend of the Chinese zodiac - Year of the ox</v>
          </cell>
          <cell r="D167" t="str">
            <v>545,000 AED</v>
          </cell>
        </row>
        <row r="168">
          <cell r="B168" t="str">
            <v>9770C/000R-008C</v>
          </cell>
          <cell r="C168" t="str">
            <v>Dual Moon - Grand Complication</v>
          </cell>
          <cell r="D168" t="str">
            <v>NA</v>
          </cell>
        </row>
        <row r="169">
          <cell r="B169" t="str">
            <v>86073/000R-B646</v>
          </cell>
          <cell r="C169" t="str">
            <v>Métiers d'Art The legend of the Chinese zodiac - Year of the ox</v>
          </cell>
          <cell r="D169" t="str">
            <v>448,000 AED</v>
          </cell>
        </row>
        <row r="170">
          <cell r="B170" t="str">
            <v>7900V/110A-B546</v>
          </cell>
          <cell r="C170" t="str">
            <v>Overseas dual time</v>
          </cell>
          <cell r="D170" t="str">
            <v>117,000 AED</v>
          </cell>
        </row>
        <row r="171">
          <cell r="B171" t="str">
            <v>4500V/110R-B705</v>
          </cell>
          <cell r="C171" t="str">
            <v>Overseas self-winding</v>
          </cell>
          <cell r="D171" t="str">
            <v>229,000 AED</v>
          </cell>
        </row>
        <row r="172">
          <cell r="B172" t="str">
            <v>4300V/120R-B509</v>
          </cell>
          <cell r="C172" t="str">
            <v>Overseas perpetual calendar ultra-thin</v>
          </cell>
          <cell r="D172" t="str">
            <v>442,000 AED</v>
          </cell>
        </row>
        <row r="173">
          <cell r="B173" t="str">
            <v>6035T/000R-B634</v>
          </cell>
          <cell r="C173" t="str">
            <v>Traditionnelle tourbillon</v>
          </cell>
          <cell r="D173" t="str">
            <v>645,000 AED</v>
          </cell>
        </row>
        <row r="174">
          <cell r="B174" t="str">
            <v>6025T/000G-B635</v>
          </cell>
          <cell r="C174" t="str">
            <v>Traditionnelle tourbillon jewellery</v>
          </cell>
          <cell r="D174" t="str">
            <v>890,000 AED</v>
          </cell>
        </row>
        <row r="175">
          <cell r="B175" t="str">
            <v>85515/000R-B644</v>
          </cell>
          <cell r="C175" t="str">
            <v>Patrimony self-winding</v>
          </cell>
          <cell r="D175" t="str">
            <v>151,000 AED</v>
          </cell>
        </row>
        <row r="176">
          <cell r="B176" t="str">
            <v>4010U/000P-B545</v>
          </cell>
          <cell r="C176" t="str">
            <v>Patrimony moon phase retrograde date - Collection Excellence Platine</v>
          </cell>
          <cell r="D176" t="str">
            <v>276,000 AED</v>
          </cell>
        </row>
        <row r="177">
          <cell r="B177" t="str">
            <v>4600E/000R-B576</v>
          </cell>
          <cell r="C177" t="str">
            <v>Fiftysix self-winding</v>
          </cell>
          <cell r="D177" t="str">
            <v>96,500 AED</v>
          </cell>
        </row>
        <row r="178">
          <cell r="B178" t="str">
            <v>4000E/000R-B065</v>
          </cell>
          <cell r="C178" t="str">
            <v>Fiftysix complete calendar</v>
          </cell>
          <cell r="D178" t="str">
            <v>169,000 AED</v>
          </cell>
        </row>
        <row r="179">
          <cell r="B179" t="str">
            <v>4605F/000R-B496</v>
          </cell>
          <cell r="C179" t="str">
            <v>Égérie self-winding</v>
          </cell>
          <cell r="D179" t="str">
            <v>129,000 AED</v>
          </cell>
        </row>
        <row r="180">
          <cell r="B180" t="str">
            <v>8005F/000R-B498</v>
          </cell>
          <cell r="C180" t="str">
            <v>Égérie moon phase</v>
          </cell>
          <cell r="D180" t="str">
            <v>149,000 AED</v>
          </cell>
        </row>
        <row r="181">
          <cell r="B181" t="str">
            <v>8016F/126G-B499</v>
          </cell>
          <cell r="C181" t="str">
            <v>Égérie moon phase jewellery</v>
          </cell>
          <cell r="D181" t="str">
            <v>785,000 AED</v>
          </cell>
        </row>
        <row r="182">
          <cell r="B182" t="str">
            <v>8006F/000G-B499</v>
          </cell>
          <cell r="C182" t="str">
            <v>Égérie moon phase</v>
          </cell>
          <cell r="D182" t="str">
            <v>310,000 AED</v>
          </cell>
        </row>
        <row r="183">
          <cell r="B183" t="str">
            <v>8005F/120A-B497</v>
          </cell>
          <cell r="C183" t="str">
            <v>Égérie moon phase</v>
          </cell>
          <cell r="D183" t="str">
            <v>109,000 AED</v>
          </cell>
        </row>
        <row r="184">
          <cell r="B184" t="str">
            <v>4605F/110A-B495</v>
          </cell>
          <cell r="C184" t="str">
            <v>Egérie self-winding</v>
          </cell>
          <cell r="D184" t="str">
            <v>88,500 AED</v>
          </cell>
        </row>
        <row r="185">
          <cell r="B185" t="str">
            <v>1205F/000R-B622</v>
          </cell>
          <cell r="C185" t="str">
            <v>Égérie quartz</v>
          </cell>
          <cell r="D185" t="str">
            <v>81,000 AED</v>
          </cell>
        </row>
        <row r="186">
          <cell r="B186" t="str">
            <v>4300V/000R-B509</v>
          </cell>
          <cell r="C186" t="str">
            <v>Overseas perpetual calendar ultra-thin</v>
          </cell>
          <cell r="D186" t="str">
            <v>369,000 AED</v>
          </cell>
        </row>
        <row r="187">
          <cell r="B187" t="str">
            <v>6000V/110A-B544</v>
          </cell>
          <cell r="C187" t="str">
            <v>Overseas tourbillon</v>
          </cell>
          <cell r="D187" t="str">
            <v>515,000 AED</v>
          </cell>
        </row>
        <row r="188">
          <cell r="B188" t="str">
            <v>1205V/000R-B592</v>
          </cell>
          <cell r="C188" t="str">
            <v>Overseas quartz</v>
          </cell>
          <cell r="D188" t="str">
            <v>125,000 AED</v>
          </cell>
        </row>
        <row r="189">
          <cell r="B189" t="str">
            <v>1205V/100A-B590</v>
          </cell>
          <cell r="C189" t="str">
            <v>Overseas quartz</v>
          </cell>
          <cell r="D189" t="str">
            <v>62,500 AED</v>
          </cell>
        </row>
        <row r="190">
          <cell r="B190" t="str">
            <v>1205V/100A-B591</v>
          </cell>
          <cell r="C190" t="str">
            <v>Overseas quartz</v>
          </cell>
          <cell r="D190" t="str">
            <v>62,500 AED</v>
          </cell>
        </row>
        <row r="191">
          <cell r="B191" t="str">
            <v>85180/000R-B515</v>
          </cell>
          <cell r="C191" t="str">
            <v>Patrimony self-winding</v>
          </cell>
          <cell r="D191" t="str">
            <v>120,000 AED</v>
          </cell>
        </row>
        <row r="192">
          <cell r="B192" t="str">
            <v>4100U/000R-B643</v>
          </cell>
          <cell r="C192" t="str">
            <v>Patrimony self-winding</v>
          </cell>
          <cell r="D192" t="str">
            <v>102,000 AED</v>
          </cell>
        </row>
        <row r="193">
          <cell r="B193" t="str">
            <v>87172/000R-B690</v>
          </cell>
          <cell r="C193" t="str">
            <v>Traditionnelle self-winding</v>
          </cell>
          <cell r="D193" t="str">
            <v>116,000 AED</v>
          </cell>
        </row>
        <row r="194">
          <cell r="B194" t="str">
            <v>5000H/000A-B582</v>
          </cell>
          <cell r="C194" t="str">
            <v>Historiques Cornes de vache 1955</v>
          </cell>
          <cell r="D194" t="str">
            <v>180,000 AED</v>
          </cell>
        </row>
        <row r="195">
          <cell r="B195" t="str">
            <v>86073/000R-B520</v>
          </cell>
          <cell r="C195" t="str">
            <v>Métiers d'Art The legend of the Chinese zodiac - Year of the rat</v>
          </cell>
          <cell r="D195" t="str">
            <v>448,000 AED</v>
          </cell>
        </row>
        <row r="196">
          <cell r="B196" t="str">
            <v>86073/000P-B521</v>
          </cell>
          <cell r="C196" t="str">
            <v>Métiers d'Art The legend of the Chinese zodiac - Year of the rat</v>
          </cell>
          <cell r="D196" t="str">
            <v>545,000 AED</v>
          </cell>
        </row>
        <row r="197">
          <cell r="B197" t="str">
            <v>81180/000R-B518</v>
          </cell>
          <cell r="C197" t="str">
            <v>Patrimony manual-winding</v>
          </cell>
          <cell r="D197" t="str">
            <v>83,500 AED</v>
          </cell>
        </row>
        <row r="198">
          <cell r="B198" t="str">
            <v>43175/000R-B519</v>
          </cell>
          <cell r="C198" t="str">
            <v>Patrimony perpetual calendar ultra-thin</v>
          </cell>
          <cell r="D198" t="str">
            <v>333,000 AED</v>
          </cell>
        </row>
        <row r="199">
          <cell r="B199" t="str">
            <v>4000U/000R-B516</v>
          </cell>
          <cell r="C199" t="str">
            <v>Patrimony retrograde day-date</v>
          </cell>
          <cell r="D199" t="str">
            <v>187,000 AED</v>
          </cell>
        </row>
        <row r="200">
          <cell r="B200" t="str">
            <v>4600E/000R-B441</v>
          </cell>
          <cell r="C200" t="str">
            <v>Fiftysix self-winding</v>
          </cell>
          <cell r="D200" t="str">
            <v>96,500 AED</v>
          </cell>
        </row>
        <row r="201">
          <cell r="B201" t="str">
            <v>4600E/000A-B442</v>
          </cell>
          <cell r="C201" t="str">
            <v>Fiftysix self-winding</v>
          </cell>
          <cell r="D201" t="str">
            <v>48,000 AED</v>
          </cell>
        </row>
        <row r="202">
          <cell r="B202" t="str">
            <v>4400E/000R-B436</v>
          </cell>
          <cell r="C202" t="str">
            <v>Fiftysix day-date</v>
          </cell>
          <cell r="D202" t="str">
            <v>168,000 AED</v>
          </cell>
        </row>
        <row r="203">
          <cell r="B203" t="str">
            <v>4400E/000A-B437</v>
          </cell>
          <cell r="C203" t="str">
            <v>Fiftysix day-date</v>
          </cell>
          <cell r="D203" t="str">
            <v>104,000 AED</v>
          </cell>
        </row>
        <row r="204">
          <cell r="B204" t="str">
            <v>4000E/000R-B438</v>
          </cell>
          <cell r="C204" t="str">
            <v>Fiftysix complete calendar</v>
          </cell>
          <cell r="D204" t="str">
            <v>169,000 AED</v>
          </cell>
        </row>
        <row r="205">
          <cell r="B205" t="str">
            <v>4000E/000A-B439</v>
          </cell>
          <cell r="C205" t="str">
            <v>Fiftysix complete calendar</v>
          </cell>
          <cell r="D205" t="str">
            <v>104,000 AED</v>
          </cell>
        </row>
        <row r="206">
          <cell r="B206" t="str">
            <v>4600E/110A-B487</v>
          </cell>
          <cell r="C206" t="str">
            <v>Fiftysix self-winding</v>
          </cell>
          <cell r="D206" t="str">
            <v>58,500 AED</v>
          </cell>
        </row>
        <row r="207">
          <cell r="B207" t="str">
            <v>6000E/000R-B488</v>
          </cell>
          <cell r="C207" t="str">
            <v>Fiftysix tourbillon</v>
          </cell>
          <cell r="D207" t="str">
            <v>555,000 AED</v>
          </cell>
        </row>
        <row r="208">
          <cell r="B208" t="str">
            <v>4600E/000A-B487</v>
          </cell>
          <cell r="C208" t="str">
            <v>Fiftysix self-winding</v>
          </cell>
          <cell r="D208" t="str">
            <v>48,000 AED</v>
          </cell>
        </row>
        <row r="209">
          <cell r="B209" t="str">
            <v>4000E/000A-B548</v>
          </cell>
          <cell r="C209" t="str">
            <v>Fiftysix complete calendar</v>
          </cell>
          <cell r="D209" t="str">
            <v>104,000 AED</v>
          </cell>
        </row>
        <row r="210">
          <cell r="B210" t="str">
            <v>4010T/000R-B344</v>
          </cell>
          <cell r="C210" t="str">
            <v>Traditionnelle complete calendar</v>
          </cell>
          <cell r="D210" t="str">
            <v>172,000 AED</v>
          </cell>
        </row>
        <row r="211">
          <cell r="B211" t="str">
            <v>7900V/000R-B336</v>
          </cell>
          <cell r="C211" t="str">
            <v>Overseas dual time</v>
          </cell>
          <cell r="D211" t="str">
            <v>184,000 AED</v>
          </cell>
        </row>
        <row r="212">
          <cell r="B212" t="str">
            <v>4300V/000R-B064</v>
          </cell>
          <cell r="C212" t="str">
            <v>Overseas perpetual calendar ultra-thin</v>
          </cell>
          <cell r="D212" t="str">
            <v>369,000 AED</v>
          </cell>
        </row>
        <row r="213">
          <cell r="B213" t="str">
            <v>5500V/110A-B481</v>
          </cell>
          <cell r="C213" t="str">
            <v>Overseas chronograph</v>
          </cell>
          <cell r="D213" t="str">
            <v>135,000 AED</v>
          </cell>
        </row>
        <row r="214">
          <cell r="B214" t="str">
            <v>4300V/120R-B064</v>
          </cell>
          <cell r="C214" t="str">
            <v>Overseas perpetual calendar ultra-thin</v>
          </cell>
          <cell r="D214" t="str">
            <v>442,000 AED</v>
          </cell>
        </row>
        <row r="215">
          <cell r="B215" t="str">
            <v>86073/000R-B428</v>
          </cell>
          <cell r="C215" t="str">
            <v>Métiers d'Art The legend of the Chinese zodiac - Year of the pig</v>
          </cell>
          <cell r="D215" t="str">
            <v>448,000 AED</v>
          </cell>
        </row>
        <row r="216">
          <cell r="B216" t="str">
            <v>86073/000P-B429</v>
          </cell>
          <cell r="C216" t="str">
            <v>Métiers d'Art The legend of the Chinese zodiac - Year of the pig</v>
          </cell>
          <cell r="D216" t="str">
            <v>545,000 AED</v>
          </cell>
        </row>
        <row r="217">
          <cell r="B217" t="str">
            <v>4500V/110A-B483</v>
          </cell>
          <cell r="C217" t="str">
            <v>Overseas self-winding</v>
          </cell>
          <cell r="D217" t="str">
            <v>94,500 AED</v>
          </cell>
        </row>
        <row r="218">
          <cell r="B218" t="str">
            <v>4100U/001G-B181</v>
          </cell>
          <cell r="C218" t="str">
            <v>Patrimony self-winding</v>
          </cell>
          <cell r="D218" t="str">
            <v>102,000 AED</v>
          </cell>
        </row>
        <row r="219">
          <cell r="B219" t="str">
            <v>4100U/000G-B181</v>
          </cell>
          <cell r="C219" t="str">
            <v>Patrimony self-winding</v>
          </cell>
          <cell r="D219" t="str">
            <v>102,000 AED</v>
          </cell>
        </row>
        <row r="220">
          <cell r="B220" t="str">
            <v>6500T/000R-B324</v>
          </cell>
          <cell r="C220" t="str">
            <v>Traditionnelle minute repeater tourbillon</v>
          </cell>
          <cell r="D220" t="str">
            <v>2,050,000 AED</v>
          </cell>
        </row>
        <row r="221">
          <cell r="B221" t="str">
            <v>6000T/000R-B346</v>
          </cell>
          <cell r="C221" t="str">
            <v>Traditionnelle tourbillon</v>
          </cell>
          <cell r="D221" t="str">
            <v>560,000 AED</v>
          </cell>
        </row>
        <row r="222">
          <cell r="B222" t="str">
            <v>7900V/110A-B334</v>
          </cell>
          <cell r="C222" t="str">
            <v>Overseas dual time</v>
          </cell>
          <cell r="D222" t="str">
            <v>117,000 AED</v>
          </cell>
        </row>
        <row r="223">
          <cell r="B223" t="str">
            <v>7900V/110A-B333</v>
          </cell>
          <cell r="C223" t="str">
            <v>Overseas dual time</v>
          </cell>
          <cell r="D223" t="str">
            <v>117,000 AED</v>
          </cell>
        </row>
        <row r="224">
          <cell r="B224" t="str">
            <v>1100S/000R-B430</v>
          </cell>
          <cell r="C224" t="str">
            <v>Historiques American 1921</v>
          </cell>
          <cell r="D224" t="str">
            <v>127,000 AED</v>
          </cell>
        </row>
        <row r="225">
          <cell r="B225" t="str">
            <v>3110V/000A-B426</v>
          </cell>
          <cell r="C225" t="str">
            <v>Historiques Triple calendrier 1942</v>
          </cell>
          <cell r="D225" t="str">
            <v>91,000 AED</v>
          </cell>
        </row>
        <row r="226">
          <cell r="B226" t="str">
            <v>3110V/000A-B425</v>
          </cell>
          <cell r="C226" t="str">
            <v>Historiques Triple calendrier 1942</v>
          </cell>
          <cell r="D226" t="str">
            <v>91,000 AED</v>
          </cell>
        </row>
        <row r="227">
          <cell r="B227" t="str">
            <v>6500T/000P-B100</v>
          </cell>
          <cell r="C227" t="str">
            <v>Traditionnelle minute repeater tourbillon</v>
          </cell>
          <cell r="D227" t="str">
            <v>2,280,000 AED</v>
          </cell>
        </row>
        <row r="228">
          <cell r="B228" t="str">
            <v>6500T/000P-9949</v>
          </cell>
          <cell r="C228" t="str">
            <v>Traditionnelle minute repeater tourbillon</v>
          </cell>
          <cell r="D228" t="str">
            <v>2,280,000 AED</v>
          </cell>
        </row>
        <row r="229">
          <cell r="B229" t="str">
            <v>86073/000R-B256</v>
          </cell>
          <cell r="C229" t="str">
            <v>Métiers d'Art The legend of the Chinese zodiac - Year of the dog</v>
          </cell>
          <cell r="D229" t="str">
            <v>448,000 AED</v>
          </cell>
        </row>
        <row r="230">
          <cell r="B230" t="str">
            <v>43175/000R-B343</v>
          </cell>
          <cell r="C230" t="str">
            <v>Patrimony perpetual calendar ultra-thin</v>
          </cell>
          <cell r="D230" t="str">
            <v>333,000 AED</v>
          </cell>
        </row>
        <row r="231">
          <cell r="B231" t="str">
            <v>1110U/000P-B306</v>
          </cell>
          <cell r="C231" t="str">
            <v>Patrimony manual-winding - Collection Excellence Platine</v>
          </cell>
          <cell r="D231" t="str">
            <v>158,000 AED</v>
          </cell>
        </row>
        <row r="232">
          <cell r="B232" t="str">
            <v>43075/000R-B404</v>
          </cell>
          <cell r="C232" t="str">
            <v>Traditionnelle self-winding ultra-thin</v>
          </cell>
          <cell r="D232" t="str">
            <v>116,000 AED</v>
          </cell>
        </row>
        <row r="233">
          <cell r="B233" t="str">
            <v>30110/000P-B108</v>
          </cell>
          <cell r="C233" t="str">
            <v>Patrimony minute repeater ultra-thin - Collection Excellence Platine</v>
          </cell>
          <cell r="D233" t="str">
            <v>1,420,000 AED</v>
          </cell>
        </row>
        <row r="234">
          <cell r="B234" t="str">
            <v>1110U/000R-B085</v>
          </cell>
          <cell r="C234" t="str">
            <v>Patrimony manual-winding</v>
          </cell>
          <cell r="D234" t="str">
            <v>92,500 AED</v>
          </cell>
        </row>
        <row r="235">
          <cell r="B235" t="str">
            <v>1110U/000G-B086</v>
          </cell>
          <cell r="C235" t="str">
            <v>Patrimony manual-winding</v>
          </cell>
          <cell r="D235" t="str">
            <v>92,500 AED</v>
          </cell>
        </row>
        <row r="236">
          <cell r="B236" t="str">
            <v>1110U/000P-B087</v>
          </cell>
          <cell r="C236" t="str">
            <v>Patrimony manual-winding</v>
          </cell>
          <cell r="D236" t="str">
            <v>125,000 AED</v>
          </cell>
        </row>
        <row r="237">
          <cell r="B237" t="str">
            <v>81180/CB1R-9159</v>
          </cell>
          <cell r="C237" t="str">
            <v>Patrimony manual-winding</v>
          </cell>
          <cell r="D237" t="str">
            <v>133,000 AED</v>
          </cell>
        </row>
        <row r="238">
          <cell r="B238" t="str">
            <v>4000U/000R-B111</v>
          </cell>
          <cell r="C238" t="str">
            <v>Patrimony retrograde day-date</v>
          </cell>
          <cell r="D238" t="str">
            <v>187,000 AED</v>
          </cell>
        </row>
        <row r="239">
          <cell r="B239" t="str">
            <v>4000U/000R-B110</v>
          </cell>
          <cell r="C239" t="str">
            <v>Patrimony retrograde day-date</v>
          </cell>
          <cell r="D239" t="str">
            <v>187,000 AED</v>
          </cell>
        </row>
        <row r="240">
          <cell r="B240" t="str">
            <v>4000U/000G-B112</v>
          </cell>
          <cell r="C240" t="str">
            <v>Patrimony retrograde day-date</v>
          </cell>
          <cell r="D240" t="str">
            <v>187,000 AED</v>
          </cell>
        </row>
        <row r="241">
          <cell r="B241" t="str">
            <v>4010U/000R-B329</v>
          </cell>
          <cell r="C241" t="str">
            <v>Patrimony moon phase retrograde date</v>
          </cell>
          <cell r="D241" t="str">
            <v>187,000 AED</v>
          </cell>
        </row>
        <row r="242">
          <cell r="B242" t="str">
            <v>4100U/001R-B180</v>
          </cell>
          <cell r="C242" t="str">
            <v>Patrimony self-winding</v>
          </cell>
          <cell r="D242" t="str">
            <v>102,000 AED</v>
          </cell>
        </row>
        <row r="243">
          <cell r="B243" t="str">
            <v>4100U/000R-B180</v>
          </cell>
          <cell r="C243" t="str">
            <v>Patrimony self-winding</v>
          </cell>
          <cell r="D243" t="str">
            <v>102,000 AED</v>
          </cell>
        </row>
        <row r="244">
          <cell r="B244" t="str">
            <v>4010U/000G-B330</v>
          </cell>
          <cell r="C244" t="str">
            <v>Patrimony moon phase retrograde date</v>
          </cell>
          <cell r="D244" t="str">
            <v>187,000 AED</v>
          </cell>
        </row>
        <row r="245">
          <cell r="B245" t="str">
            <v>82172/000R-B402</v>
          </cell>
          <cell r="C245" t="str">
            <v>Traditionnelle manual-winding</v>
          </cell>
          <cell r="D245" t="str">
            <v>89,500 AED</v>
          </cell>
        </row>
        <row r="246">
          <cell r="B246" t="str">
            <v>5000T/000R-B304</v>
          </cell>
          <cell r="C246" t="str">
            <v>Traditionnelle perpetual calendar chronograph</v>
          </cell>
          <cell r="D246" t="str">
            <v>467,000 AED</v>
          </cell>
        </row>
        <row r="247">
          <cell r="B247" t="str">
            <v>87172/000R-B403</v>
          </cell>
          <cell r="C247" t="str">
            <v>Traditionnelle self-winding</v>
          </cell>
          <cell r="D247" t="str">
            <v>115,000 AED</v>
          </cell>
        </row>
        <row r="248">
          <cell r="B248" t="str">
            <v>85290/000R-B405</v>
          </cell>
          <cell r="C248" t="str">
            <v>Traditionnelle day-date</v>
          </cell>
          <cell r="D248" t="str">
            <v>182,000 AED</v>
          </cell>
        </row>
        <row r="249">
          <cell r="B249" t="str">
            <v>7000M/000R-B109</v>
          </cell>
          <cell r="C249" t="str">
            <v>Malte moon phase</v>
          </cell>
          <cell r="D249" t="str">
            <v>153,000 AED</v>
          </cell>
        </row>
        <row r="250">
          <cell r="B250" t="str">
            <v>30130/000R-B289</v>
          </cell>
          <cell r="C250" t="str">
            <v>Malte tourbillon</v>
          </cell>
          <cell r="D250" t="str">
            <v>665,000 AED</v>
          </cell>
        </row>
        <row r="251">
          <cell r="B251" t="str">
            <v>81015/000R-B282</v>
          </cell>
          <cell r="C251" t="str">
            <v>Malte manual-winding</v>
          </cell>
          <cell r="D251" t="str">
            <v>83,000 AED</v>
          </cell>
        </row>
        <row r="252">
          <cell r="B252" t="str">
            <v>5500V/000R-B074</v>
          </cell>
          <cell r="C252" t="str">
            <v>Overseas chronograph</v>
          </cell>
          <cell r="D252" t="str">
            <v>206,000 AED</v>
          </cell>
        </row>
        <row r="253">
          <cell r="B253" t="str">
            <v>5500V/110A-B148</v>
          </cell>
          <cell r="C253" t="str">
            <v>Overseas chronograph</v>
          </cell>
          <cell r="D253" t="str">
            <v>135,000 AED</v>
          </cell>
        </row>
        <row r="254">
          <cell r="B254" t="str">
            <v>4500V/000R-B127</v>
          </cell>
          <cell r="C254" t="str">
            <v>Overseas self-winding</v>
          </cell>
          <cell r="D254" t="str">
            <v>153,000 AED</v>
          </cell>
        </row>
        <row r="255">
          <cell r="B255" t="str">
            <v>4500V/110A-B128</v>
          </cell>
          <cell r="C255" t="str">
            <v>Overseas self-winding</v>
          </cell>
          <cell r="D255" t="str">
            <v>94,500 AED</v>
          </cell>
        </row>
        <row r="256">
          <cell r="B256" t="str">
            <v>4500V/110A-B126</v>
          </cell>
          <cell r="C256" t="str">
            <v>Overseas self-winding</v>
          </cell>
          <cell r="D256" t="str">
            <v>94,500 AED</v>
          </cell>
        </row>
        <row r="257">
          <cell r="B257" t="str">
            <v>2305V/000R-B077</v>
          </cell>
          <cell r="C257" t="str">
            <v>Overseas self-winding</v>
          </cell>
          <cell r="D257" t="str">
            <v>167,000 AED</v>
          </cell>
        </row>
        <row r="258">
          <cell r="B258" t="str">
            <v>2305V/100R-B077</v>
          </cell>
          <cell r="C258" t="str">
            <v>Overseas self-winding</v>
          </cell>
          <cell r="D258" t="str">
            <v>216,000 AED</v>
          </cell>
        </row>
        <row r="259">
          <cell r="B259" t="str">
            <v>2305V/100A-B170</v>
          </cell>
          <cell r="C259" t="str">
            <v>Overseas self-winding</v>
          </cell>
          <cell r="D259" t="str">
            <v>112,000 AED</v>
          </cell>
        </row>
        <row r="260">
          <cell r="B260" t="str">
            <v>2305V/100A-B078</v>
          </cell>
          <cell r="C260" t="str">
            <v>Overseas self-winding</v>
          </cell>
          <cell r="D260" t="str">
            <v>112,000 AED</v>
          </cell>
        </row>
        <row r="261">
          <cell r="B261" t="str">
            <v>7700V/110A-B176</v>
          </cell>
          <cell r="C261" t="str">
            <v>Overseas world time</v>
          </cell>
          <cell r="D261" t="str">
            <v>148,000 AED</v>
          </cell>
        </row>
        <row r="262">
          <cell r="B262" t="str">
            <v>82035/000P-B168</v>
          </cell>
          <cell r="C262" t="str">
            <v>Historiques American 1921</v>
          </cell>
          <cell r="D262" t="str">
            <v>189,000 AED</v>
          </cell>
        </row>
        <row r="263">
          <cell r="B263" t="str">
            <v>5000H/000R-B059</v>
          </cell>
          <cell r="C263" t="str">
            <v>Historiques Cornes de vache 1955</v>
          </cell>
          <cell r="D263" t="str">
            <v>242,000 AED</v>
          </cell>
        </row>
        <row r="264">
          <cell r="B264" t="str">
            <v>7700V/110A-B172</v>
          </cell>
          <cell r="C264" t="str">
            <v>Overseas world time</v>
          </cell>
          <cell r="D264" t="str">
            <v>148,000 AED</v>
          </cell>
        </row>
        <row r="265">
          <cell r="B265" t="str">
            <v>7700V/110A-B129</v>
          </cell>
          <cell r="C265" t="str">
            <v>Overseas world time</v>
          </cell>
          <cell r="D265" t="str">
            <v>148,000 AED</v>
          </cell>
        </row>
        <row r="266">
          <cell r="B266" t="str">
            <v>25558/000R-B156</v>
          </cell>
          <cell r="C266" t="str">
            <v>Traditionnelle quartz</v>
          </cell>
          <cell r="D266" t="str">
            <v>72,500 AED</v>
          </cell>
        </row>
        <row r="267">
          <cell r="B267" t="str">
            <v>25558/000G-B157</v>
          </cell>
          <cell r="C267" t="str">
            <v>Traditionnelle quartz</v>
          </cell>
          <cell r="D267" t="str">
            <v>72,500 AED</v>
          </cell>
        </row>
        <row r="268">
          <cell r="B268" t="str">
            <v>5000T/000P-B048</v>
          </cell>
          <cell r="C268" t="str">
            <v>Traditionnelle perpetual calendar chronograph</v>
          </cell>
          <cell r="D268" t="str">
            <v>680,000 AED</v>
          </cell>
        </row>
        <row r="269">
          <cell r="B269" t="str">
            <v>5000H/000P-B058</v>
          </cell>
          <cell r="C269" t="str">
            <v>Historiques Cornes de vache 1955</v>
          </cell>
          <cell r="D269" t="str">
            <v>287,000 AED</v>
          </cell>
        </row>
        <row r="270">
          <cell r="B270" t="str">
            <v>86073/000P-8972</v>
          </cell>
          <cell r="C270" t="str">
            <v>Métiers d'Art The legend of the Chinese zodiac - 2016, year of the monkey</v>
          </cell>
          <cell r="D270" t="str">
            <v>545,000 AED</v>
          </cell>
        </row>
        <row r="271">
          <cell r="B271" t="str">
            <v>37640/000G-B021</v>
          </cell>
          <cell r="C271" t="str">
            <v>Heures Créatives Heure Romantique</v>
          </cell>
          <cell r="D271" t="str">
            <v>279,000 AED</v>
          </cell>
        </row>
        <row r="272">
          <cell r="B272" t="str">
            <v>37640/000G-B030</v>
          </cell>
          <cell r="C272" t="str">
            <v>Heures Créatives Heure Romantique</v>
          </cell>
          <cell r="D272" t="str">
            <v>237,000 AED</v>
          </cell>
        </row>
        <row r="273">
          <cell r="B273" t="str">
            <v>37660/000G-B028</v>
          </cell>
          <cell r="C273" t="str">
            <v>Heures Créatives Heure Audacieuse</v>
          </cell>
          <cell r="D273" t="str">
            <v>640,000 AED</v>
          </cell>
        </row>
        <row r="274">
          <cell r="B274" t="str">
            <v>85515/000R-9840</v>
          </cell>
          <cell r="C274" t="str">
            <v>Patrimony self-winding</v>
          </cell>
          <cell r="D274" t="str">
            <v>151,000 AED</v>
          </cell>
        </row>
        <row r="275">
          <cell r="B275" t="str">
            <v>30110/000P-9999</v>
          </cell>
          <cell r="C275" t="str">
            <v>Patrimony minute repeater ultra-thin</v>
          </cell>
          <cell r="D275" t="str">
            <v>1,340,000 AED</v>
          </cell>
        </row>
        <row r="276">
          <cell r="B276" t="str">
            <v>82230/000R-9963</v>
          </cell>
          <cell r="C276" t="str">
            <v>Malte manual-winding</v>
          </cell>
          <cell r="D276" t="str">
            <v>106,000 AED</v>
          </cell>
        </row>
        <row r="277">
          <cell r="B277" t="str">
            <v>82230/000G-9962</v>
          </cell>
          <cell r="C277" t="str">
            <v>Malte manual-winding</v>
          </cell>
          <cell r="D277" t="str">
            <v>106,000 AED</v>
          </cell>
        </row>
        <row r="278">
          <cell r="B278" t="str">
            <v>30135/000P-9842</v>
          </cell>
          <cell r="C278" t="str">
            <v>Malte tourbillon skeleton</v>
          </cell>
          <cell r="D278" t="str">
            <v>930,000 AED</v>
          </cell>
        </row>
        <row r="279">
          <cell r="B279" t="str">
            <v>82230/000G-9185</v>
          </cell>
          <cell r="C279" t="str">
            <v>Malte manual-winding</v>
          </cell>
          <cell r="D279" t="str">
            <v>106,000 AED</v>
          </cell>
        </row>
        <row r="280">
          <cell r="B280" t="str">
            <v>85515/000G-9841</v>
          </cell>
          <cell r="C280" t="str">
            <v>Patrimony self-winding</v>
          </cell>
          <cell r="D280" t="str">
            <v>151,000 AED</v>
          </cell>
        </row>
        <row r="281">
          <cell r="B281" t="str">
            <v>81590/000R-9847</v>
          </cell>
          <cell r="C281" t="str">
            <v>Traditionnelle manual-winding</v>
          </cell>
          <cell r="D281" t="str">
            <v>112,000 AED</v>
          </cell>
        </row>
        <row r="282">
          <cell r="B282" t="str">
            <v>81590/000G-9848</v>
          </cell>
          <cell r="C282" t="str">
            <v>Traditionnelle manual-winding</v>
          </cell>
          <cell r="D282" t="str">
            <v>112,000 AED</v>
          </cell>
        </row>
        <row r="283">
          <cell r="B283" t="str">
            <v>82172/000R-9888</v>
          </cell>
          <cell r="C283" t="str">
            <v>Traditionnelle manual-winding</v>
          </cell>
          <cell r="D283" t="str">
            <v>89,500 AED</v>
          </cell>
        </row>
        <row r="284">
          <cell r="B284" t="str">
            <v>81761/QB1G-9862</v>
          </cell>
          <cell r="C284" t="str">
            <v>Traditionnelle manual-winding jewellery</v>
          </cell>
          <cell r="D284" t="str">
            <v>3,920,000 AED</v>
          </cell>
        </row>
        <row r="285">
          <cell r="B285" t="str">
            <v>82761/QC1G-9852</v>
          </cell>
          <cell r="C285" t="str">
            <v>Traditionnelle manual-winding jewellery</v>
          </cell>
          <cell r="D285" t="str">
            <v>4,530,000 AED</v>
          </cell>
        </row>
        <row r="286">
          <cell r="B286" t="str">
            <v>85290/000R-9969</v>
          </cell>
          <cell r="C286" t="str">
            <v>Traditionnelle day-date</v>
          </cell>
          <cell r="D286" t="str">
            <v>182,000 AED</v>
          </cell>
        </row>
        <row r="287">
          <cell r="B287" t="str">
            <v>83570/000G-9916</v>
          </cell>
          <cell r="C287" t="str">
            <v>Traditionnelle moon phase</v>
          </cell>
          <cell r="D287" t="str">
            <v>171,000 AED</v>
          </cell>
        </row>
        <row r="288">
          <cell r="B288" t="str">
            <v>83520/000R-9909</v>
          </cell>
          <cell r="C288" t="str">
            <v>Traditionnelle manual-winding</v>
          </cell>
          <cell r="D288" t="str">
            <v>143,000 AED</v>
          </cell>
        </row>
        <row r="289">
          <cell r="B289" t="str">
            <v>83020/000R-9909</v>
          </cell>
          <cell r="C289" t="str">
            <v>Traditionnelle manual-winding</v>
          </cell>
          <cell r="D289" t="str">
            <v>135,000 AED</v>
          </cell>
        </row>
        <row r="290">
          <cell r="B290" t="str">
            <v>83570/000R-9915</v>
          </cell>
          <cell r="C290" t="str">
            <v>Traditionnelle moon phase</v>
          </cell>
          <cell r="D290" t="str">
            <v>171,000 AED</v>
          </cell>
        </row>
        <row r="291">
          <cell r="B291" t="str">
            <v>30110/000R-9793</v>
          </cell>
          <cell r="C291" t="str">
            <v>Patrimony minute repeater ultra-thin</v>
          </cell>
          <cell r="D291" t="str">
            <v>1,220,000 AED</v>
          </cell>
        </row>
        <row r="292">
          <cell r="B292" t="str">
            <v>81180/000R-9162</v>
          </cell>
          <cell r="C292" t="str">
            <v>Patrimony manual-winding</v>
          </cell>
          <cell r="D292" t="str">
            <v>83,500 AED</v>
          </cell>
        </row>
        <row r="293">
          <cell r="B293" t="str">
            <v>81515/000R-9892</v>
          </cell>
          <cell r="C293" t="str">
            <v>Malte manual-winding</v>
          </cell>
          <cell r="D293" t="str">
            <v>137,000 AED</v>
          </cell>
        </row>
        <row r="294">
          <cell r="B294" t="str">
            <v>81515/000G-9891</v>
          </cell>
          <cell r="C294" t="str">
            <v>Malte manual-winding</v>
          </cell>
          <cell r="D294" t="str">
            <v>137,000 AED</v>
          </cell>
        </row>
        <row r="295">
          <cell r="B295" t="str">
            <v>81510/000G-9895</v>
          </cell>
          <cell r="C295" t="str">
            <v>Malte manual-winding</v>
          </cell>
          <cell r="D295" t="str">
            <v>237,000 AED</v>
          </cell>
        </row>
        <row r="296">
          <cell r="B296" t="str">
            <v>82572/000R-9604</v>
          </cell>
          <cell r="C296" t="str">
            <v>Traditionnelle manual-winding</v>
          </cell>
          <cell r="D296" t="str">
            <v>129,000 AED</v>
          </cell>
        </row>
        <row r="297">
          <cell r="B297" t="str">
            <v>82572/000G-9605</v>
          </cell>
          <cell r="C297" t="str">
            <v>Traditionnelle manual-winding</v>
          </cell>
          <cell r="D297" t="str">
            <v>129,000 AED</v>
          </cell>
        </row>
        <row r="298">
          <cell r="B298" t="str">
            <v>43075/000R-9737</v>
          </cell>
          <cell r="C298" t="str">
            <v>Traditionnelle self-winding ultra-thin</v>
          </cell>
          <cell r="D298" t="str">
            <v>116,000 AED</v>
          </cell>
        </row>
        <row r="299">
          <cell r="B299" t="str">
            <v>82172/000P-9811</v>
          </cell>
          <cell r="C299" t="str">
            <v>Traditionnelle manual-winding</v>
          </cell>
          <cell r="D299" t="str">
            <v>103,000 AED</v>
          </cell>
        </row>
        <row r="300">
          <cell r="B300" t="str">
            <v>81760/000G-9862</v>
          </cell>
          <cell r="C300" t="str">
            <v>Traditionnelle manual-winding jewellery</v>
          </cell>
          <cell r="D300" t="str">
            <v>1,180,000 AED</v>
          </cell>
        </row>
        <row r="301">
          <cell r="B301" t="str">
            <v>85520/000R-9850</v>
          </cell>
          <cell r="C301" t="str">
            <v>Traditionnelle self-winding</v>
          </cell>
          <cell r="D301" t="str">
            <v>133,000 AED</v>
          </cell>
        </row>
        <row r="302">
          <cell r="B302" t="str">
            <v>30130/000R-9754</v>
          </cell>
          <cell r="C302" t="str">
            <v>Malte tourbillon</v>
          </cell>
          <cell r="D302" t="str">
            <v>665,000 AED</v>
          </cell>
        </row>
        <row r="303">
          <cell r="B303" t="str">
            <v>25530/000G-9801</v>
          </cell>
          <cell r="C303" t="str">
            <v>Malte quartz</v>
          </cell>
          <cell r="D303" t="str">
            <v>121,000 AED</v>
          </cell>
        </row>
        <row r="304">
          <cell r="B304" t="str">
            <v>25530/000G-9741</v>
          </cell>
          <cell r="C304" t="str">
            <v>Malte quartz</v>
          </cell>
          <cell r="D304" t="str">
            <v>84,500 AED</v>
          </cell>
        </row>
        <row r="305">
          <cell r="B305" t="str">
            <v>17626/S13G-9479</v>
          </cell>
          <cell r="C305" t="str">
            <v>Métiers d'Art Kalla Haute Couture à Pampilles</v>
          </cell>
          <cell r="D305" t="str">
            <v>2,770,000 AED</v>
          </cell>
        </row>
        <row r="306">
          <cell r="B306" t="str">
            <v>81180/000J-9118</v>
          </cell>
          <cell r="C306" t="str">
            <v>Patrimony manual-winding</v>
          </cell>
          <cell r="D306" t="str">
            <v>83,500 AED</v>
          </cell>
        </row>
        <row r="307">
          <cell r="B307" t="str">
            <v>81180/000G-9117</v>
          </cell>
          <cell r="C307" t="str">
            <v>Patrimony manual-winding</v>
          </cell>
          <cell r="D307" t="str">
            <v>83,500 AED</v>
          </cell>
        </row>
        <row r="308">
          <cell r="B308" t="str">
            <v>81180/000R-9159</v>
          </cell>
          <cell r="C308" t="str">
            <v>Patrimony manual-winding</v>
          </cell>
          <cell r="D308" t="str">
            <v>83,500 AED</v>
          </cell>
        </row>
        <row r="309">
          <cell r="B309" t="str">
            <v>85180/000J-9231</v>
          </cell>
          <cell r="C309" t="str">
            <v>Patrimony self-winding</v>
          </cell>
          <cell r="D309" t="str">
            <v>120,000 AED</v>
          </cell>
        </row>
        <row r="310">
          <cell r="B310" t="str">
            <v>85180/000G-9230</v>
          </cell>
          <cell r="C310" t="str">
            <v>Patrimony self-winding</v>
          </cell>
          <cell r="D310" t="str">
            <v>120,000 AED</v>
          </cell>
        </row>
        <row r="311">
          <cell r="B311" t="str">
            <v>85180/000R-9248</v>
          </cell>
          <cell r="C311" t="str">
            <v>Patrimony self-winding</v>
          </cell>
          <cell r="D311" t="str">
            <v>120,000 AED</v>
          </cell>
        </row>
        <row r="312">
          <cell r="B312" t="str">
            <v>81180/000R-9283</v>
          </cell>
          <cell r="C312" t="str">
            <v>Patrimony manual-winding</v>
          </cell>
          <cell r="D312" t="str">
            <v>83,500 AED</v>
          </cell>
        </row>
        <row r="313">
          <cell r="B313" t="str">
            <v>81180/000P-9539</v>
          </cell>
          <cell r="C313" t="str">
            <v>Patrimony manual-winding</v>
          </cell>
          <cell r="D313" t="str">
            <v>107,000 AED</v>
          </cell>
        </row>
        <row r="314">
          <cell r="B314" t="str">
            <v>81530/000R-9682</v>
          </cell>
          <cell r="C314" t="str">
            <v>Patrimony manual-winding</v>
          </cell>
          <cell r="D314" t="str">
            <v>102,000 AED</v>
          </cell>
        </row>
        <row r="315">
          <cell r="B315" t="str">
            <v>81530/000G-9681</v>
          </cell>
          <cell r="C315" t="str">
            <v>Patrimony manual-winding</v>
          </cell>
          <cell r="D315" t="str">
            <v>102,000 AED</v>
          </cell>
        </row>
        <row r="316">
          <cell r="B316" t="str">
            <v>43175/000R-9687</v>
          </cell>
          <cell r="C316" t="str">
            <v>Patrimony perpetual calendar ultra-thin</v>
          </cell>
          <cell r="D316" t="str">
            <v>333,000 AED</v>
          </cell>
        </row>
        <row r="317">
          <cell r="B317" t="str">
            <v>82035/000R-9359</v>
          </cell>
          <cell r="C317" t="str">
            <v>Historiques American 1921</v>
          </cell>
          <cell r="D317" t="str">
            <v>153,000 AED</v>
          </cell>
        </row>
        <row r="318">
          <cell r="B318" t="str">
            <v>33155/000R-9588</v>
          </cell>
          <cell r="C318" t="str">
            <v>Historiques Ultra-fine 1955</v>
          </cell>
          <cell r="D318" t="str">
            <v>123,000 AED</v>
          </cell>
        </row>
        <row r="319">
          <cell r="B319" t="str">
            <v>87172/000R-9302</v>
          </cell>
          <cell r="C319" t="str">
            <v>Traditionnelle self-winding</v>
          </cell>
          <cell r="D319" t="str">
            <v>115,000 AED</v>
          </cell>
        </row>
        <row r="320">
          <cell r="B320" t="str">
            <v>87172/000G-9301</v>
          </cell>
          <cell r="C320" t="str">
            <v>Traditionnelle self-winding</v>
          </cell>
          <cell r="D320" t="str">
            <v>115,000 AED</v>
          </cell>
        </row>
        <row r="321">
          <cell r="B321" t="str">
            <v>80172/000R-9300</v>
          </cell>
          <cell r="C321" t="str">
            <v>Traditionnelle Grandes Complications</v>
          </cell>
          <cell r="D321" t="str">
            <v>2,770,000 AED</v>
          </cell>
        </row>
        <row r="322">
          <cell r="B322" t="str">
            <v>82172/000R-9382</v>
          </cell>
          <cell r="C322" t="str">
            <v>Traditionnelle manual-winding</v>
          </cell>
          <cell r="D322" t="str">
            <v>89,500 AED</v>
          </cell>
        </row>
        <row r="323">
          <cell r="B323" t="str">
            <v>87172/000J-9512</v>
          </cell>
          <cell r="C323" t="str">
            <v>Traditionnelle self-winding</v>
          </cell>
          <cell r="D323" t="str">
            <v>115,000 AED</v>
          </cell>
        </row>
        <row r="324">
          <cell r="B324" t="str">
            <v>82172/000G-9383</v>
          </cell>
          <cell r="C324" t="str">
            <v>Traditionnelle manual-winding</v>
          </cell>
          <cell r="D324" t="str">
            <v>89,500 AED</v>
          </cell>
        </row>
        <row r="325">
          <cell r="B325" t="str">
            <v>80172/000P-9505</v>
          </cell>
          <cell r="C325" t="str">
            <v>Traditionnelle Grandes Complications</v>
          </cell>
          <cell r="D325" t="str">
            <v>2,920,000 AED</v>
          </cell>
        </row>
        <row r="326">
          <cell r="B326" t="str">
            <v>17625/S12G-9479</v>
          </cell>
          <cell r="C326" t="str">
            <v>Métiers d'Art Kalla Haute Couture à Secret</v>
          </cell>
          <cell r="D326" t="str">
            <v>3,820,000 AED</v>
          </cell>
        </row>
        <row r="327">
          <cell r="B327" t="str">
            <v>82035/000P-H063</v>
          </cell>
          <cell r="C327" t="str">
            <v>Historiques American 1921 (Arabic Numerals)</v>
          </cell>
          <cell r="D327" t="str">
            <v xml:space="preserve"> 192,000 AED</v>
          </cell>
        </row>
        <row r="328">
          <cell r="B328" t="str">
            <v>4020T/000P-H038</v>
          </cell>
          <cell r="C328" t="str">
            <v>Traditionnelle complete calendar openface</v>
          </cell>
          <cell r="D328" t="str">
            <v>263,000 AED</v>
          </cell>
        </row>
        <row r="329">
          <cell r="B329" t="str">
            <v>9720C/000P-126C</v>
          </cell>
          <cell r="C329" t="str">
            <v>Celestia Astronomical Grand Complication (set for Dubai)</v>
          </cell>
          <cell r="D329">
            <v>7100000</v>
          </cell>
        </row>
        <row r="330">
          <cell r="B330" t="str">
            <v>1420C/000J-161C</v>
          </cell>
          <cell r="C330" t="str">
            <v>Miniature - Ode to Amaterasu</v>
          </cell>
          <cell r="D330">
            <v>1180000</v>
          </cell>
        </row>
        <row r="331">
          <cell r="B331" t="str">
            <v>6057/000G-H067</v>
          </cell>
          <cell r="C331" t="str">
            <v>Traditionnelle tourbillon high jewellery</v>
          </cell>
          <cell r="D331">
            <v>2720000</v>
          </cell>
        </row>
        <row r="332">
          <cell r="B332" t="str">
            <v>9870C/000T-181C</v>
          </cell>
          <cell r="C332" t="str">
            <v>Armillary tourbillon</v>
          </cell>
          <cell r="D332">
            <v>2630000</v>
          </cell>
        </row>
        <row r="333">
          <cell r="B333" t="str">
            <v>6007V/210G-B955</v>
          </cell>
          <cell r="C333" t="str">
            <v>Overseas tourbillon high jewellery</v>
          </cell>
          <cell r="D333">
            <v>1020000</v>
          </cell>
        </row>
      </sheetData>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Relationships>
</file>

<file path=xl/pivotCache/pivotCacheDefinition1.xml><?xml version="1.0" encoding="utf-8"?>
<pivotCacheDefinition xmlns:r="http://schemas.openxmlformats.org/officeDocument/2006/relationships" xmlns="http://schemas.openxmlformats.org/spreadsheetml/2006/main" refreshedBy="Excel Services" refreshedDate="45854.5718306713" createdVersion="8" refreshedVersion="8" minRefreshableVersion="3" recordCount="564" r:id="rId1">
  <cacheSource type="worksheet">
    <worksheetSource name="OpenPendingCases"/>
  </cacheSource>
  <cacheFields count="38">
    <cacheField name="No. " uniqueList="1" numFmtId="0" sqlType="0" hierarchy="0" level="0" databaseField="1">
      <sharedItems count="0" containsBlank="1" containsInteger="1" containsNumber="1" containsString="0" minValue="1" maxValue="100"/>
    </cacheField>
    <cacheField name="Search Open" uniqueList="1" numFmtId="0" sqlType="0" hierarchy="0" level="0" databaseField="1">
      <sharedItems count="0" containsBlank="1" containsInteger="1" containsMixedTypes="1" containsNumber="1" minValue="1" maxValue="3"/>
    </cacheField>
    <cacheField name="Search pending" uniqueList="1" numFmtId="0" sqlType="0" hierarchy="0" level="0" databaseField="1">
      <sharedItems count="0" containsInteger="1" containsMixedTypes="1" containsNumber="1" minValue="1" maxValue="7"/>
    </cacheField>
    <cacheField name="CRC Name" uniqueList="1" numFmtId="0" sqlType="0" hierarchy="0" level="0" databaseField="1">
      <sharedItems count="6" containsBlank="1">
        <s v="Asma"/>
        <s v="Asma "/>
        <s v="Riham "/>
        <s v="Riham"/>
        <s v="Maaz"/>
        <m/>
      </sharedItems>
    </cacheField>
    <cacheField name="Airtable Request Number" uniqueList="1" numFmtId="0" sqlType="0" hierarchy="0" level="0" databaseField="1">
      <sharedItems count="0" containsBlank="1" containsDate="1" containsMixedTypes="1" minDate="2025-04-16T00:00:00" maxDate="2025-04-17T00:00:00"/>
    </cacheField>
    <cacheField name="Airtable Request Enty Date" uniqueList="1" numFmtId="14" sqlType="0" hierarchy="0" level="0" databaseField="1">
      <sharedItems count="0" containsBlank="1" containsDate="1" containsMixedTypes="1" minDate="2024-05-12T00:00:00" maxDate="2025-10-08T00:00:00"/>
    </cacheField>
    <cacheField name="Request Entry Date" uniqueList="1" numFmtId="14" sqlType="0" hierarchy="0" level="0" databaseField="1">
      <sharedItems count="0" containsBlank="1" containsDate="1" containsNonDate="0" containsString="0" minDate="2024-08-11T00:00:00" maxDate="2025-10-08T00:00:00"/>
    </cacheField>
    <cacheField name="Piece location" uniqueList="1" numFmtId="165" sqlType="0" hierarchy="0" level="0" databaseField="1">
      <sharedItems count="5" containsBlank="1">
        <s v="Boutique Stock"/>
        <s v="CRC Stock"/>
        <s v=""/>
        <m/>
        <s v="BTQ Stock"/>
      </sharedItems>
    </cacheField>
    <cacheField name="Transaction location" uniqueList="1" numFmtId="0" sqlType="0" hierarchy="0" level="0" databaseField="1">
      <sharedItems count="5" containsBlank="1">
        <s v="Boutique Stock"/>
        <s v="CRC Stock"/>
        <s v=""/>
        <s v="BTQ Stock"/>
        <m u="1"/>
      </sharedItems>
    </cacheField>
    <cacheField name=" Timepiece Status" uniqueList="1" numFmtId="0" sqlType="0" hierarchy="0" level="0" databaseField="1">
      <sharedItems count="7" containsBlank="1">
        <s v="Allocation confirmed(Deposit paid)"/>
        <s v="Allocation Closed (Sold)"/>
        <s v="Allocation Confirmed"/>
        <s v="Approved by HQ"/>
        <s v="Awaiting HQ Approval"/>
        <m/>
        <s v="Currently Under Review"/>
      </sharedItems>
    </cacheField>
    <cacheField name="Potential Same Month" uniqueList="1" numFmtId="49" sqlType="0" hierarchy="0" level="0" databaseField="1">
      <sharedItems count="4" containsBlank="1">
        <s v="High"/>
        <s v="Medium"/>
        <s v="Low"/>
        <m/>
      </sharedItems>
    </cacheField>
    <cacheField name="Transaction Market" uniqueList="1" numFmtId="0" sqlType="0" hierarchy="0" level="0" databaseField="1">
      <sharedItems count="0" containsBlank="1"/>
    </cacheField>
    <cacheField name="Timepiece Reference " uniqueList="1" numFmtId="0" sqlType="0" hierarchy="0" level="0" databaseField="1">
      <sharedItems count="26" containsBlank="1">
        <s v="7920V/210A-B334"/>
        <s v="5520V/210A-B148 "/>
        <s v="4200H/222J-B935"/>
        <s v="4600E/000A-B442"/>
        <s v="4520V/210R-B705"/>
        <s v="1225V/200A-B590"/>
        <s v="7920V/210A-B333"/>
        <s v="5520V/210A-B686"/>
        <s v="4520V/210A-B128"/>
        <s v="5520V/210R-B966"/>
        <s v="4000V/210A-B911"/>
        <s v="82035/000P-H063"/>
        <s v="7920V/210R-B965"/>
        <s v="4520V/210R-B967"/>
        <s v="7920V/210A-B546"/>
        <s v="4010T/000G-B740"/>
        <s v="4000E/000A-B439"/>
        <s v="43075/000R-9737"/>
        <m/>
        <s v="4605V/200R-B969 "/>
        <s v="4520V/210R-B967 " u="1"/>
        <s v="4300V/220R-B547 " u="1"/>
        <s v="4020T/000P-H038 " u="1"/>
        <s v="4600E/000A-B487 " u="1"/>
        <s v="4520V/210A-B483 " u="1"/>
        <s v="4606F/000G-B649 " u="1"/>
      </sharedItems>
    </cacheField>
    <cacheField name="Collection Name" uniqueList="1" numFmtId="0" sqlType="0" hierarchy="0" level="0" databaseField="1">
      <sharedItems count="22" containsBlank="1">
        <s v="Overseas dual time Blue"/>
        <s v="Overseas chronograph"/>
        <s v="Historiques 222"/>
        <s v="Fiftysix self-winding"/>
        <s v="Overseas self-winding"/>
        <s v="Overseas quartz"/>
        <s v="Overseas dual time Silver"/>
        <s v="Overseas chronograph Pink Gold"/>
        <s v="Overseas moon phase retrograde date"/>
        <s v="Historiques American 1921 - Arabic"/>
        <s v="Overseas dual time Green"/>
        <s v="Overseas self-winding Green"/>
        <s v="Overseas dual time Black"/>
        <s v="Traditionnelle complete calendar"/>
        <s v="Fiftysix complete calendar"/>
        <s v="Traditionnelle self-winding ultra-thin"/>
        <s v=""/>
        <m/>
        <s v="Overseas self-winding Green Diamonds - Pink Gold"/>
        <s v="Overseas perpetual calendar ultra-thin skeleton" u="1"/>
        <s v="Traditionnelle complete calendar openface" u="1"/>
        <s v="Fiftysix " u="1"/>
      </sharedItems>
    </cacheField>
    <cacheField name="Price" uniqueList="1" numFmtId="4" sqlType="0" hierarchy="0" level="0" databaseField="1">
      <sharedItems count="0" containsBlank="1"/>
    </cacheField>
    <cacheField name="Price 2" uniqueList="1" numFmtId="0" sqlType="0" hierarchy="0" level="0" databaseField="1">
      <sharedItems count="0" containsBlank="1" containsInteger="1" containsMixedTypes="1" containsNumber="1" minValue="48000" maxValue="299000"/>
    </cacheField>
    <cacheField name="Client ID" uniqueList="1" numFmtId="0" sqlType="0" hierarchy="0" level="0" databaseField="1">
      <sharedItems count="0" containsBlank="1" containsInteger="1" containsNumber="1" containsString="0" minValue="92407646" maxValue="107400628"/>
    </cacheField>
    <cacheField name="Karen Comment ﾂ" uniqueList="1" numFmtId="0" sqlType="0" hierarchy="0" level="0" databaseField="1">
      <sharedItems count="0" containsBlank="1"/>
    </cacheField>
    <cacheField name="Sale Status_x0009_" uniqueList="1" numFmtId="0" sqlType="0" hierarchy="0" level="0" databaseField="1">
      <sharedItems count="0" containsBlank="1"/>
    </cacheField>
    <cacheField name="Column1" uniqueList="1" numFmtId="0" sqlType="0" hierarchy="0" level="0" databaseField="1">
      <sharedItems count="0" containsBlank="1" containsNonDate="0" containsString="0"/>
    </cacheField>
    <cacheField name="Invoice Month" uniqueList="1" numFmtId="0" sqlType="0" hierarchy="0" level="0" databaseField="1">
      <sharedItems count="0" containsBlank="1"/>
    </cacheField>
    <cacheField name="Payment Method" uniqueList="1" numFmtId="49" sqlType="0" hierarchy="0" level="0" databaseField="1">
      <sharedItems count="0" containsBlank="1"/>
    </cacheField>
    <cacheField name="Invoice Number" uniqueList="1" numFmtId="0" sqlType="0" hierarchy="0" level="0" databaseField="1">
      <sharedItems count="0" containsBlank="1" containsInteger="1" containsMixedTypes="1" containsNumber="1" minValue="6100098091" maxValue="6100102079"/>
    </cacheField>
    <cacheField name="Invoice Date" uniqueList="1" numFmtId="165" sqlType="0" hierarchy="0" level="0" databaseField="1">
      <sharedItems count="7" containsBlank="1" containsDate="1" containsMixedTypes="1" minDate="2025-04-07T00:00:00" maxDate="2025-07-03T00:00:00">
        <m/>
        <d v="2025-04-07T00:00:00"/>
        <d v="2025-07-02T00:00:00"/>
        <d v="2025-06-13T00:00:00"/>
        <d v="2025-04-27T00:00:00"/>
        <d v="2025-05-03T00:00:00"/>
        <s v="17/6/2025"/>
      </sharedItems>
    </cacheField>
    <cacheField name="NO Of  Open  days" uniqueList="1" numFmtId="0" sqlType="0" hierarchy="0" level="0" databaseField="1">
      <sharedItems count="0" containsBlank="1"/>
    </cacheField>
    <cacheField name="Pending days (timepieces)" uniqueList="1" numFmtId="0" sqlType="0" hierarchy="0" level="0" databaseField="1">
      <sharedItems count="0" containsBlank="1"/>
    </cacheField>
    <cacheField name="NO of Pending Days" uniqueList="1" numFmtId="49" sqlType="0" hierarchy="0" level="0" databaseField="1">
      <sharedItems count="0" containsBlank="1" containsInteger="1" containsMixedTypes="1" containsNumber="1" minValue="18" maxValue="179"/>
    </cacheField>
    <cacheField name="NO Of  Open " uniqueList="1" numFmtId="2" sqlType="0" hierarchy="0" level="0" databaseField="1">
      <sharedItems count="0" containsBlank="1"/>
    </cacheField>
    <cacheField name="Description" uniqueList="1" numFmtId="0" sqlType="0" hierarchy="0" level="0" databaseField="1">
      <sharedItems count="0" containsBlank="1" longText="1"/>
    </cacheField>
    <cacheField name="Timepiece Request Updates" uniqueList="1" numFmtId="0" sqlType="0" hierarchy="0" level="0" databaseField="1">
      <sharedItems count="0" containsBlank="1"/>
    </cacheField>
    <cacheField name="Client Request Updates" uniqueList="1" numFmtId="0" sqlType="0" hierarchy="0" level="0" databaseField="1">
      <sharedItems count="0" containsBlank="1" longText="1"/>
    </cacheField>
    <cacheField name="Transferred TO" uniqueList="1" numFmtId="0" sqlType="0" hierarchy="0" level="0" databaseField="1">
      <sharedItems count="0" containsBlank="1" containsNonDate="0" containsString="0"/>
    </cacheField>
    <cacheField name="Captured date (Month and Year)" uniqueList="1" numFmtId="0" sqlType="0" hierarchy="0" level="0" databaseField="1">
      <sharedItems count="0"/>
    </cacheField>
    <cacheField name="Month" uniqueList="1" numFmtId="0" sqlType="0" hierarchy="0" level="0" databaseField="1">
      <sharedItems count="0"/>
    </cacheField>
    <cacheField name="Adjusted Price" uniqueList="1" numFmtId="0" sqlType="0" hierarchy="0" level="0" databaseField="1">
      <sharedItems count="0" containsInteger="1" containsMixedTypes="1" containsNumber="1" minValue="48000" maxValue="299000"/>
    </cacheField>
    <cacheField name="Adjusted Price2" uniqueList="1" numFmtId="0" sqlType="0" hierarchy="0" level="0" databaseField="1">
      <sharedItems count="0" containsInteger="1" containsMixedTypes="1" containsNumber="1" minValue="48000" maxValue="299000"/>
    </cacheField>
    <cacheField name="Adjusted Price3" uniqueList="1" numFmtId="0" sqlType="0" hierarchy="0" level="0" databaseField="1">
      <sharedItems count="0" containsInteger="1" containsMixedTypes="1" containsNumber="1" minValue="48000" maxValue="299000"/>
    </cacheField>
    <cacheField name="Adjusted Price4" uniqueList="1" numFmtId="0" sqlType="0" hierarchy="0" level="0" databaseField="1">
      <sharedItems count="0" containsBlank="1"/>
    </cacheField>
  </cacheFields>
</pivotCacheDefinition>
</file>

<file path=xl/pivotCache/pivotCacheDefinition2.xml><?xml version="1.0" encoding="utf-8"?>
<pivotCacheDefinition xmlns="http://schemas.openxmlformats.org/spreadsheetml/2006/main" invalid="1" refreshedBy="Excel Services" refreshedDate="45854.57183090278" createdVersion="8" refreshedVersion="8" minRefreshableVersion="3" recordCount="509">
  <cacheSource type="worksheet">
    <worksheetSource name="Table14"/>
  </cacheSource>
  <cacheFields count="10">
    <cacheField name="STATUS" uniqueList="1" numFmtId="0" sqlType="0" hierarchy="0" level="0" databaseField="1">
      <sharedItems count="0"/>
    </cacheField>
    <cacheField name="CLIENT FEEDBACK" uniqueList="1" numFmtId="0" sqlType="0" hierarchy="0" level="0" databaseField="1">
      <sharedItems count="0"/>
    </cacheField>
    <cacheField name="REQUEST DATE" uniqueList="1" numFmtId="0" sqlType="0" hierarchy="0" level="0" databaseField="1">
      <sharedItems count="0"/>
    </cacheField>
    <cacheField name="REFERENCE" uniqueList="1" numFmtId="0" sqlType="0" hierarchy="0" level="0" databaseField="1">
      <sharedItems count="45">
        <s v="4000V/210A-B911"/>
        <s v="4000E/000A-B439"/>
        <s v="4200H/222A-B934"/>
        <s v="4520V/210A-B128"/>
        <s v="4520V/210A-B483"/>
        <s v="7920V/210R-B965"/>
        <s v="7920V/210A-B546"/>
        <s v="82035/000P-H063"/>
        <s v="5520V/210A-B148"/>
        <s v="82172/000P-H062"/>
        <s v="4300V/220G-B945"/>
        <s v="4010T/000G-B740"/>
        <s v="7920V/210A-B334"/>
        <s v="4200H/222J-B935"/>
        <s v="4600E/000R-H101"/>
        <s v="4520V/210R-B705"/>
        <s v="4600E/000A-B487"/>
        <s v="5520V/210R-B952"/>
        <s v="5520V/210R-B966"/>
        <s v="5520V/210A-B686"/>
        <s v="6000V/210R-B934"/>
        <s v="6000T/000R-B346"/>
        <s v="4520V/210R-B967"/>
        <s v="6010T/000R-B638"/>
        <s v="4600E/000A-B442"/>
        <s v="4000U/000P-H003"/>
        <s v="4300V/220G-B946"/>
        <s v="7920V/210A-B333"/>
        <s v="4520V/210A-B126"/>
        <s v="5520V/210A-B481"/>
        <s v="1225V/200A-B590"/>
        <s v="4600V/200A-B980"/>
        <s v="6000V/110A-B544"/>
        <s v="6000V/210T-H032"/>
        <s v="4300V/220R-B064"/>
        <s v="82035/000R-9359"/>
        <s v="4600E/110A-B487"/>
        <s v="7920V/000R-B336"/>
        <s v="4300V/220R-B509"/>
        <s v="5100T/000P-H041"/>
        <s v="4300V/220R-B547"/>
        <s v="4000E/000A-B548"/>
        <s v="3110V/000A-B426"/>
        <s v="1205V/100A-B591"/>
        <s v="4500V/000R-B127"/>
      </sharedItems>
    </cacheField>
    <cacheField name="BOUTIQUE" uniqueList="1" numFmtId="0" sqlType="0" hierarchy="0" level="0" databaseField="1">
      <sharedItems count="1">
        <s v="Phone sales Middle East"/>
      </sharedItems>
    </cacheField>
    <cacheField name="CLIENT ID" uniqueList="1" numFmtId="0" sqlType="0" hierarchy="0" level="0" databaseField="1">
      <sharedItems count="410">
        <s v=""/>
        <s v="105678778"/>
        <s v="101467308"/>
        <s v="105678696"/>
        <s v="105562671"/>
        <s v="103643274"/>
        <s v="105487562"/>
        <s v="105366966"/>
        <s v="105338699"/>
        <s v="105366145"/>
        <s v="104559752"/>
        <s v="101893659"/>
        <s v="105306744"/>
        <s v="105225518"/>
        <s v="105232635"/>
        <s v="92425024"/>
        <s v="105234569"/>
        <s v="105231885"/>
        <s v="105224074"/>
        <s v="105248739"/>
        <s v="105370532"/>
        <s v="105223407"/>
        <s v="105371442"/>
        <s v="105122031"/>
        <s v="105116801"/>
        <s v="105117467"/>
        <s v="105413736"/>
        <s v="105001985"/>
        <s v="101108337"/>
        <s v="104989923"/>
        <s v="104977543"/>
        <s v="103771139"/>
        <s v="104939061"/>
        <s v="105007242"/>
        <s v="105372157"/>
        <s v="92397772"/>
        <s v="104908207"/>
        <s v="104994951"/>
        <s v="105485963"/>
        <s v="104687880"/>
        <s v="104802404"/>
        <s v="104687223"/>
        <s v="104982295"/>
        <s v="101107205"/>
        <s v="104922362"/>
        <s v="103645785"/>
        <s v="93231984"/>
        <s v="101921704"/>
        <s v="103831079"/>
        <s v="104181314"/>
        <s v="104908886"/>
        <s v="104849248"/>
        <s v="93232291"/>
        <s v="103617532"/>
        <s v="104564947"/>
        <s v="104853731"/>
        <s v="104853450"/>
        <s v="104769573"/>
        <s v="99219912"/>
        <s v="104796476"/>
        <s v="104689190"/>
        <s v="104609280"/>
        <s v="99351991"/>
        <s v="104572070"/>
        <s v="104576008"/>
        <s v="104513303"/>
        <s v="103058008"/>
        <s v="104075516"/>
        <s v="101055665"/>
        <s v="104506669"/>
        <s v="104509438"/>
        <s v="105118480"/>
        <s v="102277427"/>
        <s v="91002249"/>
        <s v="104481449"/>
        <s v="104455540"/>
        <s v="104909110"/>
        <s v="104241748"/>
        <s v="104457258"/>
        <s v="104482467"/>
        <s v="104455380"/>
        <s v="104455689"/>
        <s v="104455472"/>
        <s v="91002262"/>
        <s v="104459323"/>
        <s v="104397738"/>
        <s v="98874827"/>
        <s v="104457807"/>
        <s v="103673092"/>
        <s v="104299847"/>
        <s v="103621137"/>
        <s v="98609197"/>
        <s v="104329408"/>
        <s v="104375430"/>
        <s v="104183935"/>
        <s v="104375462"/>
        <s v="104326404"/>
        <s v="102680410"/>
        <s v="103847224"/>
        <s v="104255707"/>
        <s v="104270695"/>
        <s v="102905736"/>
        <s v="92404193"/>
        <s v="103831073"/>
        <s v="104181189"/>
        <s v="104459131"/>
        <s v="104137810"/>
        <s v="104137864"/>
        <s v="92402356"/>
        <s v="104495233"/>
        <s v="103985822"/>
        <s v="104069433"/>
        <s v="103936120"/>
        <s v="104050167"/>
        <s v="104044650"/>
        <s v="104044791"/>
        <s v="104048409"/>
        <s v="104044621"/>
        <s v="103976282"/>
        <s v="103985685"/>
        <s v="103471315"/>
        <s v="103937781"/>
        <s v="92425936"/>
        <s v="103879055"/>
        <s v="103936063"/>
        <s v="103873184"/>
        <s v="103890141"/>
        <s v="103844198"/>
        <s v="103677618"/>
        <s v="103658184"/>
        <s v="103844750"/>
        <s v="101917600"/>
        <s v="103842376"/>
        <s v="91001874"/>
        <s v="101584631"/>
        <s v="103845937"/>
        <s v="103848588"/>
        <s v="103830768"/>
        <s v="103415632"/>
        <s v="103832238"/>
        <s v="103647896"/>
        <s v="103671258"/>
        <s v="102442135"/>
        <s v="103670555"/>
        <s v="103834361"/>
        <s v="103648743"/>
        <s v="103775089"/>
        <s v="103756750"/>
        <s v="103784220"/>
        <s v="103744983"/>
        <s v="103633388"/>
        <s v="103721541"/>
        <s v="103729472"/>
        <s v="103719727"/>
        <s v="92406537"/>
        <s v="103531883"/>
        <s v="100511411"/>
        <s v="92399706"/>
        <s v="103714062"/>
        <s v="92408008"/>
        <s v="103713756"/>
        <s v="103742903"/>
        <s v="103671342"/>
        <s v="103661537"/>
        <s v="103675481"/>
        <s v="100330605"/>
        <s v="92428108"/>
        <s v="92403555"/>
        <s v="103671613"/>
        <s v="92406996"/>
        <s v="103673291"/>
        <s v="103645978"/>
        <s v="103633978"/>
        <s v="92398060"/>
        <s v="93597721"/>
        <s v="103656438"/>
        <s v="103642399"/>
        <s v="103646927"/>
        <s v="103642513"/>
        <s v="91001822"/>
        <s v="92399337"/>
        <s v="103657666"/>
        <s v="103660737"/>
        <s v="103648068"/>
        <s v="103631693"/>
        <s v="103616253"/>
        <s v="92404856"/>
        <s v="100481133"/>
        <s v="103632517"/>
        <s v="100432455"/>
        <s v="103634169"/>
        <s v="103634472"/>
        <s v="103634611"/>
        <s v="103632652"/>
        <s v="103642113"/>
        <s v="98199321"/>
        <s v="92397711"/>
        <s v="103645755"/>
        <s v="92410153"/>
        <s v="92406326"/>
        <s v="100217721"/>
        <s v="103646324"/>
        <s v="103646387"/>
        <s v="101009517"/>
        <s v="101623615"/>
        <s v="101346110"/>
        <s v="102180966"/>
        <s v="103656728"/>
        <s v="92403591"/>
        <s v="92400865"/>
        <s v="103617461"/>
        <s v="103630373"/>
        <s v="103620891"/>
        <s v="103622461"/>
        <s v="103616594"/>
        <s v="103610315"/>
        <s v="92400627"/>
        <s v="103630617"/>
        <s v="92407337"/>
        <s v="92422856"/>
        <s v="93832355"/>
        <s v="103632699"/>
        <s v="103631041"/>
        <s v="103633773"/>
        <s v="92398362"/>
        <s v="103616758"/>
        <s v="98742444"/>
        <s v="103629013"/>
        <s v="92408025"/>
        <s v="103616558"/>
        <s v="92397362"/>
        <s v="103591723"/>
        <s v="92401316"/>
        <s v="103617256"/>
        <s v="103616653"/>
        <s v="103620663"/>
        <s v="103621182"/>
        <s v="103620632"/>
        <s v="92397707"/>
        <s v="103615698"/>
        <s v="90999799"/>
        <s v="103437674"/>
        <s v="101466987"/>
        <s v="103615908"/>
        <s v="103617827"/>
        <s v="103616136"/>
        <s v="103616580"/>
        <s v="103615205"/>
        <s v="92409190"/>
        <s v="103616562"/>
        <s v="103616432"/>
        <s v="103620924"/>
        <s v="92404476"/>
        <s v="92406536"/>
        <s v="103620484"/>
        <s v="103631902"/>
        <s v="93912121"/>
        <s v="103634777"/>
        <s v="103576190"/>
        <s v="103437947"/>
        <s v="103671316"/>
        <s v="103100862"/>
        <s v="99502446"/>
        <s v="102505094"/>
        <s v="102928395"/>
        <s v="103124476"/>
        <s v="102945078"/>
        <s v="102965997"/>
        <s v="103081456"/>
        <s v="103057654"/>
        <s v="103058741"/>
        <s v="102991728"/>
        <s v="102951000"/>
        <s v="102904196"/>
        <s v="102905570"/>
        <s v="102735123"/>
        <s v="102637104"/>
        <s v="102618733"/>
        <s v="102600071"/>
        <s v="102549877"/>
        <s v="92404764"/>
        <s v="102502922"/>
        <s v="101472623"/>
        <s v="102494314"/>
        <s v="102424724"/>
        <s v="98700258"/>
        <s v="102395824"/>
        <s v="102381381"/>
        <s v="92403624"/>
        <s v="101641502"/>
        <s v="101987055"/>
        <s v="98635975"/>
        <s v="92401119"/>
        <s v="102281183"/>
        <s v="98711501"/>
        <s v="102232596"/>
        <s v="102220776"/>
        <s v="102176002"/>
        <s v="102193096"/>
        <s v="102113813"/>
        <s v="0"/>
        <s v="102076880"/>
        <s v="102078501"/>
        <s v="102015200"/>
        <s v="101987118"/>
        <s v="97412230"/>
        <s v="101319151"/>
        <s v="101923321"/>
        <s v="101952731"/>
        <s v="92407429"/>
        <s v="102003092"/>
        <s v="101705197"/>
        <s v="101293683"/>
        <s v="101876625"/>
        <s v="92404145"/>
        <s v="101808480"/>
        <s v="101823588"/>
        <s v="101770162"/>
        <s v="101624260"/>
        <s v="101705220"/>
        <s v="101705253"/>
        <s v="101680942"/>
        <s v="101467478"/>
        <s v="101584188"/>
        <s v="101615228"/>
        <s v="101498463"/>
        <s v="101522662"/>
        <s v="101467474"/>
        <s v="92400340"/>
        <s v="100995935"/>
        <s v="101424152"/>
        <s v="101413931"/>
        <s v="101467913"/>
        <s v="101428000"/>
        <s v="101369992"/>
        <s v="101314200"/>
        <s v="101009393"/>
        <s v="101364406"/>
        <s v="101302751"/>
        <s v="101283226"/>
        <s v="101220865"/>
        <s v="101145972"/>
        <s v="101196299"/>
        <s v="101110183"/>
        <s v="101104408"/>
        <s v="101104467"/>
        <s v="101032092"/>
        <s v="100436027"/>
        <s v="101036635"/>
        <s v="101011549"/>
        <s v="100962157"/>
        <s v="100830227"/>
        <s v="100833648"/>
        <s v="100793790"/>
        <s v="100788006"/>
        <s v="100788004"/>
        <s v="100737696"/>
        <s v="100599306"/>
        <s v="100736346"/>
        <s v="100668746"/>
        <s v="100634537"/>
        <s v="100582839"/>
        <s v="100537423"/>
        <s v="100480073"/>
        <s v="100482907"/>
        <s v="100394867"/>
        <s v="100279807"/>
        <s v="100355498"/>
        <s v="100341519"/>
        <s v="100339877"/>
        <s v="100329803"/>
        <s v="100272691"/>
        <s v="100232514"/>
        <s v="100245350"/>
        <s v="99019997"/>
        <s v="97223180"/>
        <s v="98828137"/>
        <s v="98340991"/>
        <s v="92424528"/>
        <s v="92410222"/>
        <s v="98213478"/>
        <s v="98213878"/>
        <s v="97560994"/>
        <s v="97863424"/>
        <s v="97739424"/>
        <s v="97341155"/>
        <s v="97266884"/>
        <s v="92401070"/>
        <s v="96731103"/>
        <s v="94291400"/>
        <s v="94195497"/>
        <s v="94028251"/>
        <s v="92398068"/>
        <s v="92402171"/>
        <s v="79989586"/>
        <s v="93573185"/>
        <s v="93573388"/>
        <s v="93306019"/>
        <s v="92407789"/>
        <s v="93307928"/>
        <s v="93266623"/>
        <s v="93234862"/>
        <s v="1301022"/>
        <s v="1297716"/>
        <s v="1297177"/>
        <s v="1291072"/>
        <s v="1291327"/>
        <s v="1289465"/>
        <s v="1288389"/>
        <s v="1150674"/>
      </sharedItems>
    </cacheField>
    <cacheField name="CLIENT SEGMENT" uniqueList="1" numFmtId="0" sqlType="0" hierarchy="0" level="0" databaseField="1">
      <sharedItems count="0"/>
    </cacheField>
    <cacheField name="SALES ASSOCIATE" uniqueList="1" numFmtId="0" sqlType="0" hierarchy="0" level="0" databaseField="1">
      <sharedItems count="4">
        <s v="SHARIF Maaz"/>
        <s v="TAHHAN Riham"/>
        <s v="OMARI Asma"/>
        <s v="ALOTAIBI Reem"/>
      </sharedItems>
    </cacheField>
    <cacheField name="COMMENTS" uniqueList="1" numFmtId="0" sqlType="0" hierarchy="0" level="0" databaseField="1">
      <sharedItems count="0"/>
    </cacheField>
    <cacheField name="Avaliblity" uniqueList="1" numFmtId="0" sqlType="0" hierarchy="0" level="0" databaseField="1">
      <sharedItems count="0" containsBlank="1" containsNonDate="0" containsString="0"/>
    </cacheField>
  </cacheFields>
</pivotCacheDefinition>
</file>

<file path=xl/pivotCache/pivotCacheRecords1.xml><?xml version="1.0" encoding="utf-8"?>
<pivotCacheRecords xmlns="http://schemas.openxmlformats.org/spreadsheetml/2006/main" count="564">
  <r>
    <n v="1"/>
    <n v="1"/>
    <s v=""/>
    <x v="0"/>
    <m/>
    <d v="2024-09-28T00:00:00"/>
    <d v="2025-01-22T00:00:00"/>
    <x v="0"/>
    <x v="0"/>
    <x v="0"/>
    <x v="0"/>
    <s v="Middle East (UAE)"/>
    <x v="0"/>
    <x v="0"/>
    <s v="117,000 AED"/>
    <n v="117000"/>
    <n v="101624260"/>
    <s v="NA"/>
    <s v="Open Sale"/>
    <m/>
    <s v=""/>
    <s v="Paid Deposit - Full Payment"/>
    <m/>
    <x v="0"/>
    <s v="291 Days"/>
    <s v=""/>
    <s v=""/>
    <s v="175"/>
    <s v="Client from Estinia very interested in the Dula time blue dial/ met with him in the boutique and he paid deposit."/>
    <s v="on the way to MOE with ODN 7054069640 – ETA April 28th / 29th"/>
    <s v="Client appointment:9/7/2025"/>
    <m/>
    <s v="January 2025"/>
    <s v="January"/>
    <n v="117000"/>
    <n v="117000"/>
    <n v="117000"/>
    <m/>
  </r>
  <r>
    <n v="2"/>
    <s v=""/>
    <s v=""/>
    <x v="0"/>
    <m/>
    <d v="2024-10-09T00:00:00"/>
    <d v="2025-01-25T00:00:00"/>
    <x v="0"/>
    <x v="0"/>
    <x v="1"/>
    <x v="0"/>
    <s v="Middle East (UAE)"/>
    <x v="1"/>
    <x v="1"/>
    <s v="135,000 AED"/>
    <n v="135000"/>
    <n v="101424152"/>
    <s v="NA"/>
    <s v="Sold"/>
    <m/>
    <s v="April"/>
    <s v="Full Payment - By link"/>
    <n v="6100098091"/>
    <x v="1"/>
    <s v=""/>
    <s v=""/>
    <s v=""/>
    <s v=""/>
    <s v="The client is a collector, he has a Patrimony and an old Overseas Model, would like to purchase this Overseas Chronograph."/>
    <s v="Sold phone sale"/>
    <m/>
    <m/>
    <s v="January 2025"/>
    <s v=""/>
    <n v="135000"/>
    <n v="135000"/>
    <n v="135000"/>
    <m/>
  </r>
  <r>
    <n v="3"/>
    <s v=""/>
    <s v=""/>
    <x v="0"/>
    <m/>
    <d v="2025-01-30T00:00:00"/>
    <d v="2025-01-31T00:00:00"/>
    <x v="1"/>
    <x v="1"/>
    <x v="2"/>
    <x v="1"/>
    <s v="Middle East (UAE)"/>
    <x v="2"/>
    <x v="2"/>
    <s v="279,000 AED"/>
    <n v="279000"/>
    <n v="101584631"/>
    <s v="NA"/>
    <s v="Transferred"/>
    <m/>
    <s v=""/>
    <m/>
    <m/>
    <x v="0"/>
    <s v=""/>
    <s v=""/>
    <s v=""/>
    <s v=""/>
    <m/>
    <s v="One confirmed in MOE by Jack"/>
    <s v=" Client posponed until 15th of April "/>
    <m/>
    <s v="January 2025"/>
    <s v=""/>
    <n v="279000"/>
    <n v="279000"/>
    <n v="279000"/>
    <m/>
  </r>
  <r>
    <n v="4"/>
    <s v=""/>
    <s v=""/>
    <x v="0"/>
    <m/>
    <d v="2025-02-04T00:00:00"/>
    <d v="2025-02-04T00:00:00"/>
    <x v="1"/>
    <x v="1"/>
    <x v="2"/>
    <x v="2"/>
    <s v="Middle East (UAE)"/>
    <x v="3"/>
    <x v="3"/>
    <s v="48,000 AED"/>
    <n v="48000"/>
    <n v="103936063"/>
    <s v="NA"/>
    <s v="Transferred"/>
    <m/>
    <s v=""/>
    <m/>
    <m/>
    <x v="0"/>
    <s v=""/>
    <s v=""/>
    <s v=""/>
    <s v=""/>
    <s v="Client coming from Saudi arabia Payment link sent but the client did not make the payment yet."/>
    <s v="Available in ecom location"/>
    <s v="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
    <m/>
    <s v="February 2025"/>
    <s v=""/>
    <n v="48000"/>
    <n v="48000"/>
    <n v="48000"/>
    <m/>
  </r>
  <r>
    <n v="5"/>
    <n v="2"/>
    <s v=""/>
    <x v="1"/>
    <m/>
    <d v="2025-04-02T00:00:00"/>
    <d v="2025-04-02T00:00:00"/>
    <x v="0"/>
    <x v="0"/>
    <x v="2"/>
    <x v="2"/>
    <s v="Middle East (UAE)"/>
    <x v="4"/>
    <x v="4"/>
    <s v="229,000 AED"/>
    <n v="229000"/>
    <m/>
    <s v="Piece is confirmed with boutique team? Latest update: client cancelled his trip (he is still interested but we informed him to pay deposit should he wish to proceed)"/>
    <s v="Open Sale"/>
    <m/>
    <s v=""/>
    <m/>
    <m/>
    <x v="0"/>
    <s v="105 Days"/>
    <s v=""/>
    <s v=""/>
    <s v="105"/>
    <s v="Latest update: client cancelled his trip (he is still interested but we informed him to pay deposit should he wish to proceed) (Piece not reserved)"/>
    <s v="No reservation"/>
    <s v="Latest update: client cancelled his trip (he is still interested but we informed him to pay deposit should he wish to proceed) (Piece not reserved)"/>
    <m/>
    <s v="April 2025"/>
    <s v=""/>
    <n v="229000"/>
    <n v="229000"/>
    <n v="229000"/>
    <m/>
  </r>
  <r>
    <m/>
    <s v=""/>
    <s v=""/>
    <x v="2"/>
    <m/>
    <m/>
    <m/>
    <x v="0"/>
    <x v="0"/>
    <x v="2"/>
    <x v="0"/>
    <s v="Middle East (KSA)"/>
    <x v="5"/>
    <x v="5"/>
    <s v="62,500 AED"/>
    <n v="62500"/>
    <n v="101952213"/>
    <m/>
    <s v="Sold"/>
    <m/>
    <s v="July"/>
    <s v="Full payment - At Boutique"/>
    <s v="T-129323469"/>
    <x v="2"/>
    <s v=""/>
    <s v=""/>
    <s v=""/>
    <s v=""/>
    <m/>
    <m/>
    <m/>
    <m/>
    <s v="January 1900"/>
    <s v=""/>
    <n v="62500"/>
    <n v="62500"/>
    <n v="62500"/>
    <m/>
  </r>
  <r>
    <m/>
    <s v=""/>
    <s v=""/>
    <x v="2"/>
    <s v="RQS-UAE-119016"/>
    <m/>
    <m/>
    <x v="0"/>
    <x v="0"/>
    <x v="3"/>
    <x v="0"/>
    <s v="Middle East (UAE)"/>
    <x v="6"/>
    <x v="6"/>
    <s v="117,000 AED"/>
    <n v="117000"/>
    <n v="102442135"/>
    <m/>
    <s v="Sold"/>
    <m/>
    <s v="June"/>
    <s v="Full payment - At Boutique"/>
    <s v="T-129129869"/>
    <x v="0"/>
    <s v=""/>
    <s v=""/>
    <s v=""/>
    <s v=""/>
    <s v="Sold"/>
    <s v="Sold"/>
    <m/>
    <m/>
    <s v="January 1900"/>
    <s v=""/>
    <n v="117000"/>
    <n v="117000"/>
    <n v="117000"/>
    <m/>
  </r>
  <r>
    <m/>
    <s v=""/>
    <s v=""/>
    <x v="3"/>
    <s v="RQS-UAE-119762"/>
    <s v="25/3/2025"/>
    <m/>
    <x v="1"/>
    <x v="0"/>
    <x v="2"/>
    <x v="0"/>
    <s v="Middle East (UAE)"/>
    <x v="7"/>
    <x v="1"/>
    <s v="135,000 AED"/>
    <n v="135000"/>
    <n v="104853450"/>
    <m/>
    <s v="Sold"/>
    <m/>
    <s v="June"/>
    <s v="Full payment - At Boutique"/>
    <s v="T-128759754"/>
    <x v="3"/>
    <s v=""/>
    <s v=""/>
    <s v=""/>
    <s v=""/>
    <m/>
    <s v="Timepiece is available and the client will visit the btq on (6/13/2025) at 2pm to pick up the timepiece"/>
    <m/>
    <m/>
    <s v="January 1900"/>
    <s v=""/>
    <n v="135000"/>
    <n v="135000"/>
    <n v="135000"/>
    <m/>
  </r>
  <r>
    <n v="14"/>
    <s v=""/>
    <n v="1"/>
    <x v="4"/>
    <s v="RQS-UAE-117464"/>
    <d v="2024-11-14T00:00:00"/>
    <d v="2025-04-05T00:00:00"/>
    <x v="0"/>
    <x v="0"/>
    <x v="4"/>
    <x v="2"/>
    <s v="Middle East (UAE)"/>
    <x v="8"/>
    <x v="4"/>
    <s v="94,500 AED"/>
    <n v="94500"/>
    <n v="98700258"/>
    <m/>
    <s v="Pending Allocation"/>
    <m/>
    <s v=""/>
    <s v="Full Payment - By link"/>
    <m/>
    <x v="0"/>
    <s v=""/>
    <s v="244 Days"/>
    <n v="102"/>
    <s v=""/>
    <s v="No one confirmed, the client "/>
    <m/>
    <s v="Willing to pay anytime "/>
    <m/>
    <s v="April 2025"/>
    <s v=""/>
    <n v="94500"/>
    <n v="94500"/>
    <n v="94500"/>
    <m/>
  </r>
  <r>
    <n v="15"/>
    <s v=""/>
    <s v=""/>
    <x v="4"/>
    <m/>
    <d v="2024-11-14T00:00:00"/>
    <d v="2025-04-05T00:00:00"/>
    <x v="0"/>
    <x v="0"/>
    <x v="2"/>
    <x v="0"/>
    <s v="Middle East (UAE)"/>
    <x v="5"/>
    <x v="5"/>
    <s v="62,500 AED"/>
    <n v="62500"/>
    <n v="105045200"/>
    <s v="NA"/>
    <s v="Sold"/>
    <m/>
    <s v=""/>
    <s v="Paid Deposit"/>
    <m/>
    <x v="0"/>
    <s v=""/>
    <s v=""/>
    <s v=""/>
    <s v=""/>
    <s v="The client is waiting for the allocation "/>
    <m/>
    <s v="Deposit received "/>
    <m/>
    <s v="April 2025"/>
    <s v=""/>
    <n v="62500"/>
    <n v="62500"/>
    <n v="62500"/>
    <m/>
  </r>
  <r>
    <n v="16"/>
    <s v=""/>
    <s v=""/>
    <x v="4"/>
    <s v=""/>
    <d v="2024-11-14T00:00:00"/>
    <d v="2025-04-08T00:00:00"/>
    <x v="0"/>
    <x v="0"/>
    <x v="4"/>
    <x v="1"/>
    <s v="Middle East (UAE)"/>
    <x v="5"/>
    <x v="5"/>
    <s v="62,500 AED"/>
    <n v="62500"/>
    <n v="105115716"/>
    <s v="NA"/>
    <s v="Closed Sale"/>
    <m/>
    <s v=""/>
    <s v="Full Payment - By link"/>
    <m/>
    <x v="0"/>
    <s v=""/>
    <s v=""/>
    <s v=""/>
    <s v=""/>
    <s v="The client is waiting for the allocation "/>
    <m/>
    <s v="Lead today received "/>
    <m/>
    <s v="April 2025"/>
    <s v=""/>
    <n v="62500"/>
    <n v="62500"/>
    <n v="62500"/>
    <m/>
  </r>
  <r>
    <n v="17"/>
    <s v=""/>
    <s v=""/>
    <x v="4"/>
    <s v="RQS-UAE-116983"/>
    <d v="2024-08-15T00:00:00"/>
    <d v="2024-08-11T00:00:00"/>
    <x v="0"/>
    <x v="1"/>
    <x v="2"/>
    <x v="2"/>
    <s v="Middle East (UAE)"/>
    <x v="9"/>
    <x v="7"/>
    <s v="299,000 AED"/>
    <n v="299000"/>
    <n v="101110183"/>
    <s v="NA"/>
    <s v="Closed Sale"/>
    <m/>
    <s v=""/>
    <s v="Full Payment - Bank Transfer"/>
    <m/>
    <x v="0"/>
    <s v="280 Days"/>
    <s v=""/>
    <s v=""/>
    <s v=""/>
    <s v="The bank information was shared  "/>
    <s v="E-com"/>
    <m/>
    <m/>
    <s v="August 2024"/>
    <s v=""/>
    <n v="299000"/>
    <n v="299000"/>
    <n v="299000"/>
    <m/>
  </r>
  <r>
    <m/>
    <s v=""/>
    <s v=""/>
    <x v="4"/>
    <m/>
    <d v="2025-06-13T00:00:00"/>
    <d v="2025-06-13T00:00:00"/>
    <x v="0"/>
    <x v="0"/>
    <x v="5"/>
    <x v="2"/>
    <s v="Middle East (UAE)"/>
    <x v="10"/>
    <x v="8"/>
    <s v="166,000 AED"/>
    <n v="166000"/>
    <n v="106652874"/>
    <m/>
    <s v="Sold"/>
    <m/>
    <s v="June"/>
    <s v="Full Payment - By link"/>
    <s v="T-128709881"/>
    <x v="0"/>
    <s v=""/>
    <s v=""/>
    <s v=""/>
    <s v=""/>
    <m/>
    <s v="Ecom "/>
    <s v="Paid"/>
    <m/>
    <s v="June 2025"/>
    <s v=""/>
    <n v="166000"/>
    <n v="166000"/>
    <n v="166000"/>
    <m/>
  </r>
  <r>
    <n v="17"/>
    <s v=""/>
    <s v=""/>
    <x v="4"/>
    <m/>
    <d v="2025-10-07T00:00:00"/>
    <d v="2025-10-07T00:00:00"/>
    <x v="1"/>
    <x v="0"/>
    <x v="2"/>
    <x v="3"/>
    <s v="Middle East (UAE)"/>
    <x v="7"/>
    <x v="1"/>
    <s v="135,000 AED"/>
    <n v="135000"/>
    <n v="92407646"/>
    <m/>
    <s v="Sold"/>
    <m/>
    <s v="June"/>
    <s v="Full payment - At Boutique"/>
    <s v="T-129070481"/>
    <x v="0"/>
    <s v=""/>
    <s v=""/>
    <s v=""/>
    <s v=""/>
    <m/>
    <m/>
    <m/>
    <m/>
    <s v="October 2025"/>
    <s v=""/>
    <n v="135000"/>
    <n v="135000"/>
    <n v="135000"/>
    <m/>
  </r>
  <r>
    <n v="18"/>
    <s v=""/>
    <n v="2"/>
    <x v="4"/>
    <s v="RQS-UAE-118906"/>
    <d v="2025-01-21T00:00:00"/>
    <d v="2025-01-18T00:00:00"/>
    <x v="0"/>
    <x v="0"/>
    <x v="4"/>
    <x v="1"/>
    <s v="Middle East (UAE)"/>
    <x v="11"/>
    <x v="9"/>
    <s v="192,000 AED"/>
    <n v="192000"/>
    <n v="103531883"/>
    <s v="NA"/>
    <s v="Pending Allocation"/>
    <m/>
    <s v=""/>
    <m/>
    <m/>
    <x v="0"/>
    <s v=""/>
    <s v="176 Days"/>
    <n v="179"/>
    <s v=""/>
    <s v="Aiming for the 222 "/>
    <m/>
    <s v="Willing to pay upon allocation"/>
    <m/>
    <s v="January 2025"/>
    <s v=""/>
    <n v="192000"/>
    <n v="192000"/>
    <n v="192000"/>
    <m/>
  </r>
  <r>
    <n v="19"/>
    <s v=""/>
    <s v=""/>
    <x v="4"/>
    <m/>
    <d v="2025-04-10T00:00:00"/>
    <d v="2025-04-10T00:00:00"/>
    <x v="0"/>
    <x v="1"/>
    <x v="1"/>
    <x v="2"/>
    <s v="Middle East (UAE)"/>
    <x v="10"/>
    <x v="8"/>
    <s v="166,000 AED"/>
    <n v="166000"/>
    <n v="103713756"/>
    <s v="NA"/>
    <s v="Sold"/>
    <m/>
    <s v=""/>
    <s v="Full payment - At Boutique"/>
    <m/>
    <x v="0"/>
    <s v=""/>
    <s v=""/>
    <s v=""/>
    <s v=""/>
    <s v="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m/>
    <m/>
    <m/>
    <s v="April 2025"/>
    <s v=""/>
    <n v="166000"/>
    <n v="166000"/>
    <n v="166000"/>
    <m/>
  </r>
  <r>
    <n v="20"/>
    <s v=""/>
    <s v=""/>
    <x v="4"/>
    <d v="2025-04-16T00:00:00"/>
    <d v="2025-04-16T00:00:00"/>
    <d v="2025-04-16T00:00:00"/>
    <x v="0"/>
    <x v="1"/>
    <x v="2"/>
    <x v="2"/>
    <s v="Middle East (UAE)"/>
    <x v="10"/>
    <x v="8"/>
    <s v="166,000 AED"/>
    <n v="166000"/>
    <n v="103591723"/>
    <s v="NA"/>
    <s v="Sold"/>
    <m/>
    <s v="June"/>
    <s v="Full Payment - By link"/>
    <m/>
    <x v="0"/>
    <s v=""/>
    <s v=""/>
    <s v=""/>
    <s v=""/>
    <s v="The client expressed strong interest in the timepiece. He mentioned that he is awaiting the takeover of another company, after which he plans to celebrate."/>
    <s v="Available in ecom location"/>
    <s v="The client is is finalizing the purchase  and will update before the first of May"/>
    <m/>
    <s v="April 2025"/>
    <s v=""/>
    <n v="166000"/>
    <n v="166000"/>
    <n v="166000"/>
    <m/>
  </r>
  <r>
    <n v="21"/>
    <s v=""/>
    <s v=""/>
    <x v="0"/>
    <s v="RQS-UAE-119970"/>
    <d v="2025-03-12T00:00:00"/>
    <d v="2025-03-12T00:00:00"/>
    <x v="0"/>
    <x v="1"/>
    <x v="1"/>
    <x v="0"/>
    <s v="Middle East (UAE)"/>
    <x v="10"/>
    <x v="8"/>
    <s v="166,000 AED"/>
    <n v="166000"/>
    <n v="104559752"/>
    <s v="NA"/>
    <s v="Sold"/>
    <m/>
    <s v=""/>
    <s v="Full Payment - Bank Transfer"/>
    <m/>
    <x v="0"/>
    <s v=""/>
    <s v=""/>
    <s v=""/>
    <s v=""/>
    <s v="Client initially interested in the 222 and the dual time blue switched his interest to the Retrograde"/>
    <s v="Available in ecom location"/>
    <s v="Order placed in Extend and the client will pay on Friday."/>
    <m/>
    <s v="March 2025"/>
    <s v=""/>
    <n v="166000"/>
    <n v="166000"/>
    <n v="166000"/>
    <m/>
  </r>
  <r>
    <n v="22"/>
    <s v=""/>
    <s v=""/>
    <x v="4"/>
    <s v="RQS-UAE-119984"/>
    <d v="2025-04-25T00:00:00"/>
    <d v="2025-04-25T00:00:00"/>
    <x v="1"/>
    <x v="0"/>
    <x v="1"/>
    <x v="2"/>
    <s v="Middle East (UAE)"/>
    <x v="12"/>
    <x v="10"/>
    <s v="286,000 AED"/>
    <n v="286000"/>
    <n v="105366145"/>
    <s v="NA"/>
    <s v="Sold"/>
    <m/>
    <s v="April"/>
    <m/>
    <s v="T-127226576"/>
    <x v="4"/>
    <s v=""/>
    <s v=""/>
    <s v=""/>
    <s v=""/>
    <s v="The client has agreed to purchase the Overseas Dual Time Green, and the arrangement has been coordinated with Firas at suite 1755."/>
    <s v="Will be moved to Suite 1755."/>
    <s v="The client will do the payment Sunday  "/>
    <m/>
    <s v="April 2025"/>
    <s v=""/>
    <n v="286000"/>
    <n v="286000"/>
    <n v="286000"/>
    <m/>
  </r>
  <r>
    <n v="23"/>
    <s v=""/>
    <s v=""/>
    <x v="4"/>
    <m/>
    <d v="2025-05-03T00:00:00"/>
    <d v="2025-05-03T00:00:00"/>
    <x v="1"/>
    <x v="1"/>
    <x v="1"/>
    <x v="0"/>
    <s v="Middle East (UAE)"/>
    <x v="3"/>
    <x v="3"/>
    <s v="48,000 AED"/>
    <n v="48000"/>
    <n v="100576190"/>
    <s v="NA"/>
    <s v="Sold"/>
    <m/>
    <s v="May"/>
    <s v="Full Payment - By link"/>
    <n v="6100102079"/>
    <x v="5"/>
    <s v=""/>
    <s v=""/>
    <s v=""/>
    <s v=""/>
    <s v="The client expressed interest in the Fiftysix and requested to have the timepiece delivered to his home."/>
    <m/>
    <m/>
    <m/>
    <s v="May 2025"/>
    <s v=""/>
    <n v="48000"/>
    <n v="48000"/>
    <n v="48000"/>
    <m/>
  </r>
  <r>
    <n v="24"/>
    <n v="3"/>
    <s v=""/>
    <x v="4"/>
    <s v="RQS-UAE-119995"/>
    <d v="2025-04-12T00:00:00"/>
    <d v="2025-04-12T00:00:00"/>
    <x v="1"/>
    <x v="1"/>
    <x v="2"/>
    <x v="2"/>
    <s v="Middle East (UAE)"/>
    <x v="13"/>
    <x v="11"/>
    <s v="229,000 AED"/>
    <n v="229000"/>
    <n v="105371442"/>
    <s v="Please confirm client goes ahead to Anais &amp; Rowel, so piece can be ordered from CH, estimated time: 7 days"/>
    <s v="Open Sale"/>
    <m/>
    <s v=""/>
    <m/>
    <m/>
    <x v="0"/>
    <s v="95 Days"/>
    <s v=""/>
    <s v=""/>
    <s v="95"/>
    <s v="As per the client &quot;I am on it. _x000a_Approx a week _x000a_I had told you that I’d do it by 15th May rest by May last week June first week._x000a_But I’ll try and do it in the coming week itself &quot;   a"/>
    <s v="The timpiease available at the BTQ Patty approved for deposit "/>
    <s v="The client is facing logistc issue in getting the watch back to India"/>
    <m/>
    <s v="April 2025"/>
    <s v=""/>
    <n v="229000"/>
    <n v="229000"/>
    <n v="229000"/>
    <m/>
  </r>
  <r>
    <n v="25"/>
    <s v=""/>
    <n v="3"/>
    <x v="4"/>
    <s v="RQS-UAE-117655"/>
    <d v="2024-12-19T00:00:00"/>
    <d v="2025-05-03T00:00:00"/>
    <x v="0"/>
    <x v="0"/>
    <x v="0"/>
    <x v="2"/>
    <s v="Middle East (UAE)"/>
    <x v="14"/>
    <x v="12"/>
    <s v="117,000 AED"/>
    <n v="117000"/>
    <n v="102928395"/>
    <s v="NA"/>
    <s v="Pending Allocation"/>
    <m/>
    <m/>
    <s v="Paid Deposit"/>
    <m/>
    <x v="0"/>
    <s v=""/>
    <s v="209 Days"/>
    <n v="74"/>
    <s v=""/>
    <s v="I reached out to the client to confirm his interest, and according to him, he is still interested."/>
    <m/>
    <m/>
    <m/>
    <s v="May 2025"/>
    <s v=""/>
    <n v="117000"/>
    <n v="117000"/>
    <n v="117000"/>
    <m/>
  </r>
  <r>
    <n v="26"/>
    <s v=""/>
    <n v="4"/>
    <x v="4"/>
    <s v="RQS-UAE-117496"/>
    <d v="2024-11-20T00:00:00"/>
    <d v="2025-05-03T00:00:00"/>
    <x v="0"/>
    <x v="0"/>
    <x v="4"/>
    <x v="2"/>
    <s v="Middle East (UAE)"/>
    <x v="0"/>
    <x v="0"/>
    <s v="117,000 AED"/>
    <n v="117000"/>
    <n v="101472623"/>
    <s v="NA"/>
    <s v="Pending Allocation"/>
    <m/>
    <s v="June"/>
    <s v="Full Payment - By link"/>
    <m/>
    <x v="6"/>
    <s v=""/>
    <s v="238 Days"/>
    <n v="74"/>
    <s v=""/>
    <s v="I reached out to the client to confirm his interest, and according to him, he is still interested."/>
    <m/>
    <m/>
    <m/>
    <s v="May 2025"/>
    <s v=""/>
    <n v="117000"/>
    <n v="117000"/>
    <n v="117000"/>
    <m/>
  </r>
  <r>
    <n v="27"/>
    <s v=""/>
    <s v=""/>
    <x v="4"/>
    <s v="RQS-UAE-120048"/>
    <d v="2025-04-16T00:00:00"/>
    <d v="2025-05-07T00:00:00"/>
    <x v="0"/>
    <x v="0"/>
    <x v="2"/>
    <x v="1"/>
    <s v="Middle East (UAE)"/>
    <x v="15"/>
    <x v="13"/>
    <s v="172,000 AED"/>
    <n v="172000"/>
    <n v="105370532"/>
    <s v="Please confirm client goes ahead to Anais &amp; Rowel, so piece can be ordered from CH, estimated time: 7 days"/>
    <s v="Closed Sale"/>
    <m/>
    <s v=""/>
    <m/>
    <m/>
    <x v="0"/>
    <s v="69 Days"/>
    <s v=""/>
    <s v=""/>
    <s v=""/>
    <s v="He has confirmed an appointment to visit the Mall of the Emirates boutique on 16th May 2025 at 6:00 PM to view the piece and proceed with the purchase if it suits him._x000a_•_x0009_Internal Reference: 4010T/000G-B740"/>
    <s v="The client keeps on holding"/>
    <m/>
    <m/>
    <s v="May 2025"/>
    <s v=""/>
    <n v="172000"/>
    <n v="172000"/>
    <n v="172000"/>
    <s v="updatejr "/>
  </r>
  <r>
    <n v="28"/>
    <s v=""/>
    <s v=""/>
    <x v="4"/>
    <s v="RQS-UAE-120159"/>
    <d v="2025-05-13T00:00:00"/>
    <d v="2025-05-13T00:00:00"/>
    <x v="0"/>
    <x v="0"/>
    <x v="6"/>
    <x v="2"/>
    <s v="Middle East (UAE)"/>
    <x v="16"/>
    <x v="14"/>
    <s v="104,000 AED"/>
    <n v="104000"/>
    <n v="105904737"/>
    <s v="NA"/>
    <s v="Closed Sale"/>
    <m/>
    <m/>
    <s v="Full Payment - By link"/>
    <m/>
    <x v="0"/>
    <s v="18 Days"/>
    <s v=""/>
    <s v=""/>
    <s v=""/>
    <m/>
    <m/>
    <m/>
    <m/>
    <s v="May 2025"/>
    <s v=""/>
    <n v="104000"/>
    <n v="104000"/>
    <n v="104000"/>
    <m/>
  </r>
  <r>
    <n v="29"/>
    <s v=""/>
    <n v="5"/>
    <x v="4"/>
    <s v="RQS-UAE-120160"/>
    <d v="2025-05-13T00:00:00"/>
    <d v="2025-05-13T00:00:00"/>
    <x v="0"/>
    <x v="1"/>
    <x v="2"/>
    <x v="1"/>
    <s v="Middle East (UAE)"/>
    <x v="10"/>
    <x v="8"/>
    <s v="166,000 AED"/>
    <n v="166000"/>
    <n v="105904737"/>
    <s v="NA"/>
    <s v="Pending Allocation"/>
    <m/>
    <s v="June"/>
    <s v="Paid Deposit"/>
    <m/>
    <x v="0"/>
    <s v=""/>
    <s v="64 Days"/>
    <n v="64"/>
    <s v=""/>
    <s v="The client has paid the deposit, and the GC was initiated for his wife."/>
    <s v="Maya is handling the allocation."/>
    <s v="Confirmed "/>
    <m/>
    <s v="May 2025"/>
    <s v=""/>
    <n v="166000"/>
    <n v="166000"/>
    <n v="166000"/>
    <m/>
  </r>
  <r>
    <n v="30"/>
    <s v=""/>
    <s v=""/>
    <x v="4"/>
    <s v="RQS-UAE-120244"/>
    <d v="2024-05-12T00:00:00"/>
    <d v="2025-04-12T00:00:00"/>
    <x v="0"/>
    <x v="0"/>
    <x v="0"/>
    <x v="2"/>
    <s v="Middle East (UAE)"/>
    <x v="14"/>
    <x v="12"/>
    <s v="117,000 AED"/>
    <n v="117000"/>
    <n v="105904737"/>
    <s v="NA"/>
    <s v="Closed Sale"/>
    <m/>
    <s v="June"/>
    <m/>
    <m/>
    <x v="0"/>
    <s v="408 Days"/>
    <s v=""/>
    <s v=""/>
    <s v=""/>
    <m/>
    <m/>
    <s v="Confirmed "/>
    <m/>
    <s v="April 2025"/>
    <s v=""/>
    <n v="117000"/>
    <n v="117000"/>
    <n v="117000"/>
    <m/>
  </r>
  <r>
    <n v="31"/>
    <s v=""/>
    <n v="6"/>
    <x v="4"/>
    <m/>
    <d v="2025-05-27T00:00:00"/>
    <d v="2025-05-27T00:00:00"/>
    <x v="0"/>
    <x v="0"/>
    <x v="4"/>
    <x v="1"/>
    <s v="Middle East (UAE)"/>
    <x v="17"/>
    <x v="15"/>
    <s v="116,000 AED"/>
    <n v="116000"/>
    <n v="106274248"/>
    <s v="NA"/>
    <s v="Pending Allocation"/>
    <m/>
    <s v="June"/>
    <m/>
    <m/>
    <x v="0"/>
    <s v=""/>
    <s v="50 Days"/>
    <n v="50"/>
    <s v=""/>
    <s v="The client is interested in the Traditionnelle self-winding ultra-thin and asking if we still have it"/>
    <m/>
    <m/>
    <m/>
    <s v="May 2025"/>
    <s v=""/>
    <n v="116000"/>
    <n v="116000"/>
    <n v="116000"/>
    <m/>
  </r>
  <r>
    <n v="32"/>
    <s v=""/>
    <s v=""/>
    <x v="5"/>
    <m/>
    <m/>
    <m/>
    <x v="2"/>
    <x v="2"/>
    <x v="5"/>
    <x v="3"/>
    <m/>
    <x v="18"/>
    <x v="16"/>
    <s v=""/>
    <s v=""/>
    <m/>
    <m/>
    <m/>
    <m/>
    <s v=""/>
    <m/>
    <m/>
    <x v="0"/>
    <s v=""/>
    <s v=""/>
    <s v=""/>
    <s v=""/>
    <m/>
    <m/>
    <m/>
    <m/>
    <s v=""/>
    <s v=""/>
    <s v=""/>
    <s v=""/>
    <s v=""/>
    <m/>
  </r>
  <r>
    <n v="33"/>
    <s v=""/>
    <s v=""/>
    <x v="5"/>
    <m/>
    <m/>
    <m/>
    <x v="2"/>
    <x v="2"/>
    <x v="5"/>
    <x v="3"/>
    <m/>
    <x v="18"/>
    <x v="16"/>
    <s v=""/>
    <s v=""/>
    <m/>
    <m/>
    <m/>
    <m/>
    <s v=""/>
    <m/>
    <m/>
    <x v="0"/>
    <s v=""/>
    <s v=""/>
    <s v=""/>
    <s v=""/>
    <m/>
    <m/>
    <m/>
    <m/>
    <s v=""/>
    <s v=""/>
    <s v=""/>
    <s v=""/>
    <s v=""/>
    <m/>
  </r>
  <r>
    <n v="35"/>
    <s v=""/>
    <s v=""/>
    <x v="5"/>
    <m/>
    <m/>
    <m/>
    <x v="2"/>
    <x v="2"/>
    <x v="5"/>
    <x v="3"/>
    <m/>
    <x v="18"/>
    <x v="16"/>
    <s v=""/>
    <s v=""/>
    <m/>
    <m/>
    <m/>
    <m/>
    <s v=""/>
    <m/>
    <m/>
    <x v="0"/>
    <s v=""/>
    <s v=""/>
    <s v=""/>
    <s v=""/>
    <m/>
    <m/>
    <m/>
    <m/>
    <s v=""/>
    <s v=""/>
    <s v=""/>
    <s v=""/>
    <s v=""/>
    <m/>
  </r>
  <r>
    <n v="36"/>
    <s v=""/>
    <s v=""/>
    <x v="5"/>
    <m/>
    <m/>
    <m/>
    <x v="2"/>
    <x v="2"/>
    <x v="5"/>
    <x v="3"/>
    <m/>
    <x v="18"/>
    <x v="16"/>
    <s v=""/>
    <s v=""/>
    <m/>
    <m/>
    <m/>
    <m/>
    <s v=""/>
    <m/>
    <m/>
    <x v="0"/>
    <s v=""/>
    <s v=""/>
    <s v=""/>
    <s v=""/>
    <m/>
    <m/>
    <m/>
    <m/>
    <s v=""/>
    <s v=""/>
    <s v=""/>
    <s v=""/>
    <s v=""/>
    <m/>
  </r>
  <r>
    <n v="37"/>
    <s v=""/>
    <s v=""/>
    <x v="5"/>
    <m/>
    <m/>
    <m/>
    <x v="2"/>
    <x v="2"/>
    <x v="5"/>
    <x v="3"/>
    <m/>
    <x v="18"/>
    <x v="16"/>
    <s v=""/>
    <s v=""/>
    <m/>
    <m/>
    <m/>
    <m/>
    <s v=""/>
    <m/>
    <m/>
    <x v="0"/>
    <s v=""/>
    <s v=""/>
    <s v=""/>
    <s v=""/>
    <m/>
    <m/>
    <m/>
    <m/>
    <s v=""/>
    <s v=""/>
    <s v=""/>
    <s v=""/>
    <s v=""/>
    <m/>
  </r>
  <r>
    <n v="38"/>
    <s v=""/>
    <s v=""/>
    <x v="5"/>
    <m/>
    <m/>
    <m/>
    <x v="2"/>
    <x v="2"/>
    <x v="5"/>
    <x v="3"/>
    <m/>
    <x v="18"/>
    <x v="16"/>
    <s v=""/>
    <s v=""/>
    <m/>
    <m/>
    <m/>
    <m/>
    <s v=""/>
    <m/>
    <m/>
    <x v="0"/>
    <s v=""/>
    <s v=""/>
    <s v=""/>
    <s v=""/>
    <m/>
    <m/>
    <m/>
    <m/>
    <s v=""/>
    <s v=""/>
    <s v=""/>
    <s v=""/>
    <s v=""/>
    <m/>
  </r>
  <r>
    <n v="39"/>
    <s v=""/>
    <s v=""/>
    <x v="5"/>
    <m/>
    <m/>
    <m/>
    <x v="2"/>
    <x v="2"/>
    <x v="5"/>
    <x v="3"/>
    <m/>
    <x v="18"/>
    <x v="16"/>
    <s v=""/>
    <s v=""/>
    <m/>
    <m/>
    <m/>
    <m/>
    <s v=""/>
    <m/>
    <m/>
    <x v="0"/>
    <s v=""/>
    <s v=""/>
    <s v=""/>
    <s v=""/>
    <m/>
    <m/>
    <m/>
    <m/>
    <s v=""/>
    <s v=""/>
    <s v=""/>
    <s v=""/>
    <s v=""/>
    <m/>
  </r>
  <r>
    <n v="40"/>
    <s v=""/>
    <s v=""/>
    <x v="5"/>
    <m/>
    <m/>
    <m/>
    <x v="2"/>
    <x v="2"/>
    <x v="5"/>
    <x v="3"/>
    <m/>
    <x v="18"/>
    <x v="16"/>
    <s v=""/>
    <s v=""/>
    <m/>
    <m/>
    <m/>
    <m/>
    <s v=""/>
    <m/>
    <m/>
    <x v="0"/>
    <s v=""/>
    <s v=""/>
    <s v=""/>
    <s v=""/>
    <m/>
    <m/>
    <m/>
    <m/>
    <s v=""/>
    <s v=""/>
    <s v=""/>
    <s v=""/>
    <s v=""/>
    <m/>
  </r>
  <r>
    <n v="41"/>
    <s v=""/>
    <s v=""/>
    <x v="5"/>
    <m/>
    <m/>
    <m/>
    <x v="2"/>
    <x v="2"/>
    <x v="5"/>
    <x v="3"/>
    <m/>
    <x v="18"/>
    <x v="16"/>
    <s v=""/>
    <s v=""/>
    <m/>
    <m/>
    <m/>
    <m/>
    <s v=""/>
    <m/>
    <m/>
    <x v="0"/>
    <s v=""/>
    <s v=""/>
    <s v=""/>
    <s v=""/>
    <m/>
    <m/>
    <m/>
    <m/>
    <s v=""/>
    <s v=""/>
    <s v=""/>
    <s v=""/>
    <s v=""/>
    <m/>
  </r>
  <r>
    <n v="42"/>
    <s v=""/>
    <s v=""/>
    <x v="5"/>
    <m/>
    <m/>
    <m/>
    <x v="2"/>
    <x v="2"/>
    <x v="5"/>
    <x v="3"/>
    <m/>
    <x v="18"/>
    <x v="16"/>
    <s v=""/>
    <s v=""/>
    <m/>
    <m/>
    <m/>
    <m/>
    <s v=""/>
    <m/>
    <m/>
    <x v="0"/>
    <s v=""/>
    <s v=""/>
    <s v=""/>
    <s v=""/>
    <m/>
    <m/>
    <m/>
    <m/>
    <s v=""/>
    <s v=""/>
    <s v=""/>
    <s v=""/>
    <s v=""/>
    <m/>
  </r>
  <r>
    <n v="43"/>
    <s v=""/>
    <s v=""/>
    <x v="5"/>
    <m/>
    <m/>
    <m/>
    <x v="2"/>
    <x v="2"/>
    <x v="5"/>
    <x v="3"/>
    <m/>
    <x v="18"/>
    <x v="16"/>
    <s v=""/>
    <s v=""/>
    <m/>
    <m/>
    <m/>
    <m/>
    <s v=""/>
    <m/>
    <m/>
    <x v="0"/>
    <s v=""/>
    <s v=""/>
    <s v=""/>
    <s v=""/>
    <m/>
    <m/>
    <m/>
    <m/>
    <s v=""/>
    <s v=""/>
    <s v=""/>
    <s v=""/>
    <s v=""/>
    <m/>
  </r>
  <r>
    <n v="44"/>
    <s v=""/>
    <s v=""/>
    <x v="5"/>
    <m/>
    <m/>
    <m/>
    <x v="2"/>
    <x v="2"/>
    <x v="5"/>
    <x v="3"/>
    <m/>
    <x v="18"/>
    <x v="16"/>
    <s v=""/>
    <s v=""/>
    <m/>
    <m/>
    <m/>
    <m/>
    <s v=""/>
    <m/>
    <m/>
    <x v="0"/>
    <s v=""/>
    <s v=""/>
    <s v=""/>
    <s v=""/>
    <m/>
    <m/>
    <m/>
    <m/>
    <s v=""/>
    <s v=""/>
    <s v=""/>
    <s v=""/>
    <s v=""/>
    <m/>
  </r>
  <r>
    <n v="45"/>
    <s v=""/>
    <s v=""/>
    <x v="5"/>
    <m/>
    <m/>
    <m/>
    <x v="2"/>
    <x v="2"/>
    <x v="5"/>
    <x v="3"/>
    <m/>
    <x v="18"/>
    <x v="16"/>
    <s v=""/>
    <s v=""/>
    <m/>
    <m/>
    <m/>
    <m/>
    <s v=""/>
    <m/>
    <m/>
    <x v="0"/>
    <s v=""/>
    <s v=""/>
    <s v=""/>
    <s v=""/>
    <m/>
    <m/>
    <m/>
    <m/>
    <s v=""/>
    <s v=""/>
    <s v=""/>
    <s v=""/>
    <s v=""/>
    <m/>
  </r>
  <r>
    <n v="46"/>
    <s v=""/>
    <s v=""/>
    <x v="5"/>
    <m/>
    <m/>
    <m/>
    <x v="2"/>
    <x v="2"/>
    <x v="5"/>
    <x v="3"/>
    <m/>
    <x v="18"/>
    <x v="16"/>
    <s v=""/>
    <s v=""/>
    <m/>
    <m/>
    <m/>
    <m/>
    <s v=""/>
    <m/>
    <m/>
    <x v="0"/>
    <s v=""/>
    <s v=""/>
    <s v=""/>
    <s v=""/>
    <m/>
    <m/>
    <m/>
    <m/>
    <s v=""/>
    <s v=""/>
    <s v=""/>
    <s v=""/>
    <s v=""/>
    <m/>
  </r>
  <r>
    <n v="47"/>
    <s v=""/>
    <s v=""/>
    <x v="5"/>
    <m/>
    <m/>
    <m/>
    <x v="2"/>
    <x v="2"/>
    <x v="5"/>
    <x v="3"/>
    <m/>
    <x v="18"/>
    <x v="16"/>
    <s v=""/>
    <s v=""/>
    <m/>
    <m/>
    <m/>
    <m/>
    <s v=""/>
    <m/>
    <m/>
    <x v="0"/>
    <s v=""/>
    <s v=""/>
    <s v=""/>
    <s v=""/>
    <m/>
    <m/>
    <m/>
    <m/>
    <s v=""/>
    <s v=""/>
    <s v=""/>
    <s v=""/>
    <s v=""/>
    <m/>
  </r>
  <r>
    <n v="48"/>
    <s v=""/>
    <s v=""/>
    <x v="5"/>
    <m/>
    <m/>
    <m/>
    <x v="2"/>
    <x v="2"/>
    <x v="5"/>
    <x v="3"/>
    <m/>
    <x v="18"/>
    <x v="16"/>
    <s v=""/>
    <s v=""/>
    <m/>
    <m/>
    <m/>
    <m/>
    <s v=""/>
    <m/>
    <m/>
    <x v="0"/>
    <s v=""/>
    <s v=""/>
    <s v=""/>
    <s v=""/>
    <m/>
    <m/>
    <m/>
    <m/>
    <s v=""/>
    <s v=""/>
    <s v=""/>
    <s v=""/>
    <s v=""/>
    <m/>
  </r>
  <r>
    <n v="49"/>
    <s v=""/>
    <s v=""/>
    <x v="5"/>
    <m/>
    <m/>
    <m/>
    <x v="2"/>
    <x v="2"/>
    <x v="5"/>
    <x v="3"/>
    <m/>
    <x v="18"/>
    <x v="16"/>
    <s v=""/>
    <s v=""/>
    <m/>
    <m/>
    <m/>
    <m/>
    <s v=""/>
    <m/>
    <m/>
    <x v="0"/>
    <s v=""/>
    <s v=""/>
    <s v=""/>
    <s v=""/>
    <m/>
    <m/>
    <m/>
    <m/>
    <s v=""/>
    <s v=""/>
    <s v=""/>
    <s v=""/>
    <s v=""/>
    <m/>
  </r>
  <r>
    <n v="50"/>
    <s v=""/>
    <s v=""/>
    <x v="5"/>
    <m/>
    <m/>
    <m/>
    <x v="2"/>
    <x v="2"/>
    <x v="5"/>
    <x v="3"/>
    <m/>
    <x v="18"/>
    <x v="16"/>
    <s v=""/>
    <s v=""/>
    <m/>
    <m/>
    <m/>
    <m/>
    <s v=""/>
    <m/>
    <m/>
    <x v="0"/>
    <s v=""/>
    <s v=""/>
    <s v=""/>
    <s v=""/>
    <m/>
    <m/>
    <m/>
    <m/>
    <s v=""/>
    <s v=""/>
    <s v=""/>
    <s v=""/>
    <s v=""/>
    <m/>
  </r>
  <r>
    <n v="51"/>
    <s v=""/>
    <s v=""/>
    <x v="5"/>
    <m/>
    <m/>
    <m/>
    <x v="2"/>
    <x v="2"/>
    <x v="5"/>
    <x v="3"/>
    <m/>
    <x v="18"/>
    <x v="16"/>
    <s v=""/>
    <s v=""/>
    <m/>
    <m/>
    <m/>
    <m/>
    <s v=""/>
    <m/>
    <m/>
    <x v="0"/>
    <s v=""/>
    <s v=""/>
    <s v=""/>
    <s v=""/>
    <m/>
    <m/>
    <m/>
    <m/>
    <s v=""/>
    <s v=""/>
    <s v=""/>
    <s v=""/>
    <s v=""/>
    <m/>
  </r>
  <r>
    <n v="52"/>
    <s v=""/>
    <s v=""/>
    <x v="5"/>
    <m/>
    <m/>
    <m/>
    <x v="2"/>
    <x v="2"/>
    <x v="5"/>
    <x v="3"/>
    <m/>
    <x v="18"/>
    <x v="16"/>
    <s v=""/>
    <s v=""/>
    <m/>
    <m/>
    <m/>
    <m/>
    <s v=""/>
    <m/>
    <m/>
    <x v="0"/>
    <s v=""/>
    <s v=""/>
    <s v=""/>
    <s v=""/>
    <m/>
    <m/>
    <m/>
    <m/>
    <s v=""/>
    <s v=""/>
    <s v=""/>
    <s v=""/>
    <s v=""/>
    <m/>
  </r>
  <r>
    <n v="53"/>
    <s v=""/>
    <s v=""/>
    <x v="5"/>
    <m/>
    <m/>
    <m/>
    <x v="2"/>
    <x v="2"/>
    <x v="5"/>
    <x v="3"/>
    <m/>
    <x v="18"/>
    <x v="16"/>
    <s v=""/>
    <s v=""/>
    <m/>
    <m/>
    <m/>
    <m/>
    <s v=""/>
    <m/>
    <m/>
    <x v="0"/>
    <s v=""/>
    <s v=""/>
    <s v=""/>
    <s v=""/>
    <m/>
    <m/>
    <m/>
    <m/>
    <s v=""/>
    <s v=""/>
    <s v=""/>
    <s v=""/>
    <s v=""/>
    <m/>
  </r>
  <r>
    <n v="54"/>
    <s v=""/>
    <s v=""/>
    <x v="5"/>
    <m/>
    <m/>
    <m/>
    <x v="2"/>
    <x v="2"/>
    <x v="5"/>
    <x v="3"/>
    <m/>
    <x v="18"/>
    <x v="16"/>
    <s v=""/>
    <s v=""/>
    <m/>
    <m/>
    <m/>
    <m/>
    <s v=""/>
    <m/>
    <m/>
    <x v="0"/>
    <s v=""/>
    <s v=""/>
    <s v=""/>
    <s v=""/>
    <m/>
    <m/>
    <m/>
    <m/>
    <s v=""/>
    <s v=""/>
    <s v=""/>
    <s v=""/>
    <s v=""/>
    <m/>
  </r>
  <r>
    <n v="55"/>
    <s v=""/>
    <s v=""/>
    <x v="5"/>
    <m/>
    <m/>
    <m/>
    <x v="2"/>
    <x v="2"/>
    <x v="5"/>
    <x v="3"/>
    <m/>
    <x v="18"/>
    <x v="16"/>
    <s v=""/>
    <s v=""/>
    <m/>
    <m/>
    <m/>
    <m/>
    <s v=""/>
    <m/>
    <m/>
    <x v="0"/>
    <s v=""/>
    <s v=""/>
    <s v=""/>
    <s v=""/>
    <m/>
    <m/>
    <m/>
    <m/>
    <s v=""/>
    <s v=""/>
    <s v=""/>
    <s v=""/>
    <s v=""/>
    <m/>
  </r>
  <r>
    <n v="56"/>
    <s v=""/>
    <s v=""/>
    <x v="5"/>
    <m/>
    <m/>
    <m/>
    <x v="2"/>
    <x v="2"/>
    <x v="5"/>
    <x v="3"/>
    <m/>
    <x v="18"/>
    <x v="16"/>
    <s v=""/>
    <s v=""/>
    <m/>
    <m/>
    <m/>
    <m/>
    <s v=""/>
    <m/>
    <m/>
    <x v="0"/>
    <s v=""/>
    <s v=""/>
    <s v=""/>
    <s v=""/>
    <m/>
    <m/>
    <m/>
    <m/>
    <s v=""/>
    <s v=""/>
    <s v=""/>
    <s v=""/>
    <s v=""/>
    <m/>
  </r>
  <r>
    <n v="57"/>
    <s v=""/>
    <s v=""/>
    <x v="5"/>
    <m/>
    <m/>
    <m/>
    <x v="2"/>
    <x v="2"/>
    <x v="5"/>
    <x v="3"/>
    <m/>
    <x v="18"/>
    <x v="16"/>
    <s v=""/>
    <s v=""/>
    <m/>
    <m/>
    <m/>
    <m/>
    <s v=""/>
    <m/>
    <m/>
    <x v="0"/>
    <s v=""/>
    <s v=""/>
    <s v=""/>
    <s v=""/>
    <m/>
    <m/>
    <m/>
    <m/>
    <s v=""/>
    <s v=""/>
    <s v=""/>
    <s v=""/>
    <s v=""/>
    <m/>
  </r>
  <r>
    <n v="58"/>
    <s v=""/>
    <s v=""/>
    <x v="5"/>
    <m/>
    <m/>
    <m/>
    <x v="2"/>
    <x v="2"/>
    <x v="5"/>
    <x v="3"/>
    <m/>
    <x v="18"/>
    <x v="16"/>
    <s v=""/>
    <s v=""/>
    <m/>
    <m/>
    <m/>
    <m/>
    <s v=""/>
    <m/>
    <m/>
    <x v="0"/>
    <s v=""/>
    <s v=""/>
    <s v=""/>
    <s v=""/>
    <m/>
    <m/>
    <m/>
    <m/>
    <s v=""/>
    <s v=""/>
    <s v=""/>
    <s v=""/>
    <s v=""/>
    <m/>
  </r>
  <r>
    <n v="59"/>
    <s v=""/>
    <s v=""/>
    <x v="5"/>
    <m/>
    <m/>
    <m/>
    <x v="2"/>
    <x v="2"/>
    <x v="5"/>
    <x v="3"/>
    <m/>
    <x v="18"/>
    <x v="16"/>
    <s v=""/>
    <s v=""/>
    <m/>
    <m/>
    <m/>
    <m/>
    <s v=""/>
    <m/>
    <m/>
    <x v="0"/>
    <s v=""/>
    <s v=""/>
    <s v=""/>
    <s v=""/>
    <m/>
    <m/>
    <m/>
    <m/>
    <s v=""/>
    <s v=""/>
    <s v=""/>
    <s v=""/>
    <s v=""/>
    <m/>
  </r>
  <r>
    <n v="60"/>
    <s v=""/>
    <s v=""/>
    <x v="5"/>
    <m/>
    <m/>
    <m/>
    <x v="2"/>
    <x v="2"/>
    <x v="5"/>
    <x v="3"/>
    <m/>
    <x v="18"/>
    <x v="16"/>
    <s v=""/>
    <s v=""/>
    <m/>
    <m/>
    <m/>
    <m/>
    <s v=""/>
    <m/>
    <m/>
    <x v="0"/>
    <s v=""/>
    <s v=""/>
    <s v=""/>
    <s v=""/>
    <m/>
    <m/>
    <m/>
    <m/>
    <s v=""/>
    <s v=""/>
    <s v=""/>
    <s v=""/>
    <s v=""/>
    <m/>
  </r>
  <r>
    <n v="61"/>
    <s v=""/>
    <s v=""/>
    <x v="5"/>
    <m/>
    <m/>
    <m/>
    <x v="2"/>
    <x v="2"/>
    <x v="5"/>
    <x v="3"/>
    <m/>
    <x v="18"/>
    <x v="16"/>
    <s v=""/>
    <s v=""/>
    <m/>
    <m/>
    <m/>
    <m/>
    <s v=""/>
    <m/>
    <m/>
    <x v="0"/>
    <s v=""/>
    <s v=""/>
    <s v=""/>
    <s v=""/>
    <m/>
    <m/>
    <m/>
    <m/>
    <s v=""/>
    <s v=""/>
    <s v=""/>
    <s v=""/>
    <s v=""/>
    <m/>
  </r>
  <r>
    <n v="62"/>
    <s v=""/>
    <s v=""/>
    <x v="5"/>
    <m/>
    <m/>
    <m/>
    <x v="2"/>
    <x v="2"/>
    <x v="5"/>
    <x v="3"/>
    <m/>
    <x v="18"/>
    <x v="16"/>
    <s v=""/>
    <s v=""/>
    <m/>
    <m/>
    <m/>
    <m/>
    <s v=""/>
    <m/>
    <m/>
    <x v="0"/>
    <s v=""/>
    <s v=""/>
    <s v=""/>
    <s v=""/>
    <m/>
    <m/>
    <m/>
    <m/>
    <s v=""/>
    <s v=""/>
    <s v=""/>
    <s v=""/>
    <s v=""/>
    <m/>
  </r>
  <r>
    <n v="63"/>
    <s v=""/>
    <s v=""/>
    <x v="5"/>
    <m/>
    <m/>
    <m/>
    <x v="2"/>
    <x v="2"/>
    <x v="5"/>
    <x v="3"/>
    <m/>
    <x v="18"/>
    <x v="16"/>
    <s v=""/>
    <s v=""/>
    <m/>
    <m/>
    <m/>
    <m/>
    <s v=""/>
    <m/>
    <m/>
    <x v="0"/>
    <s v=""/>
    <s v=""/>
    <s v=""/>
    <s v=""/>
    <m/>
    <m/>
    <m/>
    <m/>
    <s v=""/>
    <s v=""/>
    <s v=""/>
    <s v=""/>
    <s v=""/>
    <m/>
  </r>
  <r>
    <n v="64"/>
    <s v=""/>
    <s v=""/>
    <x v="5"/>
    <m/>
    <m/>
    <m/>
    <x v="2"/>
    <x v="2"/>
    <x v="5"/>
    <x v="3"/>
    <m/>
    <x v="18"/>
    <x v="16"/>
    <s v=""/>
    <s v=""/>
    <m/>
    <m/>
    <m/>
    <m/>
    <s v=""/>
    <m/>
    <m/>
    <x v="0"/>
    <s v=""/>
    <s v=""/>
    <s v=""/>
    <s v=""/>
    <m/>
    <m/>
    <m/>
    <m/>
    <s v=""/>
    <s v=""/>
    <s v=""/>
    <s v=""/>
    <s v=""/>
    <m/>
  </r>
  <r>
    <n v="65"/>
    <s v=""/>
    <s v=""/>
    <x v="5"/>
    <m/>
    <m/>
    <m/>
    <x v="2"/>
    <x v="2"/>
    <x v="5"/>
    <x v="3"/>
    <m/>
    <x v="18"/>
    <x v="16"/>
    <s v=""/>
    <s v=""/>
    <m/>
    <m/>
    <m/>
    <m/>
    <s v=""/>
    <m/>
    <m/>
    <x v="0"/>
    <s v=""/>
    <s v=""/>
    <s v=""/>
    <s v=""/>
    <m/>
    <m/>
    <m/>
    <m/>
    <s v=""/>
    <s v=""/>
    <s v=""/>
    <s v=""/>
    <s v=""/>
    <m/>
  </r>
  <r>
    <n v="66"/>
    <s v=""/>
    <s v=""/>
    <x v="5"/>
    <m/>
    <m/>
    <m/>
    <x v="2"/>
    <x v="2"/>
    <x v="5"/>
    <x v="3"/>
    <m/>
    <x v="18"/>
    <x v="16"/>
    <s v=""/>
    <s v=""/>
    <m/>
    <m/>
    <m/>
    <m/>
    <s v=""/>
    <m/>
    <m/>
    <x v="0"/>
    <s v=""/>
    <s v=""/>
    <s v=""/>
    <s v=""/>
    <m/>
    <m/>
    <m/>
    <m/>
    <s v=""/>
    <s v=""/>
    <s v=""/>
    <s v=""/>
    <s v=""/>
    <m/>
  </r>
  <r>
    <n v="67"/>
    <s v=""/>
    <s v=""/>
    <x v="5"/>
    <m/>
    <m/>
    <m/>
    <x v="2"/>
    <x v="2"/>
    <x v="5"/>
    <x v="3"/>
    <m/>
    <x v="18"/>
    <x v="16"/>
    <s v=""/>
    <s v=""/>
    <m/>
    <m/>
    <m/>
    <m/>
    <s v=""/>
    <m/>
    <m/>
    <x v="0"/>
    <s v=""/>
    <s v=""/>
    <s v=""/>
    <s v=""/>
    <m/>
    <m/>
    <m/>
    <m/>
    <s v=""/>
    <s v=""/>
    <s v=""/>
    <s v=""/>
    <s v=""/>
    <m/>
  </r>
  <r>
    <n v="68"/>
    <s v=""/>
    <s v=""/>
    <x v="5"/>
    <m/>
    <m/>
    <m/>
    <x v="2"/>
    <x v="2"/>
    <x v="5"/>
    <x v="3"/>
    <m/>
    <x v="18"/>
    <x v="16"/>
    <s v=""/>
    <s v=""/>
    <m/>
    <m/>
    <m/>
    <m/>
    <s v=""/>
    <m/>
    <m/>
    <x v="0"/>
    <s v=""/>
    <s v=""/>
    <s v=""/>
    <s v=""/>
    <m/>
    <m/>
    <m/>
    <m/>
    <s v=""/>
    <s v=""/>
    <s v=""/>
    <s v=""/>
    <s v=""/>
    <m/>
  </r>
  <r>
    <n v="69"/>
    <s v=""/>
    <s v=""/>
    <x v="5"/>
    <m/>
    <m/>
    <m/>
    <x v="2"/>
    <x v="2"/>
    <x v="5"/>
    <x v="3"/>
    <m/>
    <x v="18"/>
    <x v="16"/>
    <s v=""/>
    <s v=""/>
    <m/>
    <m/>
    <m/>
    <m/>
    <s v=""/>
    <m/>
    <m/>
    <x v="0"/>
    <s v=""/>
    <s v=""/>
    <s v=""/>
    <s v=""/>
    <m/>
    <m/>
    <m/>
    <m/>
    <s v=""/>
    <s v=""/>
    <s v=""/>
    <s v=""/>
    <s v=""/>
    <m/>
  </r>
  <r>
    <n v="70"/>
    <s v=""/>
    <s v=""/>
    <x v="5"/>
    <m/>
    <m/>
    <m/>
    <x v="2"/>
    <x v="2"/>
    <x v="5"/>
    <x v="3"/>
    <m/>
    <x v="18"/>
    <x v="16"/>
    <s v=""/>
    <s v=""/>
    <m/>
    <m/>
    <m/>
    <m/>
    <s v=""/>
    <m/>
    <m/>
    <x v="0"/>
    <s v=""/>
    <s v=""/>
    <s v=""/>
    <s v=""/>
    <m/>
    <m/>
    <m/>
    <m/>
    <s v=""/>
    <s v=""/>
    <s v=""/>
    <s v=""/>
    <s v=""/>
    <m/>
  </r>
  <r>
    <n v="71"/>
    <s v=""/>
    <s v=""/>
    <x v="5"/>
    <m/>
    <m/>
    <m/>
    <x v="2"/>
    <x v="2"/>
    <x v="5"/>
    <x v="3"/>
    <m/>
    <x v="18"/>
    <x v="16"/>
    <s v=""/>
    <s v=""/>
    <m/>
    <m/>
    <m/>
    <m/>
    <s v=""/>
    <m/>
    <m/>
    <x v="0"/>
    <s v=""/>
    <s v=""/>
    <s v=""/>
    <s v=""/>
    <m/>
    <m/>
    <m/>
    <m/>
    <s v=""/>
    <s v=""/>
    <s v=""/>
    <s v=""/>
    <s v=""/>
    <m/>
  </r>
  <r>
    <n v="72"/>
    <s v=""/>
    <s v=""/>
    <x v="5"/>
    <m/>
    <m/>
    <m/>
    <x v="2"/>
    <x v="2"/>
    <x v="5"/>
    <x v="3"/>
    <m/>
    <x v="18"/>
    <x v="16"/>
    <s v=""/>
    <s v=""/>
    <m/>
    <m/>
    <m/>
    <m/>
    <s v=""/>
    <m/>
    <m/>
    <x v="0"/>
    <s v=""/>
    <s v=""/>
    <s v=""/>
    <s v=""/>
    <m/>
    <m/>
    <m/>
    <m/>
    <s v=""/>
    <s v=""/>
    <s v=""/>
    <s v=""/>
    <s v=""/>
    <m/>
  </r>
  <r>
    <n v="73"/>
    <s v=""/>
    <s v=""/>
    <x v="5"/>
    <m/>
    <m/>
    <m/>
    <x v="2"/>
    <x v="2"/>
    <x v="5"/>
    <x v="3"/>
    <m/>
    <x v="18"/>
    <x v="16"/>
    <s v=""/>
    <s v=""/>
    <m/>
    <m/>
    <m/>
    <m/>
    <s v=""/>
    <m/>
    <m/>
    <x v="0"/>
    <s v=""/>
    <s v=""/>
    <s v=""/>
    <s v=""/>
    <m/>
    <m/>
    <m/>
    <m/>
    <s v=""/>
    <s v=""/>
    <s v=""/>
    <s v=""/>
    <s v=""/>
    <m/>
  </r>
  <r>
    <n v="74"/>
    <s v=""/>
    <s v=""/>
    <x v="5"/>
    <m/>
    <m/>
    <m/>
    <x v="2"/>
    <x v="2"/>
    <x v="5"/>
    <x v="3"/>
    <m/>
    <x v="18"/>
    <x v="16"/>
    <s v=""/>
    <s v=""/>
    <m/>
    <m/>
    <m/>
    <m/>
    <s v=""/>
    <m/>
    <m/>
    <x v="0"/>
    <s v=""/>
    <s v=""/>
    <s v=""/>
    <s v=""/>
    <m/>
    <m/>
    <m/>
    <m/>
    <s v=""/>
    <s v=""/>
    <s v=""/>
    <s v=""/>
    <s v=""/>
    <m/>
  </r>
  <r>
    <n v="75"/>
    <s v=""/>
    <s v=""/>
    <x v="5"/>
    <m/>
    <m/>
    <m/>
    <x v="2"/>
    <x v="2"/>
    <x v="5"/>
    <x v="3"/>
    <m/>
    <x v="18"/>
    <x v="16"/>
    <s v=""/>
    <s v=""/>
    <m/>
    <m/>
    <m/>
    <m/>
    <s v=""/>
    <m/>
    <m/>
    <x v="0"/>
    <s v=""/>
    <s v=""/>
    <s v=""/>
    <s v=""/>
    <m/>
    <m/>
    <m/>
    <m/>
    <s v=""/>
    <s v=""/>
    <s v=""/>
    <s v=""/>
    <s v=""/>
    <m/>
  </r>
  <r>
    <n v="76"/>
    <s v=""/>
    <s v=""/>
    <x v="5"/>
    <m/>
    <m/>
    <m/>
    <x v="2"/>
    <x v="2"/>
    <x v="5"/>
    <x v="3"/>
    <m/>
    <x v="18"/>
    <x v="16"/>
    <s v=""/>
    <s v=""/>
    <m/>
    <m/>
    <m/>
    <m/>
    <s v=""/>
    <m/>
    <m/>
    <x v="0"/>
    <s v=""/>
    <s v=""/>
    <s v=""/>
    <s v=""/>
    <m/>
    <m/>
    <m/>
    <m/>
    <s v=""/>
    <s v=""/>
    <s v=""/>
    <s v=""/>
    <s v=""/>
    <m/>
  </r>
  <r>
    <n v="77"/>
    <s v=""/>
    <s v=""/>
    <x v="5"/>
    <m/>
    <m/>
    <m/>
    <x v="2"/>
    <x v="2"/>
    <x v="5"/>
    <x v="3"/>
    <m/>
    <x v="18"/>
    <x v="16"/>
    <s v=""/>
    <s v=""/>
    <m/>
    <m/>
    <m/>
    <m/>
    <s v=""/>
    <m/>
    <m/>
    <x v="0"/>
    <s v=""/>
    <s v=""/>
    <s v=""/>
    <s v=""/>
    <m/>
    <m/>
    <m/>
    <m/>
    <s v=""/>
    <s v=""/>
    <s v=""/>
    <s v=""/>
    <s v=""/>
    <m/>
  </r>
  <r>
    <n v="78"/>
    <s v=""/>
    <s v=""/>
    <x v="5"/>
    <m/>
    <m/>
    <m/>
    <x v="2"/>
    <x v="2"/>
    <x v="5"/>
    <x v="3"/>
    <m/>
    <x v="18"/>
    <x v="16"/>
    <s v=""/>
    <s v=""/>
    <m/>
    <m/>
    <m/>
    <m/>
    <s v=""/>
    <m/>
    <m/>
    <x v="0"/>
    <s v=""/>
    <s v=""/>
    <s v=""/>
    <s v=""/>
    <m/>
    <m/>
    <m/>
    <m/>
    <s v=""/>
    <s v=""/>
    <s v=""/>
    <s v=""/>
    <s v=""/>
    <m/>
  </r>
  <r>
    <n v="79"/>
    <s v=""/>
    <s v=""/>
    <x v="5"/>
    <m/>
    <m/>
    <m/>
    <x v="2"/>
    <x v="2"/>
    <x v="5"/>
    <x v="3"/>
    <m/>
    <x v="18"/>
    <x v="16"/>
    <s v=""/>
    <s v=""/>
    <m/>
    <m/>
    <m/>
    <m/>
    <s v=""/>
    <m/>
    <m/>
    <x v="0"/>
    <s v=""/>
    <s v=""/>
    <s v=""/>
    <s v=""/>
    <m/>
    <m/>
    <m/>
    <m/>
    <s v=""/>
    <s v=""/>
    <s v=""/>
    <s v=""/>
    <s v=""/>
    <m/>
  </r>
  <r>
    <n v="80"/>
    <s v=""/>
    <s v=""/>
    <x v="5"/>
    <m/>
    <m/>
    <m/>
    <x v="2"/>
    <x v="2"/>
    <x v="5"/>
    <x v="3"/>
    <m/>
    <x v="18"/>
    <x v="16"/>
    <s v=""/>
    <s v=""/>
    <m/>
    <m/>
    <m/>
    <m/>
    <s v=""/>
    <m/>
    <m/>
    <x v="0"/>
    <s v=""/>
    <s v=""/>
    <s v=""/>
    <s v=""/>
    <m/>
    <m/>
    <m/>
    <m/>
    <s v=""/>
    <s v=""/>
    <s v=""/>
    <s v=""/>
    <s v=""/>
    <m/>
  </r>
  <r>
    <n v="81"/>
    <s v=""/>
    <s v=""/>
    <x v="5"/>
    <m/>
    <m/>
    <m/>
    <x v="2"/>
    <x v="2"/>
    <x v="5"/>
    <x v="3"/>
    <m/>
    <x v="18"/>
    <x v="16"/>
    <s v=""/>
    <s v=""/>
    <m/>
    <m/>
    <m/>
    <m/>
    <s v=""/>
    <m/>
    <m/>
    <x v="0"/>
    <s v=""/>
    <s v=""/>
    <s v=""/>
    <s v=""/>
    <m/>
    <m/>
    <m/>
    <m/>
    <s v=""/>
    <s v=""/>
    <s v=""/>
    <s v=""/>
    <s v=""/>
    <m/>
  </r>
  <r>
    <n v="82"/>
    <s v=""/>
    <s v=""/>
    <x v="5"/>
    <m/>
    <m/>
    <m/>
    <x v="2"/>
    <x v="2"/>
    <x v="5"/>
    <x v="3"/>
    <m/>
    <x v="18"/>
    <x v="16"/>
    <s v=""/>
    <s v=""/>
    <m/>
    <m/>
    <m/>
    <m/>
    <s v=""/>
    <m/>
    <m/>
    <x v="0"/>
    <s v=""/>
    <s v=""/>
    <s v=""/>
    <s v=""/>
    <m/>
    <m/>
    <m/>
    <m/>
    <s v=""/>
    <s v=""/>
    <s v=""/>
    <s v=""/>
    <s v=""/>
    <m/>
  </r>
  <r>
    <n v="83"/>
    <s v=""/>
    <s v=""/>
    <x v="5"/>
    <m/>
    <m/>
    <m/>
    <x v="2"/>
    <x v="2"/>
    <x v="5"/>
    <x v="3"/>
    <m/>
    <x v="18"/>
    <x v="16"/>
    <s v=""/>
    <s v=""/>
    <m/>
    <m/>
    <m/>
    <m/>
    <s v=""/>
    <m/>
    <m/>
    <x v="0"/>
    <s v=""/>
    <s v=""/>
    <s v=""/>
    <s v=""/>
    <m/>
    <m/>
    <m/>
    <m/>
    <s v=""/>
    <s v=""/>
    <s v=""/>
    <s v=""/>
    <s v=""/>
    <m/>
  </r>
  <r>
    <n v="84"/>
    <s v=""/>
    <s v=""/>
    <x v="5"/>
    <m/>
    <m/>
    <m/>
    <x v="2"/>
    <x v="2"/>
    <x v="5"/>
    <x v="3"/>
    <m/>
    <x v="18"/>
    <x v="16"/>
    <s v=""/>
    <s v=""/>
    <m/>
    <m/>
    <m/>
    <m/>
    <s v=""/>
    <m/>
    <m/>
    <x v="0"/>
    <s v=""/>
    <s v=""/>
    <s v=""/>
    <s v=""/>
    <m/>
    <m/>
    <m/>
    <m/>
    <s v=""/>
    <s v=""/>
    <s v=""/>
    <s v=""/>
    <s v=""/>
    <m/>
  </r>
  <r>
    <n v="85"/>
    <s v=""/>
    <s v=""/>
    <x v="5"/>
    <m/>
    <m/>
    <m/>
    <x v="2"/>
    <x v="2"/>
    <x v="5"/>
    <x v="3"/>
    <m/>
    <x v="18"/>
    <x v="16"/>
    <s v=""/>
    <s v=""/>
    <m/>
    <m/>
    <m/>
    <m/>
    <s v=""/>
    <m/>
    <m/>
    <x v="0"/>
    <s v=""/>
    <s v=""/>
    <s v=""/>
    <s v=""/>
    <m/>
    <m/>
    <m/>
    <m/>
    <s v=""/>
    <s v=""/>
    <s v=""/>
    <s v=""/>
    <s v=""/>
    <m/>
  </r>
  <r>
    <n v="86"/>
    <s v=""/>
    <s v=""/>
    <x v="5"/>
    <m/>
    <m/>
    <m/>
    <x v="2"/>
    <x v="2"/>
    <x v="5"/>
    <x v="3"/>
    <m/>
    <x v="18"/>
    <x v="16"/>
    <s v=""/>
    <s v=""/>
    <m/>
    <m/>
    <m/>
    <m/>
    <s v=""/>
    <m/>
    <m/>
    <x v="0"/>
    <s v=""/>
    <s v=""/>
    <s v=""/>
    <s v=""/>
    <m/>
    <m/>
    <m/>
    <m/>
    <s v=""/>
    <s v=""/>
    <s v=""/>
    <s v=""/>
    <s v=""/>
    <m/>
  </r>
  <r>
    <n v="87"/>
    <s v=""/>
    <s v=""/>
    <x v="5"/>
    <m/>
    <m/>
    <m/>
    <x v="2"/>
    <x v="2"/>
    <x v="5"/>
    <x v="3"/>
    <m/>
    <x v="18"/>
    <x v="16"/>
    <s v=""/>
    <s v=""/>
    <m/>
    <m/>
    <m/>
    <m/>
    <s v=""/>
    <m/>
    <m/>
    <x v="0"/>
    <s v=""/>
    <s v=""/>
    <s v=""/>
    <s v=""/>
    <m/>
    <m/>
    <m/>
    <m/>
    <s v=""/>
    <s v=""/>
    <s v=""/>
    <s v=""/>
    <s v=""/>
    <m/>
  </r>
  <r>
    <n v="88"/>
    <s v=""/>
    <s v=""/>
    <x v="5"/>
    <m/>
    <m/>
    <m/>
    <x v="2"/>
    <x v="2"/>
    <x v="5"/>
    <x v="3"/>
    <m/>
    <x v="18"/>
    <x v="16"/>
    <s v=""/>
    <s v=""/>
    <m/>
    <m/>
    <m/>
    <m/>
    <s v=""/>
    <m/>
    <m/>
    <x v="0"/>
    <s v=""/>
    <s v=""/>
    <s v=""/>
    <s v=""/>
    <m/>
    <m/>
    <m/>
    <m/>
    <s v=""/>
    <s v=""/>
    <s v=""/>
    <s v=""/>
    <s v=""/>
    <m/>
  </r>
  <r>
    <n v="89"/>
    <s v=""/>
    <s v=""/>
    <x v="5"/>
    <m/>
    <m/>
    <m/>
    <x v="2"/>
    <x v="2"/>
    <x v="5"/>
    <x v="3"/>
    <m/>
    <x v="18"/>
    <x v="16"/>
    <s v=""/>
    <s v=""/>
    <m/>
    <m/>
    <m/>
    <m/>
    <s v=""/>
    <m/>
    <m/>
    <x v="0"/>
    <s v=""/>
    <s v=""/>
    <s v=""/>
    <s v=""/>
    <m/>
    <m/>
    <m/>
    <m/>
    <s v=""/>
    <s v=""/>
    <s v=""/>
    <s v=""/>
    <s v=""/>
    <m/>
  </r>
  <r>
    <n v="90"/>
    <s v=""/>
    <s v=""/>
    <x v="5"/>
    <m/>
    <m/>
    <m/>
    <x v="2"/>
    <x v="2"/>
    <x v="5"/>
    <x v="3"/>
    <m/>
    <x v="18"/>
    <x v="16"/>
    <s v=""/>
    <s v=""/>
    <m/>
    <m/>
    <m/>
    <m/>
    <s v=""/>
    <m/>
    <m/>
    <x v="0"/>
    <s v=""/>
    <s v=""/>
    <s v=""/>
    <s v=""/>
    <m/>
    <m/>
    <m/>
    <m/>
    <s v=""/>
    <s v=""/>
    <s v=""/>
    <s v=""/>
    <s v=""/>
    <m/>
  </r>
  <r>
    <n v="91"/>
    <s v=""/>
    <s v=""/>
    <x v="5"/>
    <m/>
    <m/>
    <m/>
    <x v="2"/>
    <x v="2"/>
    <x v="5"/>
    <x v="3"/>
    <m/>
    <x v="18"/>
    <x v="16"/>
    <s v=""/>
    <s v=""/>
    <m/>
    <m/>
    <m/>
    <m/>
    <s v=""/>
    <m/>
    <m/>
    <x v="0"/>
    <s v=""/>
    <s v=""/>
    <s v=""/>
    <s v=""/>
    <m/>
    <m/>
    <m/>
    <m/>
    <s v=""/>
    <s v=""/>
    <s v=""/>
    <s v=""/>
    <s v=""/>
    <m/>
  </r>
  <r>
    <n v="92"/>
    <s v=""/>
    <s v=""/>
    <x v="5"/>
    <m/>
    <m/>
    <m/>
    <x v="2"/>
    <x v="2"/>
    <x v="5"/>
    <x v="3"/>
    <m/>
    <x v="18"/>
    <x v="16"/>
    <s v=""/>
    <s v=""/>
    <m/>
    <m/>
    <m/>
    <m/>
    <s v=""/>
    <m/>
    <m/>
    <x v="0"/>
    <s v=""/>
    <s v=""/>
    <s v=""/>
    <s v=""/>
    <m/>
    <m/>
    <m/>
    <m/>
    <s v=""/>
    <s v=""/>
    <s v=""/>
    <s v=""/>
    <s v=""/>
    <m/>
  </r>
  <r>
    <n v="93"/>
    <s v=""/>
    <s v=""/>
    <x v="5"/>
    <m/>
    <m/>
    <m/>
    <x v="2"/>
    <x v="2"/>
    <x v="5"/>
    <x v="3"/>
    <m/>
    <x v="18"/>
    <x v="16"/>
    <s v=""/>
    <s v=""/>
    <m/>
    <m/>
    <m/>
    <m/>
    <s v=""/>
    <m/>
    <m/>
    <x v="0"/>
    <s v=""/>
    <s v=""/>
    <s v=""/>
    <s v=""/>
    <m/>
    <m/>
    <m/>
    <m/>
    <s v=""/>
    <s v=""/>
    <s v=""/>
    <s v=""/>
    <s v=""/>
    <m/>
  </r>
  <r>
    <n v="94"/>
    <s v=""/>
    <s v=""/>
    <x v="5"/>
    <m/>
    <m/>
    <m/>
    <x v="2"/>
    <x v="2"/>
    <x v="5"/>
    <x v="3"/>
    <m/>
    <x v="18"/>
    <x v="16"/>
    <s v=""/>
    <s v=""/>
    <m/>
    <m/>
    <m/>
    <m/>
    <s v=""/>
    <m/>
    <m/>
    <x v="0"/>
    <s v=""/>
    <s v=""/>
    <s v=""/>
    <s v=""/>
    <m/>
    <m/>
    <m/>
    <m/>
    <s v=""/>
    <s v=""/>
    <s v=""/>
    <s v=""/>
    <s v=""/>
    <m/>
  </r>
  <r>
    <n v="95"/>
    <s v=""/>
    <s v=""/>
    <x v="5"/>
    <m/>
    <m/>
    <m/>
    <x v="2"/>
    <x v="2"/>
    <x v="5"/>
    <x v="3"/>
    <m/>
    <x v="18"/>
    <x v="16"/>
    <s v=""/>
    <s v=""/>
    <m/>
    <m/>
    <m/>
    <m/>
    <s v=""/>
    <m/>
    <m/>
    <x v="0"/>
    <s v=""/>
    <s v=""/>
    <s v=""/>
    <s v=""/>
    <m/>
    <m/>
    <m/>
    <m/>
    <s v=""/>
    <s v=""/>
    <s v=""/>
    <s v=""/>
    <s v=""/>
    <m/>
  </r>
  <r>
    <n v="96"/>
    <s v=""/>
    <s v=""/>
    <x v="5"/>
    <m/>
    <m/>
    <m/>
    <x v="2"/>
    <x v="2"/>
    <x v="5"/>
    <x v="3"/>
    <m/>
    <x v="18"/>
    <x v="16"/>
    <s v=""/>
    <s v=""/>
    <m/>
    <m/>
    <m/>
    <m/>
    <s v=""/>
    <m/>
    <m/>
    <x v="0"/>
    <s v=""/>
    <s v=""/>
    <s v=""/>
    <s v=""/>
    <m/>
    <m/>
    <m/>
    <m/>
    <s v=""/>
    <s v=""/>
    <s v=""/>
    <s v=""/>
    <s v=""/>
    <m/>
  </r>
  <r>
    <n v="97"/>
    <s v=""/>
    <s v=""/>
    <x v="5"/>
    <m/>
    <m/>
    <m/>
    <x v="2"/>
    <x v="2"/>
    <x v="5"/>
    <x v="3"/>
    <m/>
    <x v="18"/>
    <x v="16"/>
    <s v=""/>
    <s v=""/>
    <m/>
    <m/>
    <m/>
    <m/>
    <s v=""/>
    <m/>
    <m/>
    <x v="0"/>
    <s v=""/>
    <s v=""/>
    <s v=""/>
    <s v=""/>
    <m/>
    <m/>
    <m/>
    <m/>
    <s v=""/>
    <s v=""/>
    <s v=""/>
    <s v=""/>
    <s v=""/>
    <m/>
  </r>
  <r>
    <n v="98"/>
    <s v=""/>
    <s v=""/>
    <x v="5"/>
    <m/>
    <m/>
    <m/>
    <x v="2"/>
    <x v="2"/>
    <x v="5"/>
    <x v="3"/>
    <m/>
    <x v="18"/>
    <x v="16"/>
    <s v=""/>
    <s v=""/>
    <m/>
    <m/>
    <m/>
    <m/>
    <s v=""/>
    <m/>
    <m/>
    <x v="0"/>
    <s v=""/>
    <s v=""/>
    <s v=""/>
    <s v=""/>
    <m/>
    <m/>
    <m/>
    <m/>
    <s v=""/>
    <s v=""/>
    <s v=""/>
    <s v=""/>
    <s v=""/>
    <m/>
  </r>
  <r>
    <n v="99"/>
    <s v=""/>
    <s v=""/>
    <x v="5"/>
    <m/>
    <m/>
    <m/>
    <x v="2"/>
    <x v="2"/>
    <x v="5"/>
    <x v="3"/>
    <m/>
    <x v="18"/>
    <x v="16"/>
    <s v=""/>
    <s v=""/>
    <m/>
    <m/>
    <m/>
    <m/>
    <s v=""/>
    <m/>
    <m/>
    <x v="0"/>
    <s v=""/>
    <s v=""/>
    <s v=""/>
    <s v=""/>
    <m/>
    <m/>
    <m/>
    <m/>
    <s v=""/>
    <s v=""/>
    <s v=""/>
    <s v=""/>
    <s v=""/>
    <m/>
  </r>
  <r>
    <n v="100"/>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m/>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3"/>
    <x v="2"/>
    <x v="5"/>
    <x v="3"/>
    <m/>
    <x v="18"/>
    <x v="17"/>
    <m/>
    <m/>
    <m/>
    <m/>
    <m/>
    <m/>
    <m/>
    <m/>
    <m/>
    <x v="0"/>
    <m/>
    <m/>
    <m/>
    <m/>
    <m/>
    <m/>
    <m/>
    <m/>
    <s v=""/>
    <s v=""/>
    <s v=""/>
    <s v=""/>
    <s v=""/>
    <m/>
  </r>
  <r>
    <m/>
    <s v=""/>
    <s v=""/>
    <x v="5"/>
    <m/>
    <m/>
    <m/>
    <x v="3"/>
    <x v="2"/>
    <x v="5"/>
    <x v="3"/>
    <m/>
    <x v="18"/>
    <x v="17"/>
    <m/>
    <m/>
    <m/>
    <m/>
    <m/>
    <m/>
    <m/>
    <m/>
    <m/>
    <x v="0"/>
    <m/>
    <m/>
    <m/>
    <m/>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n v="32"/>
    <s v=""/>
    <s v=""/>
    <x v="4"/>
    <m/>
    <m/>
    <m/>
    <x v="2"/>
    <x v="2"/>
    <x v="5"/>
    <x v="3"/>
    <m/>
    <x v="18"/>
    <x v="16"/>
    <s v=""/>
    <s v=""/>
    <m/>
    <m/>
    <m/>
    <m/>
    <s v=""/>
    <m/>
    <m/>
    <x v="0"/>
    <s v=""/>
    <s v=""/>
    <s v=""/>
    <s v=""/>
    <m/>
    <m/>
    <m/>
    <m/>
    <s v="January 1900"/>
    <s v=""/>
    <s v=""/>
    <s v=""/>
    <s v=""/>
    <m/>
  </r>
  <r>
    <n v="32"/>
    <s v=""/>
    <n v="7"/>
    <x v="0"/>
    <s v="RQS-UAE-120745"/>
    <d v="2025-06-28T00:00:00"/>
    <d v="2025-06-28T00:00:00"/>
    <x v="4"/>
    <x v="3"/>
    <x v="6"/>
    <x v="0"/>
    <s v="Middle East (UAE)"/>
    <x v="19"/>
    <x v="18"/>
    <s v="220,000 AED"/>
    <n v="220000"/>
    <n v="107400628"/>
    <m/>
    <s v="Pending Allocation"/>
    <m/>
    <s v=""/>
    <m/>
    <m/>
    <x v="0"/>
    <s v=""/>
    <s v="18 Days"/>
    <n v="18"/>
    <s v=""/>
    <m/>
    <m/>
    <m/>
    <m/>
    <s v="June 2025"/>
    <s v=""/>
    <n v="220000"/>
    <n v="220000"/>
    <n v="220000"/>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Relationships>
</file>

<file path=xl/pivotTables/_rels/pivotTable2.xml.rels><Relationships xmlns="http://schemas.openxmlformats.org/package/2006/relationships"><Relationship Type="http://schemas.openxmlformats.org/officeDocument/2006/relationships/pivotCacheDefinition" Target="/xl/pivotCache/pivotCacheDefinition2.xml" Id="rId1"/></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Relationships>
</file>

<file path=xl/pivotTables/_rels/pivotTable4.xml.rels><Relationships xmlns="http://schemas.openxmlformats.org/package/2006/relationships"><Relationship Type="http://schemas.openxmlformats.org/officeDocument/2006/relationships/pivotCacheDefinition" Target="/xl/pivotCache/pivotCacheDefinition1.xml" Id="rId1"/></Relationships>
</file>

<file path=xl/pivotTables/_rels/pivotTable5.xml.rels><Relationships xmlns="http://schemas.openxmlformats.org/package/2006/relationships"><Relationship Type="http://schemas.openxmlformats.org/officeDocument/2006/relationships/pivotCacheDefinition" Target="/xl/pivotCache/pivotCacheDefinition1.xml" Id="rId1"/></Relationships>
</file>

<file path=xl/pivotTables/pivotTable1.xml><?xml version="1.0" encoding="utf-8"?>
<pivotTableDefinition xmlns:r="http://schemas.openxmlformats.org/officeDocument/2006/relationships" xmlns="http://schemas.openxmlformats.org/spreadsheetml/2006/main" name="PivotTable2" cacheId="0" dataOnRows="0" dataCaption="Values" showError="0" missingCaption="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0" fieldListSortAscending="0" mdxSubqueries="0" applyNumberFormats="0" applyBorderFormats="0" applyFontFormats="0" applyPatternFormats="0" applyAlignmentFormats="0" applyWidthHeightFormats="1" r:id="rId1">
  <location ref="A4:F10" firstHeaderRow="1" firstDataRow="3" firstDataCol="2" rowPageCount="2" colPageCount="1"/>
  <pivotFields count="38">
    <pivotField dataField="1"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axis="axisRow" showDropDowns="1" compact="0" outline="0" subtotalTop="1" dragToRow="1" dragToCol="1" dragToPage="1" dragToData="1" dragOff="1" showAll="0" topAutoShow="1" itemPageCount="10" sortType="manual" defaultSubtotal="0">
      <items count="6">
        <item t="data" sd="1" x="0"/>
        <item t="data" sd="1" x="1"/>
        <item t="data" sd="1" x="4"/>
        <item t="data" sd="1" x="3"/>
        <item t="data" sd="1" x="2"/>
        <item t="data" sd="1" x="5"/>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axis="axisCol" showDropDowns="1" compact="0" outline="0" subtotalTop="1" dragToRow="1" dragToCol="1" dragToPage="1" dragToData="1" dragOff="1" showAll="0" topAutoShow="1" itemPageCount="10" sortType="manual" defaultSubtotal="0">
      <items count="5">
        <item t="data" sd="1" x="2"/>
        <item t="data" sd="1" x="0"/>
        <item t="data" sd="1" x="1"/>
        <item t="data" sd="1" m="1" x="4"/>
        <item t="data" sd="1" x="3"/>
      </items>
    </pivotField>
    <pivotField axis="axisPage" showDropDowns="1" compact="0" outline="0" subtotalTop="1" dragToRow="1" dragToCol="1" dragToPage="1" dragToData="1" dragOff="1" showAll="0" topAutoShow="1" itemPageCount="10" sortType="manual" defaultSubtotal="0">
      <items count="7">
        <item t="data" sd="1" x="1"/>
        <item t="data" sd="1" x="2"/>
        <item t="data" sd="1" x="4"/>
        <item t="data" sd="1" x="6"/>
        <item t="data" sd="1" x="5"/>
        <item t="data" sd="1" x="0"/>
        <item t="data" sd="1" x="3"/>
      </items>
    </pivotField>
    <pivotField axis="axisPage" showDropDowns="1" compact="0" outline="0" subtotalTop="1" dragToRow="1" dragToCol="1" dragToPage="1" dragToData="1" dragOff="1" showAll="0" topAutoShow="1" itemPageCount="10" sortType="manual" defaultSubtotal="0">
      <items count="4">
        <item t="data" sd="1" x="0"/>
        <item t="data" sd="1" x="2"/>
        <item t="data" sd="1" x="1"/>
        <item t="data" sd="1" x="3"/>
      </items>
    </pivotField>
    <pivotField showDropDowns="1" compact="0" outline="0" subtotalTop="1" dragToRow="1" dragToCol="1" dragToPage="1" dragToData="1" dragOff="1" showAll="0" topAutoShow="1" itemPageCount="10" sortType="manual" defaultSubtotal="0"/>
    <pivotField axis="axisRow" showDropDowns="1" compact="0" outline="0" subtotalTop="1" dragToRow="1" dragToCol="1" dragToPage="1" dragToData="1" dragOff="1" showAll="0" topAutoShow="1" itemPageCount="10" sortType="manual" defaultSubtotal="0">
      <items count="26">
        <item t="data" sd="1" x="5"/>
        <item t="data" sd="1" x="10"/>
        <item t="data" sd="1" m="1" x="22"/>
        <item t="data" sd="1" x="2"/>
        <item t="data" sd="1" m="1" x="21"/>
        <item t="data" sd="1" x="8"/>
        <item t="data" sd="1" m="1" x="24"/>
        <item t="data" sd="1" x="4"/>
        <item t="data" sd="1" x="13"/>
        <item t="data" sd="1" x="3"/>
        <item t="data" sd="1" m="1" x="25"/>
        <item t="data" sd="1" x="1"/>
        <item t="data" sd="1" x="9"/>
        <item t="data" sd="1" x="0"/>
        <item t="data" sd="1" x="14"/>
        <item t="data" sd="1" x="12"/>
        <item t="data" sd="1" x="11"/>
        <item t="data" sd="1" x="18"/>
        <item t="data" sd="1" x="15"/>
        <item t="data" sd="1" m="1" x="23"/>
        <item t="data" sd="1" x="16"/>
        <item t="data" sd="1" m="1" x="20"/>
        <item t="data" sd="1" x="17"/>
        <item t="data" sd="1" x="6"/>
        <item t="data" sd="1" x="7"/>
        <item t="data" sd="1" x="19"/>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dataField="1"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0"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0"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0" dragToRow="1" dragToCol="1" dragToPage="1" dragToData="1" dragOff="1" showAll="0" topAutoShow="1" itemPageCount="10" sortType="manual" defaultSubtotal="0"/>
  </pivotFields>
  <rowFields count="2">
    <field x="3"/>
    <field x="12"/>
  </rowFields>
  <rowItems count="4">
    <i t="data" r="0" i="0">
      <x v="2"/>
      <x v="0"/>
    </i>
    <i t="data" r="0" i="0">
      <x v="3"/>
      <x v="24"/>
    </i>
    <i t="data" r="0" i="0">
      <x v="4"/>
      <x v="0"/>
    </i>
    <i t="grand" r="0" i="0">
      <x v="0"/>
    </i>
  </rowItems>
  <colFields count="2">
    <field x="8"/>
    <field x="-2"/>
  </colFields>
  <colItems count="4">
    <i t="data" r="0" i="0">
      <x v="1"/>
      <x v="0"/>
    </i>
    <i t="data" r="1" i="1">
      <x v="1"/>
    </i>
    <i t="grand" r="0" i="0">
      <x v="0"/>
    </i>
    <i t="grand" r="0" i="1">
      <x v="0"/>
    </i>
  </colItems>
  <pageFields count="2">
    <pageField fld="9" item="1" hier="-1"/>
    <pageField fld="10" item="0" hier="-1"/>
  </pageFields>
  <dataFields count="2">
    <dataField name="Count of Timepieces" fld="0" subtotal="count" showDataAs="normal" baseField="12" baseItem="14"/>
    <dataField name="Amount" fld="15" subtotal="sum" showDataAs="normal" baseField="12" baseItem="13"/>
  </dataFields>
  <formats count="66">
    <format action="formatting" dxfId="463">
      <pivotArea type="normal" dataOnly="1" outline="1" collapsedLevelsAreSubtotals="1" fieldPosition="0">
        <references count="2">
          <reference field="4294967294" selected="0">
            <x v="1"/>
          </reference>
          <reference field="3">
            <x v="0"/>
          </reference>
        </references>
      </pivotArea>
    </format>
    <format action="formatting" dxfId="462">
      <pivotArea type="normal" dataOnly="1" outline="1" collapsedLevelsAreSubtotals="1" fieldPosition="0">
        <references count="3">
          <reference field="4294967294" selected="0">
            <x v="1"/>
          </reference>
          <reference field="3" selected="0">
            <x v="0"/>
          </reference>
          <reference field="12">
            <x v="1"/>
            <x v="3"/>
            <x v="9"/>
            <x v="11"/>
            <x v="13"/>
          </reference>
        </references>
      </pivotArea>
    </format>
    <format action="formatting" dxfId="461">
      <pivotArea type="normal" dataOnly="1" outline="1" collapsedLevelsAreSubtotals="1" fieldPosition="0">
        <references count="2">
          <reference field="4294967294" selected="0">
            <x v="1"/>
          </reference>
          <reference field="3">
            <x v="1"/>
          </reference>
        </references>
      </pivotArea>
    </format>
    <format action="formatting" dxfId="460">
      <pivotArea type="normal" dataOnly="1" outline="1" collapsedLevelsAreSubtotals="1" fieldPosition="0">
        <references count="3">
          <reference field="4294967294" selected="0">
            <x v="1"/>
          </reference>
          <reference field="3" selected="0">
            <x v="1"/>
          </reference>
          <reference field="12">
            <x v="7"/>
          </reference>
        </references>
      </pivotArea>
    </format>
    <format action="formatting" dxfId="459">
      <pivotArea type="normal" dataOnly="1" outline="1" collapsedLevelsAreSubtotals="1" fieldPosition="0">
        <references count="2">
          <reference field="4294967294" selected="0">
            <x v="1"/>
          </reference>
          <reference field="3">
            <x v="2"/>
          </reference>
        </references>
      </pivotArea>
    </format>
    <format action="formatting" dxfId="458">
      <pivotArea type="normal" dataOnly="1" outline="1" collapsedLevelsAreSubtotals="1" fieldPosition="0">
        <references count="3">
          <reference field="4294967294" selected="0">
            <x v="1"/>
          </reference>
          <reference field="3" selected="0">
            <x v="2"/>
          </reference>
          <reference field="12">
            <x v="0"/>
            <x v="1"/>
            <x v="5"/>
            <x v="8"/>
            <x v="9"/>
            <x v="12"/>
            <x v="13"/>
            <x v="14"/>
            <x v="15"/>
            <x v="16"/>
          </reference>
        </references>
      </pivotArea>
    </format>
    <format action="formatting" dxfId="457">
      <pivotArea type="normal" dataOnly="1" outline="1" collapsedLevelsAreSubtotals="1" fieldPosition="0">
        <references count="2">
          <reference field="4294967294" selected="0">
            <x v="1"/>
          </reference>
          <reference field="3">
            <x v="3"/>
          </reference>
        </references>
      </pivotArea>
    </format>
    <format action="formatting" dxfId="456">
      <pivotArea type="normal" dataOnly="1" outline="1" collapsedLevelsAreSubtotals="1" fieldPosition="0">
        <references count="3">
          <reference field="4294967294" selected="0">
            <x v="1"/>
          </reference>
          <reference field="3" selected="0">
            <x v="3"/>
          </reference>
          <reference field="12">
            <x v="4"/>
            <x v="14"/>
          </reference>
        </references>
      </pivotArea>
    </format>
    <format action="formatting" dxfId="455">
      <pivotArea type="normal" dataOnly="1" outline="1" collapsedLevelsAreSubtotals="1" fieldPosition="0">
        <references count="2">
          <reference field="4294967294" selected="0">
            <x v="1"/>
          </reference>
          <reference field="3">
            <x v="4"/>
          </reference>
        </references>
      </pivotArea>
    </format>
    <format action="formatting" dxfId="454">
      <pivotArea type="normal" dataOnly="1" outline="1" collapsedLevelsAreSubtotals="1" fieldPosition="0">
        <references count="3">
          <reference field="4294967294" selected="0">
            <x v="1"/>
          </reference>
          <reference field="3" selected="0">
            <x v="4"/>
          </reference>
          <reference field="12">
            <x v="0"/>
            <x v="2"/>
            <x v="6"/>
            <x v="12"/>
          </reference>
        </references>
      </pivotArea>
    </format>
    <format action="formatting" dxfId="453">
      <pivotArea type="normal" dataOnly="1" outline="1" collapsedLevelsAreSubtotals="1" fieldPosition="0">
        <references count="2">
          <reference field="4294967294" selected="0">
            <x v="1"/>
          </reference>
          <reference field="3">
            <x v="5"/>
          </reference>
        </references>
      </pivotArea>
    </format>
    <format action="formatting" dxfId="452">
      <pivotArea type="normal" dataOnly="1" outline="1" collapsedLevelsAreSubtotals="1" fieldPosition="0">
        <references count="3">
          <reference field="4294967294" selected="0">
            <x v="1"/>
          </reference>
          <reference field="3" selected="0">
            <x v="5"/>
          </reference>
          <reference field="12">
            <x v="17"/>
          </reference>
        </references>
      </pivotArea>
    </format>
    <format action="formatting" dxfId="451">
      <pivotArea type="all" dataOnly="0" outline="0" fieldPosition="0"/>
    </format>
    <format action="formatting" dxfId="450">
      <pivotArea type="normal" dataOnly="1" outline="0" collapsedLevelsAreSubtotals="1" fieldPosition="0"/>
    </format>
    <format action="formatting" dxfId="449">
      <pivotArea field="3" type="button" dataOnly="0" labelOnly="1" outline="0" axis="axisRow" fieldPosition="0"/>
    </format>
    <format action="formatting" dxfId="448">
      <pivotArea type="normal" dataOnly="0" labelOnly="1" outline="1" fieldPosition="0">
        <references count="1">
          <reference field="3"/>
        </references>
      </pivotArea>
    </format>
    <format action="formatting" dxfId="447">
      <pivotArea type="normal" dataOnly="0" labelOnly="1" grandRow="1" outline="0" fieldPosition="0"/>
    </format>
    <format action="formatting" dxfId="446">
      <pivotArea type="normal" dataOnly="0" labelOnly="1" outline="1" fieldPosition="0">
        <references count="2">
          <reference field="3" selected="0">
            <x v="0"/>
          </reference>
          <reference field="12">
            <x v="1"/>
            <x v="3"/>
            <x v="9"/>
            <x v="11"/>
            <x v="13"/>
          </reference>
        </references>
      </pivotArea>
    </format>
    <format action="formatting" dxfId="445">
      <pivotArea type="normal" dataOnly="0" labelOnly="1" outline="1" fieldPosition="0">
        <references count="2">
          <reference field="3" selected="0">
            <x v="1"/>
          </reference>
          <reference field="12">
            <x v="7"/>
          </reference>
        </references>
      </pivotArea>
    </format>
    <format action="formatting" dxfId="444">
      <pivotArea type="normal" dataOnly="0" labelOnly="1" outline="1" fieldPosition="0">
        <references count="2">
          <reference field="3" selected="0">
            <x v="2"/>
          </reference>
          <reference field="12">
            <x v="0"/>
            <x v="1"/>
            <x v="5"/>
            <x v="8"/>
            <x v="9"/>
            <x v="12"/>
            <x v="13"/>
            <x v="14"/>
            <x v="15"/>
            <x v="16"/>
          </reference>
        </references>
      </pivotArea>
    </format>
    <format action="formatting" dxfId="443">
      <pivotArea type="normal" dataOnly="0" labelOnly="1" outline="1" fieldPosition="0">
        <references count="2">
          <reference field="3" selected="0">
            <x v="3"/>
          </reference>
          <reference field="12">
            <x v="4"/>
            <x v="14"/>
          </reference>
        </references>
      </pivotArea>
    </format>
    <format action="formatting" dxfId="442">
      <pivotArea type="normal" dataOnly="0" labelOnly="1" outline="1" fieldPosition="0">
        <references count="2">
          <reference field="3" selected="0">
            <x v="4"/>
          </reference>
          <reference field="12">
            <x v="0"/>
            <x v="2"/>
            <x v="6"/>
            <x v="12"/>
          </reference>
        </references>
      </pivotArea>
    </format>
    <format action="formatting" dxfId="441">
      <pivotArea type="normal" dataOnly="0" labelOnly="1" outline="1" fieldPosition="0">
        <references count="2">
          <reference field="3" selected="0">
            <x v="5"/>
          </reference>
          <reference field="12">
            <x v="17"/>
          </reference>
        </references>
      </pivotArea>
    </format>
    <format action="formatting" dxfId="440">
      <pivotArea type="normal" dataOnly="0" labelOnly="1" outline="0" fieldPosition="0">
        <references count="1">
          <reference field="4294967294">
            <x v="1"/>
          </reference>
        </references>
      </pivotArea>
    </format>
    <format action="formatting" dxfId="439">
      <pivotArea type="all" dataOnly="0" outline="0" fieldPosition="0"/>
    </format>
    <format action="formatting" dxfId="438">
      <pivotArea type="normal" dataOnly="1" outline="0" collapsedLevelsAreSubtotals="1" fieldPosition="0"/>
    </format>
    <format action="formatting" dxfId="437">
      <pivotArea field="3" type="button" dataOnly="0" labelOnly="1" outline="0" axis="axisRow" fieldPosition="0"/>
    </format>
    <format action="formatting" dxfId="436">
      <pivotArea type="normal" dataOnly="0" labelOnly="1" outline="1" fieldPosition="0">
        <references count="1">
          <reference field="3"/>
        </references>
      </pivotArea>
    </format>
    <format action="formatting" dxfId="435">
      <pivotArea type="normal" dataOnly="0" labelOnly="1" grandRow="1" outline="0" fieldPosition="0"/>
    </format>
    <format action="formatting" dxfId="434">
      <pivotArea type="normal" dataOnly="0" labelOnly="1" outline="1" fieldPosition="0">
        <references count="2">
          <reference field="3" selected="0">
            <x v="0"/>
          </reference>
          <reference field="12">
            <x v="1"/>
            <x v="3"/>
            <x v="9"/>
            <x v="11"/>
            <x v="13"/>
          </reference>
        </references>
      </pivotArea>
    </format>
    <format action="formatting" dxfId="433">
      <pivotArea type="normal" dataOnly="0" labelOnly="1" outline="1" fieldPosition="0">
        <references count="2">
          <reference field="3" selected="0">
            <x v="1"/>
          </reference>
          <reference field="12">
            <x v="7"/>
          </reference>
        </references>
      </pivotArea>
    </format>
    <format action="formatting" dxfId="432">
      <pivotArea type="normal" dataOnly="0" labelOnly="1" outline="1" fieldPosition="0">
        <references count="2">
          <reference field="3" selected="0">
            <x v="2"/>
          </reference>
          <reference field="12">
            <x v="0"/>
            <x v="1"/>
            <x v="5"/>
            <x v="8"/>
            <x v="9"/>
            <x v="12"/>
            <x v="13"/>
            <x v="14"/>
            <x v="15"/>
            <x v="16"/>
          </reference>
        </references>
      </pivotArea>
    </format>
    <format action="formatting" dxfId="431">
      <pivotArea type="normal" dataOnly="0" labelOnly="1" outline="1" fieldPosition="0">
        <references count="2">
          <reference field="3" selected="0">
            <x v="3"/>
          </reference>
          <reference field="12">
            <x v="4"/>
            <x v="14"/>
          </reference>
        </references>
      </pivotArea>
    </format>
    <format action="formatting" dxfId="430">
      <pivotArea type="normal" dataOnly="0" labelOnly="1" outline="1" fieldPosition="0">
        <references count="2">
          <reference field="3" selected="0">
            <x v="4"/>
          </reference>
          <reference field="12">
            <x v="0"/>
            <x v="2"/>
            <x v="6"/>
            <x v="12"/>
          </reference>
        </references>
      </pivotArea>
    </format>
    <format action="formatting" dxfId="429">
      <pivotArea type="normal" dataOnly="0" labelOnly="1" outline="1" fieldPosition="0">
        <references count="2">
          <reference field="3" selected="0">
            <x v="5"/>
          </reference>
          <reference field="12">
            <x v="17"/>
          </reference>
        </references>
      </pivotArea>
    </format>
    <format action="formatting" dxfId="428">
      <pivotArea type="normal" dataOnly="0" labelOnly="1" outline="0" fieldPosition="0">
        <references count="1">
          <reference field="4294967294">
            <x v="1"/>
          </reference>
        </references>
      </pivotArea>
    </format>
    <format action="formatting" dxfId="427">
      <pivotArea type="normal" dataOnly="1" outline="0" collapsedLevelsAreSubtotals="1" fieldPosition="0"/>
    </format>
    <format action="formatting" dxfId="426">
      <pivotArea type="normal" dataOnly="0" labelOnly="1" grandRow="1" outline="0" offset="IV256" fieldPosition="0"/>
    </format>
    <format action="formatting" dxfId="425">
      <pivotArea type="normal" dataOnly="0" labelOnly="1" outline="0" fieldPosition="0">
        <references count="2">
          <reference field="3" selected="0">
            <x v="0"/>
          </reference>
          <reference field="12">
            <x v="13"/>
          </reference>
        </references>
      </pivotArea>
    </format>
    <format action="formatting" dxfId="424">
      <pivotArea type="normal" dataOnly="0" labelOnly="1" outline="0" fieldPosition="0">
        <references count="2">
          <reference field="3" selected="0">
            <x v="1"/>
          </reference>
          <reference field="12">
            <x v="7"/>
          </reference>
        </references>
      </pivotArea>
    </format>
    <format action="formatting" dxfId="423">
      <pivotArea type="normal" dataOnly="0" labelOnly="1" outline="0" fieldPosition="0">
        <references count="2">
          <reference field="3" selected="0">
            <x v="2"/>
          </reference>
          <reference field="12">
            <x v="8"/>
          </reference>
        </references>
      </pivotArea>
    </format>
    <format action="formatting" dxfId="422">
      <pivotArea type="normal" dataOnly="0" labelOnly="1" outline="0" fieldPosition="0">
        <references count="2">
          <reference field="3" selected="0">
            <x v="3"/>
          </reference>
          <reference field="12">
            <x v="14"/>
          </reference>
        </references>
      </pivotArea>
    </format>
    <format action="formatting" dxfId="421">
      <pivotArea type="normal" dataOnly="0" labelOnly="1" outline="0" fieldPosition="0">
        <references count="2">
          <reference field="3" selected="0">
            <x v="4"/>
          </reference>
          <reference field="12">
            <x v="2"/>
          </reference>
        </references>
      </pivotArea>
    </format>
    <format action="formatting" dxfId="420">
      <pivotArea type="normal" dataOnly="1" grandRow="1" grandCol="1" outline="0" fieldPosition="0">
        <references count="1">
          <reference field="4294967294" selected="0">
            <x v="1"/>
          </reference>
        </references>
      </pivotArea>
    </format>
    <format action="formatting" dxfId="419">
      <pivotArea field="8" type="normal" dataOnly="1" grandRow="1" outline="0" axis="axisCol" fieldPosition="0">
        <references count="2">
          <reference field="4294967294" selected="0">
            <x v="1"/>
          </reference>
          <reference field="8" selected="0">
            <x v="1"/>
          </reference>
        </references>
      </pivotArea>
    </format>
    <format action="formatting">
      <pivotArea field="8" type="normal" dataOnly="1" grandRow="1" outline="0" axis="axisCol" fieldPosition="0">
        <references count="2">
          <reference field="4294967294" selected="0">
            <x v="0"/>
          </reference>
          <reference field="8" selected="0">
            <x v="1"/>
          </reference>
        </references>
      </pivotArea>
    </format>
    <format action="formatting" dxfId="418">
      <pivotArea type="normal" dataOnly="1" grandRow="1" grandCol="1" outline="0" fieldPosition="0">
        <references count="1">
          <reference field="4294967294" selected="0">
            <x v="0"/>
          </reference>
        </references>
      </pivotArea>
    </format>
    <format action="formatting" dxfId="417">
      <pivotArea type="normal" dataOnly="0" labelOnly="1" outline="0" fieldPosition="0">
        <references count="1">
          <reference field="3">
            <x v="0"/>
            <x v="1"/>
            <x v="2"/>
            <x v="3"/>
            <x v="4"/>
          </reference>
        </references>
      </pivotArea>
    </format>
    <format action="formatting">
      <pivotArea type="origin" dataOnly="0" labelOnly="1" outline="0" fieldPosition="0"/>
    </format>
    <format action="formatting">
      <pivotArea type="topRight" dataOnly="0" labelOnly="1" outline="0" fieldPosition="0"/>
    </format>
    <format action="formatting">
      <pivotArea field="3" type="button" dataOnly="0" labelOnly="1" outline="0" axis="axisRow" fieldPosition="0"/>
    </format>
    <format action="formatting">
      <pivotArea field="12" type="button" dataOnly="0" labelOnly="1" outline="0" axis="axisRow" fieldPosition="1"/>
    </format>
    <format action="formatting">
      <pivotArea type="normal" dataOnly="0" labelOnly="1" outline="0" fieldPosition="0">
        <references count="1">
          <reference field="8">
            <x v="1"/>
          </reference>
        </references>
      </pivotArea>
    </format>
    <format action="formatting">
      <pivotArea field="8" type="normal" dataOnly="0" labelOnly="1" grandCol="1" outline="0" axis="axisCol" fieldPosition="0">
        <references count="1">
          <reference field="4294967294" selected="0">
            <x v="0"/>
          </reference>
        </references>
      </pivotArea>
    </format>
    <format action="formatting">
      <pivotArea field="8" type="normal" dataOnly="0" labelOnly="1" grandCol="1" outline="0" axis="axisCol" fieldPosition="0">
        <references count="1">
          <reference field="4294967294" selected="0">
            <x v="1"/>
          </reference>
        </references>
      </pivotArea>
    </format>
    <format action="formatting">
      <pivotArea type="normal" dataOnly="0" labelOnly="1" outline="0" fieldPosition="0">
        <references count="2">
          <reference field="4294967294">
            <x v="0"/>
            <x v="1"/>
          </reference>
          <reference field="8" selected="0">
            <x v="1"/>
          </reference>
        </references>
      </pivotArea>
    </format>
    <format action="formatting" dxfId="416">
      <pivotArea type="normal" dataOnly="0" labelOnly="1" outline="0" fieldPosition="0">
        <references count="1">
          <reference field="3">
            <x v="0"/>
            <x v="1"/>
            <x v="2"/>
            <x v="3"/>
            <x v="4"/>
          </reference>
        </references>
      </pivotArea>
    </format>
    <format action="formatting" dxfId="415">
      <pivotArea field="8" type="button" dataOnly="0" labelOnly="1" outline="0" axis="axisCol" fieldPosition="0"/>
    </format>
    <format action="formatting" dxfId="414">
      <pivotArea field="-2" type="button" dataOnly="0" labelOnly="1" outline="0" axis="axisCol" fieldPosition="1"/>
    </format>
    <format action="formatting" dxfId="413">
      <pivotArea field="8" type="button" dataOnly="0" labelOnly="1" outline="0" axis="axisCol" fieldPosition="0"/>
    </format>
    <format action="formatting" dxfId="412">
      <pivotArea field="-2" type="button" dataOnly="0" labelOnly="1" outline="0" axis="axisCol" fieldPosition="1"/>
    </format>
    <format action="formatting" dxfId="411">
      <pivotArea type="normal" dataOnly="0" labelOnly="1" grandRow="1" outline="0" offset="A256" fieldPosition="0"/>
    </format>
    <format action="formatting" dxfId="410">
      <pivotArea type="normal" dataOnly="1" outline="0" fieldPosition="0">
        <references count="4">
          <reference field="4294967294" selected="0">
            <x v="1"/>
          </reference>
          <reference field="3" selected="0">
            <x v="2"/>
            <x v="4"/>
          </reference>
          <reference field="8" selected="0">
            <x v="2"/>
          </reference>
          <reference field="12" selected="0">
            <x v="2"/>
            <x v="8"/>
            <x v="18"/>
          </reference>
        </references>
      </pivotArea>
    </format>
    <format action="formatting" dxfId="409">
      <pivotArea field="8" type="normal" dataOnly="1" grandRow="1" outline="0" axis="axisCol" fieldPosition="0">
        <references count="2">
          <reference field="4294967294" selected="0">
            <x v="1"/>
          </reference>
          <reference field="8" selected="0">
            <x v="2"/>
          </reference>
        </references>
      </pivotArea>
    </format>
    <format action="formatting" dxfId="408">
      <pivotArea type="normal" dataOnly="1" outline="0" fieldPosition="0">
        <references count="2">
          <reference field="4294967294" selected="0">
            <x v="1"/>
          </reference>
          <reference field="8" selected="0">
            <x v="1"/>
          </reference>
        </references>
      </pivotArea>
    </format>
    <format action="formatting" dxfId="407">
      <pivotArea field="12" type="normal" dataOnly="1" grandCol="1" outline="0" axis="axisRow" fieldPosition="1">
        <references count="3">
          <reference field="4294967294" selected="0">
            <x v="1"/>
          </reference>
          <reference field="3" selected="0">
            <x v="2"/>
          </reference>
          <reference field="12" selected="0">
            <x v="18"/>
          </reference>
        </references>
      </pivotArea>
    </format>
  </formats>
  <pivotTableStyleInfo name="PivotStyleMedium14"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PivotTable1" cacheId="1" dataOnRows="0" dataCaption="Values"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0" fieldPrintTitles="0" itemPrintTitles="1" mergeItem="0" showDropZones="1" createdVersion="8" indent="0" showEmptyRow="0" showEmptyCol="0" showHeaders="1" compact="1" outline="1" outlineData="1" compactData="1" published="0" gridDropZones="0" immersive="1" multipleFieldFilters="0" chartFormat="0" fieldListSortAscending="0" mdxSubqueries="0" applyNumberFormats="0" applyBorderFormats="0" applyFontFormats="0" applyPatternFormats="0" applyAlignmentFormats="0" applyWidthHeightFormats="1" r:id="rId1">
  <location ref="O2:P13" firstHeaderRow="1" firstDataRow="3" firstDataCol="1"/>
  <pivotFields count="10">
    <pivotField dataField="1" showDropDowns="1" compact="1" outline="1" subtotalTop="1" dragToRow="1" dragToCol="1" dragToPage="1" dragToData="1" dragOff="1" showAll="0" topAutoShow="1" itemPageCount="10" sortType="manual" defaultSubtotal="0"/>
    <pivotField showDropDowns="1" compact="1" outline="1" subtotalTop="1" dragToRow="1" dragToCol="1" dragToPage="1" dragToData="1" dragOff="1" showAll="0" topAutoShow="1" itemPageCount="10" sortType="manual" defaultSubtotal="0"/>
    <pivotField showDropDowns="1" compact="1" outline="1" subtotalTop="1" dragToRow="1" dragToCol="1" dragToPage="1" dragToData="1" dragOff="1" showAll="0" topAutoShow="1" itemPageCount="10" sortType="manual" defaultSubtotal="0"/>
    <pivotField axis="axisCol" showDropDowns="1" compact="1" outline="1" subtotalTop="1" dragToRow="1" dragToCol="1" dragToPage="1" dragToData="1" dragOff="1" showAll="0" topAutoShow="1" itemPageCount="10" sortType="manual" defaultSubtotal="0">
      <items count="45">
        <item t="data" h="1" sd="1" x="43"/>
        <item t="data" h="1" sd="1" x="30"/>
        <item t="data" h="1" sd="1" x="42"/>
        <item t="data" h="1" sd="1" x="1"/>
        <item t="data" h="1" sd="1" x="41"/>
        <item t="data" h="1" sd="1" x="25"/>
        <item t="data" sd="1" x="0"/>
        <item t="data" h="1" sd="1" x="11"/>
        <item t="data" h="1" sd="1" x="2"/>
        <item t="data" h="1" sd="1" x="13"/>
        <item t="data" h="1" sd="1" x="10"/>
        <item t="data" h="1" sd="1" x="26"/>
        <item t="data" h="1" sd="1" x="34"/>
        <item t="data" h="1" sd="1" x="38"/>
        <item t="data" h="1" sd="1" x="40"/>
        <item t="data" h="1" sd="1" x="44"/>
        <item t="data" h="1" sd="1" x="28"/>
        <item t="data" h="1" sd="1" x="3"/>
        <item t="data" h="1" sd="1" x="4"/>
        <item t="data" h="1" sd="1" x="15"/>
        <item t="data" h="1" sd="1" x="22"/>
        <item t="data" h="1" sd="1" x="24"/>
        <item t="data" h="1" sd="1" x="16"/>
        <item t="data" h="1" sd="1" x="14"/>
        <item t="data" h="1" sd="1" x="36"/>
        <item t="data" h="1" sd="1" x="31"/>
        <item t="data" h="1" sd="1" x="39"/>
        <item t="data" h="1" sd="1" x="8"/>
        <item t="data" h="1" sd="1" x="29"/>
        <item t="data" h="1" sd="1" x="19"/>
        <item t="data" h="1" sd="1" x="17"/>
        <item t="data" h="1" sd="1" x="18"/>
        <item t="data" h="1" sd="1" x="21"/>
        <item t="data" h="1" sd="1" x="32"/>
        <item t="data" h="1" sd="1" x="20"/>
        <item t="data" h="1" sd="1" x="33"/>
        <item t="data" h="1" sd="1" x="23"/>
        <item t="data" h="1" sd="1" x="37"/>
        <item t="data" h="1" sd="1" x="27"/>
        <item t="data" h="1" sd="1" x="12"/>
        <item t="data" h="1" sd="1" x="6"/>
        <item t="data" h="1" sd="1" x="5"/>
        <item t="data" h="1" sd="1" x="7"/>
        <item t="data" h="1" sd="1" x="35"/>
        <item t="data" h="1" sd="1" x="9"/>
      </items>
    </pivotField>
    <pivotField axis="axisCol" showDropDowns="1" compact="1" outline="1" subtotalTop="1" dragToRow="1" dragToCol="1" dragToPage="1" dragToData="1" dragOff="1" showAll="0" topAutoShow="1" itemPageCount="10" sortType="manual" defaultSubtotal="0">
      <items count="1">
        <item t="data" sd="1" x="0"/>
      </items>
    </pivotField>
    <pivotField axis="axisRow" showDropDowns="1" compact="1" outline="1" subtotalTop="1" dragToRow="1" dragToCol="1" dragToPage="1" dragToData="1" dragOff="1" showAll="0" topAutoShow="1" itemPageCount="10" sortType="manual" defaultSubtotal="0">
      <items count="410">
        <item t="data" sd="1" x="0"/>
        <item t="data" sd="1" x="300"/>
        <item t="data" sd="1" x="200"/>
        <item t="data" sd="1" x="372"/>
        <item t="data" sd="1" x="373"/>
        <item t="data" sd="1" x="371"/>
        <item t="data" sd="1" x="366"/>
        <item t="data" sd="1" x="370"/>
        <item t="data" sd="1" x="165"/>
        <item t="data" sd="1" x="369"/>
        <item t="data" sd="1" x="368"/>
        <item t="data" sd="1" x="367"/>
        <item t="data" sd="1" x="365"/>
        <item t="data" sd="1" x="189"/>
        <item t="data" sd="1" x="347"/>
        <item t="data" sd="1" x="363"/>
        <item t="data" sd="1" x="187"/>
        <item t="data" sd="1" x="364"/>
        <item t="data" sd="1" x="156"/>
        <item t="data" sd="1" x="362"/>
        <item t="data" sd="1" x="361"/>
        <item t="data" sd="1" x="357"/>
        <item t="data" sd="1" x="360"/>
        <item t="data" sd="1" x="359"/>
        <item t="data" sd="1" x="358"/>
        <item t="data" sd="1" x="356"/>
        <item t="data" sd="1" x="355"/>
        <item t="data" sd="1" x="354"/>
        <item t="data" sd="1" x="353"/>
        <item t="data" sd="1" x="351"/>
        <item t="data" sd="1" x="352"/>
        <item t="data" sd="1" x="350"/>
        <item t="data" sd="1" x="329"/>
        <item t="data" sd="1" x="336"/>
        <item t="data" sd="1" x="203"/>
        <item t="data" sd="1" x="349"/>
        <item t="data" sd="1" x="346"/>
        <item t="data" sd="1" x="348"/>
        <item t="data" sd="1" x="68"/>
        <item t="data" sd="1" x="344"/>
        <item t="data" sd="1" x="345"/>
        <item t="data" sd="1" x="43"/>
        <item t="data" sd="1" x="28"/>
        <item t="data" sd="1" x="343"/>
        <item t="data" sd="1" x="341"/>
        <item t="data" sd="1" x="342"/>
        <item t="data" sd="1" x="340"/>
        <item t="data" sd="1" x="339"/>
        <item t="data" sd="1" x="312"/>
        <item t="data" sd="1" x="338"/>
        <item t="data" sd="1" x="335"/>
        <item t="data" sd="1" x="306"/>
        <item t="data" sd="1" x="205"/>
        <item t="data" sd="1" x="337"/>
        <item t="data" sd="1" x="334"/>
        <item t="data" sd="1" x="331"/>
        <item t="data" sd="1" x="330"/>
        <item t="data" sd="1" x="333"/>
        <item t="data" sd="1" x="242"/>
        <item t="data" sd="1" x="2"/>
        <item t="data" sd="1" x="327"/>
        <item t="data" sd="1" x="322"/>
        <item t="data" sd="1" x="332"/>
        <item t="data" sd="1" x="282"/>
        <item t="data" sd="1" x="325"/>
        <item t="data" sd="1" x="326"/>
        <item t="data" sd="1" x="323"/>
        <item t="data" sd="1" x="134"/>
        <item t="data" sd="1" x="324"/>
        <item t="data" sd="1" x="204"/>
        <item t="data" sd="1" x="318"/>
        <item t="data" sd="1" x="289"/>
        <item t="data" sd="1" x="321"/>
        <item t="data" sd="1" x="311"/>
        <item t="data" sd="1" x="319"/>
        <item t="data" sd="1" x="320"/>
        <item t="data" sd="1" x="317"/>
        <item t="data" sd="1" x="315"/>
        <item t="data" sd="1" x="316"/>
        <item t="data" sd="1" x="313"/>
        <item t="data" sd="1" x="11"/>
        <item t="data" sd="1" x="131"/>
        <item t="data" sd="1" x="47"/>
        <item t="data" sd="1" x="307"/>
        <item t="data" sd="1" x="308"/>
        <item t="data" sd="1" x="290"/>
        <item t="data" sd="1" x="304"/>
        <item t="data" sd="1" x="310"/>
        <item t="data" sd="1" x="303"/>
        <item t="data" sd="1" x="301"/>
        <item t="data" sd="1" x="302"/>
        <item t="data" sd="1" x="299"/>
        <item t="data" sd="1" x="297"/>
        <item t="data" sd="1" x="206"/>
        <item t="data" sd="1" x="298"/>
        <item t="data" sd="1" x="296"/>
        <item t="data" sd="1" x="295"/>
        <item t="data" sd="1" x="72"/>
        <item t="data" sd="1" x="293"/>
        <item t="data" sd="1" x="287"/>
        <item t="data" sd="1" x="286"/>
        <item t="data" sd="1" x="284"/>
        <item t="data" sd="1" x="142"/>
        <item t="data" sd="1" x="283"/>
        <item t="data" sd="1" x="281"/>
        <item t="data" sd="1" x="263"/>
        <item t="data" sd="1" x="279"/>
        <item t="data" sd="1" x="278"/>
        <item t="data" sd="1" x="277"/>
        <item t="data" sd="1" x="276"/>
        <item t="data" sd="1" x="97"/>
        <item t="data" sd="1" x="275"/>
        <item t="data" sd="1" x="273"/>
        <item t="data" sd="1" x="274"/>
        <item t="data" sd="1" x="101"/>
        <item t="data" sd="1" x="264"/>
        <item t="data" sd="1" x="266"/>
        <item t="data" sd="1" x="272"/>
        <item t="data" sd="1" x="267"/>
        <item t="data" sd="1" x="271"/>
        <item t="data" sd="1" x="269"/>
        <item t="data" sd="1" x="66"/>
        <item t="data" sd="1" x="270"/>
        <item t="data" sd="1" x="268"/>
        <item t="data" sd="1" x="261"/>
        <item t="data" sd="1" x="265"/>
        <item t="data" sd="1" x="138"/>
        <item t="data" sd="1" x="241"/>
        <item t="data" sd="1" x="259"/>
        <item t="data" sd="1" x="120"/>
        <item t="data" sd="1" x="155"/>
        <item t="data" sd="1" x="258"/>
        <item t="data" sd="1" x="231"/>
        <item t="data" sd="1" x="215"/>
        <item t="data" sd="1" x="247"/>
        <item t="data" sd="1" x="239"/>
        <item t="data" sd="1" x="243"/>
        <item t="data" sd="1" x="245"/>
        <item t="data" sd="1" x="185"/>
        <item t="data" sd="1" x="250"/>
        <item t="data" sd="1" x="229"/>
        <item t="data" sd="1" x="249"/>
        <item t="data" sd="1" x="246"/>
        <item t="data" sd="1" x="214"/>
        <item t="data" sd="1" x="234"/>
        <item t="data" sd="1" x="225"/>
        <item t="data" sd="1" x="233"/>
        <item t="data" sd="1" x="210"/>
        <item t="data" sd="1" x="53"/>
        <item t="data" sd="1" x="244"/>
        <item t="data" sd="1" x="254"/>
        <item t="data" sd="1" x="237"/>
        <item t="data" sd="1" x="235"/>
        <item t="data" sd="1" x="212"/>
        <item t="data" sd="1" x="251"/>
        <item t="data" sd="1" x="90"/>
        <item t="data" sd="1" x="236"/>
        <item t="data" sd="1" x="213"/>
        <item t="data" sd="1" x="227"/>
        <item t="data" sd="1" x="211"/>
        <item t="data" sd="1" x="217"/>
        <item t="data" sd="1" x="222"/>
        <item t="data" sd="1" x="184"/>
        <item t="data" sd="1" x="255"/>
        <item t="data" sd="1" x="188"/>
        <item t="data" sd="1" x="193"/>
        <item t="data" sd="1" x="221"/>
        <item t="data" sd="1" x="150"/>
        <item t="data" sd="1" x="223"/>
        <item t="data" sd="1" x="172"/>
        <item t="data" sd="1" x="190"/>
        <item t="data" sd="1" x="191"/>
        <item t="data" sd="1" x="192"/>
        <item t="data" sd="1" x="257"/>
        <item t="data" sd="1" x="194"/>
        <item t="data" sd="1" x="176"/>
        <item t="data" sd="1" x="178"/>
        <item t="data" sd="1" x="5"/>
        <item t="data" sd="1" x="197"/>
        <item t="data" sd="1" x="45"/>
        <item t="data" sd="1" x="171"/>
        <item t="data" sd="1" x="201"/>
        <item t="data" sd="1" x="202"/>
        <item t="data" sd="1" x="177"/>
        <item t="data" sd="1" x="140"/>
        <item t="data" sd="1" x="183"/>
        <item t="data" sd="1" x="145"/>
        <item t="data" sd="1" x="175"/>
        <item t="data" sd="1" x="207"/>
        <item t="data" sd="1" x="181"/>
        <item t="data" sd="1" x="129"/>
        <item t="data" sd="1" x="182"/>
        <item t="data" sd="1" x="163"/>
        <item t="data" sd="1" x="143"/>
        <item t="data" sd="1" x="141"/>
        <item t="data" sd="1" x="260"/>
        <item t="data" sd="1" x="162"/>
        <item t="data" sd="1" x="168"/>
        <item t="data" sd="1" x="88"/>
        <item t="data" sd="1" x="170"/>
        <item t="data" sd="1" x="164"/>
        <item t="data" sd="1" x="128"/>
        <item t="data" sd="1" x="160"/>
        <item t="data" sd="1" x="158"/>
        <item t="data" sd="1" x="153"/>
        <item t="data" sd="1" x="151"/>
        <item t="data" sd="1" x="152"/>
        <item t="data" sd="1" x="161"/>
        <item t="data" sd="1" x="149"/>
        <item t="data" sd="1" x="147"/>
        <item t="data" sd="1" x="31"/>
        <item t="data" sd="1" x="146"/>
        <item t="data" sd="1" x="148"/>
        <item t="data" sd="1" x="137"/>
        <item t="data" sd="1" x="103"/>
        <item t="data" sd="1" x="48"/>
        <item t="data" sd="1" x="139"/>
        <item t="data" sd="1" x="144"/>
        <item t="data" sd="1" x="132"/>
        <item t="data" sd="1" x="127"/>
        <item t="data" sd="1" x="130"/>
        <item t="data" sd="1" x="135"/>
        <item t="data" sd="1" x="98"/>
        <item t="data" sd="1" x="136"/>
        <item t="data" sd="1" x="125"/>
        <item t="data" sd="1" x="123"/>
        <item t="data" sd="1" x="126"/>
        <item t="data" sd="1" x="124"/>
        <item t="data" sd="1" x="112"/>
        <item t="data" sd="1" x="121"/>
        <item t="data" sd="1" x="118"/>
        <item t="data" sd="1" x="119"/>
        <item t="data" sd="1" x="110"/>
        <item t="data" sd="1" x="117"/>
        <item t="data" sd="1" x="114"/>
        <item t="data" sd="1" x="115"/>
        <item t="data" sd="1" x="116"/>
        <item t="data" sd="1" x="113"/>
        <item t="data" sd="1" x="111"/>
        <item t="data" sd="1" x="67"/>
        <item t="data" sd="1" x="106"/>
        <item t="data" sd="1" x="107"/>
        <item t="data" sd="1" x="104"/>
        <item t="data" sd="1" x="49"/>
        <item t="data" sd="1" x="94"/>
        <item t="data" sd="1" x="77"/>
        <item t="data" sd="1" x="99"/>
        <item t="data" sd="1" x="100"/>
        <item t="data" sd="1" x="89"/>
        <item t="data" sd="1" x="96"/>
        <item t="data" sd="1" x="92"/>
        <item t="data" sd="1" x="93"/>
        <item t="data" sd="1" x="95"/>
        <item t="data" sd="1" x="85"/>
        <item t="data" sd="1" x="80"/>
        <item t="data" sd="1" x="82"/>
        <item t="data" sd="1" x="75"/>
        <item t="data" sd="1" x="81"/>
        <item t="data" sd="1" x="78"/>
        <item t="data" sd="1" x="87"/>
        <item t="data" sd="1" x="105"/>
        <item t="data" sd="1" x="84"/>
        <item t="data" sd="1" x="74"/>
        <item t="data" sd="1" x="79"/>
        <item t="data" sd="1" x="109"/>
        <item t="data" sd="1" x="69"/>
        <item t="data" sd="1" x="70"/>
        <item t="data" sd="1" x="65"/>
        <item t="data" sd="1" x="10"/>
        <item t="data" sd="1" x="54"/>
        <item t="data" sd="1" x="63"/>
        <item t="data" sd="1" x="64"/>
        <item t="data" sd="1" x="61"/>
        <item t="data" sd="1" x="41"/>
        <item t="data" sd="1" x="39"/>
        <item t="data" sd="1" x="60"/>
        <item t="data" sd="1" x="57"/>
        <item t="data" sd="1" x="59"/>
        <item t="data" sd="1" x="40"/>
        <item t="data" sd="1" x="51"/>
        <item t="data" sd="1" x="56"/>
        <item t="data" sd="1" x="55"/>
        <item t="data" sd="1" x="36"/>
        <item t="data" sd="1" x="50"/>
        <item t="data" sd="1" x="76"/>
        <item t="data" sd="1" x="44"/>
        <item t="data" sd="1" x="32"/>
        <item t="data" sd="1" x="30"/>
        <item t="data" sd="1" x="42"/>
        <item t="data" sd="1" x="29"/>
        <item t="data" sd="1" x="37"/>
        <item t="data" sd="1" x="27"/>
        <item t="data" sd="1" x="33"/>
        <item t="data" sd="1" x="24"/>
        <item t="data" sd="1" x="25"/>
        <item t="data" sd="1" x="71"/>
        <item t="data" sd="1" x="23"/>
        <item t="data" sd="1" x="21"/>
        <item t="data" sd="1" x="18"/>
        <item t="data" sd="1" x="13"/>
        <item t="data" sd="1" x="17"/>
        <item t="data" sd="1" x="14"/>
        <item t="data" sd="1" x="16"/>
        <item t="data" sd="1" x="19"/>
        <item t="data" sd="1" x="12"/>
        <item t="data" sd="1" x="8"/>
        <item t="data" sd="1" x="9"/>
        <item t="data" sd="1" x="7"/>
        <item t="data" sd="1" x="20"/>
        <item t="data" sd="1" x="22"/>
        <item t="data" sd="1" x="34"/>
        <item t="data" sd="1" x="26"/>
        <item t="data" sd="1" x="38"/>
        <item t="data" sd="1" x="6"/>
        <item t="data" sd="1" x="4"/>
        <item t="data" sd="1" x="3"/>
        <item t="data" sd="1" x="1"/>
        <item t="data" sd="1" x="409"/>
        <item t="data" sd="1" x="408"/>
        <item t="data" sd="1" x="407"/>
        <item t="data" sd="1" x="405"/>
        <item t="data" sd="1" x="406"/>
        <item t="data" sd="1" x="404"/>
        <item t="data" sd="1" x="403"/>
        <item t="data" sd="1" x="402"/>
        <item t="data" sd="1" x="394"/>
        <item t="data" sd="1" x="240"/>
        <item t="data" sd="1" x="179"/>
        <item t="data" sd="1" x="133"/>
        <item t="data" sd="1" x="73"/>
        <item t="data" sd="1" x="83"/>
        <item t="data" sd="1" x="230"/>
        <item t="data" sd="1" x="238"/>
        <item t="data" sd="1" x="196"/>
        <item t="data" sd="1" x="35"/>
        <item t="data" sd="1" x="173"/>
        <item t="data" sd="1" x="392"/>
        <item t="data" sd="1" x="224"/>
        <item t="data" sd="1" x="180"/>
        <item t="data" sd="1" x="157"/>
        <item t="data" sd="1" x="328"/>
        <item t="data" sd="1" x="216"/>
        <item t="data" sd="1" x="209"/>
        <item t="data" sd="1" x="387"/>
        <item t="data" sd="1" x="292"/>
        <item t="data" sd="1" x="232"/>
        <item t="data" sd="1" x="393"/>
        <item t="data" sd="1" x="108"/>
        <item t="data" sd="1" x="167"/>
        <item t="data" sd="1" x="208"/>
        <item t="data" sd="1" x="288"/>
        <item t="data" sd="1" x="314"/>
        <item t="data" sd="1" x="102"/>
        <item t="data" sd="1" x="252"/>
        <item t="data" sd="1" x="280"/>
        <item t="data" sd="1" x="186"/>
        <item t="data" sd="1" x="199"/>
        <item t="data" sd="1" x="253"/>
        <item t="data" sd="1" x="154"/>
        <item t="data" sd="1" x="169"/>
        <item t="data" sd="1" x="218"/>
        <item t="data" sd="1" x="309"/>
        <item t="data" sd="1" x="398"/>
        <item t="data" sd="1" x="159"/>
        <item t="data" sd="1" x="228"/>
        <item t="data" sd="1" x="248"/>
        <item t="data" sd="1" x="198"/>
        <item t="data" sd="1" x="379"/>
        <item t="data" sd="1" x="219"/>
        <item t="data" sd="1" x="378"/>
        <item t="data" sd="1" x="15"/>
        <item t="data" sd="1" x="122"/>
        <item t="data" sd="1" x="166"/>
        <item t="data" sd="1" x="46"/>
        <item t="data" sd="1" x="52"/>
        <item t="data" sd="1" x="401"/>
        <item t="data" sd="1" x="400"/>
        <item t="data" sd="1" x="397"/>
        <item t="data" sd="1" x="399"/>
        <item t="data" sd="1" x="395"/>
        <item t="data" sd="1" x="396"/>
        <item t="data" sd="1" x="174"/>
        <item t="data" sd="1" x="220"/>
        <item t="data" sd="1" x="256"/>
        <item t="data" sd="1" x="391"/>
        <item t="data" sd="1" x="390"/>
        <item t="data" sd="1" x="389"/>
        <item t="data" sd="1" x="388"/>
        <item t="data" sd="1" x="375"/>
        <item t="data" sd="1" x="386"/>
        <item t="data" sd="1" x="385"/>
        <item t="data" sd="1" x="305"/>
        <item t="data" sd="1" x="382"/>
        <item t="data" sd="1" x="384"/>
        <item t="data" sd="1" x="383"/>
        <item t="data" sd="1" x="195"/>
        <item t="data" sd="1" x="380"/>
        <item t="data" sd="1" x="381"/>
        <item t="data" sd="1" x="377"/>
        <item t="data" sd="1" x="91"/>
        <item t="data" sd="1" x="291"/>
        <item t="data" sd="1" x="285"/>
        <item t="data" sd="1" x="294"/>
        <item t="data" sd="1" x="226"/>
        <item t="data" sd="1" x="376"/>
        <item t="data" sd="1" x="86"/>
        <item t="data" sd="1" x="374"/>
        <item t="data" sd="1" x="58"/>
        <item t="data" sd="1" x="62"/>
        <item t="data" sd="1" x="262"/>
      </items>
    </pivotField>
    <pivotField showDropDowns="1" compact="1" outline="1" subtotalTop="1" dragToRow="1" dragToCol="1" dragToPage="1" dragToData="1" dragOff="1" showAll="0" topAutoShow="1" itemPageCount="10" sortType="manual" defaultSubtotal="0"/>
    <pivotField showDropDowns="1" compact="1" outline="1" subtotalTop="1" dragToRow="1" dragToCol="1" dragToPage="1" dragToData="1" dragOff="1" showAll="0" topAutoShow="1" itemPageCount="10" sortType="manual" defaultSubtotal="0">
      <items count="4">
        <item t="data" h="1" sd="1" x="3"/>
        <item t="data" h="1" sd="1" x="2"/>
        <item t="data" sd="1" x="0"/>
        <item t="data" h="1" sd="1" x="1"/>
      </items>
    </pivotField>
    <pivotField showDropDowns="1" compact="1" outline="1" subtotalTop="1" dragToRow="1" dragToCol="1" dragToPage="1" dragToData="1" dragOff="1" showAll="0" topAutoShow="1" itemPageCount="10" sortType="manual" defaultSubtotal="0"/>
    <pivotField showDropDowns="1" compact="1" outline="1" subtotalTop="1" dragToRow="1" dragToCol="1" dragToPage="1" dragToData="1" dragOff="1" showAll="0" topAutoShow="1" itemPageCount="10" sortType="manual" defaultSubtotal="0"/>
  </pivotFields>
  <rowFields count="1">
    <field x="5"/>
  </rowFields>
  <rowItems count="9">
    <i t="data" r="0" i="0">
      <x v="0"/>
    </i>
    <i t="data" r="0" i="0">
      <x v="76"/>
    </i>
    <i t="data" r="0" i="0">
      <x v="87"/>
    </i>
    <i t="data" r="0" i="0">
      <x v="190"/>
    </i>
    <i t="data" r="0" i="0">
      <x v="304"/>
    </i>
    <i t="data" r="0" i="0">
      <x v="306"/>
    </i>
    <i t="data" r="0" i="0">
      <x v="307"/>
    </i>
    <i t="data" r="0" i="0">
      <x v="369"/>
    </i>
    <i t="grand" r="0" i="0">
      <x v="0"/>
    </i>
  </rowItems>
  <colFields count="2">
    <field x="4"/>
    <field x="3"/>
  </colFields>
  <colItems count="1">
    <i t="data" r="0" i="0">
      <x v="0"/>
      <x v="6"/>
    </i>
  </colItems>
  <dataFields count="1">
    <dataField name="Count of STATUS" fld="0" subtotal="count" showDataAs="normal" baseField="0" baseItem="0"/>
  </dataFields>
  <formats count="27">
    <format action="formatting" dxfId="346">
      <pivotArea type="all" dataOnly="0" outline="0" fieldPosition="0"/>
    </format>
    <format action="formatting" dxfId="345">
      <pivotArea type="normal" dataOnly="1" outline="0" collapsedLevelsAreSubtotals="1" fieldPosition="0"/>
    </format>
    <format action="formatting" dxfId="344">
      <pivotArea type="origin" dataOnly="0" labelOnly="1" outline="0" fieldPosition="0"/>
    </format>
    <format action="formatting" dxfId="343">
      <pivotArea field="4" type="button" dataOnly="0" labelOnly="1" outline="0" axis="axisCol" fieldPosition="0"/>
    </format>
    <format action="formatting" dxfId="342">
      <pivotArea field="5" type="button" dataOnly="0" labelOnly="1" outline="0" axis="axisRow" fieldPosition="0"/>
    </format>
    <format action="formatting" dxfId="341">
      <pivotArea type="normal" dataOnly="0" labelOnly="1" outline="1" fieldPosition="0">
        <references count="1">
          <reference field="5">
            <x v="0"/>
            <x v="76"/>
            <x v="87"/>
            <x v="190"/>
            <x v="304"/>
            <x v="306"/>
            <x v="307"/>
            <x v="369"/>
          </reference>
        </references>
      </pivotArea>
    </format>
    <format action="formatting" dxfId="340">
      <pivotArea type="normal" dataOnly="0" labelOnly="1" grandRow="1" outline="0" fieldPosition="0"/>
    </format>
    <format action="formatting" dxfId="339">
      <pivotArea type="normal" dataOnly="0" labelOnly="1" outline="1" fieldPosition="0">
        <references count="1">
          <reference field="4"/>
        </references>
      </pivotArea>
    </format>
    <format action="formatting" dxfId="338">
      <pivotArea type="normal" dataOnly="0" labelOnly="1" outline="1" fieldPosition="0">
        <references count="2">
          <reference field="3"/>
          <reference field="4" selected="0"/>
        </references>
      </pivotArea>
    </format>
    <format action="formatting" dxfId="337">
      <pivotArea type="all" dataOnly="0" outline="0" fieldPosition="0"/>
    </format>
    <format action="formatting" dxfId="336">
      <pivotArea type="normal" dataOnly="1" outline="0" collapsedLevelsAreSubtotals="1" fieldPosition="0"/>
    </format>
    <format action="formatting" dxfId="335">
      <pivotArea type="origin" dataOnly="0" labelOnly="1" outline="0" fieldPosition="0"/>
    </format>
    <format action="formatting" dxfId="334">
      <pivotArea field="4" type="button" dataOnly="0" labelOnly="1" outline="0" axis="axisCol" fieldPosition="0"/>
    </format>
    <format action="formatting" dxfId="333">
      <pivotArea field="5" type="button" dataOnly="0" labelOnly="1" outline="0" axis="axisRow" fieldPosition="0"/>
    </format>
    <format action="formatting" dxfId="332">
      <pivotArea type="normal" dataOnly="0" labelOnly="1" outline="1" fieldPosition="0">
        <references count="1">
          <reference field="5">
            <x v="0"/>
            <x v="76"/>
            <x v="87"/>
            <x v="190"/>
            <x v="304"/>
            <x v="306"/>
            <x v="307"/>
            <x v="369"/>
          </reference>
        </references>
      </pivotArea>
    </format>
    <format action="formatting" dxfId="331">
      <pivotArea type="normal" dataOnly="0" labelOnly="1" grandRow="1" outline="0" fieldPosition="0"/>
    </format>
    <format action="formatting" dxfId="330">
      <pivotArea type="normal" dataOnly="0" labelOnly="1" outline="1" fieldPosition="0">
        <references count="1">
          <reference field="4"/>
        </references>
      </pivotArea>
    </format>
    <format action="formatting" dxfId="329">
      <pivotArea type="normal" dataOnly="0" labelOnly="1" outline="1" fieldPosition="0">
        <references count="2">
          <reference field="3"/>
          <reference field="4" selected="0"/>
        </references>
      </pivotArea>
    </format>
    <format action="formatting" dxfId="328">
      <pivotArea type="all" dataOnly="0" outline="0" fieldPosition="0"/>
    </format>
    <format action="formatting" dxfId="327">
      <pivotArea type="normal" dataOnly="1" outline="0" collapsedLevelsAreSubtotals="1" fieldPosition="0"/>
    </format>
    <format action="formatting" dxfId="326">
      <pivotArea type="origin" dataOnly="0" labelOnly="1" outline="0" fieldPosition="0"/>
    </format>
    <format action="formatting" dxfId="325">
      <pivotArea field="4" type="button" dataOnly="0" labelOnly="1" outline="0" axis="axisCol" fieldPosition="0"/>
    </format>
    <format action="formatting" dxfId="324">
      <pivotArea field="5" type="button" dataOnly="0" labelOnly="1" outline="0" axis="axisRow" fieldPosition="0"/>
    </format>
    <format action="formatting" dxfId="323">
      <pivotArea type="normal" dataOnly="0" labelOnly="1" outline="1" fieldPosition="0">
        <references count="1">
          <reference field="5">
            <x v="0"/>
            <x v="76"/>
            <x v="87"/>
            <x v="190"/>
            <x v="304"/>
            <x v="306"/>
            <x v="307"/>
            <x v="369"/>
          </reference>
        </references>
      </pivotArea>
    </format>
    <format action="formatting" dxfId="322">
      <pivotArea type="normal" dataOnly="0" labelOnly="1" grandRow="1" outline="0" fieldPosition="0"/>
    </format>
    <format action="formatting" dxfId="321">
      <pivotArea type="normal" dataOnly="0" labelOnly="1" outline="1" fieldPosition="0">
        <references count="1">
          <reference field="4"/>
        </references>
      </pivotArea>
    </format>
    <format action="formatting" dxfId="320">
      <pivotArea type="normal" dataOnly="0" labelOnly="1" outline="1" fieldPosition="0">
        <references count="2">
          <reference field="3"/>
          <reference field="4" selected="0"/>
        </references>
      </pivotArea>
    </format>
  </formats>
  <pivotTableStyleInfo name="PivotStyleLight16"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PivotTable1" cacheId="0" dataOnRows="0" dataCaption="Values" showError="0" missingCaption="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0" rowHeaderCaption="Timepieces Requested" fieldListSortAscending="0" mdxSubqueries="0" applyNumberFormats="0" applyBorderFormats="0" applyFontFormats="0" applyPatternFormats="0" applyAlignmentFormats="0" applyWidthHeightFormats="1" r:id="rId1">
  <location ref="L8:Q22" firstHeaderRow="1" firstDataRow="2" firstDataCol="2"/>
  <pivotFields count="38">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axis="axisRow" showDropDowns="1" compact="0" outline="0" subtotalTop="1" dragToRow="1" dragToCol="1" dragToPage="1" dragToData="1" dragOff="1" showAll="0" topAutoShow="1" itemPageCount="10" sortType="manual" defaultSubtotal="0">
      <items count="5">
        <item t="data" sd="1" x="2"/>
        <item t="data" sd="1" x="0"/>
        <item t="data" sd="1" x="1"/>
        <item t="data" sd="1" x="3"/>
        <item t="data" sd="1" x="4"/>
      </items>
    </pivotField>
    <pivotField showDropDowns="1" compact="0" outline="0" subtotalTop="1" dragToRow="1" dragToCol="1" dragToPage="1" dragToData="1" dragOff="1" showAll="0" topAutoShow="1" itemPageCount="10" sortType="manual" defaultSubtotal="0"/>
    <pivotField axis="axisCol" showDropDowns="1" compact="0" outline="0" subtotalTop="1" dragToRow="1" dragToCol="1" dragToPage="1" dragToData="1" dragOff="1" showAll="0" topAutoShow="1" itemPageCount="10" sortType="manual" defaultSubtotal="0">
      <items count="7">
        <item t="data" h="1" sd="1" x="1"/>
        <item t="data" sd="1" x="2"/>
        <item t="data" sd="1" x="4"/>
        <item t="data" sd="1" x="6"/>
        <item t="data" h="1" sd="1" x="5"/>
        <item t="data" h="1" sd="1" x="0"/>
        <item t="data" h="1" sd="1" x="3"/>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axis="axisRow" showDropDowns="1" compact="0" outline="0" subtotalTop="1" dragToRow="1" dragToCol="1" dragToPage="1" dragToData="1" dragOff="1" showAll="0" topAutoShow="1" itemPageCount="10" sortType="descending" defaultSubtotal="0">
      <items count="22">
        <item t="data" h="1" sd="1" x="16"/>
        <item t="data" sd="1" m="1" x="21"/>
        <item t="data" sd="1" x="14"/>
        <item t="data" sd="1" x="3"/>
        <item t="data" sd="1" x="2"/>
        <item t="data" sd="1" x="9"/>
        <item t="data" sd="1" x="1"/>
        <item t="data" sd="1" x="12"/>
        <item t="data" sd="1" x="0"/>
        <item t="data" sd="1" x="10"/>
        <item t="data" sd="1" x="8"/>
        <item t="data" sd="1" m="1" x="19"/>
        <item t="data" sd="1" x="5"/>
        <item t="data" sd="1" x="4"/>
        <item t="data" sd="1" x="13"/>
        <item t="data" sd="1" m="1" x="20"/>
        <item t="data" h="1" sd="1" x="17"/>
        <item t="data" sd="1" x="7"/>
        <item t="data" sd="1" x="11"/>
        <item t="data" h="1" sd="1" x="15"/>
        <item t="data" h="1" sd="1" x="6"/>
        <item t="data" h="1" sd="1" x="18"/>
      </items>
      <autoSortScope>
        <pivotArea type="normal" dataOnly="0" outline="0" fieldPosition="0">
          <references count="1">
            <reference field="4294967294" selected="0">
              <x v="0"/>
            </reference>
          </references>
        </pivotArea>
      </autoSortScope>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dataField="1"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0"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0" dragToRow="1" dragToCol="1" dragToPage="1" dragToData="1" dragOff="1" showAll="0" topAutoShow="1" itemPageCount="10" sortType="manual" defaultSubtotal="0"/>
  </pivotFields>
  <rowFields count="2">
    <field x="7"/>
    <field x="13"/>
  </rowFields>
  <rowItems count="13">
    <i t="data" r="0" i="0">
      <x v="1"/>
      <x v="12"/>
    </i>
    <i t="data" r="1" i="0">
      <x v="10"/>
    </i>
    <i t="data" r="1" i="0">
      <x v="13"/>
    </i>
    <i t="data" r="1" i="0">
      <x v="17"/>
    </i>
    <i t="data" r="1" i="0">
      <x v="14"/>
    </i>
    <i t="data" r="1" i="0">
      <x v="2"/>
    </i>
    <i t="data" r="1" i="0">
      <x v="8"/>
    </i>
    <i t="data" r="1" i="0">
      <x v="5"/>
    </i>
    <i t="data" r="0" i="0">
      <x v="2"/>
      <x v="6"/>
    </i>
    <i t="data" r="1" i="0">
      <x v="18"/>
    </i>
    <i t="data" r="1" i="0">
      <x v="3"/>
    </i>
    <i t="data" r="1" i="0">
      <x v="4"/>
    </i>
    <i t="grand" r="0" i="0">
      <x v="0"/>
    </i>
  </rowItems>
  <colFields count="1">
    <field x="9"/>
  </colFields>
  <colItems count="4">
    <i t="data" r="0" i="0">
      <x v="1"/>
    </i>
    <i t="data" r="0" i="0">
      <x v="2"/>
    </i>
    <i t="data" r="0" i="0">
      <x v="3"/>
    </i>
    <i t="grand" r="0" i="0">
      <x v="0"/>
    </i>
  </colItems>
  <dataFields count="1">
    <dataField name="Timepiece Updates" fld="16" subtotal="count" showDataAs="normal" baseField="13" baseItem="13"/>
  </dataFields>
  <formats count="29">
    <format action="formatting" dxfId="304">
      <pivotArea type="normal" dataOnly="0" labelOnly="1" outline="1" fieldPosition="0">
        <references count="1">
          <reference field="13"/>
        </references>
      </pivotArea>
    </format>
    <format action="formatting" dxfId="303">
      <pivotArea type="normal" dataOnly="0" labelOnly="1" outline="1" fieldPosition="0">
        <references count="1">
          <reference field="13"/>
        </references>
      </pivotArea>
    </format>
    <format action="formatting" dxfId="302">
      <pivotArea type="all" dataOnly="0" outline="0" fieldPosition="0"/>
    </format>
    <format action="formatting" dxfId="301">
      <pivotArea type="normal" dataOnly="1" outline="0" collapsedLevelsAreSubtotals="1" fieldPosition="0"/>
    </format>
    <format action="formatting" dxfId="300">
      <pivotArea field="13" type="button" dataOnly="0" labelOnly="1" outline="0" axis="axisRow" fieldPosition="1"/>
    </format>
    <format action="formatting" dxfId="299">
      <pivotArea type="normal" dataOnly="0" labelOnly="1" outline="1" fieldPosition="0">
        <references count="1">
          <reference field="13"/>
        </references>
      </pivotArea>
    </format>
    <format action="formatting" dxfId="298">
      <pivotArea type="normal" dataOnly="0" labelOnly="1" grandRow="1" outline="0" fieldPosition="0"/>
    </format>
    <format action="formatting" dxfId="297">
      <pivotArea type="normal" dataOnly="0" labelOnly="1" outline="0" axis="axisValues" fieldPosition="0"/>
    </format>
    <format action="formatting" dxfId="296">
      <pivotArea type="all" dataOnly="0" outline="0" fieldPosition="0"/>
    </format>
    <format action="formatting" dxfId="295">
      <pivotArea type="normal" dataOnly="1" outline="0" collapsedLevelsAreSubtotals="1" fieldPosition="0"/>
    </format>
    <format action="formatting" dxfId="294">
      <pivotArea field="13" type="button" dataOnly="0" labelOnly="1" outline="0" axis="axisRow" fieldPosition="1"/>
    </format>
    <format action="formatting" dxfId="293">
      <pivotArea type="normal" dataOnly="0" labelOnly="1" outline="1" fieldPosition="0">
        <references count="1">
          <reference field="13"/>
        </references>
      </pivotArea>
    </format>
    <format action="formatting" dxfId="292">
      <pivotArea type="normal" dataOnly="0" labelOnly="1" grandRow="1" outline="0" fieldPosition="0"/>
    </format>
    <format action="formatting" dxfId="291">
      <pivotArea type="normal" dataOnly="0" labelOnly="1" outline="0" axis="axisValues" fieldPosition="0"/>
    </format>
    <format action="formatting" dxfId="290">
      <pivotArea type="all" dataOnly="0" outline="0" fieldPosition="0"/>
    </format>
    <format action="formatting" dxfId="289">
      <pivotArea type="normal" dataOnly="1" outline="0" collapsedLevelsAreSubtotals="1" fieldPosition="0"/>
    </format>
    <format action="formatting" dxfId="288">
      <pivotArea field="13" type="button" dataOnly="0" labelOnly="1" outline="0" axis="axisRow" fieldPosition="1"/>
    </format>
    <format action="formatting" dxfId="287">
      <pivotArea type="normal" dataOnly="0" labelOnly="1" outline="1" fieldPosition="0">
        <references count="1">
          <reference field="13"/>
        </references>
      </pivotArea>
    </format>
    <format action="formatting" dxfId="286">
      <pivotArea type="normal" dataOnly="0" labelOnly="1" grandRow="1" outline="0" fieldPosition="0"/>
    </format>
    <format action="formatting" dxfId="285">
      <pivotArea type="normal" dataOnly="0" labelOnly="1" outline="0" axis="axisValues" fieldPosition="0"/>
    </format>
    <format action="formatting" dxfId="284">
      <pivotArea type="normal" dataOnly="0" labelOnly="1" outline="0" axis="axisValues" fieldPosition="0"/>
    </format>
    <format action="formatting" dxfId="283">
      <pivotArea type="normal" dataOnly="1" outline="1" collapsedLevelsAreSubtotals="1" fieldPosition="0">
        <references count="1">
          <reference field="13"/>
        </references>
      </pivotArea>
    </format>
    <format action="formatting" dxfId="282">
      <pivotArea type="origin" dataOnly="0" labelOnly="1" outline="0" fieldPosition="0"/>
    </format>
    <format action="formatting" dxfId="281">
      <pivotArea field="13" type="button" dataOnly="0" labelOnly="1" outline="0" axis="axisRow" fieldPosition="1"/>
    </format>
    <format action="formatting" dxfId="280">
      <pivotArea type="normal" dataOnly="0" labelOnly="1" outline="0" fieldPosition="0">
        <references count="2">
          <reference field="7" selected="0">
            <x v="1"/>
          </reference>
          <reference field="13">
            <x v="2"/>
            <x v="3"/>
            <x v="5"/>
            <x v="6"/>
            <x v="7"/>
            <x v="8"/>
            <x v="11"/>
            <x v="12"/>
            <x v="13"/>
            <x v="15"/>
          </reference>
        </references>
      </pivotArea>
    </format>
    <format action="formatting" dxfId="279">
      <pivotArea type="normal" dataOnly="0" labelOnly="1" outline="0" fieldPosition="0">
        <references count="2">
          <reference field="7" selected="0">
            <x v="2"/>
          </reference>
          <reference field="13">
            <x v="3"/>
            <x v="4"/>
            <x v="9"/>
            <x v="10"/>
            <x v="14"/>
            <x v="17"/>
            <x v="18"/>
          </reference>
        </references>
      </pivotArea>
    </format>
    <format action="formatting" dxfId="278">
      <pivotArea type="normal" dataOnly="0" labelOnly="1" outline="0" fieldPosition="0">
        <references count="2">
          <reference field="7" selected="0">
            <x v="1"/>
          </reference>
          <reference field="13">
            <x v="10"/>
          </reference>
        </references>
      </pivotArea>
    </format>
    <format action="formatting" dxfId="277">
      <pivotArea type="normal" dataOnly="1" outline="0" fieldPosition="0">
        <references count="3">
          <reference field="7" selected="0">
            <x v="1"/>
            <x v="2"/>
          </reference>
          <reference field="9" selected="0"/>
          <reference field="13" selected="0"/>
        </references>
      </pivotArea>
    </format>
    <format action="formatting" dxfId="276">
      <pivotArea field="13" type="normal" dataOnly="1" grandCol="1" outline="0" axis="axisRow" fieldPosition="1">
        <references count="2">
          <reference field="7" selected="0">
            <x v="1"/>
            <x v="2"/>
          </reference>
          <reference field="13" selected="0"/>
        </references>
      </pivotArea>
    </format>
  </formats>
  <pivotTableStyleInfo name="PivotStyleDark7" showRowHeaders="1" showColHeaders="1" showRowStripes="0" showColStripes="0" showLastColumn="1"/>
</pivotTableDefinition>
</file>

<file path=xl/pivotTables/pivotTable4.xml><?xml version="1.0" encoding="utf-8"?>
<pivotTableDefinition xmlns:r="http://schemas.openxmlformats.org/officeDocument/2006/relationships" xmlns="http://schemas.openxmlformats.org/spreadsheetml/2006/main" name="PivotTable4" cacheId="0" dataOnRows="0" dataCaption="Values" showError="0" missingCaption="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0" fieldListSortAscending="0" mdxSubqueries="0" applyNumberFormats="0" applyBorderFormats="0" applyFontFormats="0" applyPatternFormats="0" applyAlignmentFormats="0" applyWidthHeightFormats="1" r:id="rId1">
  <location ref="B11:G17" firstHeaderRow="1" firstDataRow="3" firstDataCol="2" rowPageCount="2" colPageCount="1"/>
  <pivotFields count="38">
    <pivotField dataField="1"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axis="axisRow" showDropDowns="1" compact="0" outline="0" subtotalTop="1" dragToRow="1" dragToCol="1" dragToPage="1" dragToData="1" dragOff="1" showAll="0" topAutoShow="1" itemPageCount="10" sortType="manual" defaultSubtotal="0">
      <items count="6">
        <item t="data" sd="1" x="0"/>
        <item t="data" sd="1" x="1"/>
        <item t="data" sd="1" x="4"/>
        <item t="data" sd="1" x="3"/>
        <item t="data" sd="1" x="2"/>
        <item t="data" sd="1" x="5"/>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axis="axisCol" showDropDowns="1" compact="0" outline="0" subtotalTop="1" dragToRow="1" dragToCol="1" dragToPage="1" dragToData="1" dragOff="1" showAll="0" topAutoShow="1" itemPageCount="10" sortType="manual" defaultSubtotal="0">
      <items count="5">
        <item t="data" sd="1" x="2"/>
        <item t="data" sd="1" x="0"/>
        <item t="data" sd="1" x="1"/>
        <item t="data" sd="1" m="1" x="4"/>
        <item t="data" sd="1" x="3"/>
      </items>
    </pivotField>
    <pivotField axis="axisPage" showDropDowns="1" compact="0" outline="0" subtotalTop="1" dragToRow="1" dragToCol="1" dragToPage="1" dragToData="1" dragOff="1" showAll="0" topAutoShow="1" itemPageCount="10" sortType="manual" defaultSubtotal="0">
      <items count="7">
        <item t="data" sd="1" x="1"/>
        <item t="data" sd="1" x="2"/>
        <item t="data" sd="1" x="4"/>
        <item t="data" sd="1" x="6"/>
        <item t="data" sd="1" x="5"/>
        <item t="data" sd="1" x="0"/>
        <item t="data" sd="1" x="3"/>
      </items>
    </pivotField>
    <pivotField axis="axisPage" showDropDowns="1" compact="0" outline="0" subtotalTop="1" dragToRow="1" dragToCol="1" dragToPage="1" dragToData="1" dragOff="1" showAll="0" topAutoShow="1" itemPageCount="10" sortType="manual" defaultSubtotal="0">
      <items count="4">
        <item t="data" sd="1" x="0"/>
        <item t="data" sd="1" x="2"/>
        <item t="data" sd="1" x="1"/>
        <item t="data" sd="1" x="3"/>
      </items>
    </pivotField>
    <pivotField showDropDowns="1" compact="0" outline="0" subtotalTop="1" dragToRow="1" dragToCol="1" dragToPage="1" dragToData="1" dragOff="1" showAll="0" topAutoShow="1" itemPageCount="10" sortType="manual" defaultSubtotal="0"/>
    <pivotField axis="axisRow" showDropDowns="1" compact="0" outline="0" subtotalTop="1" dragToRow="1" dragToCol="1" dragToPage="1" dragToData="1" dragOff="1" showAll="0" topAutoShow="1" itemPageCount="10" sortType="manual" defaultSubtotal="0">
      <items count="26">
        <item t="data" sd="1" x="5"/>
        <item t="data" sd="1" x="10"/>
        <item t="data" sd="1" m="1" x="22"/>
        <item t="data" sd="1" x="2"/>
        <item t="data" sd="1" m="1" x="21"/>
        <item t="data" sd="1" x="8"/>
        <item t="data" sd="1" m="1" x="24"/>
        <item t="data" sd="1" x="4"/>
        <item t="data" sd="1" x="13"/>
        <item t="data" sd="1" x="3"/>
        <item t="data" sd="1" m="1" x="25"/>
        <item t="data" sd="1" x="1"/>
        <item t="data" sd="1" x="9"/>
        <item t="data" sd="1" x="0"/>
        <item t="data" sd="1" x="14"/>
        <item t="data" sd="1" x="12"/>
        <item t="data" sd="1" x="11"/>
        <item t="data" sd="1" x="18"/>
        <item t="data" sd="1" x="15"/>
        <item t="data" sd="1" m="1" x="23"/>
        <item t="data" sd="1" x="16"/>
        <item t="data" sd="1" m="1" x="20"/>
        <item t="data" sd="1" x="17"/>
        <item t="data" sd="1" x="6"/>
        <item t="data" sd="1" x="7"/>
        <item t="data" sd="1" x="19"/>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dataField="1"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0"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0"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0" dragToRow="1" dragToCol="1" dragToPage="1" dragToData="1" dragOff="1" showAll="0" topAutoShow="1" itemPageCount="10" sortType="manual" defaultSubtotal="0"/>
  </pivotFields>
  <rowFields count="2">
    <field x="3"/>
    <field x="12"/>
  </rowFields>
  <rowItems count="4">
    <i t="data" r="0" i="0">
      <x v="2"/>
      <x v="0"/>
    </i>
    <i t="data" r="0" i="0">
      <x v="3"/>
      <x v="24"/>
    </i>
    <i t="data" r="0" i="0">
      <x v="4"/>
      <x v="0"/>
    </i>
    <i t="grand" r="0" i="0">
      <x v="0"/>
    </i>
  </rowItems>
  <colFields count="2">
    <field x="8"/>
    <field x="-2"/>
  </colFields>
  <colItems count="4">
    <i t="data" r="0" i="0">
      <x v="1"/>
      <x v="0"/>
    </i>
    <i t="data" r="1" i="1">
      <x v="1"/>
    </i>
    <i t="grand" r="0" i="0">
      <x v="0"/>
    </i>
    <i t="grand" r="0" i="1">
      <x v="0"/>
    </i>
  </colItems>
  <pageFields count="2">
    <pageField fld="9" item="1" hier="-1"/>
    <pageField fld="10" item="0" hier="-1"/>
  </pageFields>
  <dataFields count="2">
    <dataField name="Count of Timepieces" fld="0" subtotal="count" showDataAs="normal" baseField="12" baseItem="14"/>
    <dataField name="Amount" fld="15" subtotal="sum" showDataAs="normal" baseField="12" baseItem="13"/>
  </dataFields>
  <formats count="116">
    <format action="formatting" dxfId="275">
      <pivotArea type="normal" dataOnly="1" outline="1" collapsedLevelsAreSubtotals="1" fieldPosition="0">
        <references count="2">
          <reference field="4294967294" selected="0">
            <x v="1"/>
          </reference>
          <reference field="3">
            <x v="0"/>
          </reference>
        </references>
      </pivotArea>
    </format>
    <format action="formatting" dxfId="274">
      <pivotArea type="normal" dataOnly="1" outline="1" collapsedLevelsAreSubtotals="1" fieldPosition="0">
        <references count="3">
          <reference field="4294967294" selected="0">
            <x v="1"/>
          </reference>
          <reference field="3" selected="0">
            <x v="0"/>
          </reference>
          <reference field="12">
            <x v="1"/>
            <x v="3"/>
            <x v="9"/>
            <x v="11"/>
            <x v="13"/>
          </reference>
        </references>
      </pivotArea>
    </format>
    <format action="formatting" dxfId="273">
      <pivotArea type="normal" dataOnly="1" outline="1" collapsedLevelsAreSubtotals="1" fieldPosition="0">
        <references count="2">
          <reference field="4294967294" selected="0">
            <x v="1"/>
          </reference>
          <reference field="3">
            <x v="1"/>
          </reference>
        </references>
      </pivotArea>
    </format>
    <format action="formatting" dxfId="272">
      <pivotArea type="normal" dataOnly="1" outline="1" collapsedLevelsAreSubtotals="1" fieldPosition="0">
        <references count="3">
          <reference field="4294967294" selected="0">
            <x v="1"/>
          </reference>
          <reference field="3" selected="0">
            <x v="1"/>
          </reference>
          <reference field="12">
            <x v="7"/>
          </reference>
        </references>
      </pivotArea>
    </format>
    <format action="formatting" dxfId="271">
      <pivotArea type="normal" dataOnly="1" outline="1" collapsedLevelsAreSubtotals="1" fieldPosition="0">
        <references count="2">
          <reference field="4294967294" selected="0">
            <x v="1"/>
          </reference>
          <reference field="3">
            <x v="2"/>
          </reference>
        </references>
      </pivotArea>
    </format>
    <format action="formatting" dxfId="270">
      <pivotArea type="normal" dataOnly="1" outline="1" collapsedLevelsAreSubtotals="1" fieldPosition="0">
        <references count="3">
          <reference field="4294967294" selected="0">
            <x v="1"/>
          </reference>
          <reference field="3" selected="0">
            <x v="2"/>
          </reference>
          <reference field="12">
            <x v="0"/>
            <x v="1"/>
            <x v="5"/>
            <x v="8"/>
            <x v="9"/>
            <x v="12"/>
            <x v="13"/>
            <x v="14"/>
            <x v="15"/>
            <x v="16"/>
          </reference>
        </references>
      </pivotArea>
    </format>
    <format action="formatting" dxfId="269">
      <pivotArea type="normal" dataOnly="1" outline="1" collapsedLevelsAreSubtotals="1" fieldPosition="0">
        <references count="2">
          <reference field="4294967294" selected="0">
            <x v="1"/>
          </reference>
          <reference field="3">
            <x v="3"/>
          </reference>
        </references>
      </pivotArea>
    </format>
    <format action="formatting" dxfId="268">
      <pivotArea type="normal" dataOnly="1" outline="1" collapsedLevelsAreSubtotals="1" fieldPosition="0">
        <references count="3">
          <reference field="4294967294" selected="0">
            <x v="1"/>
          </reference>
          <reference field="3" selected="0">
            <x v="3"/>
          </reference>
          <reference field="12">
            <x v="4"/>
            <x v="14"/>
          </reference>
        </references>
      </pivotArea>
    </format>
    <format action="formatting" dxfId="267">
      <pivotArea type="normal" dataOnly="1" outline="1" collapsedLevelsAreSubtotals="1" fieldPosition="0">
        <references count="2">
          <reference field="4294967294" selected="0">
            <x v="1"/>
          </reference>
          <reference field="3">
            <x v="4"/>
          </reference>
        </references>
      </pivotArea>
    </format>
    <format action="formatting" dxfId="266">
      <pivotArea type="normal" dataOnly="1" outline="1" collapsedLevelsAreSubtotals="1" fieldPosition="0">
        <references count="3">
          <reference field="4294967294" selected="0">
            <x v="1"/>
          </reference>
          <reference field="3" selected="0">
            <x v="4"/>
          </reference>
          <reference field="12">
            <x v="0"/>
            <x v="2"/>
            <x v="6"/>
            <x v="12"/>
          </reference>
        </references>
      </pivotArea>
    </format>
    <format action="formatting" dxfId="265">
      <pivotArea type="normal" dataOnly="1" outline="1" collapsedLevelsAreSubtotals="1" fieldPosition="0">
        <references count="2">
          <reference field="4294967294" selected="0">
            <x v="1"/>
          </reference>
          <reference field="3">
            <x v="5"/>
          </reference>
        </references>
      </pivotArea>
    </format>
    <format action="formatting" dxfId="264">
      <pivotArea type="normal" dataOnly="1" outline="1" collapsedLevelsAreSubtotals="1" fieldPosition="0">
        <references count="3">
          <reference field="4294967294" selected="0">
            <x v="1"/>
          </reference>
          <reference field="3" selected="0">
            <x v="5"/>
          </reference>
          <reference field="12">
            <x v="17"/>
          </reference>
        </references>
      </pivotArea>
    </format>
    <format action="formatting" dxfId="263">
      <pivotArea type="all" dataOnly="0" outline="0" fieldPosition="0"/>
    </format>
    <format action="formatting" dxfId="262">
      <pivotArea type="normal" dataOnly="1" outline="0" collapsedLevelsAreSubtotals="1" fieldPosition="0"/>
    </format>
    <format action="formatting" dxfId="261">
      <pivotArea field="3" type="button" dataOnly="0" labelOnly="1" outline="0" axis="axisRow" fieldPosition="0"/>
    </format>
    <format action="formatting" dxfId="260">
      <pivotArea type="normal" dataOnly="0" labelOnly="1" outline="1" fieldPosition="0">
        <references count="1">
          <reference field="3"/>
        </references>
      </pivotArea>
    </format>
    <format action="formatting" dxfId="259">
      <pivotArea type="normal" dataOnly="0" labelOnly="1" grandRow="1" outline="0" fieldPosition="0"/>
    </format>
    <format action="formatting" dxfId="258">
      <pivotArea type="normal" dataOnly="0" labelOnly="1" outline="1" fieldPosition="0">
        <references count="2">
          <reference field="3" selected="0">
            <x v="0"/>
          </reference>
          <reference field="12">
            <x v="1"/>
            <x v="3"/>
            <x v="9"/>
            <x v="11"/>
            <x v="13"/>
          </reference>
        </references>
      </pivotArea>
    </format>
    <format action="formatting" dxfId="257">
      <pivotArea type="normal" dataOnly="0" labelOnly="1" outline="1" fieldPosition="0">
        <references count="2">
          <reference field="3" selected="0">
            <x v="1"/>
          </reference>
          <reference field="12">
            <x v="7"/>
          </reference>
        </references>
      </pivotArea>
    </format>
    <format action="formatting" dxfId="256">
      <pivotArea type="normal" dataOnly="0" labelOnly="1" outline="1" fieldPosition="0">
        <references count="2">
          <reference field="3" selected="0">
            <x v="2"/>
          </reference>
          <reference field="12">
            <x v="0"/>
            <x v="1"/>
            <x v="5"/>
            <x v="8"/>
            <x v="9"/>
            <x v="12"/>
            <x v="13"/>
            <x v="14"/>
            <x v="15"/>
            <x v="16"/>
          </reference>
        </references>
      </pivotArea>
    </format>
    <format action="formatting" dxfId="255">
      <pivotArea type="normal" dataOnly="0" labelOnly="1" outline="1" fieldPosition="0">
        <references count="2">
          <reference field="3" selected="0">
            <x v="3"/>
          </reference>
          <reference field="12">
            <x v="4"/>
            <x v="14"/>
          </reference>
        </references>
      </pivotArea>
    </format>
    <format action="formatting" dxfId="254">
      <pivotArea type="normal" dataOnly="0" labelOnly="1" outline="1" fieldPosition="0">
        <references count="2">
          <reference field="3" selected="0">
            <x v="4"/>
          </reference>
          <reference field="12">
            <x v="0"/>
            <x v="2"/>
            <x v="6"/>
            <x v="12"/>
          </reference>
        </references>
      </pivotArea>
    </format>
    <format action="formatting" dxfId="253">
      <pivotArea type="normal" dataOnly="0" labelOnly="1" outline="1" fieldPosition="0">
        <references count="2">
          <reference field="3" selected="0">
            <x v="5"/>
          </reference>
          <reference field="12">
            <x v="17"/>
          </reference>
        </references>
      </pivotArea>
    </format>
    <format action="formatting" dxfId="252">
      <pivotArea type="normal" dataOnly="0" labelOnly="1" outline="0" fieldPosition="0">
        <references count="1">
          <reference field="4294967294">
            <x v="1"/>
          </reference>
        </references>
      </pivotArea>
    </format>
    <format action="formatting" dxfId="251">
      <pivotArea type="all" dataOnly="0" outline="0" fieldPosition="0"/>
    </format>
    <format action="formatting" dxfId="250">
      <pivotArea type="normal" dataOnly="1" outline="0" collapsedLevelsAreSubtotals="1" fieldPosition="0"/>
    </format>
    <format action="formatting" dxfId="249">
      <pivotArea field="3" type="button" dataOnly="0" labelOnly="1" outline="0" axis="axisRow" fieldPosition="0"/>
    </format>
    <format action="formatting" dxfId="248">
      <pivotArea type="normal" dataOnly="0" labelOnly="1" outline="1" fieldPosition="0">
        <references count="1">
          <reference field="3"/>
        </references>
      </pivotArea>
    </format>
    <format action="formatting" dxfId="247">
      <pivotArea type="normal" dataOnly="0" labelOnly="1" grandRow="1" outline="0" fieldPosition="0"/>
    </format>
    <format action="formatting" dxfId="246">
      <pivotArea type="normal" dataOnly="0" labelOnly="1" outline="1" fieldPosition="0">
        <references count="2">
          <reference field="3" selected="0">
            <x v="0"/>
          </reference>
          <reference field="12">
            <x v="1"/>
            <x v="3"/>
            <x v="9"/>
            <x v="11"/>
            <x v="13"/>
          </reference>
        </references>
      </pivotArea>
    </format>
    <format action="formatting" dxfId="245">
      <pivotArea type="normal" dataOnly="0" labelOnly="1" outline="1" fieldPosition="0">
        <references count="2">
          <reference field="3" selected="0">
            <x v="1"/>
          </reference>
          <reference field="12">
            <x v="7"/>
          </reference>
        </references>
      </pivotArea>
    </format>
    <format action="formatting" dxfId="244">
      <pivotArea type="normal" dataOnly="0" labelOnly="1" outline="1" fieldPosition="0">
        <references count="2">
          <reference field="3" selected="0">
            <x v="2"/>
          </reference>
          <reference field="12">
            <x v="0"/>
            <x v="1"/>
            <x v="5"/>
            <x v="8"/>
            <x v="9"/>
            <x v="12"/>
            <x v="13"/>
            <x v="14"/>
            <x v="15"/>
            <x v="16"/>
          </reference>
        </references>
      </pivotArea>
    </format>
    <format action="formatting" dxfId="243">
      <pivotArea type="normal" dataOnly="0" labelOnly="1" outline="1" fieldPosition="0">
        <references count="2">
          <reference field="3" selected="0">
            <x v="3"/>
          </reference>
          <reference field="12">
            <x v="4"/>
            <x v="14"/>
          </reference>
        </references>
      </pivotArea>
    </format>
    <format action="formatting" dxfId="242">
      <pivotArea type="normal" dataOnly="0" labelOnly="1" outline="1" fieldPosition="0">
        <references count="2">
          <reference field="3" selected="0">
            <x v="4"/>
          </reference>
          <reference field="12">
            <x v="0"/>
            <x v="2"/>
            <x v="6"/>
            <x v="12"/>
          </reference>
        </references>
      </pivotArea>
    </format>
    <format action="formatting" dxfId="241">
      <pivotArea type="normal" dataOnly="0" labelOnly="1" outline="1" fieldPosition="0">
        <references count="2">
          <reference field="3" selected="0">
            <x v="5"/>
          </reference>
          <reference field="12">
            <x v="17"/>
          </reference>
        </references>
      </pivotArea>
    </format>
    <format action="formatting" dxfId="240">
      <pivotArea type="normal" dataOnly="0" labelOnly="1" outline="0" fieldPosition="0">
        <references count="1">
          <reference field="4294967294">
            <x v="1"/>
          </reference>
        </references>
      </pivotArea>
    </format>
    <format action="formatting" dxfId="239">
      <pivotArea type="normal" dataOnly="1" outline="0" collapsedLevelsAreSubtotals="1" fieldPosition="0"/>
    </format>
    <format action="formatting" dxfId="238">
      <pivotArea type="normal" dataOnly="0" labelOnly="1" grandRow="1" outline="0" offset="IV256" fieldPosition="0"/>
    </format>
    <format action="formatting" dxfId="237">
      <pivotArea type="normal" dataOnly="0" labelOnly="1" outline="0" fieldPosition="0">
        <references count="2">
          <reference field="3" selected="0">
            <x v="0"/>
          </reference>
          <reference field="12">
            <x v="13"/>
          </reference>
        </references>
      </pivotArea>
    </format>
    <format action="formatting" dxfId="236">
      <pivotArea type="normal" dataOnly="0" labelOnly="1" outline="0" fieldPosition="0">
        <references count="2">
          <reference field="3" selected="0">
            <x v="1"/>
          </reference>
          <reference field="12">
            <x v="7"/>
          </reference>
        </references>
      </pivotArea>
    </format>
    <format action="formatting" dxfId="235">
      <pivotArea type="normal" dataOnly="0" labelOnly="1" outline="0" fieldPosition="0">
        <references count="2">
          <reference field="3" selected="0">
            <x v="2"/>
          </reference>
          <reference field="12">
            <x v="8"/>
          </reference>
        </references>
      </pivotArea>
    </format>
    <format action="formatting" dxfId="234">
      <pivotArea type="normal" dataOnly="0" labelOnly="1" outline="0" fieldPosition="0">
        <references count="2">
          <reference field="3" selected="0">
            <x v="3"/>
          </reference>
          <reference field="12">
            <x v="14"/>
          </reference>
        </references>
      </pivotArea>
    </format>
    <format action="formatting" dxfId="233">
      <pivotArea type="normal" dataOnly="0" labelOnly="1" outline="0" fieldPosition="0">
        <references count="2">
          <reference field="3" selected="0">
            <x v="4"/>
          </reference>
          <reference field="12">
            <x v="2"/>
          </reference>
        </references>
      </pivotArea>
    </format>
    <format action="formatting" dxfId="232">
      <pivotArea type="normal" dataOnly="1" grandRow="1" grandCol="1" outline="0" fieldPosition="0">
        <references count="1">
          <reference field="4294967294" selected="0">
            <x v="1"/>
          </reference>
        </references>
      </pivotArea>
    </format>
    <format action="formatting" dxfId="231">
      <pivotArea field="8" type="normal" dataOnly="1" grandRow="1" outline="0" axis="axisCol" fieldPosition="0">
        <references count="2">
          <reference field="4294967294" selected="0">
            <x v="1"/>
          </reference>
          <reference field="8" selected="0">
            <x v="1"/>
          </reference>
        </references>
      </pivotArea>
    </format>
    <format action="formatting">
      <pivotArea field="8" type="normal" dataOnly="1" grandRow="1" outline="0" axis="axisCol" fieldPosition="0">
        <references count="2">
          <reference field="4294967294" selected="0">
            <x v="0"/>
          </reference>
          <reference field="8" selected="0">
            <x v="1"/>
          </reference>
        </references>
      </pivotArea>
    </format>
    <format action="formatting" dxfId="230">
      <pivotArea type="normal" dataOnly="1" grandRow="1" grandCol="1" outline="0" fieldPosition="0">
        <references count="1">
          <reference field="4294967294" selected="0">
            <x v="0"/>
          </reference>
        </references>
      </pivotArea>
    </format>
    <format action="formatting" dxfId="229">
      <pivotArea type="normal" dataOnly="0" labelOnly="1" outline="0" fieldPosition="0">
        <references count="1">
          <reference field="3">
            <x v="0"/>
            <x v="1"/>
            <x v="2"/>
            <x v="3"/>
            <x v="4"/>
          </reference>
        </references>
      </pivotArea>
    </format>
    <format action="formatting">
      <pivotArea type="origin" dataOnly="0" labelOnly="1" outline="0" fieldPosition="0"/>
    </format>
    <format action="formatting">
      <pivotArea type="topRight" dataOnly="0" labelOnly="1" outline="0" fieldPosition="0"/>
    </format>
    <format action="formatting">
      <pivotArea field="3" type="button" dataOnly="0" labelOnly="1" outline="0" axis="axisRow" fieldPosition="0"/>
    </format>
    <format action="formatting">
      <pivotArea field="12" type="button" dataOnly="0" labelOnly="1" outline="0" axis="axisRow" fieldPosition="1"/>
    </format>
    <format action="formatting">
      <pivotArea type="normal" dataOnly="0" labelOnly="1" outline="0" fieldPosition="0">
        <references count="1">
          <reference field="8">
            <x v="1"/>
          </reference>
        </references>
      </pivotArea>
    </format>
    <format action="formatting">
      <pivotArea field="8" type="normal" dataOnly="0" labelOnly="1" grandCol="1" outline="0" axis="axisCol" fieldPosition="0">
        <references count="1">
          <reference field="4294967294" selected="0">
            <x v="0"/>
          </reference>
        </references>
      </pivotArea>
    </format>
    <format action="formatting">
      <pivotArea field="8" type="normal" dataOnly="0" labelOnly="1" grandCol="1" outline="0" axis="axisCol" fieldPosition="0">
        <references count="1">
          <reference field="4294967294" selected="0">
            <x v="1"/>
          </reference>
        </references>
      </pivotArea>
    </format>
    <format action="formatting">
      <pivotArea type="normal" dataOnly="0" labelOnly="1" outline="0" fieldPosition="0">
        <references count="2">
          <reference field="4294967294">
            <x v="0"/>
            <x v="1"/>
          </reference>
          <reference field="8" selected="0">
            <x v="1"/>
          </reference>
        </references>
      </pivotArea>
    </format>
    <format action="formatting" dxfId="228">
      <pivotArea type="normal" dataOnly="0" labelOnly="1" outline="0" fieldPosition="0">
        <references count="1">
          <reference field="3">
            <x v="0"/>
            <x v="1"/>
            <x v="2"/>
            <x v="3"/>
            <x v="4"/>
          </reference>
        </references>
      </pivotArea>
    </format>
    <format action="formatting" dxfId="227">
      <pivotArea field="8" type="button" dataOnly="0" labelOnly="1" outline="0" axis="axisCol" fieldPosition="0"/>
    </format>
    <format action="formatting" dxfId="226">
      <pivotArea field="-2" type="button" dataOnly="0" labelOnly="1" outline="0" axis="axisCol" fieldPosition="1"/>
    </format>
    <format action="formatting" dxfId="225">
      <pivotArea field="8" type="button" dataOnly="0" labelOnly="1" outline="0" axis="axisCol" fieldPosition="0"/>
    </format>
    <format action="formatting" dxfId="224">
      <pivotArea field="-2" type="button" dataOnly="0" labelOnly="1" outline="0" axis="axisCol" fieldPosition="1"/>
    </format>
    <format action="formatting" dxfId="223">
      <pivotArea type="normal" dataOnly="0" labelOnly="1" grandRow="1" outline="0" offset="A256" fieldPosition="0"/>
    </format>
    <format action="formatting" dxfId="222">
      <pivotArea field="12" type="normal" dataOnly="1" grandCol="1" outline="0" axis="axisRow" fieldPosition="1">
        <references count="3">
          <reference field="4294967294" selected="0">
            <x v="0"/>
            <x v="1"/>
          </reference>
          <reference field="3" selected="0">
            <x v="2"/>
          </reference>
          <reference field="12" selected="0">
            <x v="18"/>
          </reference>
        </references>
      </pivotArea>
    </format>
    <format action="formatting" dxfId="221">
      <pivotArea type="normal" dataOnly="1" outline="0" fieldPosition="0">
        <references count="4">
          <reference field="4294967294" selected="0">
            <x v="1"/>
          </reference>
          <reference field="3" selected="0">
            <x v="2"/>
          </reference>
          <reference field="8" selected="0">
            <x v="1"/>
          </reference>
          <reference field="12" selected="0">
            <x v="18"/>
          </reference>
        </references>
      </pivotArea>
    </format>
    <format action="formatting" dxfId="220">
      <pivotArea field="12" type="normal" dataOnly="1" grandCol="1" outline="0" axis="axisRow" fieldPosition="1">
        <references count="3">
          <reference field="4294967294" selected="0">
            <x v="1"/>
          </reference>
          <reference field="3" selected="0">
            <x v="2"/>
          </reference>
          <reference field="12" selected="0">
            <x v="18"/>
          </reference>
        </references>
      </pivotArea>
    </format>
    <format action="formatting" dxfId="219">
      <pivotArea field="12" type="normal" dataOnly="1" grandCol="1" outline="0" axis="axisRow" fieldPosition="1">
        <references count="3">
          <reference field="4294967294" selected="0">
            <x v="0"/>
          </reference>
          <reference field="3" selected="0">
            <x v="2"/>
          </reference>
          <reference field="12" selected="0">
            <x v="18"/>
          </reference>
        </references>
      </pivotArea>
    </format>
    <format action="formatting" dxfId="218">
      <pivotArea type="normal" dataOnly="0" labelOnly="1" outline="0" fieldPosition="0">
        <references count="1">
          <reference field="8">
            <x v="1"/>
          </reference>
        </references>
      </pivotArea>
    </format>
    <format action="formatting" dxfId="217">
      <pivotArea field="8" type="normal" dataOnly="0" labelOnly="1" grandCol="1" outline="0" axis="axisCol" fieldPosition="0">
        <references count="1">
          <reference field="4294967294" selected="0">
            <x v="0"/>
          </reference>
        </references>
      </pivotArea>
    </format>
    <format action="formatting" dxfId="216">
      <pivotArea field="8" type="normal" dataOnly="0" labelOnly="1" grandCol="1" outline="0" axis="axisCol" fieldPosition="0">
        <references count="1">
          <reference field="4294967294" selected="0">
            <x v="1"/>
          </reference>
        </references>
      </pivotArea>
    </format>
    <format action="formatting" dxfId="215">
      <pivotArea type="normal" dataOnly="0" labelOnly="1" outline="0" fieldPosition="0">
        <references count="2">
          <reference field="4294967294">
            <x v="0"/>
            <x v="1"/>
          </reference>
          <reference field="8" selected="0">
            <x v="1"/>
          </reference>
        </references>
      </pivotArea>
    </format>
    <format action="formatting" dxfId="214">
      <pivotArea field="3" type="button" dataOnly="0" labelOnly="1" outline="0" axis="axisRow" fieldPosition="0"/>
    </format>
    <format action="formatting" dxfId="213">
      <pivotArea field="12" type="button" dataOnly="0" labelOnly="1" outline="0" axis="axisRow" fieldPosition="1"/>
    </format>
    <format action="formatting" dxfId="212">
      <pivotArea field="12" type="normal" dataOnly="1" grandCol="1" outline="0" axis="axisRow" fieldPosition="1">
        <references count="3">
          <reference field="4294967294" selected="0">
            <x v="1"/>
          </reference>
          <reference field="3" selected="0">
            <x v="0"/>
            <x v="1"/>
            <x v="2"/>
            <x v="3"/>
            <x v="4"/>
          </reference>
          <reference field="12" selected="0">
            <x v="2"/>
            <x v="7"/>
            <x v="8"/>
            <x v="13"/>
            <x v="14"/>
            <x v="18"/>
          </reference>
        </references>
      </pivotArea>
    </format>
    <format action="formatting" dxfId="211">
      <pivotArea type="origin" dataOnly="0" labelOnly="1" outline="0" fieldPosition="0"/>
    </format>
    <format action="formatting" dxfId="210">
      <pivotArea field="8" type="button" dataOnly="0" labelOnly="1" outline="0" axis="axisCol" fieldPosition="0"/>
    </format>
    <format action="formatting" dxfId="209">
      <pivotArea field="-2" type="button" dataOnly="0" labelOnly="1" outline="0" axis="axisCol" fieldPosition="1"/>
    </format>
    <format action="formatting" dxfId="208">
      <pivotArea type="topRight" dataOnly="0" labelOnly="1" outline="0" fieldPosition="0"/>
    </format>
    <format action="formatting" dxfId="207">
      <pivotArea field="3" type="button" dataOnly="0" labelOnly="1" outline="0" axis="axisRow" fieldPosition="0"/>
    </format>
    <format action="formatting" dxfId="206">
      <pivotArea field="12" type="button" dataOnly="0" labelOnly="1" outline="0" axis="axisRow" fieldPosition="1"/>
    </format>
    <format action="formatting" dxfId="205">
      <pivotArea type="normal" dataOnly="0" labelOnly="1" outline="0" fieldPosition="0">
        <references count="1">
          <reference field="8">
            <x v="1"/>
            <x v="2"/>
          </reference>
        </references>
      </pivotArea>
    </format>
    <format action="formatting" dxfId="204">
      <pivotArea field="8" type="normal" dataOnly="0" labelOnly="1" grandCol="1" outline="0" axis="axisCol" fieldPosition="0">
        <references count="1">
          <reference field="4294967294" selected="0">
            <x v="0"/>
          </reference>
        </references>
      </pivotArea>
    </format>
    <format action="formatting" dxfId="203">
      <pivotArea field="8" type="normal" dataOnly="0" labelOnly="1" grandCol="1" outline="0" axis="axisCol" fieldPosition="0">
        <references count="1">
          <reference field="4294967294" selected="0">
            <x v="1"/>
          </reference>
        </references>
      </pivotArea>
    </format>
    <format action="formatting" dxfId="202">
      <pivotArea type="normal" dataOnly="0" labelOnly="1" outline="0" fieldPosition="0">
        <references count="2">
          <reference field="4294967294">
            <x v="0"/>
            <x v="1"/>
          </reference>
          <reference field="8" selected="0">
            <x v="1"/>
          </reference>
        </references>
      </pivotArea>
    </format>
    <format action="formatting" dxfId="201">
      <pivotArea type="normal" dataOnly="0" labelOnly="1" outline="0" fieldPosition="0">
        <references count="2">
          <reference field="4294967294">
            <x v="0"/>
            <x v="1"/>
          </reference>
          <reference field="8" selected="0">
            <x v="2"/>
          </reference>
        </references>
      </pivotArea>
    </format>
    <format action="formatting" dxfId="200">
      <pivotArea type="normal" dataOnly="1" grandRow="1" outline="0" collapsedLevelsAreSubtotals="1" fieldPosition="0"/>
    </format>
    <format action="formatting" dxfId="199">
      <pivotArea type="normal" dataOnly="0" labelOnly="1" grandRow="1" outline="0" fieldPosition="0"/>
    </format>
    <format action="formatting" dxfId="198">
      <pivotArea type="normal" dataOnly="1" grandRow="1" outline="0" collapsedLevelsAreSubtotals="1" fieldPosition="0"/>
    </format>
    <format action="formatting" dxfId="197">
      <pivotArea type="normal" dataOnly="0" labelOnly="1" grandRow="1" outline="0" fieldPosition="0"/>
    </format>
    <format action="formatting" dxfId="196">
      <pivotArea type="normal" dataOnly="0" outline="0" fieldPosition="0">
        <references count="4">
          <reference field="4294967294" defaultSubtotal="1" sumSubtotal="1" countASubtotal="1" avgSubtotal="1" maxSubtotal="1" minSubtotal="1" productSubtotal="1" countSubtotal="1" stdDevSubtotal="1" stdDevPSubtotal="1" varSubtotal="1" varPSubtotal="1"/>
          <reference field="8">
            <x v="2"/>
          </reference>
          <reference field="9" selected="0">
            <x v="1"/>
          </reference>
          <reference field="10" selected="0">
            <x v="0"/>
          </reference>
        </references>
      </pivotArea>
    </format>
    <format action="formatting" dxfId="195">
      <pivotArea type="normal" dataOnly="0" outline="0" fieldPosition="0">
        <references count="4">
          <reference field="4294967294" defaultSubtotal="1" sumSubtotal="1" countASubtotal="1" avgSubtotal="1" maxSubtotal="1" minSubtotal="1" productSubtotal="1" countSubtotal="1" stdDevSubtotal="1" stdDevPSubtotal="1" varSubtotal="1" varPSubtotal="1"/>
          <reference field="8">
            <x v="2"/>
          </reference>
          <reference field="9" selected="0">
            <x v="1"/>
          </reference>
          <reference field="10" selected="0">
            <x v="0"/>
          </reference>
        </references>
      </pivotArea>
    </format>
    <format action="formatting" dxfId="194">
      <pivotArea type="normal" dataOnly="1" grandRow="1" outline="0" collapsedLevelsAreSubtotals="1" fieldPosition="0"/>
    </format>
    <format action="formatting" dxfId="193">
      <pivotArea type="normal" dataOnly="0" labelOnly="1" grandRow="1" outline="0" fieldPosition="0"/>
    </format>
    <format action="formatting" dxfId="192">
      <pivotArea type="normal" dataOnly="1" outline="0" fieldPosition="0">
        <references count="2">
          <reference field="3" selected="0">
            <x v="0"/>
            <x v="1"/>
            <x v="2"/>
            <x v="4"/>
          </reference>
          <reference field="12" selected="0">
            <x v="2"/>
            <x v="7"/>
            <x v="8"/>
            <x v="13"/>
            <x v="18"/>
          </reference>
        </references>
      </pivotArea>
    </format>
    <format action="formatting" dxfId="191">
      <pivotArea type="normal" dataOnly="0" labelOnly="1" outline="0" fieldPosition="0">
        <references count="2">
          <reference field="3" selected="0">
            <x v="0"/>
          </reference>
          <reference field="12">
            <x v="13"/>
          </reference>
        </references>
      </pivotArea>
    </format>
    <format action="formatting" dxfId="190">
      <pivotArea type="normal" dataOnly="0" labelOnly="1" outline="0" fieldPosition="0">
        <references count="2">
          <reference field="3" selected="0">
            <x v="1"/>
          </reference>
          <reference field="12">
            <x v="7"/>
          </reference>
        </references>
      </pivotArea>
    </format>
    <format action="formatting" dxfId="189">
      <pivotArea type="normal" dataOnly="0" labelOnly="1" outline="0" fieldPosition="0">
        <references count="2">
          <reference field="3" selected="0">
            <x v="2"/>
          </reference>
          <reference field="12">
            <x v="8"/>
            <x v="18"/>
          </reference>
        </references>
      </pivotArea>
    </format>
    <format action="formatting" dxfId="188">
      <pivotArea type="normal" dataOnly="0" labelOnly="1" outline="0" fieldPosition="0">
        <references count="2">
          <reference field="3" selected="0">
            <x v="4"/>
          </reference>
          <reference field="12">
            <x v="2"/>
          </reference>
        </references>
      </pivotArea>
    </format>
    <format action="formatting" dxfId="187">
      <pivotArea type="normal" dataOnly="1" grandRow="1" outline="0" collapsedLevelsAreSubtotals="1" fieldPosition="0"/>
    </format>
    <format action="formatting" dxfId="186">
      <pivotArea type="normal" dataOnly="0" labelOnly="1" grandRow="1" outline="0" fieldPosition="0"/>
    </format>
    <format action="formatting" dxfId="185">
      <pivotArea type="origin" dataOnly="0" labelOnly="1" outline="0" fieldPosition="0"/>
    </format>
    <format action="formatting" dxfId="184">
      <pivotArea field="8" type="button" dataOnly="0" labelOnly="1" outline="0" axis="axisCol" fieldPosition="0"/>
    </format>
    <format action="formatting" dxfId="183">
      <pivotArea field="-2" type="button" dataOnly="0" labelOnly="1" outline="0" axis="axisCol" fieldPosition="1"/>
    </format>
    <format action="formatting" dxfId="182">
      <pivotArea type="topRight" dataOnly="0" labelOnly="1" outline="0" fieldPosition="0"/>
    </format>
    <format action="formatting" dxfId="181">
      <pivotArea field="3" type="button" dataOnly="0" labelOnly="1" outline="0" axis="axisRow" fieldPosition="0"/>
    </format>
    <format action="formatting" dxfId="180">
      <pivotArea field="12" type="button" dataOnly="0" labelOnly="1" outline="0" axis="axisRow" fieldPosition="1"/>
    </format>
    <format action="formatting" dxfId="179">
      <pivotArea type="normal" dataOnly="0" labelOnly="1" outline="0" fieldPosition="0">
        <references count="1">
          <reference field="8">
            <x v="1"/>
            <x v="2"/>
          </reference>
        </references>
      </pivotArea>
    </format>
    <format action="formatting" dxfId="178">
      <pivotArea field="8" type="normal" dataOnly="0" labelOnly="1" grandCol="1" outline="0" axis="axisCol" fieldPosition="0">
        <references count="1">
          <reference field="4294967294" selected="0">
            <x v="0"/>
          </reference>
        </references>
      </pivotArea>
    </format>
    <format action="formatting" dxfId="177">
      <pivotArea field="8" type="normal" dataOnly="0" labelOnly="1" grandCol="1" outline="0" axis="axisCol" fieldPosition="0">
        <references count="1">
          <reference field="4294967294" selected="0">
            <x v="1"/>
          </reference>
        </references>
      </pivotArea>
    </format>
    <format action="formatting" dxfId="176">
      <pivotArea type="normal" dataOnly="0" labelOnly="1" outline="0" fieldPosition="0">
        <references count="2">
          <reference field="4294967294">
            <x v="0"/>
            <x v="1"/>
          </reference>
          <reference field="8" selected="0">
            <x v="1"/>
          </reference>
        </references>
      </pivotArea>
    </format>
    <format action="formatting" dxfId="175">
      <pivotArea type="normal" dataOnly="0" labelOnly="1" outline="0" fieldPosition="0">
        <references count="2">
          <reference field="4294967294">
            <x v="0"/>
            <x v="1"/>
          </reference>
          <reference field="8" selected="0">
            <x v="2"/>
          </reference>
        </references>
      </pivotArea>
    </format>
    <format action="formatting" dxfId="174">
      <pivotArea field="8" type="normal" dataOnly="1" grandRow="1" outline="0" axis="axisCol" fieldPosition="0">
        <references count="2">
          <reference field="4294967294" selected="0">
            <x v="1"/>
          </reference>
          <reference field="8" selected="0">
            <x v="2"/>
          </reference>
        </references>
      </pivotArea>
    </format>
    <format action="formatting" dxfId="173">
      <pivotArea type="normal" dataOnly="1" outline="0" fieldPosition="0">
        <references count="4">
          <reference field="4294967294" selected="0">
            <x v="1"/>
          </reference>
          <reference field="3" selected="0">
            <x v="2"/>
          </reference>
          <reference field="8" selected="0">
            <x v="2"/>
          </reference>
          <reference field="12" selected="0">
            <x v="18"/>
          </reference>
        </references>
      </pivotArea>
    </format>
    <format action="formatting" dxfId="172">
      <pivotArea type="normal" dataOnly="1" outline="0" fieldPosition="0">
        <references count="4">
          <reference field="4294967294" selected="0">
            <x v="1"/>
          </reference>
          <reference field="3" selected="0">
            <x v="0"/>
            <x v="1"/>
            <x v="2"/>
            <x v="4"/>
          </reference>
          <reference field="8" selected="0">
            <x v="1"/>
          </reference>
          <reference field="12" selected="0">
            <x v="2"/>
            <x v="7"/>
            <x v="8"/>
            <x v="13"/>
            <x v="18"/>
          </reference>
        </references>
      </pivotArea>
    </format>
    <format action="formatting" dxfId="171">
      <pivotArea type="normal" dataOnly="1" outline="0" fieldPosition="0">
        <references count="4">
          <reference field="4294967294" selected="0">
            <x v="1"/>
          </reference>
          <reference field="3" selected="0">
            <x v="3"/>
          </reference>
          <reference field="8" selected="0">
            <x v="1"/>
          </reference>
          <reference field="12" selected="0">
            <x v="24"/>
          </reference>
        </references>
      </pivotArea>
    </format>
    <format action="formatting" dxfId="170">
      <pivotArea field="12" type="normal" dataOnly="1" grandCol="1" outline="0" axis="axisRow" fieldPosition="1">
        <references count="3">
          <reference field="4294967294" selected="0">
            <x v="0"/>
            <x v="1"/>
          </reference>
          <reference field="3" selected="0">
            <x v="3"/>
          </reference>
          <reference field="12" selected="0">
            <x v="24"/>
          </reference>
        </references>
      </pivotArea>
    </format>
    <format action="formatting" dxfId="169">
      <pivotArea field="12" type="normal" dataOnly="1" grandCol="1" outline="0" axis="axisRow" fieldPosition="1">
        <references count="3">
          <reference field="4294967294" selected="0">
            <x v="0"/>
          </reference>
          <reference field="3" selected="0">
            <x v="3"/>
          </reference>
          <reference field="12" selected="0">
            <x v="24"/>
          </reference>
        </references>
      </pivotArea>
    </format>
  </formats>
  <pivotTableStyleInfo name="PivotStyleDark7" showRowHeaders="1" showColHeaders="1" showRowStripes="0" showColStripes="0" showLastColumn="1"/>
</pivotTableDefinition>
</file>

<file path=xl/pivotTables/pivotTable5.xml><?xml version="1.0" encoding="utf-8"?>
<pivotTableDefinition xmlns:r="http://schemas.openxmlformats.org/officeDocument/2006/relationships" xmlns="http://schemas.openxmlformats.org/spreadsheetml/2006/main" name="PivotTable2" cacheId="0" dataOnRows="0" dataCaption="Values" showError="0" missingCaption="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0" rowHeaderCaption="Timepieces Requested" fieldListSortAscending="0" mdxSubqueries="0" applyNumberFormats="0" applyBorderFormats="0" applyFontFormats="0" applyPatternFormats="0" applyAlignmentFormats="0" applyWidthHeightFormats="1" r:id="rId1">
  <location ref="B25:I33" firstHeaderRow="1" firstDataRow="3" firstDataCol="2" rowPageCount="1" colPageCount="1"/>
  <pivotFields count="38">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axis="axisRow" showDropDowns="1" compact="0" outline="0" subtotalTop="1" dragToRow="1" dragToCol="1" dragToPage="1" dragToData="1" dragOff="1" showAll="0" topAutoShow="1" itemPageCount="10" sortType="manual" defaultSubtotal="0">
      <items count="6">
        <item t="data" sd="1" x="0"/>
        <item t="data" sd="1" x="1"/>
        <item t="data" sd="1" x="4"/>
        <item t="data" sd="1" x="3"/>
        <item t="data" sd="1" x="2"/>
        <item t="data" sd="1" x="5"/>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axis="axisCol" showDropDowns="1" compact="0" outline="0" subtotalTop="1" dragToRow="1" dragToCol="1" dragToPage="1" dragToData="1" dragOff="1" showAll="0" topAutoShow="1" itemPageCount="10" sortType="manual" defaultSubtotal="0">
      <items count="5">
        <item t="data" sd="1" x="2"/>
        <item t="data" sd="1" x="0"/>
        <item t="data" sd="1" x="1"/>
        <item t="data" sd="1" x="3"/>
        <item t="data" sd="1" x="4"/>
      </items>
    </pivotField>
    <pivotField showDropDowns="1" compact="0" outline="0" subtotalTop="1" dragToRow="1" dragToCol="1" dragToPage="1" dragToData="1" dragOff="1" showAll="0" topAutoShow="1" itemPageCount="10" sortType="manual" defaultSubtotal="0"/>
    <pivotField axis="axisPage" showDropDowns="1" compact="0" outline="0" subtotalTop="1" dragToRow="1" dragToCol="1" multipleItemSelectionAllowed="1" dragToPage="1" dragToData="1" dragOff="1" showAll="0" topAutoShow="1" itemPageCount="10" sortType="manual" defaultSubtotal="0">
      <items count="7">
        <item t="data" sd="1" x="1"/>
        <item t="data" h="1" sd="1" x="2"/>
        <item t="data" h="1" sd="1" x="4"/>
        <item t="data" h="1" sd="1" x="6"/>
        <item t="data" h="1" sd="1" x="5"/>
        <item t="data" h="1" sd="1" x="0"/>
        <item t="data" h="1" sd="1" x="3"/>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axis="axisRow" showDropDowns="1" compact="0" outline="0" subtotalTop="1" dragToRow="1" dragToCol="1" dragToPage="1" dragToData="1" dragOff="1" showAll="0" topAutoShow="1" itemPageCount="10" sortType="descending" defaultSubtotal="0">
      <items count="22">
        <item t="data" h="1" sd="1" x="16"/>
        <item t="data" sd="1" m="1" x="21"/>
        <item t="data" sd="1" x="14"/>
        <item t="data" sd="1" x="3"/>
        <item t="data" sd="1" x="2"/>
        <item t="data" sd="1" x="9"/>
        <item t="data" sd="1" x="1"/>
        <item t="data" sd="1" x="12"/>
        <item t="data" sd="1" x="0"/>
        <item t="data" sd="1" x="10"/>
        <item t="data" sd="1" x="8"/>
        <item t="data" sd="1" m="1" x="19"/>
        <item t="data" sd="1" x="5"/>
        <item t="data" sd="1" x="4"/>
        <item t="data" sd="1" x="13"/>
        <item t="data" sd="1" m="1" x="20"/>
        <item t="data" h="1" sd="1" x="17"/>
        <item t="data" sd="1" x="7"/>
        <item t="data" sd="1" x="11"/>
        <item t="data" h="1" sd="1" x="15"/>
        <item t="data" h="1" sd="1" x="6"/>
        <item t="data" h="1" sd="1" x="18"/>
      </items>
      <autoSortScope>
        <pivotArea type="normal" dataOnly="0" outline="0" fieldPosition="0">
          <references count="1">
            <reference field="4294967294" selected="0">
              <x v="0"/>
            </reference>
          </references>
        </pivotArea>
      </autoSortScope>
    </pivotField>
    <pivotField showDropDowns="1" compact="0" outline="0" subtotalTop="1" dragToRow="1" dragToCol="1" dragToPage="1" dragToData="1" dragOff="1" showAll="0" topAutoShow="1" itemPageCount="10" sortType="manual" defaultSubtotal="0"/>
    <pivotField dataField="1" showDropDowns="1" compact="0" outline="0" subtotalTop="1" dragToRow="1" dragToCol="1" dragToPage="1" dragToData="1" dragOff="1" showAll="0" topAutoShow="1" itemPageCount="10" sortType="manual" defaultSubtotal="0"/>
    <pivotField dataField="1"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0"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0" dragToRow="1" dragToCol="1" dragToPage="1" dragToData="1" dragOff="1" showAll="0" topAutoShow="1" itemPageCount="10" sortType="manual" defaultSubtotal="0"/>
  </pivotFields>
  <rowFields count="2">
    <field x="3"/>
    <field x="13"/>
  </rowFields>
  <rowItems count="6">
    <i t="data" r="0" i="0">
      <x v="0"/>
      <x v="10"/>
    </i>
    <i t="data" r="1" i="0">
      <x v="6"/>
    </i>
    <i t="data" r="0" i="0">
      <x v="2"/>
      <x v="3"/>
    </i>
    <i t="data" r="1" i="0">
      <x v="10"/>
    </i>
    <i t="data" r="1" i="0">
      <x v="9"/>
    </i>
    <i t="grand" r="0" i="0">
      <x v="0"/>
    </i>
  </rowItems>
  <colFields count="2">
    <field x="-2"/>
    <field x="7"/>
  </colFields>
  <colItems count="6">
    <i t="data" r="0" i="0">
      <x v="0"/>
      <x v="1"/>
    </i>
    <i t="data" r="1" i="0">
      <x v="2"/>
    </i>
    <i t="data" r="0" i="1">
      <x v="1"/>
      <x v="1"/>
    </i>
    <i t="data" r="1" i="1">
      <x v="2"/>
    </i>
    <i t="grand" r="0" i="0">
      <x v="0"/>
    </i>
    <i t="grand" r="0" i="1">
      <x v="0"/>
    </i>
  </colItems>
  <pageFields count="1">
    <pageField fld="9" hier="-1"/>
  </pageFields>
  <dataFields count="2">
    <dataField name="Count of Client ID" fld="16" subtotal="count" showDataAs="normal" baseField="13" baseItem="13"/>
    <dataField name="Amount" fld="15" subtotal="sum" showDataAs="normal" baseField="7" baseItem="1"/>
  </dataFields>
  <formats count="90">
    <format action="formatting" dxfId="168">
      <pivotArea type="normal" dataOnly="0" labelOnly="1" outline="1" fieldPosition="0">
        <references count="1">
          <reference field="13"/>
        </references>
      </pivotArea>
    </format>
    <format action="formatting" dxfId="167">
      <pivotArea type="normal" dataOnly="0" labelOnly="1" outline="1" fieldPosition="0">
        <references count="1">
          <reference field="13"/>
        </references>
      </pivotArea>
    </format>
    <format action="formatting" dxfId="166">
      <pivotArea type="all" dataOnly="0" outline="0" fieldPosition="0"/>
    </format>
    <format action="formatting" dxfId="165">
      <pivotArea type="normal" dataOnly="1" outline="0" collapsedLevelsAreSubtotals="1" fieldPosition="0"/>
    </format>
    <format action="formatting" dxfId="164">
      <pivotArea field="13" type="button" dataOnly="0" labelOnly="1" outline="0" axis="axisRow" fieldPosition="1"/>
    </format>
    <format action="formatting" dxfId="163">
      <pivotArea type="normal" dataOnly="0" labelOnly="1" outline="1" fieldPosition="0">
        <references count="1">
          <reference field="13"/>
        </references>
      </pivotArea>
    </format>
    <format action="formatting" dxfId="162">
      <pivotArea type="normal" dataOnly="0" labelOnly="1" grandRow="1" outline="0" fieldPosition="0"/>
    </format>
    <format action="formatting" dxfId="161">
      <pivotArea type="normal" dataOnly="0" labelOnly="1" outline="0" axis="axisValues" fieldPosition="0"/>
    </format>
    <format action="formatting" dxfId="160">
      <pivotArea type="all" dataOnly="0" outline="0" fieldPosition="0"/>
    </format>
    <format action="formatting" dxfId="159">
      <pivotArea field="13" type="button" dataOnly="0" labelOnly="1" outline="0" axis="axisRow" fieldPosition="1"/>
    </format>
    <format action="formatting" dxfId="158">
      <pivotArea type="normal" dataOnly="0" labelOnly="1" outline="1" fieldPosition="0">
        <references count="1">
          <reference field="13"/>
        </references>
      </pivotArea>
    </format>
    <format action="formatting" dxfId="157">
      <pivotArea type="normal" dataOnly="0" labelOnly="1" outline="0" axis="axisValues" fieldPosition="0"/>
    </format>
    <format action="formatting" dxfId="156">
      <pivotArea type="all" dataOnly="0" outline="0" fieldPosition="0"/>
    </format>
    <format action="formatting" dxfId="155">
      <pivotArea field="13" type="button" dataOnly="0" labelOnly="1" outline="0" axis="axisRow" fieldPosition="1"/>
    </format>
    <format action="formatting" dxfId="154">
      <pivotArea type="normal" dataOnly="0" labelOnly="1" outline="1" fieldPosition="0">
        <references count="1">
          <reference field="13"/>
        </references>
      </pivotArea>
    </format>
    <format action="formatting" dxfId="153">
      <pivotArea type="normal" dataOnly="0" labelOnly="1" outline="0" axis="axisValues" fieldPosition="0"/>
    </format>
    <format action="formatting" dxfId="152">
      <pivotArea type="normal" dataOnly="0" labelOnly="1" outline="0" axis="axisValues" fieldPosition="0"/>
    </format>
    <format action="formatting" dxfId="151">
      <pivotArea type="normal" dataOnly="1" outline="1" collapsedLevelsAreSubtotals="1" fieldPosition="0">
        <references count="1">
          <reference field="13"/>
        </references>
      </pivotArea>
    </format>
    <format action="formatting" dxfId="150">
      <pivotArea type="origin" dataOnly="0" labelOnly="1" outline="0" fieldPosition="0"/>
    </format>
    <format action="formatting" dxfId="149">
      <pivotArea field="13" type="button" dataOnly="0" labelOnly="1" outline="0" axis="axisRow" fieldPosition="1"/>
    </format>
    <format action="formatting" dxfId="148">
      <pivotArea type="normal" dataOnly="1" outline="0" fieldPosition="0">
        <references count="4">
          <reference field="4294967294" selected="0">
            <x v="1"/>
          </reference>
          <reference field="3" selected="0">
            <x v="0"/>
            <x v="2"/>
            <x v="3"/>
            <x v="4"/>
          </reference>
          <reference field="7" selected="0">
            <x v="1"/>
            <x v="2"/>
          </reference>
          <reference field="13" selected="0">
            <x v="3"/>
            <x v="6"/>
            <x v="7"/>
            <x v="9"/>
            <x v="10"/>
            <x v="11"/>
            <x v="17"/>
          </reference>
        </references>
      </pivotArea>
    </format>
    <format action="formatting" dxfId="147">
      <pivotArea type="normal" dataOnly="1" outline="0" fieldPosition="0">
        <references count="4">
          <reference field="4294967294" selected="0">
            <x v="1"/>
          </reference>
          <reference field="3" selected="0">
            <x v="0"/>
            <x v="2"/>
            <x v="3"/>
            <x v="4"/>
          </reference>
          <reference field="7" selected="0">
            <x v="1"/>
            <x v="2"/>
          </reference>
          <reference field="13" selected="0">
            <x v="3"/>
            <x v="6"/>
            <x v="7"/>
            <x v="9"/>
            <x v="10"/>
            <x v="11"/>
            <x v="17"/>
          </reference>
        </references>
      </pivotArea>
    </format>
    <format action="formatting" dxfId="146">
      <pivotArea field="3" type="normal" dataOnly="1" grandRow="1" outline="0" axis="axisRow" fieldPosition="0">
        <references count="1">
          <reference field="4294967294" selected="0">
            <x v="1"/>
          </reference>
        </references>
      </pivotArea>
    </format>
    <format action="formatting" dxfId="145">
      <pivotArea type="all" dataOnly="0" outline="0" fieldPosition="0"/>
    </format>
    <format action="formatting" dxfId="144">
      <pivotArea type="normal" dataOnly="1" outline="0" collapsedLevelsAreSubtotals="1" fieldPosition="0"/>
    </format>
    <format action="formatting" dxfId="143">
      <pivotArea field="3" type="button" dataOnly="0" labelOnly="1" outline="0" axis="axisRow" fieldPosition="0"/>
    </format>
    <format action="formatting" dxfId="142">
      <pivotArea field="13" type="button" dataOnly="0" labelOnly="1" outline="0" axis="axisRow" fieldPosition="1"/>
    </format>
    <format action="formatting" dxfId="141">
      <pivotArea field="7" type="button" dataOnly="0" labelOnly="1" outline="0" axis="axisCol" fieldPosition="1"/>
    </format>
    <format action="formatting" dxfId="140">
      <pivotArea type="normal" dataOnly="0" labelOnly="1" outline="0" fieldPosition="0">
        <references count="1">
          <reference field="3">
            <x v="0"/>
            <x v="2"/>
            <x v="3"/>
            <x v="4"/>
          </reference>
        </references>
      </pivotArea>
    </format>
    <format action="formatting" dxfId="139">
      <pivotArea type="normal" dataOnly="0" labelOnly="1" grandRow="1" outline="0" fieldPosition="0"/>
    </format>
    <format action="formatting" dxfId="138">
      <pivotArea type="normal" dataOnly="0" labelOnly="1" outline="0" fieldPosition="0">
        <references count="2">
          <reference field="3" selected="0">
            <x v="0"/>
          </reference>
          <reference field="13">
            <x v="6"/>
            <x v="10"/>
          </reference>
        </references>
      </pivotArea>
    </format>
    <format action="formatting" dxfId="137">
      <pivotArea type="normal" dataOnly="0" labelOnly="1" outline="0" fieldPosition="0">
        <references count="2">
          <reference field="3" selected="0">
            <x v="2"/>
          </reference>
          <reference field="13">
            <x v="3"/>
            <x v="9"/>
            <x v="10"/>
          </reference>
        </references>
      </pivotArea>
    </format>
    <format action="formatting" dxfId="136">
      <pivotArea type="normal" dataOnly="0" labelOnly="1" outline="0" fieldPosition="0">
        <references count="2">
          <reference field="3" selected="0">
            <x v="3"/>
          </reference>
          <reference field="13">
            <x v="7"/>
            <x v="11"/>
          </reference>
        </references>
      </pivotArea>
    </format>
    <format action="formatting" dxfId="135">
      <pivotArea type="normal" dataOnly="0" labelOnly="1" outline="0" fieldPosition="0">
        <references count="2">
          <reference field="3" selected="0">
            <x v="4"/>
          </reference>
          <reference field="13">
            <x v="17"/>
          </reference>
        </references>
      </pivotArea>
    </format>
    <format action="formatting" dxfId="134">
      <pivotArea type="normal" dataOnly="0" labelOnly="1" outline="0" fieldPosition="0">
        <references count="3">
          <reference field="3" selected="0">
            <x v="0"/>
          </reference>
          <reference field="7">
            <x v="1"/>
          </reference>
          <reference field="13" selected="0">
            <x v="10"/>
          </reference>
        </references>
      </pivotArea>
    </format>
    <format action="formatting" dxfId="133">
      <pivotArea type="normal" dataOnly="0" labelOnly="1" outline="0" fieldPosition="0">
        <references count="3">
          <reference field="3" selected="0">
            <x v="0"/>
          </reference>
          <reference field="7">
            <x v="1"/>
          </reference>
          <reference field="13" selected="0">
            <x v="6"/>
          </reference>
        </references>
      </pivotArea>
    </format>
    <format action="formatting" dxfId="132">
      <pivotArea type="normal" dataOnly="0" labelOnly="1" outline="0" fieldPosition="0">
        <references count="3">
          <reference field="3" selected="0">
            <x v="2"/>
          </reference>
          <reference field="7">
            <x v="2"/>
          </reference>
          <reference field="13" selected="0">
            <x v="3"/>
          </reference>
        </references>
      </pivotArea>
    </format>
    <format action="formatting" dxfId="131">
      <pivotArea type="normal" dataOnly="0" labelOnly="1" outline="0" fieldPosition="0">
        <references count="3">
          <reference field="3" selected="0">
            <x v="2"/>
          </reference>
          <reference field="7">
            <x v="1"/>
          </reference>
          <reference field="13" selected="0">
            <x v="10"/>
          </reference>
        </references>
      </pivotArea>
    </format>
    <format action="formatting" dxfId="130">
      <pivotArea type="normal" dataOnly="0" labelOnly="1" outline="0" fieldPosition="0">
        <references count="3">
          <reference field="3" selected="0">
            <x v="2"/>
          </reference>
          <reference field="7">
            <x v="2"/>
          </reference>
          <reference field="13" selected="0">
            <x v="9"/>
          </reference>
        </references>
      </pivotArea>
    </format>
    <format action="formatting" dxfId="129">
      <pivotArea type="normal" dataOnly="0" labelOnly="1" outline="0" fieldPosition="0">
        <references count="3">
          <reference field="3" selected="0">
            <x v="3"/>
          </reference>
          <reference field="7">
            <x v="1"/>
          </reference>
          <reference field="13" selected="0">
            <x v="7"/>
          </reference>
        </references>
      </pivotArea>
    </format>
    <format action="formatting" dxfId="128">
      <pivotArea type="normal" dataOnly="0" labelOnly="1" outline="0" fieldPosition="0">
        <references count="3">
          <reference field="3" selected="0">
            <x v="3"/>
          </reference>
          <reference field="7">
            <x v="1"/>
          </reference>
          <reference field="13" selected="0">
            <x v="11"/>
          </reference>
        </references>
      </pivotArea>
    </format>
    <format action="formatting" dxfId="127">
      <pivotArea type="normal" dataOnly="0" labelOnly="1" outline="0" fieldPosition="0">
        <references count="3">
          <reference field="3" selected="0">
            <x v="4"/>
          </reference>
          <reference field="7">
            <x v="2"/>
          </reference>
          <reference field="13" selected="0">
            <x v="17"/>
          </reference>
        </references>
      </pivotArea>
    </format>
    <format action="formatting" dxfId="126">
      <pivotArea type="normal" dataOnly="0" labelOnly="1" outline="0" fieldPosition="0">
        <references count="1">
          <reference field="4294967294">
            <x v="0"/>
            <x v="1"/>
          </reference>
        </references>
      </pivotArea>
    </format>
    <format action="formatting" dxfId="125">
      <pivotArea type="all" dataOnly="0" outline="0" fieldPosition="0"/>
    </format>
    <format action="formatting" dxfId="124">
      <pivotArea type="normal" dataOnly="1" outline="0" collapsedLevelsAreSubtotals="1" fieldPosition="0"/>
    </format>
    <format action="formatting" dxfId="123">
      <pivotArea field="3" type="button" dataOnly="0" labelOnly="1" outline="0" axis="axisRow" fieldPosition="0"/>
    </format>
    <format action="formatting" dxfId="122">
      <pivotArea field="13" type="button" dataOnly="0" labelOnly="1" outline="0" axis="axisRow" fieldPosition="1"/>
    </format>
    <format action="formatting" dxfId="121">
      <pivotArea field="7" type="button" dataOnly="0" labelOnly="1" outline="0" axis="axisCol" fieldPosition="1"/>
    </format>
    <format action="formatting" dxfId="120">
      <pivotArea type="normal" dataOnly="0" labelOnly="1" outline="0" fieldPosition="0">
        <references count="1">
          <reference field="3">
            <x v="0"/>
            <x v="2"/>
            <x v="3"/>
            <x v="4"/>
          </reference>
        </references>
      </pivotArea>
    </format>
    <format action="formatting" dxfId="119">
      <pivotArea type="normal" dataOnly="0" labelOnly="1" grandRow="1" outline="0" fieldPosition="0"/>
    </format>
    <format action="formatting" dxfId="118">
      <pivotArea type="normal" dataOnly="0" labelOnly="1" outline="0" fieldPosition="0">
        <references count="2">
          <reference field="3" selected="0">
            <x v="0"/>
          </reference>
          <reference field="13">
            <x v="6"/>
            <x v="10"/>
          </reference>
        </references>
      </pivotArea>
    </format>
    <format action="formatting" dxfId="117">
      <pivotArea type="normal" dataOnly="0" labelOnly="1" outline="0" fieldPosition="0">
        <references count="2">
          <reference field="3" selected="0">
            <x v="2"/>
          </reference>
          <reference field="13">
            <x v="3"/>
            <x v="9"/>
            <x v="10"/>
          </reference>
        </references>
      </pivotArea>
    </format>
    <format action="formatting" dxfId="116">
      <pivotArea type="normal" dataOnly="0" labelOnly="1" outline="0" fieldPosition="0">
        <references count="2">
          <reference field="3" selected="0">
            <x v="3"/>
          </reference>
          <reference field="13">
            <x v="7"/>
            <x v="11"/>
          </reference>
        </references>
      </pivotArea>
    </format>
    <format action="formatting" dxfId="115">
      <pivotArea type="normal" dataOnly="0" labelOnly="1" outline="0" fieldPosition="0">
        <references count="2">
          <reference field="3" selected="0">
            <x v="4"/>
          </reference>
          <reference field="13">
            <x v="17"/>
          </reference>
        </references>
      </pivotArea>
    </format>
    <format action="formatting" dxfId="114">
      <pivotArea type="normal" dataOnly="0" labelOnly="1" outline="0" fieldPosition="0">
        <references count="3">
          <reference field="3" selected="0">
            <x v="0"/>
          </reference>
          <reference field="7">
            <x v="1"/>
          </reference>
          <reference field="13" selected="0">
            <x v="10"/>
          </reference>
        </references>
      </pivotArea>
    </format>
    <format action="formatting" dxfId="113">
      <pivotArea type="normal" dataOnly="0" labelOnly="1" outline="0" fieldPosition="0">
        <references count="3">
          <reference field="3" selected="0">
            <x v="0"/>
          </reference>
          <reference field="7">
            <x v="1"/>
          </reference>
          <reference field="13" selected="0">
            <x v="6"/>
          </reference>
        </references>
      </pivotArea>
    </format>
    <format action="formatting" dxfId="112">
      <pivotArea type="normal" dataOnly="0" labelOnly="1" outline="0" fieldPosition="0">
        <references count="3">
          <reference field="3" selected="0">
            <x v="2"/>
          </reference>
          <reference field="7">
            <x v="2"/>
          </reference>
          <reference field="13" selected="0">
            <x v="3"/>
          </reference>
        </references>
      </pivotArea>
    </format>
    <format action="formatting" dxfId="111">
      <pivotArea type="normal" dataOnly="0" labelOnly="1" outline="0" fieldPosition="0">
        <references count="3">
          <reference field="3" selected="0">
            <x v="2"/>
          </reference>
          <reference field="7">
            <x v="1"/>
          </reference>
          <reference field="13" selected="0">
            <x v="10"/>
          </reference>
        </references>
      </pivotArea>
    </format>
    <format action="formatting" dxfId="110">
      <pivotArea type="normal" dataOnly="0" labelOnly="1" outline="0" fieldPosition="0">
        <references count="3">
          <reference field="3" selected="0">
            <x v="2"/>
          </reference>
          <reference field="7">
            <x v="2"/>
          </reference>
          <reference field="13" selected="0">
            <x v="9"/>
          </reference>
        </references>
      </pivotArea>
    </format>
    <format action="formatting" dxfId="109">
      <pivotArea type="normal" dataOnly="0" labelOnly="1" outline="0" fieldPosition="0">
        <references count="3">
          <reference field="3" selected="0">
            <x v="3"/>
          </reference>
          <reference field="7">
            <x v="1"/>
          </reference>
          <reference field="13" selected="0">
            <x v="7"/>
          </reference>
        </references>
      </pivotArea>
    </format>
    <format action="formatting" dxfId="108">
      <pivotArea type="normal" dataOnly="0" labelOnly="1" outline="0" fieldPosition="0">
        <references count="3">
          <reference field="3" selected="0">
            <x v="3"/>
          </reference>
          <reference field="7">
            <x v="1"/>
          </reference>
          <reference field="13" selected="0">
            <x v="11"/>
          </reference>
        </references>
      </pivotArea>
    </format>
    <format action="formatting" dxfId="107">
      <pivotArea type="normal" dataOnly="0" labelOnly="1" outline="0" fieldPosition="0">
        <references count="3">
          <reference field="3" selected="0">
            <x v="4"/>
          </reference>
          <reference field="7">
            <x v="2"/>
          </reference>
          <reference field="13" selected="0">
            <x v="17"/>
          </reference>
        </references>
      </pivotArea>
    </format>
    <format action="formatting" dxfId="106">
      <pivotArea type="normal" dataOnly="0" labelOnly="1" outline="0" fieldPosition="0">
        <references count="1">
          <reference field="4294967294">
            <x v="0"/>
            <x v="1"/>
          </reference>
        </references>
      </pivotArea>
    </format>
    <format action="formatting" dxfId="105">
      <pivotArea type="normal" dataOnly="0" labelOnly="1" outline="1" fieldPosition="0">
        <references count="1">
          <reference field="13"/>
        </references>
      </pivotArea>
    </format>
    <format action="formatting" dxfId="104">
      <pivotArea type="normal" dataOnly="1" outline="1" collapsedLevelsAreSubtotals="1" fieldPosition="0">
        <references count="4">
          <reference field="4294967294" selected="0">
            <x v="0"/>
          </reference>
          <reference field="3" selected="0">
            <x v="0"/>
          </reference>
          <reference field="7" selected="0">
            <x v="1"/>
          </reference>
          <reference field="13">
            <x v="6"/>
            <x v="10"/>
          </reference>
        </references>
      </pivotArea>
    </format>
    <format action="formatting" dxfId="103">
      <pivotArea type="normal" dataOnly="1" outline="1" collapsedLevelsAreSubtotals="1" fieldPosition="0">
        <references count="3">
          <reference field="4294967294" selected="0">
            <x v="0"/>
          </reference>
          <reference field="3">
            <x v="2"/>
          </reference>
          <reference field="7" selected="0">
            <x v="1"/>
          </reference>
        </references>
      </pivotArea>
    </format>
    <format action="formatting" dxfId="102">
      <pivotArea type="normal" dataOnly="1" outline="1" collapsedLevelsAreSubtotals="1" fieldPosition="0">
        <references count="4">
          <reference field="4294967294" selected="0">
            <x v="0"/>
          </reference>
          <reference field="3" selected="0">
            <x v="2"/>
          </reference>
          <reference field="7" selected="0">
            <x v="1"/>
          </reference>
          <reference field="13">
            <x v="10"/>
          </reference>
        </references>
      </pivotArea>
    </format>
    <format action="formatting" dxfId="101">
      <pivotArea type="normal" dataOnly="1" outline="1" collapsedLevelsAreSubtotals="1" fieldPosition="0">
        <references count="3">
          <reference field="4294967294" selected="0">
            <x v="0"/>
          </reference>
          <reference field="3">
            <x v="3"/>
          </reference>
          <reference field="7" selected="0">
            <x v="1"/>
          </reference>
        </references>
      </pivotArea>
    </format>
    <format action="formatting" dxfId="100">
      <pivotArea type="normal" dataOnly="1" outline="1" collapsedLevelsAreSubtotals="1" fieldPosition="0">
        <references count="4">
          <reference field="4294967294" selected="0">
            <x v="0"/>
          </reference>
          <reference field="3" selected="0">
            <x v="3"/>
          </reference>
          <reference field="7" selected="0">
            <x v="1"/>
          </reference>
          <reference field="13">
            <x v="7"/>
            <x v="11"/>
          </reference>
        </references>
      </pivotArea>
    </format>
    <format action="formatting" dxfId="99">
      <pivotArea type="normal" dataOnly="1" outline="1" collapsedLevelsAreSubtotals="1" fieldPosition="0">
        <references count="2">
          <reference field="4294967294" selected="0">
            <x v="0"/>
          </reference>
          <reference field="7">
            <x v="2"/>
          </reference>
        </references>
      </pivotArea>
    </format>
    <format action="formatting" dxfId="98">
      <pivotArea type="normal" dataOnly="1" outline="1" collapsedLevelsAreSubtotals="1" fieldPosition="0">
        <references count="3">
          <reference field="4294967294" selected="0">
            <x v="0"/>
          </reference>
          <reference field="3">
            <x v="2"/>
          </reference>
          <reference field="7" selected="0">
            <x v="2"/>
          </reference>
        </references>
      </pivotArea>
    </format>
    <format action="formatting" dxfId="97">
      <pivotArea type="normal" dataOnly="1" outline="1" collapsedLevelsAreSubtotals="1" fieldPosition="0">
        <references count="4">
          <reference field="4294967294" selected="0">
            <x v="0"/>
          </reference>
          <reference field="3" selected="0">
            <x v="2"/>
          </reference>
          <reference field="7" selected="0">
            <x v="2"/>
          </reference>
          <reference field="13">
            <x v="3"/>
            <x v="9"/>
          </reference>
        </references>
      </pivotArea>
    </format>
    <format action="formatting" dxfId="96">
      <pivotArea type="normal" dataOnly="1" outline="1" collapsedLevelsAreSubtotals="1" fieldPosition="0">
        <references count="3">
          <reference field="4294967294" selected="0">
            <x v="0"/>
          </reference>
          <reference field="3">
            <x v="4"/>
          </reference>
          <reference field="7" selected="0">
            <x v="2"/>
          </reference>
        </references>
      </pivotArea>
    </format>
    <format action="formatting" dxfId="95">
      <pivotArea type="normal" dataOnly="1" outline="1" collapsedLevelsAreSubtotals="1" fieldPosition="0">
        <references count="4">
          <reference field="4294967294" selected="0">
            <x v="0"/>
          </reference>
          <reference field="3" selected="0">
            <x v="4"/>
          </reference>
          <reference field="7" selected="0">
            <x v="2"/>
          </reference>
          <reference field="13">
            <x v="17"/>
          </reference>
        </references>
      </pivotArea>
    </format>
    <format action="formatting" dxfId="94">
      <pivotArea type="normal" dataOnly="1" outline="1" collapsedLevelsAreSubtotals="1" fieldPosition="0">
        <references count="3">
          <reference field="4294967294" selected="0">
            <x v="0"/>
          </reference>
          <reference field="3">
            <x v="0"/>
          </reference>
          <reference field="7" selected="0">
            <x v="1"/>
          </reference>
        </references>
      </pivotArea>
    </format>
    <format action="formatting" dxfId="93">
      <pivotArea type="normal" dataOnly="1" outline="1" collapsedLevelsAreSubtotals="1" fieldPosition="0">
        <references count="4">
          <reference field="4294967294" selected="0">
            <x v="0"/>
          </reference>
          <reference field="3" selected="0">
            <x v="0"/>
          </reference>
          <reference field="7" selected="0">
            <x v="1"/>
          </reference>
          <reference field="13">
            <x v="6"/>
            <x v="10"/>
          </reference>
        </references>
      </pivotArea>
    </format>
    <format action="formatting" dxfId="92">
      <pivotArea type="normal" dataOnly="1" outline="1" collapsedLevelsAreSubtotals="1" fieldPosition="0">
        <references count="3">
          <reference field="4294967294" selected="0">
            <x v="0"/>
          </reference>
          <reference field="3">
            <x v="2"/>
          </reference>
          <reference field="7" selected="0">
            <x v="1"/>
          </reference>
        </references>
      </pivotArea>
    </format>
    <format action="formatting" dxfId="91">
      <pivotArea type="normal" dataOnly="1" outline="1" collapsedLevelsAreSubtotals="1" fieldPosition="0">
        <references count="4">
          <reference field="4294967294" selected="0">
            <x v="0"/>
          </reference>
          <reference field="3" selected="0">
            <x v="2"/>
          </reference>
          <reference field="7" selected="0">
            <x v="1"/>
          </reference>
          <reference field="13">
            <x v="10"/>
          </reference>
        </references>
      </pivotArea>
    </format>
    <format action="formatting" dxfId="90">
      <pivotArea type="normal" dataOnly="1" outline="1" collapsedLevelsAreSubtotals="1" fieldPosition="0">
        <references count="3">
          <reference field="4294967294" selected="0">
            <x v="0"/>
          </reference>
          <reference field="3">
            <x v="3"/>
          </reference>
          <reference field="7" selected="0">
            <x v="1"/>
          </reference>
        </references>
      </pivotArea>
    </format>
    <format action="formatting" dxfId="89">
      <pivotArea type="normal" dataOnly="1" outline="1" collapsedLevelsAreSubtotals="1" fieldPosition="0">
        <references count="4">
          <reference field="4294967294" selected="0">
            <x v="0"/>
          </reference>
          <reference field="3" selected="0">
            <x v="3"/>
          </reference>
          <reference field="7" selected="0">
            <x v="1"/>
          </reference>
          <reference field="13">
            <x v="7"/>
            <x v="11"/>
          </reference>
        </references>
      </pivotArea>
    </format>
    <format action="formatting" dxfId="88">
      <pivotArea type="normal" dataOnly="1" outline="1" collapsedLevelsAreSubtotals="1" fieldPosition="0">
        <references count="2">
          <reference field="4294967294" selected="0">
            <x v="0"/>
          </reference>
          <reference field="7">
            <x v="2"/>
          </reference>
        </references>
      </pivotArea>
    </format>
    <format action="formatting" dxfId="87">
      <pivotArea type="normal" dataOnly="1" outline="1" collapsedLevelsAreSubtotals="1" fieldPosition="0">
        <references count="3">
          <reference field="4294967294" selected="0">
            <x v="0"/>
          </reference>
          <reference field="3">
            <x v="2"/>
          </reference>
          <reference field="7" selected="0">
            <x v="2"/>
          </reference>
        </references>
      </pivotArea>
    </format>
    <format action="formatting" dxfId="86">
      <pivotArea type="normal" dataOnly="1" outline="1" collapsedLevelsAreSubtotals="1" fieldPosition="0">
        <references count="4">
          <reference field="4294967294" selected="0">
            <x v="0"/>
          </reference>
          <reference field="3" selected="0">
            <x v="2"/>
          </reference>
          <reference field="7" selected="0">
            <x v="2"/>
          </reference>
          <reference field="13">
            <x v="3"/>
            <x v="9"/>
          </reference>
        </references>
      </pivotArea>
    </format>
    <format action="formatting" dxfId="85">
      <pivotArea type="normal" dataOnly="1" outline="1" collapsedLevelsAreSubtotals="1" fieldPosition="0">
        <references count="3">
          <reference field="4294967294" selected="0">
            <x v="0"/>
          </reference>
          <reference field="3">
            <x v="4"/>
          </reference>
          <reference field="7" selected="0">
            <x v="2"/>
          </reference>
        </references>
      </pivotArea>
    </format>
    <format action="formatting" dxfId="84">
      <pivotArea type="normal" dataOnly="1" outline="1" collapsedLevelsAreSubtotals="1" fieldPosition="0">
        <references count="4">
          <reference field="4294967294" selected="0">
            <x v="0"/>
          </reference>
          <reference field="3" selected="0">
            <x v="4"/>
          </reference>
          <reference field="7" selected="0">
            <x v="2"/>
          </reference>
          <reference field="13">
            <x v="17"/>
          </reference>
        </references>
      </pivotArea>
    </format>
    <format action="formatting">
      <pivotArea field="7" type="normal" dataOnly="1" grandRow="1" outline="0" collapsedLevelsAreSubtotals="1" axis="axisCol" fieldPosition="1">
        <references count="2">
          <reference field="4294967294" selected="0">
            <x v="0"/>
          </reference>
          <reference field="7" selected="0">
            <x v="2"/>
          </reference>
        </references>
      </pivotArea>
    </format>
    <format action="formatting" dxfId="83">
      <pivotArea field="7" type="normal" dataOnly="1" grandRow="1" outline="0" collapsedLevelsAreSubtotals="1" axis="axisCol" fieldPosition="1">
        <references count="2">
          <reference field="4294967294" selected="0">
            <x v="0"/>
          </reference>
          <reference field="7" selected="0">
            <x v="2"/>
          </reference>
        </references>
      </pivotArea>
    </format>
    <format action="formatting" dxfId="82">
      <pivotArea field="13" type="normal" dataOnly="1" grandCol="1" outline="0" axis="axisRow" fieldPosition="1">
        <references count="3">
          <reference field="4294967294" selected="0">
            <x v="1"/>
          </reference>
          <reference field="3" selected="0">
            <x v="0"/>
            <x v="2"/>
            <x v="3"/>
            <x v="4"/>
          </reference>
          <reference field="13" selected="0">
            <x v="3"/>
            <x v="6"/>
            <x v="7"/>
            <x v="9"/>
            <x v="10"/>
            <x v="11"/>
            <x v="17"/>
          </reference>
        </references>
      </pivotArea>
    </format>
    <format action="formatting" dxfId="81">
      <pivotArea type="normal" dataOnly="1" outline="0" fieldPosition="0">
        <references count="4">
          <reference field="4294967294" selected="0">
            <x v="0"/>
          </reference>
          <reference field="3" selected="0">
            <x v="0"/>
            <x v="2"/>
            <x v="3"/>
            <x v="4"/>
          </reference>
          <reference field="7" selected="0">
            <x v="1"/>
            <x v="2"/>
          </reference>
          <reference field="13" selected="0">
            <x v="3"/>
            <x v="6"/>
            <x v="7"/>
            <x v="9"/>
            <x v="10"/>
            <x v="11"/>
            <x v="17"/>
          </reference>
        </references>
      </pivotArea>
    </format>
    <format action="formatting" dxfId="80">
      <pivotArea field="13" type="normal" dataOnly="1" grandCol="1" outline="0" axis="axisRow" fieldPosition="1">
        <references count="3">
          <reference field="4294967294" selected="0">
            <x v="0"/>
          </reference>
          <reference field="3" selected="0">
            <x v="0"/>
            <x v="2"/>
            <x v="3"/>
            <x v="4"/>
          </reference>
          <reference field="13" selected="0">
            <x v="3"/>
            <x v="6"/>
            <x v="7"/>
            <x v="9"/>
            <x v="10"/>
            <x v="11"/>
            <x v="17"/>
          </reference>
        </references>
      </pivotArea>
    </format>
  </formats>
  <pivotTableStyleInfo name="PivotStyleDark7" showRowHeaders="1" showColHeaders="1" showRowStripes="0" showColStripes="0" showLastColumn="1"/>
</pivotTableDefinition>
</file>

<file path=xl/tables/table1.xml><?xml version="1.0" encoding="utf-8"?>
<table xmlns="http://schemas.openxmlformats.org/spreadsheetml/2006/main" id="1" name="OpenPendingCases" displayName="OpenPendingCases" ref="C4:AN569" headerRowCount="1" totalsRowShown="0" headerRowDxfId="387" dataDxfId="386" tableBorderDxfId="385">
  <autoFilter ref="C4:AN569">
    <filterColumn colId="9" hiddenButton="0" showButton="1">
      <customFilters>
        <customFilter val=" " operator="notEqual"/>
      </customFilters>
    </filterColumn>
    <filterColumn colId="18" hiddenButton="0" showButton="1">
      <filters>
        <filter val="Open Sale"/>
        <filter val="Pending Allocation"/>
        <filter val="Transferred"/>
      </filters>
    </filterColumn>
  </autoFilter>
  <tableColumns count="38">
    <tableColumn id="1" name="No. " dataDxfId="384"/>
    <tableColumn id="2" name="Search Open" dataDxfId="383">
      <calculatedColumnFormula>IF($U5="Open", IF(MAX($D$4:D4)+1=0, "", MAX($D$4:D4)+1), "")</calculatedColumnFormula>
    </tableColumn>
    <tableColumn id="3" name="Search pending" dataDxfId="382">
      <calculatedColumnFormula>IF($U5="Pending Allocation", IF(MAX($E$4:E4)+1=0, "", MAX($E$4:E4)+1), "")</calculatedColumnFormula>
    </tableColumn>
    <tableColumn id="4" name="CRC Name" dataDxfId="381"/>
    <tableColumn id="31" name="Airtable Request Number" dataDxfId="380"/>
    <tableColumn id="5" name="Airtable Request Enty Date" dataDxfId="379"/>
    <tableColumn id="27" name="Request Entry Date" dataDxfId="378"/>
    <tableColumn id="6" name="Piece location" dataDxfId="377"/>
    <tableColumn id="24" name="Transaction location" dataDxfId="376"/>
    <tableColumn id="7" name=" Timepiece Status" dataDxfId="375"/>
    <tableColumn id="9" name="Potential Same Month" dataDxfId="374"/>
    <tableColumn id="10" name="Transaction Market" dataDxfId="373"/>
    <tableColumn id="11" name="Timepiece Reference " dataDxfId="372"/>
    <tableColumn id="12" name="Collection Name" dataDxfId="371"/>
    <tableColumn id="13" name="Price" dataDxfId="370"/>
    <tableColumn id="33" name="Price 2" dataDxfId="369" dataCellStyle="Hyperlink"/>
    <tableColumn id="14" name="Client ID" dataDxfId="368" dataCellStyle="Hyperlink"/>
    <tableColumn id="25" name="Prospect Feedback" dataDxfId="367" dataCellStyle="Hyperlink"/>
    <tableColumn id="15" name="Sale Status_x0009_" dataDxfId="366"/>
    <tableColumn id="26" name="Column1" dataDxfId="365"/>
    <tableColumn id="28" name="Invoice Month" dataDxfId="364"/>
    <tableColumn id="30" name="Payment Method" dataDxfId="363"/>
    <tableColumn id="29" name="Invoice Number" dataDxfId="362"/>
    <tableColumn id="16" name="Invoice Date" dataDxfId="361"/>
    <tableColumn id="17" name="NO Of  Open  days" dataDxfId="360"/>
    <tableColumn id="18" name="Pending days (timepieces)" dataDxfId="359"/>
    <tableColumn id="19" name="NO of Pending Days" dataDxfId="358"/>
    <tableColumn id="20" name="NO Of  Open " dataDxfId="357"/>
    <tableColumn id="21" name="Description" dataDxfId="356"/>
    <tableColumn id="22" name="Timepiece Request Updates" dataDxfId="355"/>
    <tableColumn id="8" name="Client Request Updates" dataDxfId="354"/>
    <tableColumn id="23" name="Transferred TO" dataDxfId="353"/>
    <tableColumn id="37" name="Captured date (Month and Year)" dataDxfId="352">
      <calculatedColumnFormula>TEXT(I5, "mmmm yyyy")</calculatedColumnFormula>
    </tableColumn>
    <tableColumn id="32" name="Month" dataDxfId="351">
      <calculatedColumnFormula>IF(AND(OpenPendingCases[[#This Row],[Sale Status	]]="Open Sale",OpenPendingCases[[#This Row],[Potential Same Month]]="High"),TEXT(OpenPendingCases[[#This Row],[Request Entry Date]], "[$-en-us]mmmm"),"")</calculatedColumnFormula>
    </tableColumn>
    <tableColumn id="34" name="Adjusted Price" dataDxfId="350">
      <calculatedColumnFormula>IFERROR(VALUE(SUBSTITUTE(OpenPendingCases[[#This Row],[Price]]," AED","")),"")</calculatedColumnFormula>
    </tableColumn>
    <tableColumn id="35" name="Adjusted Price2" dataDxfId="349">
      <calculatedColumnFormula>IFERROR(VALUE(LEFT(OpenPendingCases[[#This Row],[Price]],FIND(" ",OpenPendingCases[[#This Row],[Price]])-1)),"")</calculatedColumnFormula>
    </tableColumn>
    <tableColumn id="36" name="Adjusted Price3" dataDxfId="348">
      <calculatedColumnFormula>IFERROR(VALUE(_xlfn.TEXTBEFORE(OpenPendingCases[[#This Row],[Price]]," AED")),"")</calculatedColumnFormula>
    </tableColumn>
    <tableColumn id="38" name="Adjusted Price4" dataDxfId="347"/>
  </tableColumns>
  <tableStyleInfo name="TableStyleLight1" showFirstColumn="0" showLastColumn="0" showRowStripes="0" showColumnStripes="0"/>
</table>
</file>

<file path=xl/tables/table2.xml><?xml version="1.0" encoding="utf-8"?>
<table xmlns="http://schemas.openxmlformats.org/spreadsheetml/2006/main" id="2" name="Table14" displayName="Table14" ref="A1:J510" headerRowCount="1" totalsRowShown="0" headerRowDxfId="319" dataDxfId="317" headerRowBorderDxfId="318" tableBorderDxfId="316" totalsRowBorderDxfId="315">
  <autoFilter ref="A1:J510"/>
  <tableColumns count="10">
    <tableColumn id="1" name="STATUS" dataDxfId="314"/>
    <tableColumn id="2" name="CLIENT FEEDBACK" dataDxfId="313"/>
    <tableColumn id="3" name="REQUEST DATE" dataDxfId="312"/>
    <tableColumn id="4" name="REFERENCE" dataDxfId="311"/>
    <tableColumn id="5" name="BOUTIQUE" dataDxfId="310"/>
    <tableColumn id="6" name="CLIENT ID" dataDxfId="309"/>
    <tableColumn id="7" name="CLIENT SEGMENT" dataDxfId="308"/>
    <tableColumn id="8" name="SALES ASSOCIATE" dataDxfId="307"/>
    <tableColumn id="9" name="COMMENTS" dataDxfId="306"/>
    <tableColumn id="10" name="Avaliblity" dataDxfId="305"/>
  </tableColumns>
  <tableStyleInfo name="TableStyleLight1" showFirstColumn="0" showLastColumn="0" showRowStripes="1" showColumnStripes="0"/>
</table>
</file>

<file path=xl/tables/table3.xml><?xml version="1.0" encoding="utf-8"?>
<table xmlns="http://schemas.openxmlformats.org/spreadsheetml/2006/main" id="3" name="Table6" displayName="Table6" ref="O39:W99" headerRowCount="1" totalsRowShown="0" headerRowDxfId="79" dataDxfId="78" tableBorderDxfId="77">
  <autoFilter ref="O39:W99"/>
  <tableColumns count="9">
    <tableColumn id="1" name="CRC Name" dataDxfId="76">
      <calculatedColumnFormula>IFERROR(IF(VLOOKUP(ROWS($O$39:$O39), 'SelloutPlan v1Main'!$D$5:$AC$499, 12, FALSE)="Open", VLOOKUP(ROWS($O$39:$O39), 'SelloutPlan v1Main'!$D$5:$AC$499, 3, FALSE), ""), "")</calculatedColumnFormula>
    </tableColumn>
    <tableColumn id="2" name="Collection Name" dataDxfId="75">
      <calculatedColumnFormula>IFERROR(VLOOKUP(ROWS($O$39:U39),'SelloutPlan v1Main'!$E$5:$AC$208,12,FALSE),"")</calculatedColumnFormula>
    </tableColumn>
    <tableColumn id="3" name="Price" dataDxfId="74"/>
    <tableColumn id="4" name="Stock " dataDxfId="73">
      <calculatedColumnFormula>IFERROR(VLOOKUP(ROWS($O$39:U39),'SelloutPlan v1Main'!$E$5:$AC$208,5,FALSE),"")</calculatedColumnFormula>
    </tableColumn>
    <tableColumn id="5" name="Timepiece Ref" dataDxfId="72">
      <calculatedColumnFormula>IFERROR(VLOOKUP(ROWS($O$39:S39), 'SelloutPlan v1Main'!$E$5:$AC$208, 14, FALSE), "")</calculatedColumnFormula>
    </tableColumn>
    <tableColumn id="6" name="Transaction Market" dataDxfId="71">
      <calculatedColumnFormula>IFERROR(VLOOKUP(ROWS($O$39:T39), 'SelloutPlan v1Main'!$E$5:$AC$208, 14, FALSE), "")</calculatedColumnFormula>
    </tableColumn>
    <tableColumn id="7" name="Karen Comment ﾂ" dataDxfId="70">
      <calculatedColumnFormula>IFERROR(VLOOKUP(ROWS($O$39:U39),'SelloutPlan v1Main'!$E$5:$AC$208,16,FALSE),"")</calculatedColumnFormula>
    </tableColumn>
    <tableColumn id="8" name="Payment Method" dataDxfId="69">
      <calculatedColumnFormula>IFERROR(IF(_xlfn.XLOOKUP(ROWS($O$39:W40), 'SelloutPlan v1Main'!$E$5:$E$208, 'SelloutPlan v1Main'!$X$5:$X$208) = 0, "", _xlfn.XLOOKUP(ROWS($O$39:W40), 'SelloutPlan v1Main'!$E$5:$E$208, 'SelloutPlan v1Main'!$X$5:$X$208)), "")</calculatedColumnFormula>
    </tableColumn>
    <tableColumn id="9" name="Waiting Days" dataDxfId="68">
      <calculatedColumnFormula>IFERROR(IF(VLOOKUP(ROWS($O$39:X39), 'SelloutPlan v1Main'!$E$5:$AP$209, 25, FALSE) = 0, "", VLOOKUP(ROWS($O$39:X39), 'SelloutPlan v1Main'!$E$5:$AP$209, 25, FALSE)), "")</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7" displayName="Table7" ref="B39:L133" headerRowCount="1" totalsRowShown="0" headerRowDxfId="67" dataDxfId="66">
  <autoFilter ref="B39:L133"/>
  <tableColumns count="11">
    <tableColumn id="1" name="No." dataDxfId="65"/>
    <tableColumn id="2" name="Timepiece Ref" dataDxfId="64"/>
    <tableColumn id="3" name="Transaction Market" dataDxfId="63"/>
    <tableColumn id="4" name="Status " dataDxfId="62"/>
    <tableColumn id="5" name="Stock Location" dataDxfId="61"/>
    <tableColumn id="6" name="Client ID" dataDxfId="60">
      <calculatedColumnFormula>IFERROR(VLOOKUP(ROWS($C$39:G39), 'SelloutPlan v1Main'!$D$5:$AC$208,16, FALSE), "")</calculatedColumnFormula>
    </tableColumn>
    <tableColumn id="7" name="Karen Comment ﾂ" dataDxfId="59"/>
    <tableColumn id="8" name="CRC Name" dataDxfId="58"/>
    <tableColumn id="9" name="Same Month Invoiced rate"/>
    <tableColumn id="10" name="Price" dataDxfId="57">
      <calculatedColumnFormula>IFERROR(VLOOKUP(ROWS($C$39:J39), 'SelloutPlan v1Main'!$D$5:$AC$208,14, FALSE), "")</calculatedColumnFormula>
    </tableColumn>
    <tableColumn id="11" name="Payment Method " dataDxfId="56"/>
  </tableColumns>
  <tableStyleInfo name="TableStyleLight1" showFirstColumn="0" showLastColumn="0" showRowStripes="1" showColumnStripes="0"/>
</table>
</file>

<file path=xl/tables/table5.xml><?xml version="1.0" encoding="utf-8"?>
<table xmlns="http://schemas.openxmlformats.org/spreadsheetml/2006/main" id="5" name="Table5" displayName="Table5" ref="A1:M478" headerRowCount="1" totalsRowShown="0" headerRowDxfId="55" dataDxfId="53" headerRowBorderDxfId="54" tableBorderDxfId="52">
  <autoFilter ref="A1:M478"/>
  <tableColumns count="13">
    <tableColumn id="1" name="STATUS" dataDxfId="51"/>
    <tableColumn id="2" name="CLIENT FEEDBACK" dataDxfId="50"/>
    <tableColumn id="3" name="REQUEST DATE" dataDxfId="49"/>
    <tableColumn id="4" name="REFERENCE" dataDxfId="48"/>
    <tableColumn id="11" name="Collection Name" dataDxfId="47">
      <calculatedColumnFormula>IFERROR(VLOOKUP(TRIM(D2), Collection!$B$2:$D$1001, 2, FALSE), "")</calculatedColumnFormula>
    </tableColumn>
    <tableColumn id="13" name="Price" dataDxfId="46">
      <calculatedColumnFormula>IFERROR(VLOOKUP(TRIM(D2), Collection!$B$2:$D$1001, 3, FALSE), "")</calculatedColumnFormula>
    </tableColumn>
    <tableColumn id="14" name="Price 2 " dataDxfId="45">
      <calculatedColumnFormula>IFERROR(VALUE(SUBSTITUTE(SUBSTITUTE(F2, "Price", ""), "AED", "")), "")</calculatedColumnFormula>
    </tableColumn>
    <tableColumn id="5" name="BOUTIQUE" dataDxfId="44"/>
    <tableColumn id="6" name="CLIENT ID" dataDxfId="43"/>
    <tableColumn id="7" name="CLIENT SEGMENT" dataDxfId="42"/>
    <tableColumn id="8" name="SALES ASSOCIATE" dataDxfId="41"/>
    <tableColumn id="9" name="COMMENTS" dataDxfId="40"/>
    <tableColumn id="10" name="Avalible?" dataDxfId="39">
      <calculatedColumnFormula>IF(COUNTIF($R$3:$R$100, D2) &gt; 0, TRUE, FALSE)</calculatedColumnFormula>
    </tableColumn>
  </tableColumns>
  <tableStyleInfo name="TableStyleLight1" showFirstColumn="0" showLastColumn="0" showRowStripes="1" showColumnStripes="0"/>
</table>
</file>

<file path=xl/tables/table6.xml><?xml version="1.0" encoding="utf-8"?>
<table xmlns="http://schemas.openxmlformats.org/spreadsheetml/2006/main" id="6" name="Table1" displayName="Table1" ref="A1:G333" headerRowCount="1" totalsRowShown="0" headerRowDxfId="37" headerRowBorderDxfId="36" tableBorderDxfId="35" totalsRowBorderDxfId="34">
  <autoFilter ref="A1:G333"/>
  <tableColumns count="7">
    <tableColumn id="1" name="Ref" dataDxfId="33"/>
    <tableColumn id="2" name="Timepiece Reference " dataDxfId="32"/>
    <tableColumn id="3" name="Collection name " dataDxfId="31"/>
    <tableColumn id="4" name="Price" dataDxfId="30"/>
    <tableColumn id="5" name="CRC STOCK" dataDxfId="29">
      <calculatedColumnFormula>IF(F2, "YES", "No")</calculatedColumnFormula>
    </tableColumn>
    <tableColumn id="6" name="Available"/>
    <tableColumn id="7" name="Helper " dataDxfId="28">
      <calculatedColumnFormula>IF(COUNTIF($J$3:$J$100, B2) &gt; 0, TRUE, FALSE)</calculatedColumnFormula>
    </tableColumn>
  </tableColumns>
  <tableStyleInfo name="TableStyleLight1" showFirstColumn="0" showLastColumn="0" showRowStripes="1" showColumnStripes="0"/>
</table>
</file>

<file path=xl/tables/table7.xml><?xml version="1.0" encoding="utf-8"?>
<table xmlns="http://schemas.openxmlformats.org/spreadsheetml/2006/main" id="7" name="Table15" displayName="Table15" ref="A1:Q287" headerRowCount="1" totalsRowShown="0" headerRowDxfId="21" dataDxfId="19" headerRowBorderDxfId="20" tableBorderDxfId="18" totalsRowBorderDxfId="17">
  <autoFilter ref="A1:Q287">
    <filterColumn colId="3" hiddenButton="0" showButton="1">
      <filters>
        <filter val="1100S/000G-B734"/>
        <filter val="1225V/000R-B592"/>
        <filter val="1225V/200A-B590"/>
        <filter val="1410U/000G-H017"/>
        <filter val="37640/000G-B021"/>
        <filter val="4000E/000A-B439"/>
        <filter val="4000E/000A-B548"/>
        <filter val="4000E/000R-B438"/>
        <filter val="4000U/000P-H003"/>
        <filter val="4000V/210A-B911"/>
        <filter val="4010T/000G-B740"/>
        <filter val="4010U/000R-H117"/>
        <filter val="4020T/000G-B655"/>
        <filter val="4020T/000P-H038"/>
        <filter val="4115U/000G-B908"/>
        <filter val="4200H/222A-B934"/>
        <filter val="4200H/222J-B935"/>
        <filter val="4300V/220G-B945"/>
        <filter val="4300V/220G-B946"/>
        <filter val="4300V/220G-H151​"/>
        <filter val="4300V/220R-B642"/>
        <filter val="4300V/220R-H144​​"/>
        <filter val="4520V/210A-B126"/>
        <filter val="4520V/210A-B483"/>
        <filter val="4520V/210R-B705"/>
        <filter val="4520V/210R-B967"/>
        <filter val="4600E/000A-B442"/>
        <filter val="4600E/000A-B487"/>
        <filter val="4600E/000R-H101"/>
        <filter val="4600E/110A-B487"/>
        <filter val="4600V/200A-B980"/>
        <filter val="4605V/200A-B971"/>
        <filter val="5100T/000P-H041"/>
        <filter val="5520V/210A-B148"/>
        <filter val="5520V/210A-B481"/>
        <filter val="5520V/210R-B966"/>
        <filter val="6000T/000R-B346"/>
        <filter val="6000V/110A-B544"/>
        <filter val="6000V/210R-B733"/>
        <filter val="6000V/210R-B934"/>
        <filter val="6000V/210T-B935"/>
        <filter val="6000V/210T-H032"/>
        <filter val="6010T/000R-B638"/>
        <filter val="7920V/000R-B336"/>
        <filter val="7920V/210A-B334"/>
        <filter val="7920V/210A-B546"/>
        <filter val="7920V/210R-B965"/>
        <filter val="81558/J00R-9600"/>
        <filter val="82035/000G-B735"/>
        <filter val="82035/000P-H063"/>
        <filter val="82035/000R-9359"/>
      </filters>
    </filterColumn>
    <filterColumn colId="4" hiddenButton="0" showButton="1">
      <filters>
        <filter val="#N/A"/>
        <filter val="Fiftysix complete calendar"/>
        <filter val="Fiftysix self-winding"/>
        <filter val="Heures Créatives Heure Romantique"/>
        <filter val="Historiques American 1921"/>
        <filter val="Historiques American 1921 - Arabic"/>
        <filter val="Overseas chronograph"/>
        <filter val="Overseas chronograph Pink Gold"/>
        <filter val="Overseas dual time"/>
        <filter val="Overseas dual time Black"/>
        <filter val="Overseas dual time Blue"/>
        <filter val="Overseas dual time Green"/>
        <filter val="Overseas moon phase retrograde date"/>
        <filter val="Overseas perpetual calendar ultra-thin"/>
        <filter val="Overseas perpetual calendar ultra-thin skeleton"/>
        <filter val="Overseas quartz"/>
        <filter val="Overseas self-winding"/>
        <filter val="Overseas self-winding Green"/>
        <filter val="Overseas tourbillon"/>
        <filter val="Overseas tourbillon skeleton"/>
        <filter val="Overseas tourbillon skeleton - Titanium 42.5 mm"/>
        <filter val="Patrimony retrograde day-date"/>
        <filter val="Patrimony self-winding"/>
        <filter val="Traditionnelle complete calendar"/>
        <filter val="Traditionnelle complete calendar openface"/>
        <filter val="Traditionnelle tourbillon"/>
        <filter val="Traditionnelle tourbillon retrograde date openface"/>
      </filters>
    </filterColumn>
  </autoFilter>
  <sortState ref="A2:Q287">
    <sortCondition descending="1" ref="C2:C287"/>
  </sortState>
  <tableColumns count="17">
    <tableColumn id="1" name="STATUS" dataDxfId="16"/>
    <tableColumn id="2" name="CLIENT FEEDBACK" dataDxfId="15"/>
    <tableColumn id="3" name="Column1" dataDxfId="14"/>
    <tableColumn id="4" name="REFERENCE" dataDxfId="13"/>
    <tableColumn id="11" name="Ref" dataDxfId="12">
      <calculatedColumnFormula>_xlfn.XLOOKUP(D2, [1]Collection!B:B, [1]Collection!C:C)</calculatedColumnFormula>
    </tableColumn>
    <tableColumn id="10" name="price" dataDxfId="11">
      <calculatedColumnFormula>_xlfn.XLOOKUP(D2, [1]Collection!B:B, [1]Collection!D:D)</calculatedColumnFormula>
    </tableColumn>
    <tableColumn id="5" name="BOUTIQUE" dataDxfId="10"/>
    <tableColumn id="6" name="CLIENT ID" dataDxfId="9"/>
    <tableColumn id="12" name="Potential" dataDxfId="8"/>
    <tableColumn id="16" name="%" dataDxfId="7"/>
    <tableColumn id="14" name="invited" dataDxfId="6"/>
    <tableColumn id="15" name="Done ?" dataDxfId="5"/>
    <tableColumn id="17" name="Comment" dataDxfId="4" dataCellStyle="Normal 2"/>
    <tableColumn id="7" name="CLIENT SEGMENT" dataDxfId="3"/>
    <tableColumn id="8" name="SALES ASSOCIATE" dataDxfId="2"/>
    <tableColumn id="9" name="COMMENTS" dataDxfId="1"/>
    <tableColumn id="13" name="Days since request" dataDxfId="0">
      <calculatedColumnFormula>IF(AND(Table15[[#This Row],[Column1]]&lt;&gt;"",ISNUMBER(DATEVALUE(Table15[[#This Row],[Column1]]))),TODAY()-DATEVALUE(Table15[[#This Row],[Column1]]),"")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Standard Colors 1">
      <a:dk1>
        <a:sysClr val="windowText" lastClr="000000"/>
      </a:dk1>
      <a:lt1>
        <a:sysClr val="window" lastClr="FFFFFF"/>
      </a:lt1>
      <a:dk2>
        <a:srgbClr val="1F497D"/>
      </a:dk2>
      <a:lt2>
        <a:srgbClr val="EEECE1"/>
      </a:lt2>
      <a:accent1>
        <a:srgbClr val="4F81BD"/>
      </a:accent1>
      <a:accent2>
        <a:srgbClr val="F8696B"/>
      </a:accent2>
      <a:accent3>
        <a:srgbClr val="63BE7B"/>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pivotTable" Target="/xl/pivotTables/pivotTable1.xml" Id="rId1"/></Relationships>
</file>

<file path=xl/worksheets/_rels/sheet2.xml.rels><Relationships xmlns="http://schemas.openxmlformats.org/package/2006/relationships"><Relationship Type="http://schemas.openxmlformats.org/officeDocument/2006/relationships/table" Target="/xl/tables/table1.xml" Id="rId1"/></Relationships>
</file>

<file path=xl/worksheets/_rels/sheet3.xml.rels><Relationships xmlns="http://schemas.openxmlformats.org/package/2006/relationships"><Relationship Type="http://schemas.openxmlformats.org/officeDocument/2006/relationships/table" Target="/xl/tables/table2.xml" Id="rId1"/><Relationship Type="http://schemas.openxmlformats.org/officeDocument/2006/relationships/pivotTable" Target="/xl/pivotTables/pivotTable2.xml" Id="rId2"/></Relationships>
</file>

<file path=xl/worksheets/_rels/sheet4.xml.rels><Relationships xmlns="http://schemas.openxmlformats.org/package/2006/relationships"><Relationship Type="http://schemas.openxmlformats.org/officeDocument/2006/relationships/table" Target="/xl/tables/table3.xml" Id="rId1"/><Relationship Type="http://schemas.openxmlformats.org/officeDocument/2006/relationships/table" Target="/xl/tables/table4.xml" Id="rId2"/><Relationship Type="http://schemas.openxmlformats.org/officeDocument/2006/relationships/pivotTable" Target="/xl/pivotTables/pivotTable3.xml" Id="rId3"/><Relationship Type="http://schemas.openxmlformats.org/officeDocument/2006/relationships/pivotTable" Target="/xl/pivotTables/pivotTable4.xml" Id="rId4"/><Relationship Type="http://schemas.openxmlformats.org/officeDocument/2006/relationships/pivotTable" Target="/xl/pivotTables/pivotTable5.xml" Id="rId5"/></Relationships>
</file>

<file path=xl/worksheets/_rels/sheet5.xml.rels><Relationships xmlns="http://schemas.openxmlformats.org/package/2006/relationships"><Relationship Type="http://schemas.openxmlformats.org/officeDocument/2006/relationships/table" Target="/xl/tables/table5.xml" Id="rId1"/></Relationships>
</file>

<file path=xl/worksheets/_rels/sheet6.xml.rels><Relationships xmlns="http://schemas.openxmlformats.org/package/2006/relationships"><Relationship Type="http://schemas.openxmlformats.org/officeDocument/2006/relationships/table" Target="/xl/tables/table6.xml" Id="rId1"/></Relationships>
</file>

<file path=xl/worksheets/_rels/sheet10.xml.rels><Relationships xmlns="http://schemas.openxmlformats.org/package/2006/relationships"><Relationship Type="http://schemas.openxmlformats.org/officeDocument/2006/relationships/table" Target="/xl/tables/table7.xml" Id="rId1"/></Relationships>
</file>

<file path=xl/worksheets/_rels/sheet14.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codeName="Sheet7">
    <outlinePr summaryBelow="1" summaryRight="1"/>
    <pageSetUpPr/>
  </sheetPr>
  <dimension ref="A1:F10"/>
  <sheetViews>
    <sheetView workbookViewId="0">
      <selection activeCell="E18" sqref="E18"/>
    </sheetView>
  </sheetViews>
  <sheetFormatPr baseColWidth="8" defaultRowHeight="14.4"/>
  <cols>
    <col width="20.44140625" bestFit="1" customWidth="1" style="287" min="1" max="1"/>
    <col width="26.5546875" bestFit="1" customWidth="1" style="287" min="2" max="2"/>
    <col width="25.5546875" bestFit="1" customWidth="1" style="287" min="3" max="3"/>
    <col width="13.109375" bestFit="1" customWidth="1" style="287" min="4" max="4"/>
    <col width="24.6640625" bestFit="1" customWidth="1" style="287" min="5" max="5"/>
    <col width="13.5546875" bestFit="1" customWidth="1" style="287" min="6" max="6"/>
    <col width="24.6640625" bestFit="1" customWidth="1" style="287" min="7" max="7"/>
    <col width="13.5546875" bestFit="1" customWidth="1" style="287" min="8" max="8"/>
    <col width="19.44140625" bestFit="1" customWidth="1" style="287" min="9" max="9"/>
    <col width="20" bestFit="1" customWidth="1" style="287" min="10" max="10"/>
    <col width="20.44140625" bestFit="1" customWidth="1" style="287" min="11" max="17"/>
    <col width="11" bestFit="1" customWidth="1" style="287" min="18" max="18"/>
  </cols>
  <sheetData>
    <row r="1">
      <c r="A1" s="23" t="inlineStr">
        <is>
          <t xml:space="preserve"> Timepiece Status</t>
        </is>
      </c>
      <c r="B1" s="4" t="inlineStr">
        <is>
          <t>Allocation Confirmed</t>
        </is>
      </c>
    </row>
    <row r="2">
      <c r="A2" s="23" t="inlineStr">
        <is>
          <t>Potential Same Month</t>
        </is>
      </c>
      <c r="B2" s="4" t="inlineStr">
        <is>
          <t>High</t>
        </is>
      </c>
    </row>
    <row r="4">
      <c r="A4" s="4" t="n"/>
      <c r="B4" s="4" t="n"/>
      <c r="C4" s="105" t="inlineStr">
        <is>
          <t>Transaction location</t>
        </is>
      </c>
      <c r="D4" s="105" t="inlineStr">
        <is>
          <t>Values</t>
        </is>
      </c>
      <c r="E4" s="4" t="n"/>
      <c r="F4" s="4" t="n"/>
    </row>
    <row r="5">
      <c r="A5" s="4" t="n"/>
      <c r="B5" s="4" t="n"/>
      <c r="C5" s="4" t="inlineStr">
        <is>
          <t>Boutique Stock</t>
        </is>
      </c>
      <c r="D5" s="4" t="n"/>
      <c r="E5" s="4" t="inlineStr">
        <is>
          <t>Total Count of Timepieces</t>
        </is>
      </c>
      <c r="F5" s="4" t="inlineStr">
        <is>
          <t>Total Amount</t>
        </is>
      </c>
    </row>
    <row r="6">
      <c r="A6" s="23" t="inlineStr">
        <is>
          <t>CRC Name</t>
        </is>
      </c>
      <c r="B6" s="23" t="inlineStr">
        <is>
          <t xml:space="preserve">Timepiece Reference </t>
        </is>
      </c>
      <c r="C6" s="4" t="inlineStr">
        <is>
          <t>Count of Timepieces</t>
        </is>
      </c>
      <c r="D6" s="4" t="inlineStr">
        <is>
          <t>Amount</t>
        </is>
      </c>
      <c r="E6" s="4" t="n"/>
      <c r="F6" s="4" t="n"/>
    </row>
    <row r="7">
      <c r="A7" s="104" t="inlineStr">
        <is>
          <t>Maaz</t>
        </is>
      </c>
      <c r="B7" s="4" t="inlineStr">
        <is>
          <t>1225V/200A-B590</t>
        </is>
      </c>
      <c r="C7" s="102" t="n">
        <v>1</v>
      </c>
      <c r="D7" s="103" t="n">
        <v>62500</v>
      </c>
      <c r="E7" s="102" t="n">
        <v>1</v>
      </c>
      <c r="F7" s="103" t="n">
        <v>62500</v>
      </c>
    </row>
    <row r="8">
      <c r="A8" s="104" t="inlineStr">
        <is>
          <t>Riham</t>
        </is>
      </c>
      <c r="B8" s="4" t="inlineStr">
        <is>
          <t>5520V/210A-B686</t>
        </is>
      </c>
      <c r="C8" s="102" t="n">
        <v>0</v>
      </c>
      <c r="D8" s="103" t="n">
        <v>135000</v>
      </c>
      <c r="E8" s="102" t="n">
        <v>0</v>
      </c>
      <c r="F8" s="102" t="n">
        <v>135000</v>
      </c>
    </row>
    <row r="9">
      <c r="A9" s="104" t="inlineStr">
        <is>
          <t xml:space="preserve">Riham </t>
        </is>
      </c>
      <c r="B9" s="4" t="inlineStr">
        <is>
          <t>1225V/200A-B590</t>
        </is>
      </c>
      <c r="C9" s="102" t="n">
        <v>0</v>
      </c>
      <c r="D9" s="103" t="n">
        <v>62500</v>
      </c>
      <c r="E9" s="102" t="n">
        <v>0</v>
      </c>
      <c r="F9" s="103" t="n">
        <v>62500</v>
      </c>
    </row>
    <row r="10">
      <c r="A10" s="102" t="inlineStr">
        <is>
          <t>Grand Total</t>
        </is>
      </c>
      <c r="B10" s="102" t="n"/>
      <c r="C10" s="102" t="n">
        <v>1</v>
      </c>
      <c r="D10" s="103" t="n">
        <v>260000</v>
      </c>
      <c r="E10" s="222" t="n">
        <v>1</v>
      </c>
      <c r="F10" s="103" t="n">
        <v>260000</v>
      </c>
    </row>
  </sheetData>
  <pageMargins left="0.7" right="0.7" top="0.75" bottom="0.75" header="0.3" footer="0.3"/>
</worksheet>
</file>

<file path=xl/worksheets/sheet2.xml><?xml version="1.0" encoding="utf-8"?>
<worksheet xmlns="http://schemas.openxmlformats.org/spreadsheetml/2006/main">
  <sheetPr codeName="Sheet1">
    <tabColor theme="6" tint="-0.249977111117893"/>
    <outlinePr summaryBelow="1" summaryRight="1"/>
    <pageSetUpPr/>
  </sheetPr>
  <dimension ref="B1:AX978"/>
  <sheetViews>
    <sheetView showGridLines="0" topLeftCell="B1" zoomScale="55" zoomScaleNormal="55" zoomScaleSheetLayoutView="62" workbookViewId="0">
      <pane xSplit="11" ySplit="4" topLeftCell="M5" activePane="bottomRight" state="frozen"/>
      <selection pane="topRight" activeCell="A1" sqref="A1"/>
      <selection pane="bottomLeft" activeCell="A1" sqref="A1"/>
      <selection pane="bottomRight" activeCell="T8" sqref="T8"/>
    </sheetView>
  </sheetViews>
  <sheetFormatPr baseColWidth="8" defaultColWidth="17.6640625" defaultRowHeight="16.5" customHeight="1"/>
  <cols>
    <col width="17.6640625" customWidth="1" style="1" min="1" max="1"/>
    <col hidden="1" width="13" customWidth="1" style="1" min="2" max="2"/>
    <col width="8.109375" bestFit="1" customWidth="1" style="1" min="3" max="3"/>
    <col hidden="1" width="17.6640625" customWidth="1" style="1" min="4" max="5"/>
    <col width="17.6640625" customWidth="1" style="1" min="6" max="6"/>
    <col width="43.33203125" bestFit="1" customWidth="1" style="1" min="7" max="7"/>
    <col width="20.109375" customWidth="1" style="3" min="8" max="8"/>
    <col width="35.5546875" bestFit="1" customWidth="1" style="3" min="9" max="9"/>
    <col width="29.109375" bestFit="1" customWidth="1" style="3" min="10" max="10"/>
    <col width="35.6640625" bestFit="1" customWidth="1" style="3" min="11" max="11"/>
    <col width="20" bestFit="1" customWidth="1" style="146" min="12" max="12"/>
    <col width="35.5546875" customWidth="1" style="147" min="13" max="13"/>
    <col width="26.5546875" customWidth="1" style="138" min="14" max="14"/>
    <col width="28.109375" customWidth="1" style="2" min="15" max="15"/>
    <col width="58.6640625" bestFit="1" customWidth="1" style="2" min="16" max="16"/>
    <col width="17.6640625" customWidth="1" style="3" min="17" max="17"/>
    <col hidden="1" width="17.6640625" customWidth="1" style="3" min="18" max="18"/>
    <col width="17.6640625" customWidth="1" style="12" min="19" max="19"/>
    <col width="33.44140625" customWidth="1" style="120" min="20" max="20"/>
    <col width="31.88671875" customWidth="1" style="287" min="21" max="22"/>
    <col width="17.6640625" customWidth="1" style="3" min="23" max="23"/>
    <col width="52" customWidth="1" style="2" min="24" max="24"/>
    <col width="43.6640625" customWidth="1" style="2" min="25" max="25"/>
    <col width="21.33203125" customWidth="1" style="2" min="26" max="26"/>
    <col hidden="1" width="17.6640625" customWidth="1" style="3" min="27" max="28"/>
    <col hidden="1" width="17.6640625" customWidth="1" style="34" min="29" max="29"/>
    <col hidden="1" width="17.6640625" customWidth="1" style="3" min="30" max="30"/>
    <col width="61" customWidth="1" style="2" min="31" max="31"/>
    <col width="120.44140625" bestFit="1" customWidth="1" style="2" min="32" max="32"/>
    <col width="26.5546875" customWidth="1" style="2" min="33" max="33"/>
    <col width="17.6640625" customWidth="1" style="2" min="34" max="34"/>
    <col hidden="1" width="17.6640625" customWidth="1" style="2" min="35" max="35"/>
    <col hidden="1" width="17.6640625" customWidth="1" style="40" min="36" max="36"/>
    <col hidden="1" width="13" customWidth="1" style="1" min="37" max="39"/>
    <col width="17.6640625" customWidth="1" style="1" min="40" max="40"/>
    <col width="17.6640625" customWidth="1" style="1" min="41" max="16384"/>
  </cols>
  <sheetData>
    <row r="1" ht="20.25" customHeight="1" s="287">
      <c r="C1" s="283" t="inlineStr">
        <is>
          <t xml:space="preserve">  Vacheron Constantin Sellout Plan </t>
        </is>
      </c>
      <c r="D1" s="284" t="n"/>
      <c r="E1" s="284" t="n"/>
      <c r="F1" s="284" t="n"/>
      <c r="G1" s="284" t="n"/>
      <c r="H1" s="284" t="n"/>
      <c r="I1" s="284" t="n"/>
      <c r="J1" s="284" t="n"/>
      <c r="K1" s="284" t="n"/>
      <c r="L1" s="284" t="n"/>
      <c r="M1" s="284" t="n"/>
      <c r="N1" s="284" t="n"/>
      <c r="O1" s="284" t="n"/>
      <c r="P1" s="284" t="n"/>
      <c r="Q1" s="284" t="n"/>
      <c r="R1" s="284" t="n"/>
      <c r="S1" s="284" t="n"/>
      <c r="T1" s="284" t="n"/>
      <c r="U1" s="284" t="n"/>
      <c r="V1" s="284" t="n"/>
      <c r="W1" s="284" t="n"/>
      <c r="X1" s="284" t="n"/>
      <c r="Y1" s="284" t="n"/>
      <c r="Z1" s="284" t="n"/>
      <c r="AA1" s="284" t="n"/>
      <c r="AB1" s="284" t="n"/>
      <c r="AC1" s="284" t="n"/>
      <c r="AD1" s="284" t="n"/>
      <c r="AE1" s="284" t="n"/>
      <c r="AF1" s="284" t="n"/>
      <c r="AG1" s="284" t="n"/>
      <c r="AH1" s="284" t="n"/>
      <c r="AI1" s="284" t="n"/>
      <c r="AJ1" s="284" t="n"/>
    </row>
    <row r="2" ht="97.2" customHeight="1" s="287">
      <c r="C2" s="284" t="n"/>
      <c r="D2" s="284" t="n"/>
      <c r="E2" s="284" t="n"/>
      <c r="F2" s="284" t="n"/>
      <c r="G2" s="284" t="n"/>
      <c r="H2" s="284" t="n"/>
      <c r="I2" s="284" t="n"/>
      <c r="J2" s="284" t="n"/>
      <c r="K2" s="284" t="n"/>
      <c r="L2" s="284" t="n"/>
      <c r="M2" s="284" t="n"/>
      <c r="N2" s="284" t="n"/>
      <c r="O2" s="284" t="n"/>
      <c r="P2" s="284" t="n"/>
      <c r="Q2" s="284" t="n"/>
      <c r="R2" s="284" t="n"/>
      <c r="S2" s="284" t="n"/>
      <c r="T2" s="284" t="n"/>
      <c r="U2" s="284" t="n"/>
      <c r="V2" s="284" t="n"/>
      <c r="W2" s="284" t="n"/>
      <c r="X2" s="284" t="n"/>
      <c r="Y2" s="284" t="n"/>
      <c r="Z2" s="284" t="n"/>
      <c r="AA2" s="284" t="n"/>
      <c r="AB2" s="284" t="n"/>
      <c r="AC2" s="284" t="n"/>
      <c r="AD2" s="284" t="n"/>
      <c r="AE2" s="284" t="n"/>
      <c r="AF2" s="284" t="n"/>
      <c r="AG2" s="284" t="n"/>
      <c r="AH2" s="284" t="n"/>
      <c r="AI2" s="284" t="n"/>
      <c r="AJ2" s="284" t="n"/>
    </row>
    <row r="3" hidden="1" ht="13.95" customHeight="1" s="287">
      <c r="F3" s="1" t="n">
        <v>2</v>
      </c>
      <c r="H3" s="1" t="n">
        <v>3</v>
      </c>
      <c r="I3" s="1" t="n"/>
      <c r="J3" s="1" t="n">
        <v>4</v>
      </c>
      <c r="K3" s="1" t="n"/>
      <c r="L3" s="87" t="n">
        <v>5</v>
      </c>
      <c r="M3" s="31" t="n">
        <v>7</v>
      </c>
      <c r="N3" s="40" t="n">
        <v>8</v>
      </c>
      <c r="O3" s="40" t="n">
        <v>10</v>
      </c>
      <c r="P3" s="40" t="n">
        <v>11</v>
      </c>
      <c r="Q3" s="1" t="n">
        <v>12</v>
      </c>
      <c r="R3" s="1" t="n"/>
      <c r="S3" s="11" t="n">
        <v>13</v>
      </c>
      <c r="T3" s="119" t="n"/>
      <c r="U3" s="1" t="n">
        <v>14</v>
      </c>
      <c r="V3" s="1" t="n"/>
      <c r="W3" s="1" t="n"/>
      <c r="X3" s="40" t="n"/>
      <c r="Y3" s="40" t="n"/>
      <c r="Z3" s="40" t="n">
        <v>15</v>
      </c>
      <c r="AA3" s="1" t="n">
        <v>16</v>
      </c>
      <c r="AB3" s="1" t="n">
        <v>17</v>
      </c>
      <c r="AC3" s="32" t="n">
        <v>18</v>
      </c>
      <c r="AD3" s="1" t="n">
        <v>19</v>
      </c>
      <c r="AE3" s="40" t="n">
        <v>20</v>
      </c>
      <c r="AF3" s="40" t="n">
        <v>21</v>
      </c>
      <c r="AG3" s="40" t="n"/>
      <c r="AH3" s="40" t="n"/>
      <c r="AI3" s="40" t="n"/>
    </row>
    <row r="4" ht="45" customHeight="1" s="287">
      <c r="C4" s="73" t="inlineStr">
        <is>
          <t xml:space="preserve">No. </t>
        </is>
      </c>
      <c r="D4" s="21" t="inlineStr">
        <is>
          <t>Search Open</t>
        </is>
      </c>
      <c r="E4" s="21" t="inlineStr">
        <is>
          <t>Search pending</t>
        </is>
      </c>
      <c r="F4" s="74" t="inlineStr">
        <is>
          <t>CRC Name</t>
        </is>
      </c>
      <c r="G4" s="74" t="inlineStr">
        <is>
          <t>Airtable Request Number</t>
        </is>
      </c>
      <c r="H4" s="74" t="inlineStr">
        <is>
          <t>Airtable Request Enty Date</t>
        </is>
      </c>
      <c r="I4" s="74" t="inlineStr">
        <is>
          <t>Request Entry Date</t>
        </is>
      </c>
      <c r="J4" s="77" t="inlineStr">
        <is>
          <t>Piece location</t>
        </is>
      </c>
      <c r="K4" s="77" t="inlineStr">
        <is>
          <t>Transaction location</t>
        </is>
      </c>
      <c r="L4" s="88" t="inlineStr">
        <is>
          <t xml:space="preserve"> Timepiece Status</t>
        </is>
      </c>
      <c r="M4" s="96" t="inlineStr">
        <is>
          <t>Potential Same Month</t>
        </is>
      </c>
      <c r="N4" s="75" t="inlineStr">
        <is>
          <t>Transaction Market</t>
        </is>
      </c>
      <c r="O4" s="75" t="inlineStr">
        <is>
          <t xml:space="preserve">Timepiece Reference </t>
        </is>
      </c>
      <c r="P4" s="75" t="inlineStr">
        <is>
          <t>Collection Name</t>
        </is>
      </c>
      <c r="Q4" s="74" t="inlineStr">
        <is>
          <t>Price</t>
        </is>
      </c>
      <c r="R4" s="74" t="inlineStr">
        <is>
          <t>Price 2</t>
        </is>
      </c>
      <c r="S4" s="76" t="inlineStr">
        <is>
          <t>Client ID</t>
        </is>
      </c>
      <c r="T4" s="121" t="inlineStr">
        <is>
          <t>Prospect Feedback</t>
        </is>
      </c>
      <c r="U4" s="77" t="inlineStr">
        <is>
          <t xml:space="preserve">Sale Status	</t>
        </is>
      </c>
      <c r="V4" s="77" t="inlineStr">
        <is>
          <t>Column1</t>
        </is>
      </c>
      <c r="W4" s="74" t="inlineStr">
        <is>
          <t>Invoice Month</t>
        </is>
      </c>
      <c r="X4" s="75" t="inlineStr">
        <is>
          <t>Payment Method</t>
        </is>
      </c>
      <c r="Y4" s="75" t="inlineStr">
        <is>
          <t>Invoice Number</t>
        </is>
      </c>
      <c r="Z4" s="75" t="inlineStr">
        <is>
          <t>Invoice Date</t>
        </is>
      </c>
      <c r="AA4" s="21" t="inlineStr">
        <is>
          <t>NO Of  Open  days</t>
        </is>
      </c>
      <c r="AB4" s="21" t="inlineStr">
        <is>
          <t>Pending days (timepieces)</t>
        </is>
      </c>
      <c r="AC4" s="33" t="inlineStr">
        <is>
          <t>NO of Pending Days</t>
        </is>
      </c>
      <c r="AD4" s="22" t="inlineStr">
        <is>
          <t xml:space="preserve">NO Of  Open </t>
        </is>
      </c>
      <c r="AE4" s="75" t="inlineStr">
        <is>
          <t>Description</t>
        </is>
      </c>
      <c r="AF4" s="75" t="inlineStr">
        <is>
          <t>Timepiece Request Updates</t>
        </is>
      </c>
      <c r="AG4" s="75" t="inlineStr">
        <is>
          <t>Client Request Updates</t>
        </is>
      </c>
      <c r="AH4" s="75" t="inlineStr">
        <is>
          <t>Transferred TO</t>
        </is>
      </c>
      <c r="AI4" s="75" t="inlineStr">
        <is>
          <t>Captured date (Month and Year)</t>
        </is>
      </c>
      <c r="AJ4" s="75" t="inlineStr">
        <is>
          <t>Month</t>
        </is>
      </c>
      <c r="AK4" s="21" t="inlineStr">
        <is>
          <t>Adjusted Price</t>
        </is>
      </c>
      <c r="AL4" s="21" t="inlineStr">
        <is>
          <t>Adjusted Price2</t>
        </is>
      </c>
      <c r="AM4" s="21" t="inlineStr">
        <is>
          <t>Adjusted Price3</t>
        </is>
      </c>
      <c r="AN4" s="21" t="inlineStr">
        <is>
          <t>Adjusted Price4</t>
        </is>
      </c>
    </row>
    <row r="5" ht="130.5" customHeight="1" s="287">
      <c r="C5" s="148" t="n">
        <v>1</v>
      </c>
      <c r="D5" s="136">
        <f>IF($U5="Open Sale", IF(MAX($D$4:D4)+1=0, "", MAX($D$4:D4)+1), "")</f>
        <v/>
      </c>
      <c r="E5" s="136">
        <f>IF($U5="Pending Allocation", IF(MAX($E$4:E4)+1=0, "", MAX($E$4:E4)+1), "")</f>
        <v/>
      </c>
      <c r="F5" s="133" t="inlineStr">
        <is>
          <t>Maaz</t>
        </is>
      </c>
      <c r="G5" s="133" t="n"/>
      <c r="H5" s="149" t="n"/>
      <c r="I5" s="150" t="n"/>
      <c r="J5" s="67" t="n"/>
      <c r="K5" s="136" t="n"/>
      <c r="L5" s="139" t="n"/>
      <c r="M5" s="140" t="n"/>
      <c r="N5" s="136" t="n"/>
      <c r="O5" s="133" t="n"/>
      <c r="P5" s="93" t="n"/>
      <c r="Q5" s="190" t="n"/>
      <c r="R5" s="153">
        <f>IFERROR(VALUE(SUBSTITUTE(SUBSTITUTE(Q5, "Price", ""), "AED", "")), "")</f>
        <v/>
      </c>
      <c r="S5" s="257" t="inlineStr">
        <is>
          <t>105116801</t>
        </is>
      </c>
      <c r="T5" s="155" t="inlineStr">
        <is>
          <t>60% Still interested</t>
        </is>
      </c>
      <c r="U5" s="133" t="n"/>
      <c r="V5" s="133" t="n"/>
      <c r="W5" s="156" t="n"/>
      <c r="X5" s="157" t="n"/>
      <c r="Y5" s="158" t="n"/>
      <c r="Z5" s="158" t="n"/>
      <c r="AA5" s="159">
        <f>IF(H5="", "", IF(U5="Open Sale", IF(TODAY()-H5=0, "0 Days", TEXT(TODAY()-H5, "0") &amp; " Days"), IF(U5="Closed Sale", AA5, "")))</f>
        <v/>
      </c>
      <c r="AB5" s="159">
        <f>IF(H5="", "", IF(OR(U5="Pending", U5="Pending Allocation"), CONCATENATE(TODAY()-H5, " Days"), IF(U5="Closed", "", "")))</f>
        <v/>
      </c>
      <c r="AC5" s="160">
        <f>IF(U5="Pending Allocation", IF(I5="", "", TODAY()-I5), "")</f>
        <v/>
      </c>
      <c r="AD5" s="159">
        <f>IF(U5="Open Sale", TEXT(TODAY()-I5, "0"),
   IF(U5="Pending", "",
      IF(U5="Closed Sale", "", "")))</f>
        <v/>
      </c>
      <c r="AE5" s="161" t="n"/>
      <c r="AF5" s="162" t="n"/>
      <c r="AG5" s="163" t="n"/>
      <c r="AH5" s="136" t="n"/>
      <c r="AI5" s="164">
        <f>TEXT(I5, "mmmm yyyy")</f>
        <v/>
      </c>
      <c r="AJ5" s="164">
        <f>IF(AND(OpenPendingCases[[#This Row],[Sale Status	]]="Open Sale",OpenPendingCases[[#This Row],[Potential Same Month]]="High"),TEXT(OpenPendingCases[[#This Row],[Request Entry Date]], "[$-en-us]mmmm"),"")</f>
        <v/>
      </c>
      <c r="AK5" s="165">
        <f>IFERROR(VALUE(SUBSTITUTE(OpenPendingCases[[#This Row],[Price]]," AED","")),"")</f>
        <v/>
      </c>
      <c r="AL5" s="165">
        <f>IFERROR(VALUE(LEFT(OpenPendingCases[[#This Row],[Price]],FIND(" ",OpenPendingCases[[#This Row],[Price]])-1)),"")</f>
        <v/>
      </c>
      <c r="AM5" s="165">
        <f>IFERROR(VALUE(_xlfn.TEXTBEFORE(OpenPendingCases[[#This Row],[Price]]," AED")),"")</f>
        <v/>
      </c>
      <c r="AN5" s="165" t="n"/>
      <c r="AS5" s="1" t="inlineStr">
        <is>
          <t>Open Sale</t>
        </is>
      </c>
      <c r="AU5" s="1" t="inlineStr">
        <is>
          <t>MOE</t>
        </is>
      </c>
      <c r="AV5" s="1" t="inlineStr">
        <is>
          <t xml:space="preserve">CRC - Ecom </t>
        </is>
      </c>
      <c r="AW5" s="1" t="inlineStr">
        <is>
          <t>No Availability</t>
        </is>
      </c>
      <c r="AX5" s="1" t="inlineStr">
        <is>
          <t>None</t>
        </is>
      </c>
    </row>
    <row r="6" hidden="1" ht="130.5" customHeight="1" s="287">
      <c r="C6" s="148" t="n">
        <v>2</v>
      </c>
      <c r="D6" s="136">
        <f>IF($U6="Open Sale", IF(MAX($D$4:D5)+1=0, "", MAX($D$4:D5)+1), "")</f>
        <v/>
      </c>
      <c r="E6" s="136">
        <f>IF($U6="Pending Allocation", IF(MAX($E$4:E5)+1=0, "", MAX($E$4:E5)+1), "")</f>
        <v/>
      </c>
      <c r="F6" s="133" t="inlineStr">
        <is>
          <t>Asma</t>
        </is>
      </c>
      <c r="G6" s="133" t="n"/>
      <c r="H6" s="149" t="n">
        <v>45574</v>
      </c>
      <c r="I6" s="150" t="n">
        <v>45682</v>
      </c>
      <c r="J6" s="67">
        <f>IF(OpenPendingCases[[#This Row],[Timepiece Reference ]]="", "", IF(_xlfn.XLOOKUP(OpenPendingCases[[#This Row],[Timepiece Reference ]], Table1[[Timepiece Reference ]], Table1[CRC STOCK], "Not Found")="YES", "CRC Stock", "Boutique Stock"))</f>
        <v/>
      </c>
      <c r="K6" s="136" t="inlineStr">
        <is>
          <t>Boutique Stock</t>
        </is>
      </c>
      <c r="L6" s="139" t="inlineStr">
        <is>
          <t>Allocation Closed (Sold)</t>
        </is>
      </c>
      <c r="M6" s="140" t="inlineStr">
        <is>
          <t>High</t>
        </is>
      </c>
      <c r="N6" s="136" t="inlineStr">
        <is>
          <t>Middle East (UAE)</t>
        </is>
      </c>
      <c r="O6" s="133" t="inlineStr">
        <is>
          <t xml:space="preserve">5520V/210A-B148 </t>
        </is>
      </c>
      <c r="P6" s="93">
        <f>IFERROR(VLOOKUP(TRIM(O6), Collection!$B$2:$D$1001, 2, FALSE), "")</f>
        <v/>
      </c>
      <c r="Q6" s="190">
        <f>IFERROR(VLOOKUP(TRIM(O6), Collection!$B$2:$D$1001, 3, FALSE), "")</f>
        <v/>
      </c>
      <c r="R6" s="153">
        <f>IFERROR(VALUE(SUBSTITUTE(SUBSTITUTE(Q6, "Price", ""), "AED", "")), "")</f>
        <v/>
      </c>
      <c r="S6" s="154" t="n">
        <v>101424152</v>
      </c>
      <c r="T6" s="155" t="inlineStr">
        <is>
          <t>NA</t>
        </is>
      </c>
      <c r="U6" s="136" t="inlineStr">
        <is>
          <t>Sold</t>
        </is>
      </c>
      <c r="V6" s="136" t="n"/>
      <c r="W6" s="156">
        <f>IF(Z6 = "",
"",
TEXT(Z6, "mmmm"))</f>
        <v/>
      </c>
      <c r="X6" s="157" t="inlineStr">
        <is>
          <t>Full Payment - By link</t>
        </is>
      </c>
      <c r="Y6" s="161" t="n">
        <v>6100098091</v>
      </c>
      <c r="Z6" s="158" t="n">
        <v>45754</v>
      </c>
      <c r="AA6" s="159">
        <f>IF(H6="", "", IF(U6="Open Sale", IF(TODAY()-H6=0, "0 Days", TEXT(TODAY()-H6, "0") &amp; " Days"), IF(U6="Closed Sale", AA6, "")))</f>
        <v/>
      </c>
      <c r="AB6" s="159">
        <f>IF(H6="", "", IF(OR(U6="Pending", U6="Pending Allocation"), CONCATENATE(TODAY()-H6, " Days"), IF(U6="Closed", "", "")))</f>
        <v/>
      </c>
      <c r="AC6" s="160">
        <f>IF(U6="Pending Allocation", IF(I6="", "", TODAY()-I6), "")</f>
        <v/>
      </c>
      <c r="AD6" s="159">
        <f>IF(U6="Open Sale", TEXT(TODAY()-I6, "0"),
IF(U6="Pending", "",
IF(U6="Closed Sale", "", "")))</f>
        <v/>
      </c>
      <c r="AE6" s="161" t="inlineStr">
        <is>
          <t>The client is a collector, he has a Patrimony and an old Overseas Model, would like to purchase this Overseas Chronograph.</t>
        </is>
      </c>
      <c r="AF6" s="161" t="inlineStr">
        <is>
          <t>Sold phone sale</t>
        </is>
      </c>
      <c r="AG6" s="163" t="n"/>
      <c r="AH6" s="133" t="n"/>
      <c r="AI6" s="164">
        <f>TEXT(I6, "mmmm yyyy")</f>
        <v/>
      </c>
      <c r="AJ6" s="164">
        <f>IF(AND(OpenPendingCases[[#This Row],[Sale Status	]]="Open Sale",OpenPendingCases[[#This Row],[Potential Same Month]]="High"),TEXT(OpenPendingCases[[#This Row],[Request Entry Date]], "[$-en-us]mmmm"),"")</f>
        <v/>
      </c>
      <c r="AK6" s="165">
        <f>IFERROR(VALUE(SUBSTITUTE(OpenPendingCases[[#This Row],[Price]]," AED","")),"")</f>
        <v/>
      </c>
      <c r="AL6" s="165">
        <f>IFERROR(VALUE(LEFT(OpenPendingCases[[#This Row],[Price]],FIND(" ",OpenPendingCases[[#This Row],[Price]])-1)),"")</f>
        <v/>
      </c>
      <c r="AM6" s="165">
        <f>IFERROR(VALUE(_xlfn.TEXTBEFORE(OpenPendingCases[[#This Row],[Price]]," AED")),"")</f>
        <v/>
      </c>
      <c r="AN6" s="165" t="n"/>
      <c r="AS6" s="1" t="inlineStr">
        <is>
          <t>Closed Sale</t>
        </is>
      </c>
      <c r="AU6" s="1" t="inlineStr">
        <is>
          <t>Suite 1755</t>
        </is>
      </c>
      <c r="AV6" s="1" t="inlineStr">
        <is>
          <t xml:space="preserve">Boutique </t>
        </is>
      </c>
      <c r="AW6" s="1" t="inlineStr">
        <is>
          <t>Piece Arrival/Allocation Updates</t>
        </is>
      </c>
      <c r="AX6" s="1" t="inlineStr">
        <is>
          <t>Very Low</t>
        </is>
      </c>
    </row>
    <row r="7" ht="130.5" customHeight="1" s="287">
      <c r="C7" s="148" t="n">
        <v>3</v>
      </c>
      <c r="D7" s="136">
        <f>IF($U7="Open Sale", IF(MAX($D$4:D6)+1=0, "", MAX($D$4:D6)+1), "")</f>
        <v/>
      </c>
      <c r="E7" s="136">
        <f>IF($U7="Pending Allocation", IF(MAX($E$4:E6)+1=0, "", MAX($E$4:E6)+1), "")</f>
        <v/>
      </c>
      <c r="F7" s="133" t="n"/>
      <c r="G7" s="136" t="n"/>
      <c r="H7" s="149" t="n"/>
      <c r="I7" s="150" t="n"/>
      <c r="J7" s="67" t="n"/>
      <c r="K7" s="136" t="n"/>
      <c r="L7" s="139" t="n"/>
      <c r="M7" s="140" t="n"/>
      <c r="N7" s="136" t="n"/>
      <c r="O7" s="133" t="n"/>
      <c r="P7" s="93" t="n"/>
      <c r="Q7" s="190" t="n"/>
      <c r="R7" s="153">
        <f>IFERROR(VALUE(SUBSTITUTE(SUBSTITUTE(Q7, "Price", ""), "AED", "")), "")</f>
        <v/>
      </c>
      <c r="S7" s="257" t="inlineStr">
        <is>
          <t>101467308</t>
        </is>
      </c>
      <c r="T7" s="155" t="inlineStr">
        <is>
          <t>60% Still interested</t>
        </is>
      </c>
      <c r="U7" s="136" t="n"/>
      <c r="V7" s="136" t="n"/>
      <c r="W7" s="156" t="n"/>
      <c r="X7" s="157" t="n"/>
      <c r="Y7" s="158" t="n"/>
      <c r="Z7" s="158" t="n"/>
      <c r="AA7" s="159">
        <f>IF(H7="", "", IF(U7="Open Sale", IF(TODAY()-H7=0, "0 Days", TEXT(TODAY()-H7, "0") &amp; " Days"), IF(U7="Closed Sale", AA7, "")))</f>
        <v/>
      </c>
      <c r="AB7" s="159">
        <f>IF(H7="", "", IF(OR(U7="Pending", U7="Pending Allocation"), CONCATENATE(TODAY()-H7, " Days"), IF(U7="Closed", "", "")))</f>
        <v/>
      </c>
      <c r="AC7" s="160">
        <f>IF(U7="Pending Allocation", IF(I7="", "", TODAY()-I7), "")</f>
        <v/>
      </c>
      <c r="AD7" s="159">
        <f>IF(U7="Open Sale", TEXT(TODAY()-I7, "0"),
IF(U7="Pending", "",
IF(U7="Closed Sale", "", "")))</f>
        <v/>
      </c>
      <c r="AE7" s="161" t="n"/>
      <c r="AF7" s="161" t="n"/>
      <c r="AG7" s="161" t="n"/>
      <c r="AH7" s="136" t="n"/>
      <c r="AI7" s="164">
        <f>TEXT(I7, "mmmm yyyy")</f>
        <v/>
      </c>
      <c r="AJ7" s="164">
        <f>IF(AND(OpenPendingCases[[#This Row],[Sale Status	]]="Open Sale",OpenPendingCases[[#This Row],[Potential Same Month]]="High"),TEXT(OpenPendingCases[[#This Row],[Request Entry Date]], "[$-en-us]mmmm"),"")</f>
        <v/>
      </c>
      <c r="AK7" s="165">
        <f>IFERROR(VALUE(SUBSTITUTE(OpenPendingCases[[#This Row],[Price]]," AED","")),"")</f>
        <v/>
      </c>
      <c r="AL7" s="165">
        <f>IFERROR(VALUE(LEFT(OpenPendingCases[[#This Row],[Price]],FIND(" ",OpenPendingCases[[#This Row],[Price]])-1)),"")</f>
        <v/>
      </c>
      <c r="AM7" s="165">
        <f>IFERROR(VALUE(_xlfn.TEXTBEFORE(OpenPendingCases[[#This Row],[Price]]," AED")),"")</f>
        <v/>
      </c>
      <c r="AN7" s="165" t="n"/>
      <c r="AS7" s="1" t="inlineStr">
        <is>
          <t>Pending Allocation</t>
        </is>
      </c>
      <c r="AU7" s="1" t="inlineStr">
        <is>
          <t>Dubai Mall</t>
        </is>
      </c>
      <c r="AV7" s="1" t="inlineStr">
        <is>
          <t>Paid</t>
        </is>
      </c>
      <c r="AW7" s="1" t="inlineStr">
        <is>
          <t>Confirmed/Deposit Paid</t>
        </is>
      </c>
      <c r="AX7" s="1" t="inlineStr">
        <is>
          <t>Low</t>
        </is>
      </c>
    </row>
    <row r="8" ht="130.5" customHeight="1" s="287">
      <c r="C8" s="148" t="n">
        <v>4</v>
      </c>
      <c r="D8" s="136">
        <f>IF($U8="Open Sale", IF(MAX($D$4:D7)+1=0, "", MAX($D$4:D7)+1), "")</f>
        <v/>
      </c>
      <c r="E8" s="136">
        <f>IF($U8="Pending Allocation", IF(MAX($E$4:E7)+1=0, "", MAX($E$4:E7)+1), "")</f>
        <v/>
      </c>
      <c r="F8" s="133" t="n"/>
      <c r="G8" s="136" t="n"/>
      <c r="H8" s="149" t="n"/>
      <c r="I8" s="150" t="n"/>
      <c r="J8" s="67" t="n"/>
      <c r="K8" s="136" t="n"/>
      <c r="L8" s="139" t="n"/>
      <c r="M8" s="140" t="n"/>
      <c r="N8" s="136" t="n"/>
      <c r="O8" s="133" t="n"/>
      <c r="P8" s="93" t="n"/>
      <c r="Q8" s="190" t="n"/>
      <c r="R8" s="153">
        <f>IFERROR(VALUE(SUBSTITUTE(SUBSTITUTE(Q8, "Price", ""), "AED", "")), "")</f>
        <v/>
      </c>
      <c r="S8" s="154" t="n"/>
      <c r="T8" s="155" t="n"/>
      <c r="U8" s="136" t="n"/>
      <c r="V8" s="136" t="n"/>
      <c r="W8" s="156" t="n"/>
      <c r="X8" s="157" t="n"/>
      <c r="Y8" s="158" t="n"/>
      <c r="Z8" s="158" t="n"/>
      <c r="AA8" s="159">
        <f>IF(H8="", "", IF(U8="Open Sale", IF(TODAY()-H8=0, "0 Days", TEXT(TODAY()-H8, "0") &amp; " Days"), IF(U8="Closed Sale", AA8, "")))</f>
        <v/>
      </c>
      <c r="AB8" s="159">
        <f>IF(H8="", "", IF(OR(U8="Pending", U8="Pending Allocation"), CONCATENATE(TODAY()-H8, " Days"), IF(U8="Closed", "", "")))</f>
        <v/>
      </c>
      <c r="AC8" s="160">
        <f>IF(U8="Pending Allocation", IF(I8="", "", TODAY()-I8), "")</f>
        <v/>
      </c>
      <c r="AD8" s="159">
        <f>IF(U8="Open Sale", TEXT(TODAY()-I8, "0"),
IF(U8="Pending", "",
IF(U8="Closed Sale", "", "")))</f>
        <v/>
      </c>
      <c r="AE8" s="161" t="n"/>
      <c r="AF8" s="161" t="n"/>
      <c r="AG8" s="161" t="n"/>
      <c r="AH8" s="136" t="n"/>
      <c r="AI8" s="164">
        <f>TEXT(I8, "mmmm yyyy")</f>
        <v/>
      </c>
      <c r="AJ8" s="164">
        <f>IF(AND(OpenPendingCases[[#This Row],[Sale Status	]]="Open Sale",OpenPendingCases[[#This Row],[Potential Same Month]]="High"),TEXT(OpenPendingCases[[#This Row],[Request Entry Date]], "[$-en-us]mmmm"),"")</f>
        <v/>
      </c>
      <c r="AK8" s="165">
        <f>IFERROR(VALUE(SUBSTITUTE(OpenPendingCases[[#This Row],[Price]]," AED","")),"")</f>
        <v/>
      </c>
      <c r="AL8" s="165">
        <f>IFERROR(VALUE(LEFT(OpenPendingCases[[#This Row],[Price]],FIND(" ",OpenPendingCases[[#This Row],[Price]])-1)),"")</f>
        <v/>
      </c>
      <c r="AM8" s="165">
        <f>IFERROR(VALUE(_xlfn.TEXTBEFORE(OpenPendingCases[[#This Row],[Price]]," AED")),"")</f>
        <v/>
      </c>
      <c r="AN8" s="165" t="n"/>
      <c r="AS8" s="1" t="inlineStr">
        <is>
          <t>Sold</t>
        </is>
      </c>
      <c r="AW8" s="1" t="inlineStr">
        <is>
          <t>Client Decision Deferred</t>
        </is>
      </c>
      <c r="AX8" s="1" t="inlineStr">
        <is>
          <t>Medium</t>
        </is>
      </c>
    </row>
    <row r="9" ht="130.5" customHeight="1" s="287">
      <c r="C9" s="148" t="n">
        <v>5</v>
      </c>
      <c r="D9" s="136">
        <f>IF($U9="Open Sale", IF(MAX($D$4:D8)+1=0, "", MAX($D$4:D8)+1), "")</f>
        <v/>
      </c>
      <c r="E9" s="136">
        <f>IF($U9="Pending Allocation", IF(MAX($E$4:E8)+1=0, "", MAX($E$4:E8)+1), "")</f>
        <v/>
      </c>
      <c r="F9" s="133" t="n"/>
      <c r="G9" s="136" t="n"/>
      <c r="H9" s="150" t="n"/>
      <c r="I9" s="150" t="n"/>
      <c r="J9" s="67" t="n"/>
      <c r="K9" s="136" t="n"/>
      <c r="L9" s="139" t="n"/>
      <c r="M9" s="140" t="n"/>
      <c r="N9" s="136" t="n"/>
      <c r="O9" s="133" t="n"/>
      <c r="P9" s="93" t="n"/>
      <c r="Q9" s="190" t="n"/>
      <c r="R9" s="153">
        <f>IFERROR(VALUE(SUBSTITUTE(SUBSTITUTE(Q9, "Price", ""), "AED", "")), "")</f>
        <v/>
      </c>
      <c r="S9" s="154" t="n"/>
      <c r="T9" s="204" t="n"/>
      <c r="U9" s="133" t="n"/>
      <c r="V9" s="133" t="n"/>
      <c r="W9" s="156" t="n"/>
      <c r="X9" s="157" t="n"/>
      <c r="Y9" s="158" t="n"/>
      <c r="Z9" s="158" t="n"/>
      <c r="AA9" s="159">
        <f>IF(H9="", "", IF(U9="Open Sale", IF(TODAY()-H9=0, "0 Days", TEXT(TODAY()-H9, "0") &amp; " Days"), IF(U9="Closed Sale", AA9, "")))</f>
        <v/>
      </c>
      <c r="AB9" s="159">
        <f>IF(H9="", "", IF(OR(U9="Pending", U9="Pending Allocation"), CONCATENATE(TODAY()-H9, " Days"), IF(U9="Closed", "", "")))</f>
        <v/>
      </c>
      <c r="AC9" s="160">
        <f>IF(U9="Pending Allocation", IF(I9="", "", TODAY()-I9), "")</f>
        <v/>
      </c>
      <c r="AD9" s="159">
        <f>IF(U9="Open Sale", TEXT(TODAY()-I9, "0"),
   IF(U9="Pending", "",
      IF(U9="Closed Sale", "", "")))</f>
        <v/>
      </c>
      <c r="AE9" s="161" t="n"/>
      <c r="AF9" s="161" t="n"/>
      <c r="AG9" s="161" t="n"/>
      <c r="AH9" s="136" t="n"/>
      <c r="AI9" s="164">
        <f>TEXT(#REF!, "mmmm yyyy")</f>
        <v/>
      </c>
      <c r="AJ9" s="189">
        <f>IF(AND(OpenPendingCases[[#This Row],[Sale Status	]]="Open Sale",OpenPendingCases[[#This Row],[Potential Same Month]]="High"),TEXT(OpenPendingCases[[#This Row],[Request Entry Date]], "[$-en-us]mmmm"),"")</f>
        <v/>
      </c>
      <c r="AK9" s="165">
        <f>IFERROR(VALUE(SUBSTITUTE(OpenPendingCases[[#This Row],[Price]]," AED","")),"")</f>
        <v/>
      </c>
      <c r="AL9" s="165">
        <f>IFERROR(VALUE(LEFT(OpenPendingCases[[#This Row],[Price]],FIND(" ",OpenPendingCases[[#This Row],[Price]])-1)),"")</f>
        <v/>
      </c>
      <c r="AM9" s="165">
        <f>IFERROR(VALUE(_xlfn.TEXTBEFORE(OpenPendingCases[[#This Row],[Price]]," AED")),"")</f>
        <v/>
      </c>
      <c r="AN9" s="165" t="n"/>
    </row>
    <row r="10" ht="130.5" customHeight="1" s="287">
      <c r="C10" s="133" t="n">
        <v>6</v>
      </c>
      <c r="D10" s="136" t="n"/>
      <c r="E10" s="136" t="n"/>
      <c r="F10" s="137" t="n"/>
      <c r="G10" s="133" t="n"/>
      <c r="H10" s="150" t="n"/>
      <c r="I10" s="150" t="n"/>
      <c r="J10" s="172" t="n"/>
      <c r="K10" s="137" t="n"/>
      <c r="L10" s="205" t="n"/>
      <c r="M10" s="141" t="n"/>
      <c r="N10" s="206" t="n"/>
      <c r="O10" s="135" t="n"/>
      <c r="P10" s="137" t="n"/>
      <c r="Q10" s="187" t="n"/>
      <c r="R10" s="173">
        <f>IFERROR(VALUE(SUBSTITUTE(SUBSTITUTE(Q10, "Price", ""), "AED", "")), "")</f>
        <v/>
      </c>
      <c r="S10" s="174" t="n"/>
      <c r="T10" s="185" t="n"/>
      <c r="U10" s="137" t="n"/>
      <c r="V10" s="137" t="n"/>
      <c r="W10" s="186" t="n"/>
      <c r="X10" s="188" t="n"/>
      <c r="Y10" s="175" t="n"/>
      <c r="Z10" s="175" t="n"/>
      <c r="AA10" s="137">
        <f>IF(H10="", "", IF(U10="Open Sale", IF(TODAY()-H10=0, "0 Days", TEXT(TODAY()-H10, "0") &amp; " Days"), IF(U10="Closed Sale", AA10, "")))</f>
        <v/>
      </c>
      <c r="AB10" s="137">
        <f>IF(H10="", "", IF(OR(U10="Pending", U10="Pending Allocation"), CONCATENATE(TODAY()-H10, " Days"), IF(U10="Closed", "", "")))</f>
        <v/>
      </c>
      <c r="AC10" s="176">
        <f>IF(U10="Pending Allocation", IF(I10="", "", TODAY()-I10), "")</f>
        <v/>
      </c>
      <c r="AD10" s="177">
        <f>IF(U10="Open Sale", TEXT(TODAY()-I10, "0"),
   IF(U10="Pending", "",
      IF(U10="Closed Sale", "", "")))</f>
        <v/>
      </c>
      <c r="AE10" s="178" t="n"/>
      <c r="AF10" s="178" t="n"/>
      <c r="AG10" s="178" t="n"/>
      <c r="AH10" s="136" t="n"/>
      <c r="AI10" s="164">
        <f>TEXT(I9, "mmmm yyyy")</f>
        <v/>
      </c>
      <c r="AJ10" s="164">
        <f>IF(AND(OpenPendingCases[[#This Row],[Sale Status	]]="Open Sale",OpenPendingCases[[#This Row],[Potential Same Month]]="High"),TEXT(OpenPendingCases[[#This Row],[Request Entry Date]], "[$-en-us]mmmm"),"")</f>
        <v/>
      </c>
      <c r="AK10" s="165">
        <f>IFERROR(VALUE(SUBSTITUTE(OpenPendingCases[[#This Row],[Price]]," AED","")),"")</f>
        <v/>
      </c>
      <c r="AL10" s="165">
        <f>IFERROR(VALUE(LEFT(OpenPendingCases[[#This Row],[Price]],FIND(" ",OpenPendingCases[[#This Row],[Price]])-1)),"")</f>
        <v/>
      </c>
      <c r="AM10" s="165">
        <f>IFERROR(VALUE(_xlfn.TEXTBEFORE(OpenPendingCases[[#This Row],[Price]]," AED")),"")</f>
        <v/>
      </c>
      <c r="AN10" s="165" t="n"/>
      <c r="AS10" s="1" t="inlineStr">
        <is>
          <t>Transferred</t>
        </is>
      </c>
      <c r="AW10" s="1" t="inlineStr">
        <is>
          <t>Awaiting Client Feedback</t>
        </is>
      </c>
      <c r="AX10" s="1" t="inlineStr">
        <is>
          <t>High</t>
        </is>
      </c>
    </row>
    <row r="11" hidden="1" ht="130.5" customHeight="1" s="287">
      <c r="C11" s="133" t="n"/>
      <c r="D11" s="136">
        <f>IF($U11="Open", IF(MAX($D$4:D9)+1=0, "", MAX($D$4:D9)+1), "")</f>
        <v/>
      </c>
      <c r="E11" s="136">
        <f>IF($U11="Pending Allocation", IF(MAX($E$4:E9)+1=0, "", MAX($E$4:E9)+1), "")</f>
        <v/>
      </c>
      <c r="F11" s="133" t="inlineStr">
        <is>
          <t xml:space="preserve">Riham </t>
        </is>
      </c>
      <c r="G11" s="136" t="n"/>
      <c r="H11" s="150" t="n"/>
      <c r="I11" s="150" t="n"/>
      <c r="J11" s="67">
        <f>IF(OpenPendingCases[[#This Row],[Timepiece Reference ]]="", "", IF(_xlfn.XLOOKUP(OpenPendingCases[[#This Row],[Timepiece Reference ]], Table1[[Timepiece Reference ]], Table1[CRC STOCK], "Not Found")="YES", "CRC Stock", "Boutique Stock"))</f>
        <v/>
      </c>
      <c r="K11" s="136">
        <f>IF(OpenPendingCases[[#This Row],[Timepiece Reference ]]="", "", IF(_xlfn.XLOOKUP(OpenPendingCases[[#This Row],[Timepiece Reference ]], Table1[[Timepiece Reference ]], Table1[CRC STOCK], "Not Found")="YES", "CRC Stock", "Boutique Stock"))</f>
        <v/>
      </c>
      <c r="L11" s="139" t="inlineStr">
        <is>
          <t>Allocation Confirmed</t>
        </is>
      </c>
      <c r="M11" s="140" t="inlineStr">
        <is>
          <t>High</t>
        </is>
      </c>
      <c r="N11" s="136" t="inlineStr">
        <is>
          <t>Middle East (KSA)</t>
        </is>
      </c>
      <c r="O11" s="133" t="inlineStr">
        <is>
          <t>1225V/200A-B590</t>
        </is>
      </c>
      <c r="P11" s="136">
        <f>IFERROR(VLOOKUP(TRIM(O11), Collection!$B$2:$D$1001, 2, FALSE), "")</f>
        <v/>
      </c>
      <c r="Q11" s="152">
        <f>IFERROR(VLOOKUP(TRIM(O11), Collection!$B$2:$D$1001, 3, FALSE), "")</f>
        <v/>
      </c>
      <c r="R11" s="153">
        <f>IFERROR(VALUE(SUBSTITUTE(SUBSTITUTE(Q11, "Price", ""), "AED", "")), "")</f>
        <v/>
      </c>
      <c r="S11" s="168" t="n">
        <v>101952213</v>
      </c>
      <c r="T11" s="183" t="n"/>
      <c r="U11" s="136" t="inlineStr">
        <is>
          <t>Sold</t>
        </is>
      </c>
      <c r="V11" s="136" t="n"/>
      <c r="W11" s="156" t="inlineStr">
        <is>
          <t>July</t>
        </is>
      </c>
      <c r="X11" s="157" t="inlineStr">
        <is>
          <t>Full payment - At Boutique</t>
        </is>
      </c>
      <c r="Y11" s="158" t="inlineStr">
        <is>
          <t>T-129323469</t>
        </is>
      </c>
      <c r="Z11" s="158" t="n">
        <v>45840</v>
      </c>
      <c r="AA11" s="136">
        <f>IF(H11="", "", IF(U11="Open Sale", IF(TODAY()-H11=0, "0 Days", TEXT(TODAY()-H11, "0") &amp; " Days"), IF(U11="Closed Sale", AA11, "")))</f>
        <v/>
      </c>
      <c r="AB11" s="136">
        <f>IF(H11="", "", IF(OR(U11="Pending", U11="Pending Allocation"), CONCATENATE(TODAY()-H11, " Days"), IF(U11="Closed", "", "")))</f>
        <v/>
      </c>
      <c r="AC11" s="160">
        <f>IF(U11="Pending Allocation", IF(I11="", "", TODAY()-I11), "")</f>
        <v/>
      </c>
      <c r="AD11" s="159">
        <f>IF(U11="Open Sale", TEXT(TODAY()-I11, "0"),
   IF(U11="Pending", "",
      IF(U11="Closed Sale", "", "")))</f>
        <v/>
      </c>
      <c r="AE11" s="163" t="n"/>
      <c r="AF11" s="161" t="n"/>
      <c r="AG11" s="161" t="n"/>
      <c r="AH11" s="136" t="n"/>
      <c r="AI11" s="164">
        <f>TEXT(I11, "mmmm yyyy")</f>
        <v/>
      </c>
      <c r="AJ11" s="189">
        <f>IF(AND(OpenPendingCases[[#This Row],[Sale Status	]]="Open Sale",OpenPendingCases[[#This Row],[Potential Same Month]]="High"),TEXT(OpenPendingCases[[#This Row],[Request Entry Date]], "[$-en-us]mmmm"),"")</f>
        <v/>
      </c>
      <c r="AK11" s="165">
        <f>IFERROR(VALUE(SUBSTITUTE(OpenPendingCases[[#This Row],[Price]]," AED","")),"")</f>
        <v/>
      </c>
      <c r="AL11" s="165">
        <f>IFERROR(VALUE(LEFT(OpenPendingCases[[#This Row],[Price]],FIND(" ",OpenPendingCases[[#This Row],[Price]])-1)),"")</f>
        <v/>
      </c>
      <c r="AM11" s="165">
        <f>IFERROR(VALUE(_xlfn.TEXTBEFORE(OpenPendingCases[[#This Row],[Price]]," AED")),"")</f>
        <v/>
      </c>
      <c r="AN11" s="165" t="n"/>
      <c r="AS11" s="1" t="inlineStr">
        <is>
          <t xml:space="preserve">Paid Deposite </t>
        </is>
      </c>
    </row>
    <row r="12" hidden="1" ht="130.5" customHeight="1" s="287">
      <c r="C12" s="133" t="n"/>
      <c r="D12" s="136">
        <f>IF($U12="Open", IF(MAX($D$4:D12)+1=0, "", MAX($D$4:D12)+1), "")</f>
        <v/>
      </c>
      <c r="E12" s="136">
        <f>IF($U12="Pending Allocation", IF(MAX($E$4:E12)+1=0, "", MAX($E$4:E12)+1), "")</f>
        <v/>
      </c>
      <c r="F12" s="133" t="inlineStr">
        <is>
          <t xml:space="preserve">Riham </t>
        </is>
      </c>
      <c r="G12" s="136" t="inlineStr">
        <is>
          <t>RQS-UAE-119016</t>
        </is>
      </c>
      <c r="H12" s="150" t="n"/>
      <c r="I12" s="150" t="n"/>
      <c r="J12" s="151">
        <f>IF(OpenPendingCases[[#This Row],[Timepiece Reference ]]="", "", IF(_xlfn.XLOOKUP(OpenPendingCases[[#This Row],[Timepiece Reference ]], Table1[[Timepiece Reference ]], Table1[CRC STOCK], "Not Found")="YES", "CRC Stock", "Boutique Stock"))</f>
        <v/>
      </c>
      <c r="K12" s="136" t="inlineStr">
        <is>
          <t>Boutique Stock</t>
        </is>
      </c>
      <c r="L12" s="199" t="inlineStr">
        <is>
          <t>Approved by HQ</t>
        </is>
      </c>
      <c r="M12" s="140" t="inlineStr">
        <is>
          <t>High</t>
        </is>
      </c>
      <c r="N12" s="136" t="inlineStr">
        <is>
          <t>Middle East (UAE)</t>
        </is>
      </c>
      <c r="O12" s="133" t="inlineStr">
        <is>
          <t>7920V/210A-B333</t>
        </is>
      </c>
      <c r="P12" s="136">
        <f>IFERROR(VLOOKUP(TRIM(O12), Collection!$B$2:$D$1001, 2, FALSE), "")</f>
        <v/>
      </c>
      <c r="Q12" s="152">
        <f>IFERROR(VLOOKUP(TRIM(O12), Collection!$B$2:$D$1001, 3, FALSE), "")</f>
        <v/>
      </c>
      <c r="R12" s="153">
        <f>IFERROR(VALUE(SUBSTITUTE(SUBSTITUTE(Q12, "Price", ""), "AED", "")), "")</f>
        <v/>
      </c>
      <c r="S12" s="168" t="n">
        <v>102442135</v>
      </c>
      <c r="T12" s="183" t="n"/>
      <c r="U12" s="136" t="inlineStr">
        <is>
          <t>Sold</t>
        </is>
      </c>
      <c r="V12" s="136" t="n"/>
      <c r="W12" s="156" t="inlineStr">
        <is>
          <t>June</t>
        </is>
      </c>
      <c r="X12" s="157" t="inlineStr">
        <is>
          <t>Full payment - At Boutique</t>
        </is>
      </c>
      <c r="Y12" s="158" t="inlineStr">
        <is>
          <t>T-129129869</t>
        </is>
      </c>
      <c r="Z12" s="158" t="n"/>
      <c r="AA12" s="136">
        <f>IF(H12="", "", IF(U12="Open Sale", IF(TODAY()-H12=0, "0 Days", TEXT(TODAY()-H12, "0") &amp; " Days"), IF(U12="Closed Sale", AA12, "")))</f>
        <v/>
      </c>
      <c r="AB12" s="136">
        <f>IF(H12="", "", IF(OR(U12="Pending", U12="Pending Allocation"), CONCATENATE(TODAY()-H12, " Days"), IF(U12="Closed", "", "")))</f>
        <v/>
      </c>
      <c r="AC12" s="160">
        <f>IF(U12="Pending Allocation", IF(I12="", "", TODAY()-I12), "")</f>
        <v/>
      </c>
      <c r="AD12" s="159">
        <f>IF(U12="Open Sale", TEXT(TODAY()-I12, "0"),
   IF(U12="Pending", "",
      IF(U12="Closed Sale", "", "")))</f>
        <v/>
      </c>
      <c r="AE12" s="163" t="inlineStr">
        <is>
          <t>Sold</t>
        </is>
      </c>
      <c r="AF12" s="161" t="inlineStr">
        <is>
          <t>Sold</t>
        </is>
      </c>
      <c r="AG12" s="161" t="n"/>
      <c r="AH12" s="136" t="n"/>
      <c r="AI12" s="164">
        <f>TEXT(I12, "mmmm yyyy")</f>
        <v/>
      </c>
      <c r="AJ12" s="189">
        <f>IF(AND(OpenPendingCases[[#This Row],[Sale Status	]]="Open Sale",OpenPendingCases[[#This Row],[Potential Same Month]]="High"),TEXT(OpenPendingCases[[#This Row],[Request Entry Date]], "[$-en-us]mmmm"),"")</f>
        <v/>
      </c>
      <c r="AK12" s="165">
        <f>IFERROR(VALUE(SUBSTITUTE(OpenPendingCases[[#This Row],[Price]]," AED","")),"")</f>
        <v/>
      </c>
      <c r="AL12" s="165">
        <f>IFERROR(VALUE(LEFT(OpenPendingCases[[#This Row],[Price]],FIND(" ",OpenPendingCases[[#This Row],[Price]])-1)),"")</f>
        <v/>
      </c>
      <c r="AM12" s="165">
        <f>IFERROR(VALUE(_xlfn.TEXTBEFORE(OpenPendingCases[[#This Row],[Price]]," AED")),"")</f>
        <v/>
      </c>
      <c r="AN12" s="165" t="n"/>
    </row>
    <row r="13" hidden="1" ht="130.5" customHeight="1" s="287">
      <c r="C13" s="133" t="n"/>
      <c r="D13" s="136">
        <f>IF($U13="Open", IF(MAX($D$4:D12)+1=0, "", MAX($D$4:D12)+1), "")</f>
        <v/>
      </c>
      <c r="E13" s="136">
        <f>IF($U13="Pending Allocation", IF(MAX($E$4:E12)+1=0, "", MAX($E$4:E12)+1), "")</f>
        <v/>
      </c>
      <c r="F13" s="133" t="inlineStr">
        <is>
          <t>Riham</t>
        </is>
      </c>
      <c r="G13" s="136" t="inlineStr">
        <is>
          <t>RQS-UAE-119762</t>
        </is>
      </c>
      <c r="H13" s="150" t="inlineStr">
        <is>
          <t>25/3/2025</t>
        </is>
      </c>
      <c r="I13" s="150" t="n"/>
      <c r="J13" s="151">
        <f>IF(OpenPendingCases[[#This Row],[Timepiece Reference ]]="", "", IF(_xlfn.XLOOKUP(OpenPendingCases[[#This Row],[Timepiece Reference ]], Table1[[Timepiece Reference ]], Table1[CRC STOCK], "Not Found")="YES", "CRC Stock", "Boutique Stock"))</f>
        <v/>
      </c>
      <c r="K13" s="136" t="inlineStr">
        <is>
          <t>Boutique Stock</t>
        </is>
      </c>
      <c r="L13" s="199" t="inlineStr">
        <is>
          <t>Allocation Confirmed</t>
        </is>
      </c>
      <c r="M13" s="140" t="inlineStr">
        <is>
          <t>High</t>
        </is>
      </c>
      <c r="N13" s="136" t="inlineStr">
        <is>
          <t>Middle East (UAE)</t>
        </is>
      </c>
      <c r="O13" s="133" t="inlineStr">
        <is>
          <t>5520V/210A-B686</t>
        </is>
      </c>
      <c r="P13" s="136">
        <f>IFERROR(VLOOKUP(TRIM(O13), Collection!$B$2:$D$1001, 2, FALSE), "")</f>
        <v/>
      </c>
      <c r="Q13" s="152">
        <f>IFERROR(VLOOKUP(TRIM(O13), Collection!$B$2:$D$1001, 3, FALSE), "")</f>
        <v/>
      </c>
      <c r="R13" s="153">
        <f>IFERROR(VALUE(SUBSTITUTE(SUBSTITUTE(Q13, "Price", ""), "AED", "")), "")</f>
        <v/>
      </c>
      <c r="S13" s="168" t="n">
        <v>104853450</v>
      </c>
      <c r="T13" s="183" t="n"/>
      <c r="U13" s="136" t="inlineStr">
        <is>
          <t>Sold</t>
        </is>
      </c>
      <c r="V13" s="136" t="n"/>
      <c r="W13" s="156" t="inlineStr">
        <is>
          <t>June</t>
        </is>
      </c>
      <c r="X13" s="157" t="inlineStr">
        <is>
          <t>Full payment - At Boutique</t>
        </is>
      </c>
      <c r="Y13" s="158" t="inlineStr">
        <is>
          <t>T-128759754</t>
        </is>
      </c>
      <c r="Z13" s="158" t="n">
        <v>45821</v>
      </c>
      <c r="AA13" s="136">
        <f>IF(H13="", "", IF(U13="Open Sale", IF(TODAY()-H13=0, "0 Days", TEXT(TODAY()-H13, "0") &amp; " Days"), IF(U13="Closed Sale", AA13, "")))</f>
        <v/>
      </c>
      <c r="AB13" s="136">
        <f>IF(H13="", "", IF(OR(U13="Pending", U13="Pending Allocation"), CONCATENATE(TODAY()-H13, " Days"), IF(U13="Closed", "", "")))</f>
        <v/>
      </c>
      <c r="AC13" s="160">
        <f>IF(U13="Pending Allocation", IF(I13="", "", TODAY()-I13), "")</f>
        <v/>
      </c>
      <c r="AD13" s="159">
        <f>IF(U13="Open Sale", TEXT(TODAY()-I13, "0"),
   IF(U13="Pending", "",
      IF(U13="Closed Sale", "", "")))</f>
        <v/>
      </c>
      <c r="AE13" s="163" t="n"/>
      <c r="AF13" s="161" t="inlineStr">
        <is>
          <t>Timepiece is available and the client will visit the btq on (6/13/2025) at 2pm to pick up the timepiece</t>
        </is>
      </c>
      <c r="AG13" s="161" t="n"/>
      <c r="AH13" s="136" t="n"/>
      <c r="AI13" s="164">
        <f>TEXT(I13, "mmmm yyyy")</f>
        <v/>
      </c>
      <c r="AJ13" s="189">
        <f>IF(AND(OpenPendingCases[[#This Row],[Sale Status	]]="Open Sale",OpenPendingCases[[#This Row],[Potential Same Month]]="High"),TEXT(OpenPendingCases[[#This Row],[Request Entry Date]], "[$-en-us]mmmm"),"")</f>
        <v/>
      </c>
      <c r="AK13" s="165">
        <f>IFERROR(VALUE(SUBSTITUTE(OpenPendingCases[[#This Row],[Price]]," AED","")),"")</f>
        <v/>
      </c>
      <c r="AL13" s="165">
        <f>IFERROR(VALUE(LEFT(OpenPendingCases[[#This Row],[Price]],FIND(" ",OpenPendingCases[[#This Row],[Price]])-1)),"")</f>
        <v/>
      </c>
      <c r="AM13" s="165">
        <f>IFERROR(VALUE(_xlfn.TEXTBEFORE(OpenPendingCases[[#This Row],[Price]]," AED")),"")</f>
        <v/>
      </c>
      <c r="AN13" s="165" t="n"/>
    </row>
    <row r="14" ht="130.5" customHeight="1" s="287">
      <c r="C14" s="148" t="n">
        <v>14</v>
      </c>
      <c r="D14" s="136">
        <f>IF($U14="Open Sale", IF(MAX($D$4:D9)+1=0, "", MAX($D$4:D9)+1), "")</f>
        <v/>
      </c>
      <c r="E14" s="136">
        <f>IF($U14="Pending Allocation", IF(MAX($E$4:E9)+1=0, "", MAX($E$4:E9)+1), "")</f>
        <v/>
      </c>
      <c r="F14" s="133" t="n"/>
      <c r="G14" s="136" t="n"/>
      <c r="H14" s="150" t="n"/>
      <c r="I14" s="150" t="n"/>
      <c r="J14" s="67" t="n"/>
      <c r="K14" s="136" t="n"/>
      <c r="L14" s="139" t="n"/>
      <c r="M14" s="140" t="n"/>
      <c r="N14" s="136" t="n"/>
      <c r="O14" s="133" t="n"/>
      <c r="P14" s="93" t="n"/>
      <c r="Q14" s="190" t="n"/>
      <c r="R14" s="153">
        <f>IFERROR(VALUE(SUBSTITUTE(SUBSTITUTE(Q14, "Price", ""), "AED", "")), "")</f>
        <v/>
      </c>
      <c r="S14" s="154" t="n"/>
      <c r="T14" s="155" t="n"/>
      <c r="U14" s="136" t="n"/>
      <c r="V14" s="136" t="n"/>
      <c r="W14" s="156" t="n"/>
      <c r="X14" s="157" t="n"/>
      <c r="Y14" s="158" t="n"/>
      <c r="Z14" s="158" t="n"/>
      <c r="AA14" s="159">
        <f>IF(H14="", "", IF(U14="Open Sale", IF(TODAY()-H14=0, "0 Days", TEXT(TODAY()-H14, "0") &amp; " Days"), IF(U14="Closed Sale", AA14, "")))</f>
        <v/>
      </c>
      <c r="AB14" s="159">
        <f>IF(H14="", "", IF(OR(U14="Pending", U14="Pending Allocation"), CONCATENATE(TODAY()-H14, " Days"), IF(U14="Closed", "", "")))</f>
        <v/>
      </c>
      <c r="AC14" s="160">
        <f>IF(U14="Pending Allocation", IF(I14="", "", TODAY()-I14), "")</f>
        <v/>
      </c>
      <c r="AD14" s="159">
        <f>IF(U14="Open Sale", TEXT(TODAY()-I14, "0"),
IF(U14="Pending", "",
IF(U14="Closed Sale", "", "")))</f>
        <v/>
      </c>
      <c r="AE14" s="163" t="n"/>
      <c r="AF14" s="161" t="n"/>
      <c r="AG14" s="161" t="n"/>
      <c r="AH14" s="136" t="n"/>
      <c r="AI14" s="164">
        <f>TEXT(I14, "mmmm yyyy")</f>
        <v/>
      </c>
      <c r="AJ14" s="164">
        <f>IF(AND(OpenPendingCases[[#This Row],[Sale Status	]]="Open Sale",OpenPendingCases[[#This Row],[Potential Same Month]]="High"),TEXT(OpenPendingCases[[#This Row],[Request Entry Date]], "[$-en-us]mmmm"),"")</f>
        <v/>
      </c>
      <c r="AK14" s="165">
        <f>IFERROR(VALUE(SUBSTITUTE(OpenPendingCases[[#This Row],[Price]]," AED","")),"")</f>
        <v/>
      </c>
      <c r="AL14" s="165">
        <f>IFERROR(VALUE(LEFT(OpenPendingCases[[#This Row],[Price]],FIND(" ",OpenPendingCases[[#This Row],[Price]])-1)),"")</f>
        <v/>
      </c>
      <c r="AM14" s="165">
        <f>IFERROR(VALUE(_xlfn.TEXTBEFORE(OpenPendingCases[[#This Row],[Price]]," AED")),"")</f>
        <v/>
      </c>
      <c r="AN14" s="165" t="n"/>
    </row>
    <row r="15" hidden="1" ht="130.5" customHeight="1" s="287">
      <c r="C15" s="148" t="n">
        <v>15</v>
      </c>
      <c r="D15" s="136">
        <f>IF($U15="Open Sale", IF(MAX($D$4:D14)+1=0, "", MAX($D$4:D14)+1), "")</f>
        <v/>
      </c>
      <c r="E15" s="136">
        <f>IF($U15="Pending Allocation", IF(MAX($E$4:E14)+1=0, "", MAX($E$4:E14)+1), "")</f>
        <v/>
      </c>
      <c r="F15" s="133" t="inlineStr">
        <is>
          <t>Maaz</t>
        </is>
      </c>
      <c r="G15" s="136" t="n"/>
      <c r="H15" s="150" t="n">
        <v>45610</v>
      </c>
      <c r="I15" s="150" t="n">
        <v>45752</v>
      </c>
      <c r="J15" s="67">
        <f>IF(OpenPendingCases[[#This Row],[Timepiece Reference ]]="", "", IF(_xlfn.XLOOKUP(OpenPendingCases[[#This Row],[Timepiece Reference ]], Table1[[Timepiece Reference ]], Table1[CRC STOCK], "Not Found")="YES", "CRC Stock", "Boutique Stock"))</f>
        <v/>
      </c>
      <c r="K15" s="136" t="inlineStr">
        <is>
          <t>Boutique Stock</t>
        </is>
      </c>
      <c r="L15" s="139" t="inlineStr">
        <is>
          <t>Allocation Confirmed</t>
        </is>
      </c>
      <c r="M15" s="140" t="inlineStr">
        <is>
          <t>High</t>
        </is>
      </c>
      <c r="N15" s="136" t="inlineStr">
        <is>
          <t>Middle East (UAE)</t>
        </is>
      </c>
      <c r="O15" s="133" t="inlineStr">
        <is>
          <t>1225V/200A-B590</t>
        </is>
      </c>
      <c r="P15" s="93">
        <f>IFERROR(VLOOKUP(TRIM(O15), Collection!$B$2:$D$1001, 2, FALSE), "")</f>
        <v/>
      </c>
      <c r="Q15" s="190">
        <f>IFERROR(VLOOKUP(TRIM(O15), Collection!$B$2:$D$1001, 3, FALSE), "")</f>
        <v/>
      </c>
      <c r="R15" s="153">
        <f>IFERROR(VALUE(SUBSTITUTE(SUBSTITUTE(Q15, "Price", ""), "AED", "")), "")</f>
        <v/>
      </c>
      <c r="S15" s="154" t="n">
        <v>105045200</v>
      </c>
      <c r="T15" s="155" t="inlineStr">
        <is>
          <t>NA</t>
        </is>
      </c>
      <c r="U15" s="136" t="inlineStr">
        <is>
          <t>Sold</t>
        </is>
      </c>
      <c r="V15" s="136" t="n"/>
      <c r="W15" s="156">
        <f>IF(Z15 = "",
"",
TEXT(Z15, "mmmm"))</f>
        <v/>
      </c>
      <c r="X15" s="157" t="inlineStr">
        <is>
          <t>Paid Deposit</t>
        </is>
      </c>
      <c r="Y15" s="158" t="n"/>
      <c r="Z15" s="158" t="n"/>
      <c r="AA15" s="159">
        <f>IF(H15="", "", IF(U15="Open Sale", IF(TODAY()-H15=0, "0 Days", TEXT(TODAY()-H15, "0") &amp; " Days"), IF(U15="Closed Sale", AA15, "")))</f>
        <v/>
      </c>
      <c r="AB15" s="159">
        <f>IF(H15="", "", IF(OR(U15="Pending", U15="Pending Allocation"), CONCATENATE(TODAY()-H15, " Days"), IF(U15="Closed", "", "")))</f>
        <v/>
      </c>
      <c r="AC15" s="160">
        <f>IF(U15="Pending Allocation", IF(I15="", "", TODAY()-I15), "")</f>
        <v/>
      </c>
      <c r="AD15" s="159">
        <f>IF(U15="Open Sale", TEXT(TODAY()-I15, "0"),
IF(U15="Pending", "",
IF(U15="Closed Sale", "", "")))</f>
        <v/>
      </c>
      <c r="AE15" s="163" t="inlineStr">
        <is>
          <t xml:space="preserve">The client is waiting for the allocation </t>
        </is>
      </c>
      <c r="AF15" s="161" t="n"/>
      <c r="AG15" s="161" t="inlineStr">
        <is>
          <t xml:space="preserve">Deposit received </t>
        </is>
      </c>
      <c r="AH15" s="136" t="n"/>
      <c r="AI15" s="164">
        <f>TEXT(I15, "mmmm yyyy")</f>
        <v/>
      </c>
      <c r="AJ15" s="164">
        <f>IF(AND(OpenPendingCases[[#This Row],[Sale Status	]]="Open Sale",OpenPendingCases[[#This Row],[Potential Same Month]]="High"),TEXT(OpenPendingCases[[#This Row],[Request Entry Date]], "[$-en-us]mmmm"),"")</f>
        <v/>
      </c>
      <c r="AK15" s="165">
        <f>IFERROR(VALUE(SUBSTITUTE(OpenPendingCases[[#This Row],[Price]]," AED","")),"")</f>
        <v/>
      </c>
      <c r="AL15" s="165">
        <f>IFERROR(VALUE(LEFT(OpenPendingCases[[#This Row],[Price]],FIND(" ",OpenPendingCases[[#This Row],[Price]])-1)),"")</f>
        <v/>
      </c>
      <c r="AM15" s="165">
        <f>IFERROR(VALUE(_xlfn.TEXTBEFORE(OpenPendingCases[[#This Row],[Price]]," AED")),"")</f>
        <v/>
      </c>
      <c r="AN15" s="165" t="n"/>
    </row>
    <row r="16" hidden="1" ht="130.5" customHeight="1" s="287">
      <c r="C16" s="148" t="n">
        <v>16</v>
      </c>
      <c r="D16" s="136">
        <f>IF($U16="Open Sale", IF(MAX($D$4:D15)+1=0, "", MAX($D$4:D15)+1), "")</f>
        <v/>
      </c>
      <c r="E16" s="136">
        <f>IF($U16="Pending Allocation", IF(MAX($E$4:E15)+1=0, "", MAX($E$4:E15)+1), "")</f>
        <v/>
      </c>
      <c r="F16" s="133" t="inlineStr">
        <is>
          <t>Maaz</t>
        </is>
      </c>
      <c r="G16" s="169">
        <f>IFERROR(VLOOKUP(ROWS($C15:G$28), 'SelloutPlan v1Main'!$D$5:$AC$208,12, FALSE), "")</f>
        <v/>
      </c>
      <c r="H16" s="150" t="n">
        <v>45610</v>
      </c>
      <c r="I16" s="150" t="n">
        <v>45755</v>
      </c>
      <c r="J16" s="67">
        <f>IF(OpenPendingCases[[#This Row],[Timepiece Reference ]]="", "", IF(_xlfn.XLOOKUP(OpenPendingCases[[#This Row],[Timepiece Reference ]], Table1[[Timepiece Reference ]], Table1[CRC STOCK], "Not Found")="YES", "CRC Stock", "Boutique Stock"))</f>
        <v/>
      </c>
      <c r="K16" s="136" t="inlineStr">
        <is>
          <t>Boutique Stock</t>
        </is>
      </c>
      <c r="L16" s="139" t="inlineStr">
        <is>
          <t>Awaiting HQ Approval</t>
        </is>
      </c>
      <c r="M16" s="140" t="inlineStr">
        <is>
          <t>Medium</t>
        </is>
      </c>
      <c r="N16" s="136" t="inlineStr">
        <is>
          <t>Middle East (UAE)</t>
        </is>
      </c>
      <c r="O16" s="133" t="inlineStr">
        <is>
          <t>1225V/200A-B590</t>
        </is>
      </c>
      <c r="P16" s="93">
        <f>IFERROR(VLOOKUP(TRIM(O16), Collection!$B$2:$D$1001, 2, FALSE), "")</f>
        <v/>
      </c>
      <c r="Q16" s="190">
        <f>IFERROR(VLOOKUP(TRIM(O16), Collection!$B$2:$D$1001, 3, FALSE), "")</f>
        <v/>
      </c>
      <c r="R16" s="153">
        <f>IFERROR(VALUE(SUBSTITUTE(SUBSTITUTE(Q16, "Price", ""), "AED", "")), "")</f>
        <v/>
      </c>
      <c r="S16" s="154" t="n">
        <v>105115716</v>
      </c>
      <c r="T16" s="155" t="inlineStr">
        <is>
          <t>NA</t>
        </is>
      </c>
      <c r="U16" s="136" t="inlineStr">
        <is>
          <t>Closed Sale</t>
        </is>
      </c>
      <c r="V16" s="136" t="n"/>
      <c r="W16" s="156">
        <f>IF(Z16 = "",
"",
TEXT(Z16, "mmmm"))</f>
        <v/>
      </c>
      <c r="X16" s="157" t="inlineStr">
        <is>
          <t>Full Payment - By link</t>
        </is>
      </c>
      <c r="Y16" s="158" t="n"/>
      <c r="Z16" s="158" t="n"/>
      <c r="AA16" s="159">
        <f>IF(H16="", "", IF(U16="Open Sale", IF(TODAY()-H16=0, "0 Days", TEXT(TODAY()-H16, "0") &amp; " Days"), IF(U16="Closed Sale", AA16, "")))</f>
        <v/>
      </c>
      <c r="AB16" s="159">
        <f>IF(H16="", "", IF(OR(U16="Pending", U16="Pending Allocation"), CONCATENATE(TODAY()-H16, " Days"), IF(U16="Closed", "", "")))</f>
        <v/>
      </c>
      <c r="AC16" s="160">
        <f>IF(U16="Pending Allocation", IF(I16="", "", TODAY()-I16), "")</f>
        <v/>
      </c>
      <c r="AD16" s="159">
        <f>IF(U16="Open Sale", TEXT(TODAY()-I16, "0"),
IF(U16="Pending", "",
IF(U16="Closed Sale", "", "")))</f>
        <v/>
      </c>
      <c r="AE16" s="163" t="inlineStr">
        <is>
          <t xml:space="preserve">The client is waiting for the allocation </t>
        </is>
      </c>
      <c r="AF16" s="161" t="n"/>
      <c r="AG16" s="161" t="inlineStr">
        <is>
          <t xml:space="preserve">Lead today received </t>
        </is>
      </c>
      <c r="AH16" s="136" t="n"/>
      <c r="AI16" s="164">
        <f>TEXT(I16, "mmmm yyyy")</f>
        <v/>
      </c>
      <c r="AJ16" s="164">
        <f>IF(AND(OpenPendingCases[[#This Row],[Sale Status	]]="Open Sale",OpenPendingCases[[#This Row],[Potential Same Month]]="High"),TEXT(OpenPendingCases[[#This Row],[Request Entry Date]], "[$-en-us]mmmm"),"")</f>
        <v/>
      </c>
      <c r="AK16" s="165">
        <f>IFERROR(VALUE(SUBSTITUTE(OpenPendingCases[[#This Row],[Price]]," AED","")),"")</f>
        <v/>
      </c>
      <c r="AL16" s="165">
        <f>IFERROR(VALUE(LEFT(OpenPendingCases[[#This Row],[Price]],FIND(" ",OpenPendingCases[[#This Row],[Price]])-1)),"")</f>
        <v/>
      </c>
      <c r="AM16" s="165">
        <f>IFERROR(VALUE(_xlfn.TEXTBEFORE(OpenPendingCases[[#This Row],[Price]]," AED")),"")</f>
        <v/>
      </c>
      <c r="AN16" s="165" t="n"/>
    </row>
    <row r="17" hidden="1" ht="130.5" customHeight="1" s="287">
      <c r="C17" s="148" t="n">
        <v>17</v>
      </c>
      <c r="D17" s="136">
        <f>IF($U17="Open Sale", IF(MAX($D$4:D16)+1=0, "", MAX($D$4:D16)+1), "")</f>
        <v/>
      </c>
      <c r="E17" s="136">
        <f>IF($U17="Pending Allocation", IF(MAX($E$4:E16)+1=0, "", MAX($E$4:E16)+1), "")</f>
        <v/>
      </c>
      <c r="F17" s="133" t="inlineStr">
        <is>
          <t>Maaz</t>
        </is>
      </c>
      <c r="G17" s="136" t="inlineStr">
        <is>
          <t>RQS-UAE-116983</t>
        </is>
      </c>
      <c r="H17" s="150" t="n">
        <v>45519</v>
      </c>
      <c r="I17" s="150" t="n">
        <v>45515</v>
      </c>
      <c r="J17" s="67">
        <f>IF(OpenPendingCases[[#This Row],[Timepiece Reference ]]="", "", IF(_xlfn.XLOOKUP(OpenPendingCases[[#This Row],[Timepiece Reference ]], Table1[[Timepiece Reference ]], Table1[CRC STOCK], "Not Found")="YES", "CRC Stock", "Boutique Stock"))</f>
        <v/>
      </c>
      <c r="K17" s="136" t="inlineStr">
        <is>
          <t>CRC Stock</t>
        </is>
      </c>
      <c r="L17" s="139" t="inlineStr">
        <is>
          <t>Allocation Confirmed</t>
        </is>
      </c>
      <c r="M17" s="140" t="inlineStr">
        <is>
          <t>Low</t>
        </is>
      </c>
      <c r="N17" s="136" t="inlineStr">
        <is>
          <t>Middle East (UAE)</t>
        </is>
      </c>
      <c r="O17" s="133" t="inlineStr">
        <is>
          <t>5520V/210R-B966</t>
        </is>
      </c>
      <c r="P17" s="93">
        <f>IFERROR(VLOOKUP(TRIM(O17), Collection!$B$2:$D$1001, 2, FALSE), "")</f>
        <v/>
      </c>
      <c r="Q17" s="190">
        <f>IFERROR(VLOOKUP(TRIM(O17), Collection!$B$2:$D$1001, 3, FALSE), "")</f>
        <v/>
      </c>
      <c r="R17" s="153">
        <f>IFERROR(VALUE(SUBSTITUTE(SUBSTITUTE(Q17, "Price", ""), "AED", "")), "")</f>
        <v/>
      </c>
      <c r="S17" s="154" t="n">
        <v>101110183</v>
      </c>
      <c r="T17" s="155" t="inlineStr">
        <is>
          <t>NA</t>
        </is>
      </c>
      <c r="U17" s="136" t="inlineStr">
        <is>
          <t>Closed Sale</t>
        </is>
      </c>
      <c r="V17" s="136" t="n"/>
      <c r="W17" s="156">
        <f>IF(Z17 = "",
"",
TEXT(Z17, "mmmm"))</f>
        <v/>
      </c>
      <c r="X17" s="157" t="inlineStr">
        <is>
          <t>Full Payment - Bank Transfer</t>
        </is>
      </c>
      <c r="Y17" s="158" t="n"/>
      <c r="Z17" s="158" t="n"/>
      <c r="AA17" s="159">
        <f>IF(H17="", "", IF(U17="Open Sale", IF(TODAY()-H17=0, "0 Days", TEXT(TODAY()-H17, "0") &amp; " Days"), IF(U17="Closed Sale", AA17, "")))</f>
        <v/>
      </c>
      <c r="AB17" s="159">
        <f>IF(H17="", "", IF(OR(U17="Pending", U17="Pending Allocation"), CONCATENATE(TODAY()-H17, " Days"), IF(U17="Closed", "", "")))</f>
        <v/>
      </c>
      <c r="AC17" s="160">
        <f>IF(U17="Pending Allocation", IF(I17="", "", TODAY()-I17), "")</f>
        <v/>
      </c>
      <c r="AD17" s="159">
        <f>IF(U17="Open Sale", TEXT(TODAY()-I17, "0"),
IF(U17="Pending", "",
IF(U17="Closed Sale", "", "")))</f>
        <v/>
      </c>
      <c r="AE17" s="163" t="inlineStr">
        <is>
          <t xml:space="preserve">The bank information was shared  </t>
        </is>
      </c>
      <c r="AF17" s="161" t="inlineStr">
        <is>
          <t>E-com</t>
        </is>
      </c>
      <c r="AG17" s="161" t="n"/>
      <c r="AH17" s="136" t="n"/>
      <c r="AI17" s="164">
        <f>TEXT(I17, "mmmm yyyy")</f>
        <v/>
      </c>
      <c r="AJ17" s="164">
        <f>IF(AND(OpenPendingCases[[#This Row],[Sale Status	]]="Open Sale",OpenPendingCases[[#This Row],[Potential Same Month]]="High"),TEXT(OpenPendingCases[[#This Row],[Request Entry Date]], "[$-en-us]mmmm"),"")</f>
        <v/>
      </c>
      <c r="AK17" s="165">
        <f>IFERROR(VALUE(SUBSTITUTE(OpenPendingCases[[#This Row],[Price]]," AED","")),"")</f>
        <v/>
      </c>
      <c r="AL17" s="165">
        <f>IFERROR(VALUE(LEFT(OpenPendingCases[[#This Row],[Price]],FIND(" ",OpenPendingCases[[#This Row],[Price]])-1)),"")</f>
        <v/>
      </c>
      <c r="AM17" s="165">
        <f>IFERROR(VALUE(_xlfn.TEXTBEFORE(OpenPendingCases[[#This Row],[Price]]," AED")),"")</f>
        <v/>
      </c>
      <c r="AN17" s="165" t="n"/>
    </row>
    <row r="18" hidden="1" ht="130.5" customHeight="1" s="287">
      <c r="C18" s="133" t="n"/>
      <c r="D18" s="136">
        <f>IF($U18="Open", IF(MAX($D$4:D17)+1=0, "", MAX($D$4:D17)+1), "")</f>
        <v/>
      </c>
      <c r="E18" s="136">
        <f>IF($U18="Pending Allocation", IF(MAX($E$4:E17)+1=0, "", MAX($E$4:E17)+1), "")</f>
        <v/>
      </c>
      <c r="F18" s="133" t="inlineStr">
        <is>
          <t>Maaz</t>
        </is>
      </c>
      <c r="G18" s="136" t="n"/>
      <c r="H18" s="150" t="n">
        <v>45821</v>
      </c>
      <c r="I18" s="150" t="n">
        <v>45821</v>
      </c>
      <c r="J18" s="151">
        <f>IF(OpenPendingCases[[#This Row],[Timepiece Reference ]]="", "", IF(_xlfn.XLOOKUP(OpenPendingCases[[#This Row],[Timepiece Reference ]], Table1[[Timepiece Reference ]], Table1[CRC STOCK], "Not Found")="YES", "CRC Stock", "Boutique Stock"))</f>
        <v/>
      </c>
      <c r="K18" s="136">
        <f>IF(OpenPendingCases[[#This Row],[Timepiece Reference ]]="", "", IF(_xlfn.XLOOKUP(OpenPendingCases[[#This Row],[Timepiece Reference ]], Table1[[Timepiece Reference ]], Table1[CRC STOCK], "Not Found")="YES", "CRC Stock", "Boutique Stock"))</f>
        <v/>
      </c>
      <c r="L18" s="199" t="n"/>
      <c r="M18" s="140" t="inlineStr">
        <is>
          <t>Low</t>
        </is>
      </c>
      <c r="N18" s="136" t="inlineStr">
        <is>
          <t>Middle East (UAE)</t>
        </is>
      </c>
      <c r="O18" s="133" t="inlineStr">
        <is>
          <t>4000V/210A-B911</t>
        </is>
      </c>
      <c r="P18" s="136">
        <f>IFERROR(VLOOKUP(TRIM(O18), Collection!$B$2:$D$1001, 2, FALSE), "")</f>
        <v/>
      </c>
      <c r="Q18" s="152">
        <f>IFERROR(VLOOKUP(TRIM(O18), Collection!$B$2:$D$1001, 3, FALSE), "")</f>
        <v/>
      </c>
      <c r="R18" s="153">
        <f>IFERROR(VALUE(SUBSTITUTE(SUBSTITUTE(Q18, "Price", ""), "AED", "")), "")</f>
        <v/>
      </c>
      <c r="S18" s="168" t="n">
        <v>106652874</v>
      </c>
      <c r="T18" s="183" t="n"/>
      <c r="U18" s="136" t="inlineStr">
        <is>
          <t>Sold</t>
        </is>
      </c>
      <c r="V18" s="136" t="n"/>
      <c r="W18" s="156" t="inlineStr">
        <is>
          <t>June</t>
        </is>
      </c>
      <c r="X18" s="157" t="inlineStr">
        <is>
          <t>Full Payment - By link</t>
        </is>
      </c>
      <c r="Y18" s="158" t="inlineStr">
        <is>
          <t>T-128709881</t>
        </is>
      </c>
      <c r="Z18" s="158" t="n"/>
      <c r="AA18" s="136">
        <f>IF(H18="", "", IF(U18="Open Sale", IF(TODAY()-H18=0, "0 Days", TEXT(TODAY()-H18, "0") &amp; " Days"), IF(U18="Closed Sale", AA18, "")))</f>
        <v/>
      </c>
      <c r="AB18" s="136">
        <f>IF(H18="", "", IF(OR(U18="Pending", U18="Pending Allocation"), CONCATENATE(TODAY()-H18, " Days"), IF(U18="Closed", "", "")))</f>
        <v/>
      </c>
      <c r="AC18" s="160">
        <f>IF(U18="Pending Allocation", IF(I18="", "", TODAY()-I18), "")</f>
        <v/>
      </c>
      <c r="AD18" s="159">
        <f>IF(U18="Open Sale", TEXT(TODAY()-I18, "0"),
   IF(U18="Pending", "",
      IF(U18="Closed Sale", "", "")))</f>
        <v/>
      </c>
      <c r="AE18" s="163" t="n"/>
      <c r="AF18" s="161" t="inlineStr">
        <is>
          <t xml:space="preserve">Ecom </t>
        </is>
      </c>
      <c r="AG18" s="161" t="inlineStr">
        <is>
          <t>Paid</t>
        </is>
      </c>
      <c r="AH18" s="136" t="n"/>
      <c r="AI18" s="164">
        <f>TEXT(I18, "mmmm yyyy")</f>
        <v/>
      </c>
      <c r="AJ18" s="189">
        <f>IF(AND(OpenPendingCases[[#This Row],[Sale Status	]]="Open Sale",OpenPendingCases[[#This Row],[Potential Same Month]]="High"),TEXT(OpenPendingCases[[#This Row],[Request Entry Date]], "[$-en-us]mmmm"),"")</f>
        <v/>
      </c>
      <c r="AK18" s="165">
        <f>IFERROR(VALUE(SUBSTITUTE(OpenPendingCases[[#This Row],[Price]]," AED","")),"")</f>
        <v/>
      </c>
      <c r="AL18" s="165">
        <f>IFERROR(VALUE(LEFT(OpenPendingCases[[#This Row],[Price]],FIND(" ",OpenPendingCases[[#This Row],[Price]])-1)),"")</f>
        <v/>
      </c>
      <c r="AM18" s="165">
        <f>IFERROR(VALUE(_xlfn.TEXTBEFORE(OpenPendingCases[[#This Row],[Price]]," AED")),"")</f>
        <v/>
      </c>
      <c r="AN18" s="165" t="n"/>
    </row>
    <row r="19" hidden="1" ht="130.5" customHeight="1" s="287">
      <c r="C19" s="133" t="n">
        <v>17</v>
      </c>
      <c r="D19" s="136">
        <f>IF($U19="Open", IF(MAX($D$4:D17)+1=0, "", MAX($D$4:D17)+1), "")</f>
        <v/>
      </c>
      <c r="E19" s="136">
        <f>IF($U19="Pending Allocation", IF(MAX($E$4:E17)+1=0, "", MAX($E$4:E17)+1), "")</f>
        <v/>
      </c>
      <c r="F19" s="133" t="inlineStr">
        <is>
          <t>Maaz</t>
        </is>
      </c>
      <c r="G19" s="136" t="n"/>
      <c r="H19" s="150" t="n">
        <v>45937</v>
      </c>
      <c r="I19" s="150" t="n">
        <v>45937</v>
      </c>
      <c r="J19" s="67">
        <f>IF(OpenPendingCases[[#This Row],[Timepiece Reference ]]="", "", IF(_xlfn.XLOOKUP(OpenPendingCases[[#This Row],[Timepiece Reference ]], Table1[[Timepiece Reference ]], Table1[CRC STOCK], "Not Found")="YES", "CRC Stock", "Boutique Stock"))</f>
        <v/>
      </c>
      <c r="K19" s="136" t="inlineStr">
        <is>
          <t>Boutique Stock</t>
        </is>
      </c>
      <c r="L19" s="199" t="inlineStr">
        <is>
          <t>Allocation Confirmed</t>
        </is>
      </c>
      <c r="M19" s="140" t="n"/>
      <c r="N19" s="136" t="inlineStr">
        <is>
          <t>Middle East (UAE)</t>
        </is>
      </c>
      <c r="O19" s="133" t="inlineStr">
        <is>
          <t>5520V/210A-B686</t>
        </is>
      </c>
      <c r="P19" s="136">
        <f>IFERROR(VLOOKUP(TRIM(O19), Collection!$B$2:$D$1001, 2, FALSE), "")</f>
        <v/>
      </c>
      <c r="Q19" s="152">
        <f>IFERROR(VLOOKUP(TRIM(O19), Collection!$B$2:$D$1001, 3, FALSE), "")</f>
        <v/>
      </c>
      <c r="R19" s="153">
        <f>IFERROR(VALUE(SUBSTITUTE(SUBSTITUTE(Q19, "Price", ""), "AED", "")), "")</f>
        <v/>
      </c>
      <c r="S19" s="168" t="n">
        <v>92407646</v>
      </c>
      <c r="T19" s="183" t="n"/>
      <c r="U19" s="136" t="inlineStr">
        <is>
          <t>Sold</t>
        </is>
      </c>
      <c r="V19" s="136" t="n"/>
      <c r="W19" s="156" t="inlineStr">
        <is>
          <t>June</t>
        </is>
      </c>
      <c r="X19" s="157" t="inlineStr">
        <is>
          <t>Full payment - At Boutique</t>
        </is>
      </c>
      <c r="Y19" s="158" t="inlineStr">
        <is>
          <t>T-129070481</t>
        </is>
      </c>
      <c r="Z19" s="158" t="n"/>
      <c r="AA19" s="136">
        <f>IF(H19="", "", IF(U19="Open Sale", IF(TODAY()-H19=0, "0 Days", TEXT(TODAY()-H19, "0") &amp; " Days"), IF(U19="Closed Sale", AA19, "")))</f>
        <v/>
      </c>
      <c r="AB19" s="136">
        <f>IF(H19="", "", IF(OR(U19="Pending", U19="Pending Allocation"), CONCATENATE(TODAY()-H19, " Days"), IF(U19="Closed", "", "")))</f>
        <v/>
      </c>
      <c r="AC19" s="160">
        <f>IF(U19="Pending Allocation", IF(I19="", "", TODAY()-I19), "")</f>
        <v/>
      </c>
      <c r="AD19" s="159">
        <f>IF(U19="Open Sale", TEXT(TODAY()-I19, "0"),
   IF(U19="Pending", "",
      IF(U19="Closed Sale", "", "")))</f>
        <v/>
      </c>
      <c r="AE19" s="163" t="n"/>
      <c r="AF19" s="161" t="n"/>
      <c r="AG19" s="161" t="n"/>
      <c r="AH19" s="136" t="n"/>
      <c r="AI19" s="164">
        <f>TEXT(I19, "mmmm yyyy")</f>
        <v/>
      </c>
      <c r="AJ19" s="189">
        <f>IF(AND(OpenPendingCases[[#This Row],[Sale Status	]]="Open Sale",OpenPendingCases[[#This Row],[Potential Same Month]]="High"),TEXT(OpenPendingCases[[#This Row],[Request Entry Date]], "[$-en-us]mmmm"),"")</f>
        <v/>
      </c>
      <c r="AK19" s="165">
        <f>IFERROR(VALUE(SUBSTITUTE(OpenPendingCases[[#This Row],[Price]]," AED","")),"")</f>
        <v/>
      </c>
      <c r="AL19" s="165">
        <f>IFERROR(VALUE(LEFT(OpenPendingCases[[#This Row],[Price]],FIND(" ",OpenPendingCases[[#This Row],[Price]])-1)),"")</f>
        <v/>
      </c>
      <c r="AM19" s="165">
        <f>IFERROR(VALUE(_xlfn.TEXTBEFORE(OpenPendingCases[[#This Row],[Price]]," AED")),"")</f>
        <v/>
      </c>
      <c r="AN19" s="165" t="n"/>
    </row>
    <row r="20" ht="130.5" customHeight="1" s="287">
      <c r="C20" s="148" t="n">
        <v>18</v>
      </c>
      <c r="D20" s="136">
        <f>IF($U20="Open Sale", IF(MAX($D$4:D17)+1=0, "", MAX($D$4:D17)+1), "")</f>
        <v/>
      </c>
      <c r="E20" s="136">
        <f>IF($U20="Pending Allocation", IF(MAX($E$4:E17)+1=0, "", MAX($E$4:E17)+1), "")</f>
        <v/>
      </c>
      <c r="F20" s="133" t="n"/>
      <c r="G20" s="136" t="n"/>
      <c r="H20" s="150" t="n"/>
      <c r="I20" s="150" t="n"/>
      <c r="J20" s="67" t="n"/>
      <c r="K20" s="136" t="n"/>
      <c r="L20" s="139" t="n"/>
      <c r="M20" s="140" t="n"/>
      <c r="N20" s="136" t="n"/>
      <c r="O20" s="133" t="n"/>
      <c r="P20" s="93" t="n"/>
      <c r="Q20" s="190" t="n"/>
      <c r="R20" s="153">
        <f>IFERROR(VALUE(SUBSTITUTE(SUBSTITUTE(Q20, "Price", ""), "AED", "")), "")</f>
        <v/>
      </c>
      <c r="S20" s="154" t="n"/>
      <c r="T20" s="155" t="n"/>
      <c r="U20" s="136" t="n"/>
      <c r="V20" s="136" t="n"/>
      <c r="W20" s="156" t="n"/>
      <c r="X20" s="157" t="n"/>
      <c r="Y20" s="158" t="n"/>
      <c r="Z20" s="158" t="n"/>
      <c r="AA20" s="159">
        <f>IF(H20="", "", IF(U20="Open Sale", IF(TODAY()-H20=0, "0 Days", TEXT(TODAY()-H20, "0") &amp; " Days"), IF(U20="Closed Sale", AA20, "")))</f>
        <v/>
      </c>
      <c r="AB20" s="159">
        <f>IF(H20="", "", IF(OR(U20="Pending", U20="Pending Allocation"), CONCATENATE(TODAY()-H20, " Days"), IF(U20="Closed", "", "")))</f>
        <v/>
      </c>
      <c r="AC20" s="160">
        <f>IF(U20="Pending Allocation", IF(I20="", "", TODAY()-I20), "")</f>
        <v/>
      </c>
      <c r="AD20" s="159">
        <f>IF(U20="Open Sale", TEXT(TODAY()-I20, "0"),
IF(U20="Pending", "",
IF(U20="Closed Sale", "", "")))</f>
        <v/>
      </c>
      <c r="AE20" s="163" t="n"/>
      <c r="AF20" s="161" t="n"/>
      <c r="AG20" s="161" t="n"/>
      <c r="AH20" s="136" t="n"/>
      <c r="AI20" s="164">
        <f>TEXT(I20, "mmmm yyyy")</f>
        <v/>
      </c>
      <c r="AJ20" s="164">
        <f>IF(AND(OpenPendingCases[[#This Row],[Sale Status	]]="Open Sale",OpenPendingCases[[#This Row],[Potential Same Month]]="High"),TEXT(OpenPendingCases[[#This Row],[Request Entry Date]], "[$-en-us]mmmm"),"")</f>
        <v/>
      </c>
      <c r="AK20" s="165">
        <f>IFERROR(VALUE(SUBSTITUTE(OpenPendingCases[[#This Row],[Price]]," AED","")),"")</f>
        <v/>
      </c>
      <c r="AL20" s="165">
        <f>IFERROR(VALUE(LEFT(OpenPendingCases[[#This Row],[Price]],FIND(" ",OpenPendingCases[[#This Row],[Price]])-1)),"")</f>
        <v/>
      </c>
      <c r="AM20" s="165">
        <f>IFERROR(VALUE(_xlfn.TEXTBEFORE(OpenPendingCases[[#This Row],[Price]]," AED")),"")</f>
        <v/>
      </c>
      <c r="AN20" s="165" t="n"/>
    </row>
    <row r="21" hidden="1" ht="130.5" customHeight="1" s="287">
      <c r="C21" s="148" t="n">
        <v>19</v>
      </c>
      <c r="D21" s="136">
        <f>IF($U21="Open Sale", IF(MAX($D$4:D20)+1=0, "", MAX($D$4:D20)+1), "")</f>
        <v/>
      </c>
      <c r="E21" s="136">
        <f>IF($U21="Pending Allocation", IF(MAX($E$4:E20)+1=0, "", MAX($E$4:E20)+1), "")</f>
        <v/>
      </c>
      <c r="F21" s="133" t="inlineStr">
        <is>
          <t>Maaz</t>
        </is>
      </c>
      <c r="G21" s="136" t="n"/>
      <c r="H21" s="150" t="n">
        <v>45757</v>
      </c>
      <c r="I21" s="150" t="n">
        <v>45757</v>
      </c>
      <c r="J21" s="67">
        <f>IF(OpenPendingCases[[#This Row],[Timepiece Reference ]]="", "", IF(_xlfn.XLOOKUP(OpenPendingCases[[#This Row],[Timepiece Reference ]], Table1[[Timepiece Reference ]], Table1[CRC STOCK], "Not Found")="YES", "CRC Stock", "Boutique Stock"))</f>
        <v/>
      </c>
      <c r="K21" s="136" t="inlineStr">
        <is>
          <t>CRC Stock</t>
        </is>
      </c>
      <c r="L21" s="139" t="inlineStr">
        <is>
          <t>Allocation Closed (Sold)</t>
        </is>
      </c>
      <c r="M21" s="140" t="inlineStr">
        <is>
          <t>Low</t>
        </is>
      </c>
      <c r="N21" s="136" t="inlineStr">
        <is>
          <t>Middle East (UAE)</t>
        </is>
      </c>
      <c r="O21" s="133" t="inlineStr">
        <is>
          <t>4000V/210A-B911</t>
        </is>
      </c>
      <c r="P21" s="93">
        <f>IFERROR(VLOOKUP(TRIM(O21), Collection!$B$2:$D$1001, 2, FALSE), "")</f>
        <v/>
      </c>
      <c r="Q21" s="190">
        <f>IFERROR(VLOOKUP(TRIM(O21), Collection!$B$2:$D$1001, 3, FALSE), "")</f>
        <v/>
      </c>
      <c r="R21" s="153">
        <f>IFERROR(VALUE(SUBSTITUTE(SUBSTITUTE(Q21, "Price", ""), "AED", "")), "")</f>
        <v/>
      </c>
      <c r="S21" s="154" t="n">
        <v>103713756</v>
      </c>
      <c r="T21" s="155" t="inlineStr">
        <is>
          <t>NA</t>
        </is>
      </c>
      <c r="U21" s="136" t="inlineStr">
        <is>
          <t>Sold</t>
        </is>
      </c>
      <c r="V21" s="136" t="n"/>
      <c r="W21" s="156">
        <f>IF(Z21 = "",
"",
TEXT(Z21, "mmmm"))</f>
        <v/>
      </c>
      <c r="X21" s="157" t="inlineStr">
        <is>
          <t>Full payment - At Boutique</t>
        </is>
      </c>
      <c r="Y21" s="158" t="n"/>
      <c r="Z21" s="170" t="n"/>
      <c r="AA21" s="159">
        <f>IF(H21="", "", IF(U21="Open Sale", IF(TODAY()-H21=0, "0 Days", TEXT(TODAY()-H21, "0") &amp; " Days"), IF(U21="Closed Sale", AA21, "")))</f>
        <v/>
      </c>
      <c r="AB21" s="159">
        <f>IF(H21="", "", IF(OR(U21="Pending", U21="Pending Allocation"), CONCATENATE(TODAY()-H21, " Days"), IF(U21="Closed", "", "")))</f>
        <v/>
      </c>
      <c r="AC21" s="160">
        <f>IF(U21="Pending Allocation", IF(I21="", "", TODAY()-I21), "")</f>
        <v/>
      </c>
      <c r="AD21" s="159">
        <f>IF(U21="Open Sale", TEXT(TODAY()-I21, "0"),
IF(U21="Pending", "",
IF(U21="Closed Sale", "", "")))</f>
        <v/>
      </c>
      <c r="AE21" s="163" t="inlineStr">
        <is>
          <t>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t>
        </is>
      </c>
      <c r="AF21" s="161" t="n"/>
      <c r="AG21" s="161" t="n"/>
      <c r="AH21" s="136" t="n"/>
      <c r="AI21" s="164">
        <f>TEXT(I21, "mmmm yyyy")</f>
        <v/>
      </c>
      <c r="AJ21" s="164">
        <f>IF(AND(OpenPendingCases[[#This Row],[Sale Status	]]="Open Sale",OpenPendingCases[[#This Row],[Potential Same Month]]="High"),TEXT(OpenPendingCases[[#This Row],[Request Entry Date]], "[$-en-us]mmmm"),"")</f>
        <v/>
      </c>
      <c r="AK21" s="165">
        <f>IFERROR(VALUE(SUBSTITUTE(OpenPendingCases[[#This Row],[Price]]," AED","")),"")</f>
        <v/>
      </c>
      <c r="AL21" s="165">
        <f>IFERROR(VALUE(LEFT(OpenPendingCases[[#This Row],[Price]],FIND(" ",OpenPendingCases[[#This Row],[Price]])-1)),"")</f>
        <v/>
      </c>
      <c r="AM21" s="165">
        <f>IFERROR(VALUE(_xlfn.TEXTBEFORE(OpenPendingCases[[#This Row],[Price]]," AED")),"")</f>
        <v/>
      </c>
      <c r="AN21" s="165" t="n"/>
    </row>
    <row r="22" hidden="1" ht="130.5" customFormat="1" customHeight="1" s="200">
      <c r="B22" s="198" t="n"/>
      <c r="C22" s="148" t="n">
        <v>20</v>
      </c>
      <c r="D22" s="182">
        <f>IF($U22="Open Sale", IF(MAX($D$4:D21)+1=0, "", MAX($D$4:D21)+1), "")</f>
        <v/>
      </c>
      <c r="E22" s="182">
        <f>IF($U22="Pending Allocation", IF(MAX($E$4:E21)+1=0, "", MAX($E$4:E21)+1), "")</f>
        <v/>
      </c>
      <c r="F22" s="133" t="inlineStr">
        <is>
          <t>Maaz</t>
        </is>
      </c>
      <c r="G22" s="171" t="n">
        <v>45763</v>
      </c>
      <c r="H22" s="171" t="n">
        <v>45763</v>
      </c>
      <c r="I22" s="150" t="n">
        <v>45763</v>
      </c>
      <c r="J22" s="193">
        <f>IF(OpenPendingCases[[#This Row],[Timepiece Reference ]]="", "", IF(_xlfn.XLOOKUP(OpenPendingCases[[#This Row],[Timepiece Reference ]], Table1[[Timepiece Reference ]], Table1[CRC STOCK], "Not Found")="YES", "CRC Stock", "Boutique Stock"))</f>
        <v/>
      </c>
      <c r="K22" s="137" t="inlineStr">
        <is>
          <t>CRC Stock</t>
        </is>
      </c>
      <c r="L22" s="201" t="inlineStr">
        <is>
          <t>Allocation Confirmed</t>
        </is>
      </c>
      <c r="M22" s="141" t="inlineStr">
        <is>
          <t>Low</t>
        </is>
      </c>
      <c r="N22" s="136" t="inlineStr">
        <is>
          <t>Middle East (UAE)</t>
        </is>
      </c>
      <c r="O22" s="133" t="inlineStr">
        <is>
          <t>4000V/210A-B911</t>
        </is>
      </c>
      <c r="P22" s="93">
        <f>IFERROR(VLOOKUP(TRIM(O22), Collection!$B$2:$D$1001, 2, FALSE), "")</f>
        <v/>
      </c>
      <c r="Q22" s="190">
        <f>IFERROR(VLOOKUP(TRIM(O22), Collection!$B$2:$D$1001, 3, FALSE), "")</f>
        <v/>
      </c>
      <c r="R22" s="194">
        <f>IFERROR(VALUE(SUBSTITUTE(SUBSTITUTE(Q22, "Price", ""), "AED", "")), "")</f>
        <v/>
      </c>
      <c r="S22" s="174" t="n">
        <v>103591723</v>
      </c>
      <c r="T22" s="155" t="inlineStr">
        <is>
          <t>NA</t>
        </is>
      </c>
      <c r="U22" s="136" t="inlineStr">
        <is>
          <t>Sold</t>
        </is>
      </c>
      <c r="V22" s="136" t="n"/>
      <c r="W22" s="202" t="inlineStr">
        <is>
          <t>June</t>
        </is>
      </c>
      <c r="X22" s="157" t="inlineStr">
        <is>
          <t>Full Payment - By link</t>
        </is>
      </c>
      <c r="Y22" s="175" t="n"/>
      <c r="Z22" s="175" t="n"/>
      <c r="AA22" s="192">
        <f>IF(H22="", "", IF(U22="Open Sale", IF(TODAY()-H22=0, "0 Days", TEXT(TODAY()-H22, "0") &amp; " Days"), IF(U22="Closed Sale", AA22, "")))</f>
        <v/>
      </c>
      <c r="AB22" s="192">
        <f>IF(H22="", "", IF(OR(U22="Pending", U22="Pending Allocation"), CONCATENATE(TODAY()-H22, " Days"), IF(U22="Closed", "", "")))</f>
        <v/>
      </c>
      <c r="AC22" s="176">
        <f>IF(U22="Pending Allocation", IF(I22="", "", TODAY()-I22), "")</f>
        <v/>
      </c>
      <c r="AD22" s="195">
        <f>IF(U22="Open Sale", TEXT(TODAY()-I22, "0"),
   IF(U22="Pending", "",
      IF(U22="Closed Sale", "", "")))</f>
        <v/>
      </c>
      <c r="AE22" s="161" t="inlineStr">
        <is>
          <t>The client expressed strong interest in the timepiece. He mentioned that he is awaiting the takeover of another company, after which he plans to celebrate.</t>
        </is>
      </c>
      <c r="AF22" s="161" t="inlineStr">
        <is>
          <t>Available in ecom location</t>
        </is>
      </c>
      <c r="AG22" s="178" t="inlineStr">
        <is>
          <t>The client is is finalizing the purchase  and will update before the first of May</t>
        </is>
      </c>
      <c r="AH22" s="136" t="n"/>
      <c r="AI22" s="196">
        <f>IF(I22="","",TEXT(I22, "mmmm yyyy"))</f>
        <v/>
      </c>
      <c r="AJ22" s="196">
        <f>IF(AND(OpenPendingCases[[#This Row],[Sale Status	]]="Open Sale",OpenPendingCases[[#This Row],[Potential Same Month]]="High"),TEXT(OpenPendingCases[[#This Row],[Request Entry Date]], "[$-en-us]mmmm"),"")</f>
        <v/>
      </c>
      <c r="AK22" s="197">
        <f>IFERROR(VALUE(SUBSTITUTE(OpenPendingCases[[#This Row],[Price]]," AED","")),"")</f>
        <v/>
      </c>
      <c r="AL22" s="197">
        <f>IFERROR(VALUE(LEFT(OpenPendingCases[[#This Row],[Price]],FIND(" ",OpenPendingCases[[#This Row],[Price]])-1)),"")</f>
        <v/>
      </c>
      <c r="AM22" s="197">
        <f>IFERROR(VALUE(_xlfn.TEXTBEFORE(OpenPendingCases[[#This Row],[Price]]," AED")),"")</f>
        <v/>
      </c>
      <c r="AN22" s="165" t="n"/>
    </row>
    <row r="23" hidden="1" ht="130.5" customHeight="1" s="287">
      <c r="C23" s="148" t="n">
        <v>21</v>
      </c>
      <c r="D23" s="136">
        <f>IF($U23="Open Sale", IF(MAX($D$4:D22)+1=0, "", MAX($D$4:D22)+1), "")</f>
        <v/>
      </c>
      <c r="E23" s="136">
        <f>IF($U23="Pending Allocation", IF(MAX($E$4:E22)+1=0, "", MAX($E$4:E22)+1), "")</f>
        <v/>
      </c>
      <c r="F23" s="133" t="inlineStr">
        <is>
          <t>Asma</t>
        </is>
      </c>
      <c r="G23" s="133" t="inlineStr">
        <is>
          <t>RQS-UAE-119970</t>
        </is>
      </c>
      <c r="H23" s="150" t="n">
        <v>45728</v>
      </c>
      <c r="I23" s="150" t="n">
        <v>45728</v>
      </c>
      <c r="J23" s="67">
        <f>IF(OpenPendingCases[[#This Row],[Timepiece Reference ]]="", "", IF(_xlfn.XLOOKUP(OpenPendingCases[[#This Row],[Timepiece Reference ]], Table1[[Timepiece Reference ]], Table1[CRC STOCK], "Not Found")="YES", "CRC Stock", "Boutique Stock"))</f>
        <v/>
      </c>
      <c r="K23" s="136" t="inlineStr">
        <is>
          <t>CRC Stock</t>
        </is>
      </c>
      <c r="L23" s="139" t="inlineStr">
        <is>
          <t>Allocation Closed (Sold)</t>
        </is>
      </c>
      <c r="M23" s="140" t="inlineStr">
        <is>
          <t>High</t>
        </is>
      </c>
      <c r="N23" s="136" t="inlineStr">
        <is>
          <t>Middle East (UAE)</t>
        </is>
      </c>
      <c r="O23" s="133" t="inlineStr">
        <is>
          <t>4000V/210A-B911</t>
        </is>
      </c>
      <c r="P23" s="93">
        <f>IFERROR(VLOOKUP(TRIM(O23), Collection!$B$2:$D$1001, 2, FALSE), "")</f>
        <v/>
      </c>
      <c r="Q23" s="190">
        <f>IFERROR(VLOOKUP(TRIM(O23), Collection!$B$2:$D$1001, 3, FALSE), "")</f>
        <v/>
      </c>
      <c r="R23" s="153">
        <f>IFERROR(VALUE(SUBSTITUTE(SUBSTITUTE(Q23, "Price", ""), "AED", "")), "")</f>
        <v/>
      </c>
      <c r="S23" s="154" t="n">
        <v>104559752</v>
      </c>
      <c r="T23" s="155" t="inlineStr">
        <is>
          <t>NA</t>
        </is>
      </c>
      <c r="U23" s="136" t="inlineStr">
        <is>
          <t>Sold</t>
        </is>
      </c>
      <c r="V23" s="136" t="n"/>
      <c r="W23" s="156">
        <f>IF(Z23 = "",
"",
TEXT(Z23, "mmmm"))</f>
        <v/>
      </c>
      <c r="X23" s="157" t="inlineStr">
        <is>
          <t>Full Payment - Bank Transfer</t>
        </is>
      </c>
      <c r="Y23" s="158" t="n"/>
      <c r="Z23" s="170" t="n"/>
      <c r="AA23" s="136">
        <f>IF(H23="", "", IF(U23="Open Sale", IF(TODAY()-H23=0, "0 Days", TEXT(TODAY()-H23, "0") &amp; " Days"), IF(U23="Closed Sale", AA23, "")))</f>
        <v/>
      </c>
      <c r="AB23" s="136">
        <f>IF(H23="", "", IF(OR(U23="Pending", U23="Pending Allocation"), CONCATENATE(TODAY()-H23, " Days"), IF(U23="Closed", "", "")))</f>
        <v/>
      </c>
      <c r="AC23" s="160">
        <f>IF(U23="Pending Allocation", IF(I23="", "", TODAY()-I23), "")</f>
        <v/>
      </c>
      <c r="AD23" s="159">
        <f>IF(U23="Open Sale", TEXT(TODAY()-I23, "0"),
IF(U23="Pending", "",
IF(U23="Closed Sale", "", "")))</f>
        <v/>
      </c>
      <c r="AE23" s="163" t="inlineStr">
        <is>
          <t>Client initially interested in the 222 and the dual time blue switched his interest to the Retrograde</t>
        </is>
      </c>
      <c r="AF23" s="161" t="inlineStr">
        <is>
          <t>Available in ecom location</t>
        </is>
      </c>
      <c r="AG23" s="161" t="inlineStr">
        <is>
          <t>Order placed in Extend and the client will pay on Friday.</t>
        </is>
      </c>
      <c r="AH23" s="136" t="n"/>
      <c r="AI23" s="164">
        <f>IF(I23="","",TEXT(I23, "mmmm yyyy"))</f>
        <v/>
      </c>
      <c r="AJ23" s="164">
        <f>IF(AND(OpenPendingCases[[#This Row],[Sale Status	]]="Open Sale",OpenPendingCases[[#This Row],[Potential Same Month]]="High"),TEXT(OpenPendingCases[[#This Row],[Request Entry Date]], "[$-en-us]mmmm"),"")</f>
        <v/>
      </c>
      <c r="AK23" s="165">
        <f>IFERROR(VALUE(SUBSTITUTE(OpenPendingCases[[#This Row],[Price]]," AED","")),"")</f>
        <v/>
      </c>
      <c r="AL23" s="165">
        <f>IFERROR(VALUE(LEFT(OpenPendingCases[[#This Row],[Price]],FIND(" ",OpenPendingCases[[#This Row],[Price]])-1)),"")</f>
        <v/>
      </c>
      <c r="AM23" s="165">
        <f>IFERROR(VALUE(_xlfn.TEXTBEFORE(OpenPendingCases[[#This Row],[Price]]," AED")),"")</f>
        <v/>
      </c>
      <c r="AN23" s="165" t="n"/>
    </row>
    <row r="24" hidden="1" ht="54" customHeight="1" s="287">
      <c r="C24" s="148" t="n">
        <v>22</v>
      </c>
      <c r="D24" s="136">
        <f>IF($U24="Open Sale", IF(MAX($D$4:D23)+1=0, "", MAX($D$4:D23)+1), "")</f>
        <v/>
      </c>
      <c r="E24" s="136">
        <f>IF($U24="Pending Allocation", IF(MAX($E$4:E23)+1=0, "", MAX($E$4:E23)+1), "")</f>
        <v/>
      </c>
      <c r="F24" s="133" t="inlineStr">
        <is>
          <t>Maaz</t>
        </is>
      </c>
      <c r="G24" s="133" t="inlineStr">
        <is>
          <t>RQS-UAE-119984</t>
        </is>
      </c>
      <c r="H24" s="150" t="n">
        <v>45772</v>
      </c>
      <c r="I24" s="150" t="n">
        <v>45772</v>
      </c>
      <c r="J24" s="67">
        <f>IF(OpenPendingCases[[#This Row],[Timepiece Reference ]]="", "", IF(_xlfn.XLOOKUP(OpenPendingCases[[#This Row],[Timepiece Reference ]], Table1[[Timepiece Reference ]], Table1[CRC STOCK], "Not Found")="YES", "CRC Stock", "Boutique Stock"))</f>
        <v/>
      </c>
      <c r="K24" s="136" t="inlineStr">
        <is>
          <t>Boutique Stock</t>
        </is>
      </c>
      <c r="L24" s="139" t="inlineStr">
        <is>
          <t>Allocation Closed (Sold)</t>
        </is>
      </c>
      <c r="M24" s="140" t="inlineStr">
        <is>
          <t>Low</t>
        </is>
      </c>
      <c r="N24" s="136" t="inlineStr">
        <is>
          <t>Middle East (UAE)</t>
        </is>
      </c>
      <c r="O24" s="133" t="inlineStr">
        <is>
          <t>7920V/210R-B965</t>
        </is>
      </c>
      <c r="P24" s="93">
        <f>IFERROR(VLOOKUP(TRIM(O24), Collection!$B$2:$D$1001, 2, FALSE), "")</f>
        <v/>
      </c>
      <c r="Q24" s="190">
        <f>IFERROR(VLOOKUP(TRIM(O24), Collection!$B$2:$D$1001, 3, FALSE), "")</f>
        <v/>
      </c>
      <c r="R24" s="153">
        <f>IFERROR(VALUE(SUBSTITUTE(SUBSTITUTE(Q24, "Price", ""), "AED", "")), "")</f>
        <v/>
      </c>
      <c r="S24" s="154" t="n">
        <v>105366145</v>
      </c>
      <c r="T24" s="155" t="inlineStr">
        <is>
          <t>NA</t>
        </is>
      </c>
      <c r="U24" s="136" t="inlineStr">
        <is>
          <t>Sold</t>
        </is>
      </c>
      <c r="V24" s="136" t="n"/>
      <c r="W24" s="156">
        <f>IF(Z24 = "",
"",
TEXT(Z24, "mmmm"))</f>
        <v/>
      </c>
      <c r="X24" s="157" t="n"/>
      <c r="Y24" s="158" t="inlineStr">
        <is>
          <t>T-127226576</t>
        </is>
      </c>
      <c r="Z24" s="158" t="n">
        <v>45774</v>
      </c>
      <c r="AA24" s="136">
        <f>IF(H24="", "", IF(U24="Open Sale", IF(TODAY()-H24=0, "0 Days", TEXT(TODAY()-H24, "0") &amp; " Days"), IF(U24="Closed Sale", AA24, "")))</f>
        <v/>
      </c>
      <c r="AB24" s="136">
        <f>IF(H24="", "", IF(OR(U24="Pending", U24="Pending Allocation"), CONCATENATE(TODAY()-H24, " Days"), IF(U24="Closed", "", "")))</f>
        <v/>
      </c>
      <c r="AC24" s="160">
        <f>IF(U24="Pending Allocation", IF(I24="", "", TODAY()-I24), "")</f>
        <v/>
      </c>
      <c r="AD24" s="159">
        <f>IF(U24="Open Sale", TEXT(TODAY()-I24, "0"),
IF(U24="Pending", "",
IF(U24="Closed Sale", "", "")))</f>
        <v/>
      </c>
      <c r="AE24" s="161" t="inlineStr">
        <is>
          <t>The client has agreed to purchase the Overseas Dual Time Green, and the arrangement has been coordinated with Firas at suite 1755.</t>
        </is>
      </c>
      <c r="AF24" s="161" t="inlineStr">
        <is>
          <t>Will be moved to Suite 1755.</t>
        </is>
      </c>
      <c r="AG24" s="161" t="inlineStr">
        <is>
          <t xml:space="preserve">The client will do the payment Sunday  </t>
        </is>
      </c>
      <c r="AH24" s="136" t="n"/>
      <c r="AI24" s="164">
        <f>IF(I24="","",TEXT(I24, "mmmm yyyy"))</f>
        <v/>
      </c>
      <c r="AJ24" s="164">
        <f>IF(AND(OpenPendingCases[[#This Row],[Sale Status	]]="Open Sale",OpenPendingCases[[#This Row],[Potential Same Month]]="High"),TEXT(OpenPendingCases[[#This Row],[Request Entry Date]], "[$-en-us]mmmm"),"")</f>
        <v/>
      </c>
      <c r="AK24" s="165">
        <f>IFERROR(VALUE(SUBSTITUTE(OpenPendingCases[[#This Row],[Price]]," AED","")),"")</f>
        <v/>
      </c>
      <c r="AL24" s="165">
        <f>IFERROR(VALUE(LEFT(OpenPendingCases[[#This Row],[Price]],FIND(" ",OpenPendingCases[[#This Row],[Price]])-1)),"")</f>
        <v/>
      </c>
      <c r="AM24" s="165">
        <f>IFERROR(VALUE(_xlfn.TEXTBEFORE(OpenPendingCases[[#This Row],[Price]]," AED")),"")</f>
        <v/>
      </c>
      <c r="AN24" s="165" t="n"/>
    </row>
    <row r="25" hidden="1" ht="36" customHeight="1" s="287">
      <c r="C25" s="148" t="n">
        <v>23</v>
      </c>
      <c r="D25" s="136">
        <f>IF($U25="Open Sale", IF(MAX($D$4:D24)+1=0, "", MAX($D$4:D24)+1), "")</f>
        <v/>
      </c>
      <c r="E25" s="136">
        <f>IF($U25="Pending Allocation", IF(MAX($E$4:E24)+1=0, "", MAX($E$4:E24)+1), "")</f>
        <v/>
      </c>
      <c r="F25" s="133" t="inlineStr">
        <is>
          <t>Maaz</t>
        </is>
      </c>
      <c r="G25" s="133" t="n"/>
      <c r="H25" s="150" t="n">
        <v>45780</v>
      </c>
      <c r="I25" s="150" t="n">
        <v>45780</v>
      </c>
      <c r="J25" s="67">
        <f>IF(OpenPendingCases[[#This Row],[Timepiece Reference ]]="", "", IF(_xlfn.XLOOKUP(OpenPendingCases[[#This Row],[Timepiece Reference ]], Table1[[Timepiece Reference ]], Table1[CRC STOCK], "Not Found")="YES", "CRC Stock", "Boutique Stock"))</f>
        <v/>
      </c>
      <c r="K25" s="136" t="inlineStr">
        <is>
          <t>CRC Stock</t>
        </is>
      </c>
      <c r="L25" s="139" t="inlineStr">
        <is>
          <t>Allocation Closed (Sold)</t>
        </is>
      </c>
      <c r="M25" s="140" t="inlineStr">
        <is>
          <t>High</t>
        </is>
      </c>
      <c r="N25" s="136" t="inlineStr">
        <is>
          <t>Middle East (UAE)</t>
        </is>
      </c>
      <c r="O25" s="134" t="inlineStr">
        <is>
          <t>4600E/000A-B442</t>
        </is>
      </c>
      <c r="P25" s="93">
        <f>IFERROR(VLOOKUP(TRIM(O25), Collection!$B$2:$D$1001, 2, FALSE), "")</f>
        <v/>
      </c>
      <c r="Q25" s="190">
        <f>IFERROR(VLOOKUP(TRIM(O25), Collection!$B$2:$D$1001, 3, FALSE), "")</f>
        <v/>
      </c>
      <c r="R25" s="153">
        <f>IFERROR(VALUE(SUBSTITUTE(SUBSTITUTE(Q25, "Price", ""), "AED", "")), "")</f>
        <v/>
      </c>
      <c r="S25" s="154" t="n">
        <v>100576190</v>
      </c>
      <c r="T25" s="155" t="inlineStr">
        <is>
          <t>NA</t>
        </is>
      </c>
      <c r="U25" s="136" t="inlineStr">
        <is>
          <t>Sold</t>
        </is>
      </c>
      <c r="V25" s="136" t="n"/>
      <c r="W25" s="156">
        <f>IF(Z25 = "",
     "",
     TEXT(Z25, "mmmm"))</f>
        <v/>
      </c>
      <c r="X25" s="157" t="inlineStr">
        <is>
          <t>Full Payment - By link</t>
        </is>
      </c>
      <c r="Y25" s="166" t="n">
        <v>6100102079</v>
      </c>
      <c r="Z25" s="158" t="n">
        <v>45780</v>
      </c>
      <c r="AA25" s="136">
        <f>IF(H25="", "", IF(U25="Open Sale", IF(TODAY()-H25=0, "0 Days", TEXT(TODAY()-H25, "0") &amp; " Days"), IF(U25="Closed Sale", AA25, "")))</f>
        <v/>
      </c>
      <c r="AB25" s="136">
        <f>IF(H25="", "", IF(OR(U25="Pending", U25="Pending Allocation"), CONCATENATE(TODAY()-H25, " Days"), IF(U25="Closed", "", "")))</f>
        <v/>
      </c>
      <c r="AC25" s="160">
        <f>IF(U25="Pending Allocation", IF(I25="", "", TODAY()-I25), "")</f>
        <v/>
      </c>
      <c r="AD25" s="159">
        <f>IF(U25="Open Sale", TEXT(TODAY()-I25, "0"),
IF(U25="Pending", "",
IF(U25="Closed Sale", "", "")))</f>
        <v/>
      </c>
      <c r="AE25" s="179" t="inlineStr">
        <is>
          <t>The client expressed interest in the Fiftysix and requested to have the timepiece delivered to his home.</t>
        </is>
      </c>
      <c r="AF25" s="161" t="n"/>
      <c r="AG25" s="161" t="n"/>
      <c r="AH25" s="136" t="n"/>
      <c r="AI25" s="164">
        <f>IF(I25="","",TEXT(I25, "mmmm yyyy"))</f>
        <v/>
      </c>
      <c r="AJ25" s="164">
        <f>IF(AND(OpenPendingCases[[#This Row],[Sale Status	]]="Open Sale",OpenPendingCases[[#This Row],[Potential Same Month]]="High"),TEXT(OpenPendingCases[[#This Row],[Request Entry Date]], "[$-en-us]mmmm"),"")</f>
        <v/>
      </c>
      <c r="AK25" s="165">
        <f>IFERROR(VALUE(SUBSTITUTE(OpenPendingCases[[#This Row],[Price]]," AED","")),"")</f>
        <v/>
      </c>
      <c r="AL25" s="165">
        <f>IFERROR(VALUE(LEFT(OpenPendingCases[[#This Row],[Price]],FIND(" ",OpenPendingCases[[#This Row],[Price]])-1)),"")</f>
        <v/>
      </c>
      <c r="AM25" s="165">
        <f>IFERROR(VALUE(_xlfn.TEXTBEFORE(OpenPendingCases[[#This Row],[Price]]," AED")),"")</f>
        <v/>
      </c>
      <c r="AN25" s="165" t="n"/>
    </row>
    <row r="26" ht="90" customHeight="1" s="287">
      <c r="C26" s="148" t="n">
        <v>24</v>
      </c>
      <c r="D26" s="136">
        <f>IF($U26="Open Sale", IF(MAX($D$4:D25)+1=0, "", MAX($D$4:D25)+1), "")</f>
        <v/>
      </c>
      <c r="E26" s="136">
        <f>IF($U26="Pending Allocation", IF(MAX($E$4:E25)+1=0, "", MAX($E$4:E25)+1), "")</f>
        <v/>
      </c>
      <c r="F26" s="133" t="n"/>
      <c r="G26" s="133" t="n"/>
      <c r="H26" s="150" t="n"/>
      <c r="I26" s="150" t="n"/>
      <c r="J26" s="67" t="n"/>
      <c r="K26" s="136" t="n"/>
      <c r="L26" s="139" t="n"/>
      <c r="M26" s="140" t="n"/>
      <c r="N26" s="136" t="n"/>
      <c r="O26" s="133" t="n"/>
      <c r="P26" s="93" t="n"/>
      <c r="Q26" s="190" t="n"/>
      <c r="R26" s="153">
        <f>IFERROR(VALUE(SUBSTITUTE(SUBSTITUTE(Q26, "Price", ""), "AED", "")), "")</f>
        <v/>
      </c>
      <c r="S26" s="154" t="n"/>
      <c r="T26" s="155" t="n"/>
      <c r="U26" s="136" t="n"/>
      <c r="V26" s="136" t="n"/>
      <c r="W26" s="156" t="n"/>
      <c r="X26" s="157" t="n"/>
      <c r="Y26" s="158" t="n"/>
      <c r="Z26" s="158" t="n"/>
      <c r="AA26" s="136">
        <f>IF(H26="", "", IF(U26="Open Sale", IF(TODAY()-H26=0, "0 Days", TEXT(TODAY()-H26, "0") &amp; " Days"), IF(U26="Closed Sale", AA26, "")))</f>
        <v/>
      </c>
      <c r="AB26" s="136">
        <f>IF(H26="", "", IF(OR(U26="Pending", U26="Pending Allocation"), CONCATENATE(TODAY()-H26, " Days"), IF(U26="Closed", "", "")))</f>
        <v/>
      </c>
      <c r="AC26" s="160">
        <f>IF(U26="Pending Allocation", IF(I26="", "", TODAY()-I26), "")</f>
        <v/>
      </c>
      <c r="AD26" s="159">
        <f>IF(U26="Open Sale", TEXT(TODAY()-I26, "0"),
IF(U26="Pending", "",
IF(U26="Closed Sale", "", "")))</f>
        <v/>
      </c>
      <c r="AE26" s="161" t="n"/>
      <c r="AF26" s="161" t="n"/>
      <c r="AG26" s="161" t="n"/>
      <c r="AH26" s="136" t="n"/>
      <c r="AI26" s="164">
        <f>IF(I26="","",TEXT(I26, "mmmm yyyy"))</f>
        <v/>
      </c>
      <c r="AJ26" s="164">
        <f>IF(AND(OpenPendingCases[[#This Row],[Sale Status	]]="Open Sale",OpenPendingCases[[#This Row],[Potential Same Month]]="High"),TEXT(OpenPendingCases[[#This Row],[Request Entry Date]], "[$-en-us]mmmm"),"")</f>
        <v/>
      </c>
      <c r="AK26" s="165">
        <f>IFERROR(VALUE(SUBSTITUTE(OpenPendingCases[[#This Row],[Price]]," AED","")),"")</f>
        <v/>
      </c>
      <c r="AL26" s="165">
        <f>IFERROR(VALUE(LEFT(OpenPendingCases[[#This Row],[Price]],FIND(" ",OpenPendingCases[[#This Row],[Price]])-1)),"")</f>
        <v/>
      </c>
      <c r="AM26" s="165">
        <f>IFERROR(VALUE(_xlfn.TEXTBEFORE(OpenPendingCases[[#This Row],[Price]]," AED")),"")</f>
        <v/>
      </c>
      <c r="AN26" s="165" t="n"/>
    </row>
    <row r="27" ht="54" customHeight="1" s="287">
      <c r="C27" s="148" t="n">
        <v>25</v>
      </c>
      <c r="D27" s="136">
        <f>IF($U27="Open Sale", IF(MAX($D$4:D26)+1=0, "", MAX($D$4:D26)+1), "")</f>
        <v/>
      </c>
      <c r="E27" s="136">
        <f>IF($U27="Pending Allocation", IF(MAX($E$4:E26)+1=0, "", MAX($E$4:E26)+1), "")</f>
        <v/>
      </c>
      <c r="F27" s="133" t="n"/>
      <c r="G27" s="133" t="n"/>
      <c r="H27" s="150" t="n"/>
      <c r="I27" s="150" t="n"/>
      <c r="J27" s="67" t="n"/>
      <c r="K27" s="136" t="n"/>
      <c r="L27" s="139" t="n"/>
      <c r="M27" s="140" t="n"/>
      <c r="N27" s="136" t="n"/>
      <c r="O27" s="133" t="n"/>
      <c r="P27" s="93" t="n"/>
      <c r="Q27" s="190" t="n"/>
      <c r="R27" s="153">
        <f>IFERROR(VALUE(SUBSTITUTE(SUBSTITUTE(Q27, "Price", ""), "AED", "")), "")</f>
        <v/>
      </c>
      <c r="S27" s="191" t="n"/>
      <c r="T27" s="155" t="n"/>
      <c r="U27" s="136" t="n"/>
      <c r="V27" s="136" t="n"/>
      <c r="W27" s="156" t="n"/>
      <c r="X27" s="157" t="n"/>
      <c r="Y27" s="158" t="n"/>
      <c r="Z27" s="158" t="n"/>
      <c r="AA27" s="136">
        <f>IF(H27="", "", IF(U27="Open Sale", IF(TODAY()-H27=0, "0 Days", TEXT(TODAY()-H27, "0") &amp; " Days"), IF(U27="Closed Sale", AA27, "")))</f>
        <v/>
      </c>
      <c r="AB27" s="136">
        <f>IF(H27="", "", IF(OR(U27="Pending", U27="Pending Allocation"), CONCATENATE(TODAY()-H27, " Days"), IF(U27="Closed", "", "")))</f>
        <v/>
      </c>
      <c r="AC27" s="160">
        <f>IF(U27="Pending Allocation", IF(I27="", "", TODAY()-I27), "")</f>
        <v/>
      </c>
      <c r="AD27" s="159">
        <f>IF(U27="Open Sale", TEXT(TODAY()-I27, "0"),
IF(U27="Pending", "",
IF(U27="Closed Sale", "", "")))</f>
        <v/>
      </c>
      <c r="AE27" s="161" t="n"/>
      <c r="AF27" s="161" t="n"/>
      <c r="AG27" s="161" t="n"/>
      <c r="AH27" s="136" t="n"/>
      <c r="AI27" s="164">
        <f>IF(I27="","",TEXT(I27, "mmmm yyyy"))</f>
        <v/>
      </c>
      <c r="AJ27" s="164">
        <f>IF(AND(OpenPendingCases[[#This Row],[Sale Status	]]="Open Sale",OpenPendingCases[[#This Row],[Potential Same Month]]="High"),TEXT(OpenPendingCases[[#This Row],[Request Entry Date]], "[$-en-us]mmmm"),"")</f>
        <v/>
      </c>
      <c r="AK27" s="165">
        <f>IFERROR(VALUE(SUBSTITUTE(OpenPendingCases[[#This Row],[Price]]," AED","")),"")</f>
        <v/>
      </c>
      <c r="AL27" s="165">
        <f>IFERROR(VALUE(LEFT(OpenPendingCases[[#This Row],[Price]],FIND(" ",OpenPendingCases[[#This Row],[Price]])-1)),"")</f>
        <v/>
      </c>
      <c r="AM27" s="165">
        <f>IFERROR(VALUE(_xlfn.TEXTBEFORE(OpenPendingCases[[#This Row],[Price]]," AED")),"")</f>
        <v/>
      </c>
      <c r="AN27" s="165" t="n"/>
    </row>
    <row r="28" ht="36" customHeight="1" s="287">
      <c r="C28" s="148" t="n">
        <v>26</v>
      </c>
      <c r="D28" s="136">
        <f>IF($U28="Open Sale", IF(MAX($D$4:D27)+1=0, "", MAX($D$4:D27)+1), "")</f>
        <v/>
      </c>
      <c r="E28" s="136">
        <f>IF($U28="Pending Allocation", IF(MAX($E$4:E27)+1=0, "", MAX($E$4:E27)+1), "")</f>
        <v/>
      </c>
      <c r="F28" s="133" t="n"/>
      <c r="G28" s="133" t="n"/>
      <c r="H28" s="150" t="n"/>
      <c r="I28" s="150" t="n"/>
      <c r="J28" s="67" t="n"/>
      <c r="K28" s="136" t="n"/>
      <c r="L28" s="139" t="n"/>
      <c r="M28" s="140" t="n"/>
      <c r="N28" s="136" t="n"/>
      <c r="O28" s="133" t="n"/>
      <c r="P28" s="93" t="n"/>
      <c r="Q28" s="190" t="n"/>
      <c r="R28" s="153">
        <f>IFERROR(VALUE(SUBSTITUTE(SUBSTITUTE(Q28, "Price", ""), "AED", "")), "")</f>
        <v/>
      </c>
      <c r="S28" s="191" t="n"/>
      <c r="T28" s="155" t="n"/>
      <c r="U28" s="136" t="n"/>
      <c r="V28" s="136" t="n"/>
      <c r="W28" s="156" t="n"/>
      <c r="X28" s="157" t="n"/>
      <c r="Y28" s="158" t="n"/>
      <c r="Z28" s="158" t="n"/>
      <c r="AA28" s="136">
        <f>IF(H28="", "", IF(U28="Open Sale", IF(TODAY()-H28=0, "0 Days", TEXT(TODAY()-H28, "0") &amp; " Days"), IF(U28="Closed Sale", AA28, "")))</f>
        <v/>
      </c>
      <c r="AB28" s="136">
        <f>IF(H28="", "", IF(OR(U28="Pending", U28="Pending Allocation"), CONCATENATE(TODAY()-H28, " Days"), IF(U28="Closed", "", "")))</f>
        <v/>
      </c>
      <c r="AC28" s="160">
        <f>IF(U28="Pending Allocation", IF(I28="", "", TODAY()-I28), "")</f>
        <v/>
      </c>
      <c r="AD28" s="159">
        <f>IF(U28="Open Sale", TEXT(TODAY()-I28, "0"),
IF(U28="Pending", "",
IF(U28="Closed Sale", "", "")))</f>
        <v/>
      </c>
      <c r="AE28" s="161" t="n"/>
      <c r="AF28" s="161" t="n"/>
      <c r="AG28" s="161" t="n"/>
      <c r="AH28" s="136" t="n"/>
      <c r="AI28" s="164">
        <f>IF(I28="","",TEXT(I28, "mmmm yyyy"))</f>
        <v/>
      </c>
      <c r="AJ28" s="164">
        <f>IF(AND(OpenPendingCases[[#This Row],[Sale Status	]]="Open Sale",OpenPendingCases[[#This Row],[Potential Same Month]]="High"),TEXT(OpenPendingCases[[#This Row],[Request Entry Date]], "[$-en-us]mmmm"),"")</f>
        <v/>
      </c>
      <c r="AK28" s="165">
        <f>IFERROR(VALUE(SUBSTITUTE(OpenPendingCases[[#This Row],[Price]]," AED","")),"")</f>
        <v/>
      </c>
      <c r="AL28" s="165">
        <f>IFERROR(VALUE(LEFT(OpenPendingCases[[#This Row],[Price]],FIND(" ",OpenPendingCases[[#This Row],[Price]])-1)),"")</f>
        <v/>
      </c>
      <c r="AM28" s="165">
        <f>IFERROR(VALUE(_xlfn.TEXTBEFORE(OpenPendingCases[[#This Row],[Price]]," AED")),"")</f>
        <v/>
      </c>
      <c r="AN28" s="165" t="n"/>
    </row>
    <row r="29" hidden="1" ht="90" customHeight="1" s="287">
      <c r="C29" s="148" t="n">
        <v>27</v>
      </c>
      <c r="D29" s="136">
        <f>IF($U29="Open Sale", IF(MAX($D$4:D28)+1=0, "", MAX($D$4:D28)+1), "")</f>
        <v/>
      </c>
      <c r="E29" s="136">
        <f>IF($U29="Pending Allocation", IF(MAX($E$4:E28)+1=0, "", MAX($E$4:E28)+1), "")</f>
        <v/>
      </c>
      <c r="F29" s="133" t="inlineStr">
        <is>
          <t>Maaz</t>
        </is>
      </c>
      <c r="G29" s="133" t="inlineStr">
        <is>
          <t>RQS-UAE-120048</t>
        </is>
      </c>
      <c r="H29" s="150" t="n">
        <v>45763</v>
      </c>
      <c r="I29" s="150" t="n">
        <v>45784</v>
      </c>
      <c r="J29" s="67">
        <f>IF(OpenPendingCases[[#This Row],[Timepiece Reference ]]="", "", IF(_xlfn.XLOOKUP(OpenPendingCases[[#This Row],[Timepiece Reference ]], Table1[[Timepiece Reference ]], Table1[CRC STOCK], "Not Found")="YES", "CRC Stock", "Boutique Stock"))</f>
        <v/>
      </c>
      <c r="K29" s="136">
        <f>IF(OpenPendingCases[[#This Row],[Timepiece Reference ]]="", "", IF(_xlfn.XLOOKUP(OpenPendingCases[[#This Row],[Timepiece Reference ]], Table1[[Timepiece Reference ]], Table1[CRC STOCK], "Not Found")="YES", "CRC Stock", "Boutique Stock"))</f>
        <v/>
      </c>
      <c r="L29" s="139" t="inlineStr">
        <is>
          <t>Allocation Confirmed</t>
        </is>
      </c>
      <c r="M29" s="140" t="inlineStr">
        <is>
          <t>Medium</t>
        </is>
      </c>
      <c r="N29" s="136" t="inlineStr">
        <is>
          <t>Middle East (UAE)</t>
        </is>
      </c>
      <c r="O29" s="133" t="inlineStr">
        <is>
          <t>4010T/000G-B740</t>
        </is>
      </c>
      <c r="P29" s="93">
        <f>IFERROR(VLOOKUP(TRIM(O29), Collection!$B$2:$D$1001, 2, FALSE), "")</f>
        <v/>
      </c>
      <c r="Q29" s="190">
        <f>IFERROR(VLOOKUP(TRIM(O29), Collection!$B$2:$D$1001, 3, FALSE), "")</f>
        <v/>
      </c>
      <c r="R29" s="153">
        <f>IFERROR(VALUE(SUBSTITUTE(SUBSTITUTE(Q29, "Price", ""), "AED", "")), "")</f>
        <v/>
      </c>
      <c r="S29" s="154" t="n">
        <v>105370532</v>
      </c>
      <c r="T29" s="155" t="inlineStr">
        <is>
          <t>Please confirm client goes ahead to Anais &amp; Rowel, so piece can be ordered from CH, estimated time: 7 days</t>
        </is>
      </c>
      <c r="U29" s="136" t="inlineStr">
        <is>
          <t>Closed Sale</t>
        </is>
      </c>
      <c r="V29" s="136" t="n"/>
      <c r="W29" s="156">
        <f>IF(Z29 = "",
"",
TEXT(Z29, "mmmm"))</f>
        <v/>
      </c>
      <c r="X29" s="157" t="n"/>
      <c r="Y29" s="158" t="n"/>
      <c r="Z29" s="158" t="n"/>
      <c r="AA29" s="136">
        <f>IF(H29="", "", IF(U29="Open Sale", IF(TODAY()-H29=0, "0 Days", TEXT(TODAY()-H29, "0") &amp; " Days"), IF(U29="Closed Sale", AA29, "")))</f>
        <v/>
      </c>
      <c r="AB29" s="136">
        <f>IF(H29="", "", IF(OR(U29="Pending", U29="Pending Allocation"), CONCATENATE(TODAY()-H29, " Days"), IF(U29="Closed", "", "")))</f>
        <v/>
      </c>
      <c r="AC29" s="160">
        <f>IF(U29="Pending Allocation", IF(I29="", "", TODAY()-I29), "")</f>
        <v/>
      </c>
      <c r="AD29" s="159">
        <f>IF(U29="Open Sale", TEXT(TODAY()-I29, "0"),
IF(U29="Pending", "",
IF(U29="Closed Sale", "", "")))</f>
        <v/>
      </c>
      <c r="AE29" s="163" t="inlineStr">
        <is>
          <t>He has confirmed an appointment to visit the Mall of the Emirates boutique on 16th May 2025 at 6:00 PM to view the piece and proceed with the purchase if it suits him.
•	Internal Reference: 4010T/000G-B740</t>
        </is>
      </c>
      <c r="AF29" s="163" t="inlineStr">
        <is>
          <t>The client keeps on holding</t>
        </is>
      </c>
      <c r="AG29" s="161" t="n"/>
      <c r="AH29" s="136" t="n"/>
      <c r="AI29" s="164">
        <f>IF(I29="","",TEXT(I29, "mmmm yyyy"))</f>
        <v/>
      </c>
      <c r="AJ29" s="164">
        <f>IF(AND(OpenPendingCases[[#This Row],[Sale Status	]]="Open Sale",OpenPendingCases[[#This Row],[Potential Same Month]]="High"),TEXT(OpenPendingCases[[#This Row],[Request Entry Date]], "[$-en-us]mmmm"),"")</f>
        <v/>
      </c>
      <c r="AK29" s="165">
        <f>IFERROR(VALUE(SUBSTITUTE(OpenPendingCases[[#This Row],[Price]]," AED","")),"")</f>
        <v/>
      </c>
      <c r="AL29" s="165">
        <f>IFERROR(VALUE(LEFT(OpenPendingCases[[#This Row],[Price]],FIND(" ",OpenPendingCases[[#This Row],[Price]])-1)),"")</f>
        <v/>
      </c>
      <c r="AM29" s="165">
        <f>IFERROR(VALUE(_xlfn.TEXTBEFORE(OpenPendingCases[[#This Row],[Price]]," AED")),"")</f>
        <v/>
      </c>
      <c r="AN29" s="165" t="inlineStr">
        <is>
          <t xml:space="preserve">updatejr </t>
        </is>
      </c>
    </row>
    <row r="30" hidden="1" ht="36" customHeight="1" s="287">
      <c r="C30" s="148" t="n">
        <v>28</v>
      </c>
      <c r="D30" s="136">
        <f>IF($U30="Open Sale", IF(MAX($D$4:D29)+1=0, "", MAX($D$4:D29)+1), "")</f>
        <v/>
      </c>
      <c r="E30" s="136">
        <f>IF($U30="Pending Allocation", IF(MAX($E$4:E29)+1=0, "", MAX($E$4:E29)+1), "")</f>
        <v/>
      </c>
      <c r="F30" s="133" t="inlineStr">
        <is>
          <t>Maaz</t>
        </is>
      </c>
      <c r="G30" s="133" t="inlineStr">
        <is>
          <t>RQS-UAE-120159</t>
        </is>
      </c>
      <c r="H30" s="150" t="n">
        <v>45790</v>
      </c>
      <c r="I30" s="150" t="n">
        <v>45790</v>
      </c>
      <c r="J30" s="67">
        <f>IF(OpenPendingCases[[#This Row],[Timepiece Reference ]]="", "", IF(_xlfn.XLOOKUP(OpenPendingCases[[#This Row],[Timepiece Reference ]], Table1[[Timepiece Reference ]], Table1[CRC STOCK], "Not Found")="YES", "CRC Stock", "Boutique Stock"))</f>
        <v/>
      </c>
      <c r="K30" s="136">
        <f>IF(OpenPendingCases[[#This Row],[Timepiece Reference ]]="", "", IF(_xlfn.XLOOKUP(OpenPendingCases[[#This Row],[Timepiece Reference ]], Table1[[Timepiece Reference ]], Table1[CRC STOCK], "Not Found")="YES", "CRC Stock", "Boutique Stock"))</f>
        <v/>
      </c>
      <c r="L30" s="139" t="inlineStr">
        <is>
          <t>Currently Under Review</t>
        </is>
      </c>
      <c r="M30" s="140" t="inlineStr">
        <is>
          <t>Low</t>
        </is>
      </c>
      <c r="N30" s="136" t="inlineStr">
        <is>
          <t>Middle East (UAE)</t>
        </is>
      </c>
      <c r="O30" s="133" t="inlineStr">
        <is>
          <t>4000E/000A-B439</t>
        </is>
      </c>
      <c r="P30" s="93">
        <f>IFERROR(VLOOKUP(TRIM(O30), Collection!$B$2:$D$1001, 2, FALSE), "")</f>
        <v/>
      </c>
      <c r="Q30" s="190">
        <f>IFERROR(VLOOKUP(TRIM(O30), Collection!$B$2:$D$1001, 3, FALSE), "")</f>
        <v/>
      </c>
      <c r="R30" s="153">
        <f>IFERROR(VALUE(SUBSTITUTE(SUBSTITUTE(Q30, "Price", ""), "AED", "")), "")</f>
        <v/>
      </c>
      <c r="S30" s="154" t="n">
        <v>105904737</v>
      </c>
      <c r="T30" s="155" t="inlineStr">
        <is>
          <t>NA</t>
        </is>
      </c>
      <c r="U30" s="136" t="inlineStr">
        <is>
          <t>Closed Sale</t>
        </is>
      </c>
      <c r="V30" s="136" t="n"/>
      <c r="W30" s="156" t="n"/>
      <c r="X30" s="157" t="inlineStr">
        <is>
          <t>Full Payment - By link</t>
        </is>
      </c>
      <c r="Y30" s="158" t="n"/>
      <c r="Z30" s="158" t="n"/>
      <c r="AA30" s="136">
        <f>IF(H30="", "", IF(U30="Open Sale", IF(TODAY()-H30=0, "0 Days", TEXT(TODAY()-H30, "0") &amp; " Days"), IF(U30="Closed Sale", AA30, "")))</f>
        <v/>
      </c>
      <c r="AB30" s="136">
        <f>IF(H30="", "", IF(OR(U30="Pending", U30="Pending Allocation"), CONCATENATE(TODAY()-H30, " Days"), IF(U30="Closed", "", "")))</f>
        <v/>
      </c>
      <c r="AC30" s="160">
        <f>IF(U30="Pending Allocation", IF(I30="", "", TODAY()-I30), "")</f>
        <v/>
      </c>
      <c r="AD30" s="159">
        <f>IF(U30="Open Sale", TEXT(TODAY()-I30, "0"),
IF(U30="Pending", "",
IF(U30="Closed Sale", "", "")))</f>
        <v/>
      </c>
      <c r="AE30" s="161" t="n"/>
      <c r="AF30" s="161" t="n"/>
      <c r="AG30" s="161" t="n"/>
      <c r="AH30" s="136" t="n"/>
      <c r="AI30" s="164">
        <f>IF(I30="","",TEXT(I30, "mmmm yyyy"))</f>
        <v/>
      </c>
      <c r="AJ30" s="164">
        <f>IF(AND(OpenPendingCases[[#This Row],[Sale Status	]]="Open Sale",OpenPendingCases[[#This Row],[Potential Same Month]]="High"),TEXT(OpenPendingCases[[#This Row],[Request Entry Date]], "[$-en-us]mmmm"),"")</f>
        <v/>
      </c>
      <c r="AK30" s="165">
        <f>IFERROR(VALUE(SUBSTITUTE(OpenPendingCases[[#This Row],[Price]]," AED","")),"")</f>
        <v/>
      </c>
      <c r="AL30" s="165">
        <f>IFERROR(VALUE(LEFT(OpenPendingCases[[#This Row],[Price]],FIND(" ",OpenPendingCases[[#This Row],[Price]])-1)),"")</f>
        <v/>
      </c>
      <c r="AM30" s="165">
        <f>IFERROR(VALUE(_xlfn.TEXTBEFORE(OpenPendingCases[[#This Row],[Price]]," AED")),"")</f>
        <v/>
      </c>
      <c r="AN30" s="165" t="n"/>
    </row>
    <row r="31" ht="36" customHeight="1" s="287">
      <c r="C31" s="148" t="n">
        <v>29</v>
      </c>
      <c r="D31" s="136">
        <f>IF($U31="Open Sale", IF(MAX($D$4:D30)+1=0, "", MAX($D$4:D30)+1), "")</f>
        <v/>
      </c>
      <c r="E31" s="136">
        <f>IF($U31="Pending Allocation", IF(MAX($E$4:E30)+1=0, "", MAX($E$4:E30)+1), "")</f>
        <v/>
      </c>
      <c r="F31" s="133" t="n"/>
      <c r="G31" s="133" t="n"/>
      <c r="H31" s="150" t="n"/>
      <c r="I31" s="150" t="n"/>
      <c r="J31" s="67" t="n"/>
      <c r="K31" s="136" t="n"/>
      <c r="L31" s="139" t="n"/>
      <c r="M31" s="140" t="n"/>
      <c r="N31" s="136" t="n"/>
      <c r="O31" s="133" t="n"/>
      <c r="P31" s="93" t="n"/>
      <c r="Q31" s="190" t="n"/>
      <c r="R31" s="153">
        <f>IFERROR(VALUE(SUBSTITUTE(SUBSTITUTE(Q31, "Price", ""), "AED", "")), "")</f>
        <v/>
      </c>
      <c r="S31" s="191" t="n"/>
      <c r="T31" s="155" t="n"/>
      <c r="U31" s="136" t="n"/>
      <c r="V31" s="136" t="n"/>
      <c r="W31" s="156" t="n"/>
      <c r="X31" s="157" t="n"/>
      <c r="Y31" s="158" t="n"/>
      <c r="Z31" s="158" t="n"/>
      <c r="AA31" s="136">
        <f>IF(H31="", "", IF(U31="Open Sale", IF(TODAY()-H31=0, "0 Days", TEXT(TODAY()-H31, "0") &amp; " Days"), IF(U31="Closed Sale", AA31, "")))</f>
        <v/>
      </c>
      <c r="AB31" s="136">
        <f>IF(H31="", "", IF(OR(U31="Pending", U31="Pending Allocation"), CONCATENATE(TODAY()-H31, " Days"), IF(U31="Closed", "", "")))</f>
        <v/>
      </c>
      <c r="AC31" s="160">
        <f>IF(U31="Pending Allocation", IF(I31="", "", TODAY()-I31), "")</f>
        <v/>
      </c>
      <c r="AD31" s="159">
        <f>IF(U31="Open Sale", TEXT(TODAY()-I31, "0"),
IF(U31="Pending", "",
IF(U31="Closed Sale", "", "")))</f>
        <v/>
      </c>
      <c r="AE31" s="161" t="n"/>
      <c r="AF31" s="161" t="n"/>
      <c r="AG31" s="161" t="n"/>
      <c r="AH31" s="136" t="n"/>
      <c r="AI31" s="164">
        <f>IF(I31="","",TEXT(I31, "mmmm yyyy"))</f>
        <v/>
      </c>
      <c r="AJ31" s="164">
        <f>IF(AND(OpenPendingCases[[#This Row],[Sale Status	]]="Open Sale",OpenPendingCases[[#This Row],[Potential Same Month]]="High"),TEXT(OpenPendingCases[[#This Row],[Request Entry Date]], "[$-en-us]mmmm"),"")</f>
        <v/>
      </c>
      <c r="AK31" s="165">
        <f>IFERROR(VALUE(SUBSTITUTE(OpenPendingCases[[#This Row],[Price]]," AED","")),"")</f>
        <v/>
      </c>
      <c r="AL31" s="165">
        <f>IFERROR(VALUE(LEFT(OpenPendingCases[[#This Row],[Price]],FIND(" ",OpenPendingCases[[#This Row],[Price]])-1)),"")</f>
        <v/>
      </c>
      <c r="AM31" s="165">
        <f>IFERROR(VALUE(_xlfn.TEXTBEFORE(OpenPendingCases[[#This Row],[Price]]," AED")),"")</f>
        <v/>
      </c>
      <c r="AN31" s="165" t="n"/>
    </row>
    <row r="32" hidden="1" ht="54" customHeight="1" s="287">
      <c r="C32" s="148" t="n">
        <v>30</v>
      </c>
      <c r="D32" s="136">
        <f>IF($U32="Open Sale", IF(MAX($D$4:D31)+1=0, "", MAX($D$4:D31)+1), "")</f>
        <v/>
      </c>
      <c r="E32" s="136">
        <f>IF($U32="Pending Allocation", IF(MAX($E$4:E31)+1=0, "", MAX($E$4:E31)+1), "")</f>
        <v/>
      </c>
      <c r="F32" s="133" t="inlineStr">
        <is>
          <t>Maaz</t>
        </is>
      </c>
      <c r="G32" s="133" t="inlineStr">
        <is>
          <t>RQS-UAE-120244</t>
        </is>
      </c>
      <c r="H32" s="150" t="n">
        <v>45424</v>
      </c>
      <c r="I32" s="150" t="n">
        <v>45759</v>
      </c>
      <c r="J32" s="67">
        <f>IF(OpenPendingCases[[#This Row],[Timepiece Reference ]]="", "", IF(_xlfn.XLOOKUP(OpenPendingCases[[#This Row],[Timepiece Reference ]], Table1[[Timepiece Reference ]], Table1[CRC STOCK], "Not Found")="YES", "CRC Stock", "Boutique Stock"))</f>
        <v/>
      </c>
      <c r="K32" s="136">
        <f>IF(OpenPendingCases[[#This Row],[Timepiece Reference ]]="", "", IF(_xlfn.XLOOKUP(OpenPendingCases[[#This Row],[Timepiece Reference ]], Table1[[Timepiece Reference ]], Table1[CRC STOCK], "Not Found")="YES", "CRC Stock", "Boutique Stock"))</f>
        <v/>
      </c>
      <c r="L32" s="139" t="inlineStr">
        <is>
          <t>Allocation confirmed(Deposit paid)</t>
        </is>
      </c>
      <c r="M32" s="140" t="inlineStr">
        <is>
          <t>Low</t>
        </is>
      </c>
      <c r="N32" s="136" t="inlineStr">
        <is>
          <t>Middle East (UAE)</t>
        </is>
      </c>
      <c r="O32" s="133" t="inlineStr">
        <is>
          <t>7920V/210A-B546</t>
        </is>
      </c>
      <c r="P32" s="93">
        <f>IFERROR(VLOOKUP(TRIM(O32), Collection!$B$2:$D$1001, 2, FALSE), "")</f>
        <v/>
      </c>
      <c r="Q32" s="190">
        <f>IFERROR(VLOOKUP(TRIM(O32), Collection!$B$2:$D$1001, 3, FALSE), "")</f>
        <v/>
      </c>
      <c r="R32" s="153">
        <f>IFERROR(VALUE(SUBSTITUTE(SUBSTITUTE(Q32, "Price", ""), "AED", "")), "")</f>
        <v/>
      </c>
      <c r="S32" s="154" t="n">
        <v>105904737</v>
      </c>
      <c r="T32" s="166" t="inlineStr">
        <is>
          <t>Na</t>
        </is>
      </c>
      <c r="U32" s="136" t="inlineStr">
        <is>
          <t>Closed Sale</t>
        </is>
      </c>
      <c r="V32" s="136" t="n"/>
      <c r="W32" s="156" t="inlineStr">
        <is>
          <t>June</t>
        </is>
      </c>
      <c r="X32" s="157" t="n"/>
      <c r="Y32" s="158" t="n"/>
      <c r="Z32" s="158" t="n"/>
      <c r="AA32" s="136">
        <f>IF(H32="", "", IF(U32="Open Sale", IF(TODAY()-H32=0, "0 Days", TEXT(TODAY()-H32, "0") &amp; " Days"), IF(U32="Closed Sale", AA32, "")))</f>
        <v/>
      </c>
      <c r="AB32" s="136">
        <f>IF(H32="", "", IF(OR(U32="Pending", U32="Pending Allocation"), CONCATENATE(TODAY()-H32, " Days"), IF(U32="Closed", "", "")))</f>
        <v/>
      </c>
      <c r="AC32" s="160">
        <f>IF(U32="Pending Allocation", IF(I32="", "", TODAY()-I32), "")</f>
        <v/>
      </c>
      <c r="AD32" s="159">
        <f>IF(U32="Open Sale", TEXT(TODAY()-I32, "0"),
IF(U32="Pending", "",
IF(U32="Closed Sale", "", "")))</f>
        <v/>
      </c>
      <c r="AE32" s="161" t="n"/>
      <c r="AF32" s="161" t="n"/>
      <c r="AG32" s="161" t="inlineStr">
        <is>
          <t xml:space="preserve">Confirmed </t>
        </is>
      </c>
      <c r="AH32" s="136" t="n"/>
      <c r="AI32" s="164">
        <f>IF(I32="","",TEXT(I32, "mmmm yyyy"))</f>
        <v/>
      </c>
      <c r="AJ32" s="164">
        <f>IF(AND(OpenPendingCases[[#This Row],[Sale Status	]]="Open Sale",OpenPendingCases[[#This Row],[Potential Same Month]]="High"),TEXT(OpenPendingCases[[#This Row],[Request Entry Date]], "[$-en-us]mmmm"),"")</f>
        <v/>
      </c>
      <c r="AK32" s="165">
        <f>IFERROR(VALUE(SUBSTITUTE(OpenPendingCases[[#This Row],[Price]]," AED","")),"")</f>
        <v/>
      </c>
      <c r="AL32" s="165">
        <f>IFERROR(VALUE(LEFT(OpenPendingCases[[#This Row],[Price]],FIND(" ",OpenPendingCases[[#This Row],[Price]])-1)),"")</f>
        <v/>
      </c>
      <c r="AM32" s="165">
        <f>IFERROR(VALUE(_xlfn.TEXTBEFORE(OpenPendingCases[[#This Row],[Price]]," AED")),"")</f>
        <v/>
      </c>
      <c r="AN32" s="165" t="n"/>
    </row>
    <row r="33" ht="36" customHeight="1" s="287">
      <c r="C33" s="148" t="n">
        <v>31</v>
      </c>
      <c r="D33" s="136">
        <f>IF($U33="Open Sale", IF(MAX($D$4:D32)+1=0, "", MAX($D$4:D32)+1), "")</f>
        <v/>
      </c>
      <c r="E33" s="136">
        <f>IF($U33="Pending Allocation", IF(MAX($E$4:E32)+1=0, "", MAX($E$4:E32)+1), "")</f>
        <v/>
      </c>
      <c r="F33" s="133" t="n"/>
      <c r="G33" s="133" t="n"/>
      <c r="H33" s="150" t="n"/>
      <c r="I33" s="150" t="n"/>
      <c r="J33" s="67" t="n"/>
      <c r="K33" s="136" t="n"/>
      <c r="L33" s="139" t="n"/>
      <c r="M33" s="140" t="n"/>
      <c r="N33" s="136" t="n"/>
      <c r="O33" s="133" t="n"/>
      <c r="P33" s="93" t="n"/>
      <c r="Q33" s="190" t="n"/>
      <c r="R33" s="153">
        <f>IFERROR(VALUE(SUBSTITUTE(SUBSTITUTE(Q33, "Price", ""), "AED", "")), "")</f>
        <v/>
      </c>
      <c r="S33" s="154" t="n"/>
      <c r="T33" s="166" t="n"/>
      <c r="U33" s="136" t="n"/>
      <c r="V33" s="136" t="n"/>
      <c r="W33" s="156" t="n"/>
      <c r="X33" s="157" t="n"/>
      <c r="Y33" s="158" t="n"/>
      <c r="Z33" s="158" t="n"/>
      <c r="AA33" s="136">
        <f>IF(H33="", "", IF(U33="Open Sale", IF(TODAY()-H33=0, "0 Days", TEXT(TODAY()-H33, "0") &amp; " Days"), IF(U33="Closed Sale", AA33, "")))</f>
        <v/>
      </c>
      <c r="AB33" s="136">
        <f>IF(H33="", "", IF(OR(U33="Pending", U33="Pending Allocation"), CONCATENATE(TODAY()-H33, " Days"), IF(U33="Closed", "", "")))</f>
        <v/>
      </c>
      <c r="AC33" s="160">
        <f>IF(U33="Pending Allocation", IF(I33="", "", TODAY()-I33), "")</f>
        <v/>
      </c>
      <c r="AD33" s="159">
        <f>IF(U33="Open Sale", TEXT(TODAY()-I33, "0"),
IF(U33="Pending", "",
IF(U33="Closed Sale", "", "")))</f>
        <v/>
      </c>
      <c r="AE33" s="161" t="n"/>
      <c r="AF33" s="161" t="n"/>
      <c r="AG33" s="161" t="n"/>
      <c r="AH33" s="136" t="n"/>
      <c r="AI33" s="164">
        <f>IF(I33="","",TEXT(I33, "mmmm yyyy"))</f>
        <v/>
      </c>
      <c r="AJ33" s="164">
        <f>IF(AND(OpenPendingCases[[#This Row],[Sale Status	]]="Open Sale",OpenPendingCases[[#This Row],[Potential Same Month]]="High"),TEXT(OpenPendingCases[[#This Row],[Request Entry Date]], "[$-en-us]mmmm"),"")</f>
        <v/>
      </c>
      <c r="AK33" s="165">
        <f>IFERROR(VALUE(SUBSTITUTE(OpenPendingCases[[#This Row],[Price]]," AED","")),"")</f>
        <v/>
      </c>
      <c r="AL33" s="165">
        <f>IFERROR(VALUE(LEFT(OpenPendingCases[[#This Row],[Price]],FIND(" ",OpenPendingCases[[#This Row],[Price]])-1)),"")</f>
        <v/>
      </c>
      <c r="AM33" s="165">
        <f>IFERROR(VALUE(_xlfn.TEXTBEFORE(OpenPendingCases[[#This Row],[Price]]," AED")),"")</f>
        <v/>
      </c>
      <c r="AN33" s="165" t="n"/>
    </row>
    <row r="34" hidden="1" ht="18" customHeight="1" s="287">
      <c r="C34" s="148" t="n">
        <v>32</v>
      </c>
      <c r="D34" s="136">
        <f>IF($U34="Open Sale", IF(MAX($D$4:D33)+1=0, "", MAX($D$4:D33)+1), "")</f>
        <v/>
      </c>
      <c r="E34" s="136">
        <f>IF($U34="Pending Allocation", IF(MAX($E$4:E33)+1=0, "", MAX($E$4:E33)+1), "")</f>
        <v/>
      </c>
      <c r="F34" s="136" t="n"/>
      <c r="G34" s="136" t="n"/>
      <c r="H34" s="150" t="n"/>
      <c r="I34" s="150" t="n"/>
      <c r="J34" s="67">
        <f>IF(OpenPendingCases[[#This Row],[Timepiece Reference ]]="", "", IF(_xlfn.XLOOKUP(OpenPendingCases[[#This Row],[Timepiece Reference ]], Table1[[Timepiece Reference ]], Table1[CRC STOCK], "Not Found")="YES", "CRC Stock", "Boutique Stock"))</f>
        <v/>
      </c>
      <c r="K34" s="136">
        <f>IF(OpenPendingCases[[#This Row],[Timepiece Reference ]]="", "", IF(_xlfn.XLOOKUP(OpenPendingCases[[#This Row],[Timepiece Reference ]], Table1[[Timepiece Reference ]], Table1[CRC STOCK], "Not Found")="YES", "CRC Stock", "Boutique Stock"))</f>
        <v/>
      </c>
      <c r="L34" s="139" t="n"/>
      <c r="M34" s="140" t="n"/>
      <c r="N34" s="136" t="n"/>
      <c r="O34" s="133" t="n"/>
      <c r="P34" s="93">
        <f>IFERROR(VLOOKUP(TRIM(O34), Collection!$B$2:$D$1001, 2, FALSE), "")</f>
        <v/>
      </c>
      <c r="Q34" s="190">
        <f>IFERROR(VLOOKUP(TRIM(O34), Collection!$B$2:$D$1001, 3, FALSE), "")</f>
        <v/>
      </c>
      <c r="R34" s="153">
        <f>IFERROR(VALUE(SUBSTITUTE(SUBSTITUTE(Q34, "Price", ""), "AED", "")), "")</f>
        <v/>
      </c>
      <c r="S34" s="154" t="n"/>
      <c r="T34" s="166" t="n"/>
      <c r="U34" s="136" t="n"/>
      <c r="V34" s="136" t="n"/>
      <c r="W34" s="156">
        <f>IF(Z34 = "",
"",
TEXT(Z34, "mmmm"))</f>
        <v/>
      </c>
      <c r="X34" s="157" t="n"/>
      <c r="Y34" s="158" t="n"/>
      <c r="Z34" s="158" t="n"/>
      <c r="AA34" s="136">
        <f>IF(H34="", "", IF(U34="Open Sale", IF(TODAY()-H34=0, "0 Days", TEXT(TODAY()-H34, "0") &amp; " Days"), IF(U34="Closed Sale", AA34, "")))</f>
        <v/>
      </c>
      <c r="AB34" s="136">
        <f>IF(H34="", "", IF(OR(U34="Pending", U34="Pending Allocation"), CONCATENATE(TODAY()-H34, " Days"), IF(U34="Closed", "", "")))</f>
        <v/>
      </c>
      <c r="AC34" s="160">
        <f>IF(U34="Pending Allocation", IF(I34="", "", TODAY()-I34), "")</f>
        <v/>
      </c>
      <c r="AD34" s="159">
        <f>IF(U34="Open Sale", TEXT(TODAY()-I34, "0"),
IF(U34="Pending", "",
IF(U34="Closed Sale", "", "")))</f>
        <v/>
      </c>
      <c r="AE34" s="161" t="n"/>
      <c r="AF34" s="161" t="n"/>
      <c r="AG34" s="161" t="n"/>
      <c r="AH34" s="136" t="n"/>
      <c r="AI34" s="164">
        <f>IF(I34="","",TEXT(I34, "mmmm yyyy"))</f>
        <v/>
      </c>
      <c r="AJ34" s="164">
        <f>IF(AND(OpenPendingCases[[#This Row],[Sale Status	]]="Open Sale",OpenPendingCases[[#This Row],[Potential Same Month]]="High"),TEXT(OpenPendingCases[[#This Row],[Request Entry Date]], "[$-en-us]mmmm"),"")</f>
        <v/>
      </c>
      <c r="AK34" s="165">
        <f>IFERROR(VALUE(SUBSTITUTE(OpenPendingCases[[#This Row],[Price]]," AED","")),"")</f>
        <v/>
      </c>
      <c r="AL34" s="165">
        <f>IFERROR(VALUE(LEFT(OpenPendingCases[[#This Row],[Price]],FIND(" ",OpenPendingCases[[#This Row],[Price]])-1)),"")</f>
        <v/>
      </c>
      <c r="AM34" s="165">
        <f>IFERROR(VALUE(_xlfn.TEXTBEFORE(OpenPendingCases[[#This Row],[Price]]," AED")),"")</f>
        <v/>
      </c>
      <c r="AN34" s="165" t="n"/>
    </row>
    <row r="35" hidden="1" ht="18" customHeight="1" s="287">
      <c r="C35" s="148" t="n">
        <v>33</v>
      </c>
      <c r="D35" s="136">
        <f>IF($U35="Open Sale", IF(MAX($D$4:D34)+1=0, "", MAX($D$4:D34)+1), "")</f>
        <v/>
      </c>
      <c r="E35" s="136">
        <f>IF($U35="Pending Allocation", IF(MAX($E$4:E34)+1=0, "", MAX($E$4:E34)+1), "")</f>
        <v/>
      </c>
      <c r="F35" s="136" t="n"/>
      <c r="G35" s="136" t="n"/>
      <c r="H35" s="150" t="n"/>
      <c r="I35" s="150" t="n"/>
      <c r="J35" s="67">
        <f>IF(OpenPendingCases[[#This Row],[Timepiece Reference ]]="", "", IF(_xlfn.XLOOKUP(OpenPendingCases[[#This Row],[Timepiece Reference ]], Table1[[Timepiece Reference ]], Table1[CRC STOCK], "Not Found")="YES", "CRC Stock", "Boutique Stock"))</f>
        <v/>
      </c>
      <c r="K35" s="136">
        <f>IF(OpenPendingCases[[#This Row],[Timepiece Reference ]]="", "", IF(_xlfn.XLOOKUP(OpenPendingCases[[#This Row],[Timepiece Reference ]], Table1[[Timepiece Reference ]], Table1[CRC STOCK], "Not Found")="YES", "CRC Stock", "Boutique Stock"))</f>
        <v/>
      </c>
      <c r="L35" s="139" t="n"/>
      <c r="M35" s="140" t="n"/>
      <c r="N35" s="136" t="n"/>
      <c r="O35" s="133" t="n"/>
      <c r="P35" s="93">
        <f>IFERROR(VLOOKUP(TRIM(O35), Collection!$B$2:$D$1001, 2, FALSE), "")</f>
        <v/>
      </c>
      <c r="Q35" s="190">
        <f>IFERROR(VLOOKUP(TRIM(O35), Collection!$B$2:$D$1001, 3, FALSE), "")</f>
        <v/>
      </c>
      <c r="R35" s="153">
        <f>IFERROR(VALUE(SUBSTITUTE(SUBSTITUTE(Q35, "Price", ""), "AED", "")), "")</f>
        <v/>
      </c>
      <c r="S35" s="154" t="n"/>
      <c r="T35" s="166" t="n"/>
      <c r="U35" s="136" t="n"/>
      <c r="V35" s="136" t="n"/>
      <c r="W35" s="156">
        <f>IF(Z35 = "",
"",
TEXT(Z35, "mmmm"))</f>
        <v/>
      </c>
      <c r="X35" s="157" t="n"/>
      <c r="Y35" s="158" t="n"/>
      <c r="Z35" s="158" t="n"/>
      <c r="AA35" s="136">
        <f>IF(H35="", "", IF(U35="Open Sale", IF(TODAY()-H35=0, "0 Days", TEXT(TODAY()-H35, "0") &amp; " Days"), IF(U35="Closed Sale", AA35, "")))</f>
        <v/>
      </c>
      <c r="AB35" s="136">
        <f>IF(H35="", "", IF(OR(U35="Pending", U35="Pending Allocation"), CONCATENATE(TODAY()-H35, " Days"), IF(U35="Closed", "", "")))</f>
        <v/>
      </c>
      <c r="AC35" s="160">
        <f>IF(U35="Pending Allocation", IF(I35="", "", TODAY()-I35), "")</f>
        <v/>
      </c>
      <c r="AD35" s="159">
        <f>IF(U35="Open Sale", TEXT(TODAY()-I35, "0"),
IF(U35="Pending", "",
IF(U35="Closed Sale", "", "")))</f>
        <v/>
      </c>
      <c r="AE35" s="161" t="n"/>
      <c r="AF35" s="161" t="n"/>
      <c r="AG35" s="161" t="n"/>
      <c r="AH35" s="136" t="n"/>
      <c r="AI35" s="164">
        <f>IF(I35="","",TEXT(I35, "mmmm yyyy"))</f>
        <v/>
      </c>
      <c r="AJ35" s="164">
        <f>IF(AND(OpenPendingCases[[#This Row],[Sale Status	]]="Open Sale",OpenPendingCases[[#This Row],[Potential Same Month]]="High"),TEXT(OpenPendingCases[[#This Row],[Request Entry Date]], "[$-en-us]mmmm"),"")</f>
        <v/>
      </c>
      <c r="AK35" s="165">
        <f>IFERROR(VALUE(SUBSTITUTE(OpenPendingCases[[#This Row],[Price]]," AED","")),"")</f>
        <v/>
      </c>
      <c r="AL35" s="165">
        <f>IFERROR(VALUE(LEFT(OpenPendingCases[[#This Row],[Price]],FIND(" ",OpenPendingCases[[#This Row],[Price]])-1)),"")</f>
        <v/>
      </c>
      <c r="AM35" s="165">
        <f>IFERROR(VALUE(_xlfn.TEXTBEFORE(OpenPendingCases[[#This Row],[Price]]," AED")),"")</f>
        <v/>
      </c>
      <c r="AN35" s="165" t="n"/>
    </row>
    <row r="36" hidden="1" ht="18" customHeight="1" s="287">
      <c r="C36" s="148" t="n">
        <v>35</v>
      </c>
      <c r="D36" s="136">
        <f>IF($U36="Open Sale", IF(MAX($D$4:D35)+1=0, "", MAX($D$4:D35)+1), "")</f>
        <v/>
      </c>
      <c r="E36" s="136">
        <f>IF($U36="Pending Allocation", IF(MAX($E$4:E35)+1=0, "", MAX($E$4:E35)+1), "")</f>
        <v/>
      </c>
      <c r="F36" s="136" t="n"/>
      <c r="G36" s="136" t="n"/>
      <c r="H36" s="150" t="n"/>
      <c r="I36" s="150" t="n"/>
      <c r="J36" s="67">
        <f>IF(OpenPendingCases[[#This Row],[Timepiece Reference ]]="", "", IF(_xlfn.XLOOKUP(OpenPendingCases[[#This Row],[Timepiece Reference ]], Table1[[Timepiece Reference ]], Table1[CRC STOCK], "Not Found")="YES", "CRC Stock", "Boutique Stock"))</f>
        <v/>
      </c>
      <c r="K36" s="136">
        <f>IF(OpenPendingCases[[#This Row],[Timepiece Reference ]]="", "", IF(_xlfn.XLOOKUP(OpenPendingCases[[#This Row],[Timepiece Reference ]], Table1[[Timepiece Reference ]], Table1[CRC STOCK], "Not Found")="YES", "CRC Stock", "Boutique Stock"))</f>
        <v/>
      </c>
      <c r="L36" s="139" t="n"/>
      <c r="M36" s="140" t="n"/>
      <c r="N36" s="136" t="n"/>
      <c r="O36" s="133" t="n"/>
      <c r="P36" s="93">
        <f>IFERROR(VLOOKUP(TRIM(O36), Collection!$B$2:$D$1001, 2, FALSE), "")</f>
        <v/>
      </c>
      <c r="Q36" s="190">
        <f>IFERROR(VLOOKUP(TRIM(O36), Collection!$B$2:$D$1001, 3, FALSE), "")</f>
        <v/>
      </c>
      <c r="R36" s="153">
        <f>IFERROR(VALUE(SUBSTITUTE(SUBSTITUTE(Q36, "Price", ""), "AED", "")), "")</f>
        <v/>
      </c>
      <c r="S36" s="154" t="n"/>
      <c r="T36" s="166" t="n"/>
      <c r="U36" s="136" t="n"/>
      <c r="V36" s="136" t="n"/>
      <c r="W36" s="156">
        <f>IF(Z36 = "",
"",
TEXT(Z36, "mmmm"))</f>
        <v/>
      </c>
      <c r="X36" s="157" t="n"/>
      <c r="Y36" s="158" t="n"/>
      <c r="Z36" s="158" t="n"/>
      <c r="AA36" s="136">
        <f>IF(H36="", "", IF(U36="Open Sale", IF(TODAY()-H36=0, "0 Days", TEXT(TODAY()-H36, "0") &amp; " Days"), IF(U36="Closed Sale", AA36, "")))</f>
        <v/>
      </c>
      <c r="AB36" s="136">
        <f>IF(H36="", "", IF(OR(U36="Pending", U36="Pending Allocation"), CONCATENATE(TODAY()-H36, " Days"), IF(U36="Closed", "", "")))</f>
        <v/>
      </c>
      <c r="AC36" s="160">
        <f>IF(U36="Pending Allocation", IF(I36="", "", TODAY()-I36), "")</f>
        <v/>
      </c>
      <c r="AD36" s="159">
        <f>IF(U36="Open Sale", TEXT(TODAY()-I36, "0"),
IF(U36="Pending", "",
IF(U36="Closed Sale", "", "")))</f>
        <v/>
      </c>
      <c r="AE36" s="161" t="n"/>
      <c r="AF36" s="161" t="n"/>
      <c r="AG36" s="161" t="n"/>
      <c r="AH36" s="136" t="n"/>
      <c r="AI36" s="164">
        <f>IF(I36="","",TEXT(I36, "mmmm yyyy"))</f>
        <v/>
      </c>
      <c r="AJ36" s="164">
        <f>IF(AND(OpenPendingCases[[#This Row],[Sale Status	]]="Open Sale",OpenPendingCases[[#This Row],[Potential Same Month]]="High"),TEXT(OpenPendingCases[[#This Row],[Request Entry Date]], "[$-en-us]mmmm"),"")</f>
        <v/>
      </c>
      <c r="AK36" s="165">
        <f>IFERROR(VALUE(SUBSTITUTE(OpenPendingCases[[#This Row],[Price]]," AED","")),"")</f>
        <v/>
      </c>
      <c r="AL36" s="165">
        <f>IFERROR(VALUE(LEFT(OpenPendingCases[[#This Row],[Price]],FIND(" ",OpenPendingCases[[#This Row],[Price]])-1)),"")</f>
        <v/>
      </c>
      <c r="AM36" s="165">
        <f>IFERROR(VALUE(_xlfn.TEXTBEFORE(OpenPendingCases[[#This Row],[Price]]," AED")),"")</f>
        <v/>
      </c>
      <c r="AN36" s="165" t="n"/>
    </row>
    <row r="37" hidden="1" ht="18" customHeight="1" s="287">
      <c r="C37" s="148" t="n">
        <v>36</v>
      </c>
      <c r="D37" s="136">
        <f>IF($U37="Open Sale", IF(MAX($D$4:D36)+1=0, "", MAX($D$4:D36)+1), "")</f>
        <v/>
      </c>
      <c r="E37" s="136">
        <f>IF($U37="Pending Allocation", IF(MAX($E$4:E36)+1=0, "", MAX($E$4:E36)+1), "")</f>
        <v/>
      </c>
      <c r="F37" s="136" t="n"/>
      <c r="G37" s="136" t="n"/>
      <c r="H37" s="150" t="n"/>
      <c r="I37" s="150" t="n"/>
      <c r="J37" s="67">
        <f>IF(OpenPendingCases[[#This Row],[Timepiece Reference ]]="", "", IF(_xlfn.XLOOKUP(OpenPendingCases[[#This Row],[Timepiece Reference ]], Table1[[Timepiece Reference ]], Table1[CRC STOCK], "Not Found")="YES", "CRC Stock", "Boutique Stock"))</f>
        <v/>
      </c>
      <c r="K37" s="136">
        <f>IF(OpenPendingCases[[#This Row],[Timepiece Reference ]]="", "", IF(_xlfn.XLOOKUP(OpenPendingCases[[#This Row],[Timepiece Reference ]], Table1[[Timepiece Reference ]], Table1[CRC STOCK], "Not Found")="YES", "CRC Stock", "Boutique Stock"))</f>
        <v/>
      </c>
      <c r="L37" s="139" t="n"/>
      <c r="M37" s="140" t="n"/>
      <c r="N37" s="136" t="n"/>
      <c r="O37" s="133" t="n"/>
      <c r="P37" s="93">
        <f>IFERROR(VLOOKUP(TRIM(O37), Collection!$B$2:$D$1001, 2, FALSE), "")</f>
        <v/>
      </c>
      <c r="Q37" s="190">
        <f>IFERROR(VLOOKUP(TRIM(O37), Collection!$B$2:$D$1001, 3, FALSE), "")</f>
        <v/>
      </c>
      <c r="R37" s="153">
        <f>IFERROR(VALUE(SUBSTITUTE(SUBSTITUTE(Q37, "Price", ""), "AED", "")), "")</f>
        <v/>
      </c>
      <c r="S37" s="154" t="n"/>
      <c r="T37" s="166" t="n"/>
      <c r="U37" s="136" t="n"/>
      <c r="V37" s="136" t="n"/>
      <c r="W37" s="156">
        <f>IF(Z37 = "",
"",
TEXT(Z37, "mmmm"))</f>
        <v/>
      </c>
      <c r="X37" s="157" t="n"/>
      <c r="Y37" s="158" t="n"/>
      <c r="Z37" s="158" t="n"/>
      <c r="AA37" s="136">
        <f>IF(H37="", "", IF(U37="Open Sale", IF(TODAY()-H37=0, "0 Days", TEXT(TODAY()-H37, "0") &amp; " Days"), IF(U37="Closed Sale", AA37, "")))</f>
        <v/>
      </c>
      <c r="AB37" s="136">
        <f>IF(H37="", "", IF(OR(U37="Pending", U37="Pending Allocation"), CONCATENATE(TODAY()-H37, " Days"), IF(U37="Closed", "", "")))</f>
        <v/>
      </c>
      <c r="AC37" s="160">
        <f>IF(U37="Pending Allocation", IF(I37="", "", TODAY()-I37), "")</f>
        <v/>
      </c>
      <c r="AD37" s="159">
        <f>IF(U37="Open Sale", TEXT(TODAY()-I37, "0"),
IF(U37="Pending", "",
IF(U37="Closed Sale", "", "")))</f>
        <v/>
      </c>
      <c r="AE37" s="161" t="n"/>
      <c r="AF37" s="161" t="n"/>
      <c r="AG37" s="161" t="n"/>
      <c r="AH37" s="136" t="n"/>
      <c r="AI37" s="164">
        <f>IF(I37="","",TEXT(I37, "mmmm yyyy"))</f>
        <v/>
      </c>
      <c r="AJ37" s="164">
        <f>IF(AND(OpenPendingCases[[#This Row],[Sale Status	]]="Open Sale",OpenPendingCases[[#This Row],[Potential Same Month]]="High"),TEXT(OpenPendingCases[[#This Row],[Request Entry Date]], "[$-en-us]mmmm"),"")</f>
        <v/>
      </c>
      <c r="AK37" s="165">
        <f>IFERROR(VALUE(SUBSTITUTE(OpenPendingCases[[#This Row],[Price]]," AED","")),"")</f>
        <v/>
      </c>
      <c r="AL37" s="165">
        <f>IFERROR(VALUE(LEFT(OpenPendingCases[[#This Row],[Price]],FIND(" ",OpenPendingCases[[#This Row],[Price]])-1)),"")</f>
        <v/>
      </c>
      <c r="AM37" s="165">
        <f>IFERROR(VALUE(_xlfn.TEXTBEFORE(OpenPendingCases[[#This Row],[Price]]," AED")),"")</f>
        <v/>
      </c>
      <c r="AN37" s="165" t="n"/>
    </row>
    <row r="38" hidden="1" ht="18" customHeight="1" s="287">
      <c r="C38" s="148" t="n">
        <v>37</v>
      </c>
      <c r="D38" s="136">
        <f>IF($U38="Open Sale", IF(MAX($D$4:D37)+1=0, "", MAX($D$4:D37)+1), "")</f>
        <v/>
      </c>
      <c r="E38" s="136">
        <f>IF($U38="Pending Allocation", IF(MAX($E$4:E37)+1=0, "", MAX($E$4:E37)+1), "")</f>
        <v/>
      </c>
      <c r="F38" s="136" t="n"/>
      <c r="G38" s="136" t="n"/>
      <c r="H38" s="150" t="n"/>
      <c r="I38" s="150" t="n"/>
      <c r="J38" s="67">
        <f>IF(OpenPendingCases[[#This Row],[Timepiece Reference ]]="", "", IF(_xlfn.XLOOKUP(OpenPendingCases[[#This Row],[Timepiece Reference ]], Table1[[Timepiece Reference ]], Table1[CRC STOCK], "Not Found")="YES", "CRC Stock", "Boutique Stock"))</f>
        <v/>
      </c>
      <c r="K38" s="136">
        <f>IF(OpenPendingCases[[#This Row],[Timepiece Reference ]]="", "", IF(_xlfn.XLOOKUP(OpenPendingCases[[#This Row],[Timepiece Reference ]], Table1[[Timepiece Reference ]], Table1[CRC STOCK], "Not Found")="YES", "CRC Stock", "Boutique Stock"))</f>
        <v/>
      </c>
      <c r="L38" s="139" t="n"/>
      <c r="M38" s="140" t="n"/>
      <c r="N38" s="136" t="n"/>
      <c r="O38" s="133" t="n"/>
      <c r="P38" s="93">
        <f>IFERROR(VLOOKUP(TRIM(O38), Collection!$B$2:$D$1001, 2, FALSE), "")</f>
        <v/>
      </c>
      <c r="Q38" s="190">
        <f>IFERROR(VLOOKUP(TRIM(O38), Collection!$B$2:$D$1001, 3, FALSE), "")</f>
        <v/>
      </c>
      <c r="R38" s="153">
        <f>IFERROR(VALUE(SUBSTITUTE(SUBSTITUTE(Q38, "Price", ""), "AED", "")), "")</f>
        <v/>
      </c>
      <c r="S38" s="154" t="n"/>
      <c r="T38" s="166" t="n"/>
      <c r="U38" s="136" t="n"/>
      <c r="V38" s="136" t="n"/>
      <c r="W38" s="156">
        <f>IF(Z38 = "",
"",
TEXT(Z38, "mmmm"))</f>
        <v/>
      </c>
      <c r="X38" s="157" t="n"/>
      <c r="Y38" s="158" t="n"/>
      <c r="Z38" s="158" t="n"/>
      <c r="AA38" s="136">
        <f>IF(H38="", "", IF(U38="Open Sale", IF(TODAY()-H38=0, "0 Days", TEXT(TODAY()-H38, "0") &amp; " Days"), IF(U38="Closed Sale", AA38, "")))</f>
        <v/>
      </c>
      <c r="AB38" s="136">
        <f>IF(H38="", "", IF(OR(U38="Pending", U38="Pending Allocation"), CONCATENATE(TODAY()-H38, " Days"), IF(U38="Closed", "", "")))</f>
        <v/>
      </c>
      <c r="AC38" s="160">
        <f>IF(U38="Pending Allocation", IF(I38="", "", TODAY()-I38), "")</f>
        <v/>
      </c>
      <c r="AD38" s="159">
        <f>IF(U38="Open Sale", TEXT(TODAY()-I38, "0"),
IF(U38="Pending", "",
IF(U38="Closed Sale", "", "")))</f>
        <v/>
      </c>
      <c r="AE38" s="161" t="n"/>
      <c r="AF38" s="161" t="n"/>
      <c r="AG38" s="161" t="n"/>
      <c r="AH38" s="136" t="n"/>
      <c r="AI38" s="164">
        <f>IF(I38="","",TEXT(I38, "mmmm yyyy"))</f>
        <v/>
      </c>
      <c r="AJ38" s="164">
        <f>IF(AND(OpenPendingCases[[#This Row],[Sale Status	]]="Open Sale",OpenPendingCases[[#This Row],[Potential Same Month]]="High"),TEXT(OpenPendingCases[[#This Row],[Request Entry Date]], "[$-en-us]mmmm"),"")</f>
        <v/>
      </c>
      <c r="AK38" s="165">
        <f>IFERROR(VALUE(SUBSTITUTE(OpenPendingCases[[#This Row],[Price]]," AED","")),"")</f>
        <v/>
      </c>
      <c r="AL38" s="165">
        <f>IFERROR(VALUE(LEFT(OpenPendingCases[[#This Row],[Price]],FIND(" ",OpenPendingCases[[#This Row],[Price]])-1)),"")</f>
        <v/>
      </c>
      <c r="AM38" s="165">
        <f>IFERROR(VALUE(_xlfn.TEXTBEFORE(OpenPendingCases[[#This Row],[Price]]," AED")),"")</f>
        <v/>
      </c>
      <c r="AN38" s="165" t="n"/>
    </row>
    <row r="39" hidden="1" ht="18" customHeight="1" s="287">
      <c r="C39" s="148" t="n">
        <v>38</v>
      </c>
      <c r="D39" s="136">
        <f>IF($U39="Open Sale", IF(MAX($D$4:D38)+1=0, "", MAX($D$4:D38)+1), "")</f>
        <v/>
      </c>
      <c r="E39" s="136">
        <f>IF($U39="Pending Allocation", IF(MAX($E$4:E38)+1=0, "", MAX($E$4:E38)+1), "")</f>
        <v/>
      </c>
      <c r="F39" s="136" t="n"/>
      <c r="G39" s="136" t="n"/>
      <c r="H39" s="150" t="n"/>
      <c r="I39" s="150" t="n"/>
      <c r="J39" s="67">
        <f>IF(OpenPendingCases[[#This Row],[Timepiece Reference ]]="", "", IF(_xlfn.XLOOKUP(OpenPendingCases[[#This Row],[Timepiece Reference ]], Table1[[Timepiece Reference ]], Table1[CRC STOCK], "Not Found")="YES", "CRC Stock", "Boutique Stock"))</f>
        <v/>
      </c>
      <c r="K39" s="136">
        <f>IF(OpenPendingCases[[#This Row],[Timepiece Reference ]]="", "", IF(_xlfn.XLOOKUP(OpenPendingCases[[#This Row],[Timepiece Reference ]], Table1[[Timepiece Reference ]], Table1[CRC STOCK], "Not Found")="YES", "CRC Stock", "Boutique Stock"))</f>
        <v/>
      </c>
      <c r="L39" s="139" t="n"/>
      <c r="M39" s="140" t="n"/>
      <c r="N39" s="136" t="n"/>
      <c r="O39" s="133" t="n"/>
      <c r="P39" s="93">
        <f>IFERROR(VLOOKUP(TRIM(O39), Collection!$B$2:$D$1001, 2, FALSE), "")</f>
        <v/>
      </c>
      <c r="Q39" s="190">
        <f>IFERROR(VLOOKUP(TRIM(O39), Collection!$B$2:$D$1001, 3, FALSE), "")</f>
        <v/>
      </c>
      <c r="R39" s="153">
        <f>IFERROR(VALUE(SUBSTITUTE(SUBSTITUTE(Q39, "Price", ""), "AED", "")), "")</f>
        <v/>
      </c>
      <c r="S39" s="154" t="n"/>
      <c r="T39" s="166" t="n"/>
      <c r="U39" s="136" t="n"/>
      <c r="V39" s="136" t="n"/>
      <c r="W39" s="156">
        <f>IF(Z39 = "",
"",
TEXT(Z39, "mmmm"))</f>
        <v/>
      </c>
      <c r="X39" s="157" t="n"/>
      <c r="Y39" s="158" t="n"/>
      <c r="Z39" s="158" t="n"/>
      <c r="AA39" s="136">
        <f>IF(H39="", "", IF(U39="Open Sale", IF(TODAY()-H39=0, "0 Days", TEXT(TODAY()-H39, "0") &amp; " Days"), IF(U39="Closed Sale", AA39, "")))</f>
        <v/>
      </c>
      <c r="AB39" s="136">
        <f>IF(H39="", "", IF(OR(U39="Pending", U39="Pending Allocation"), CONCATENATE(TODAY()-H39, " Days"), IF(U39="Closed", "", "")))</f>
        <v/>
      </c>
      <c r="AC39" s="160">
        <f>IF(U39="Pending Allocation", IF(I39="", "", TODAY()-I39), "")</f>
        <v/>
      </c>
      <c r="AD39" s="159">
        <f>IF(U39="Open Sale", TEXT(TODAY()-I39, "0"),
IF(U39="Pending", "",
IF(U39="Closed Sale", "", "")))</f>
        <v/>
      </c>
      <c r="AE39" s="161" t="n"/>
      <c r="AF39" s="161" t="n"/>
      <c r="AG39" s="161" t="n"/>
      <c r="AH39" s="136" t="n"/>
      <c r="AI39" s="164">
        <f>IF(I39="","",TEXT(I39, "mmmm yyyy"))</f>
        <v/>
      </c>
      <c r="AJ39" s="164">
        <f>IF(AND(OpenPendingCases[[#This Row],[Sale Status	]]="Open Sale",OpenPendingCases[[#This Row],[Potential Same Month]]="High"),TEXT(OpenPendingCases[[#This Row],[Request Entry Date]], "[$-en-us]mmmm"),"")</f>
        <v/>
      </c>
      <c r="AK39" s="165">
        <f>IFERROR(VALUE(SUBSTITUTE(OpenPendingCases[[#This Row],[Price]]," AED","")),"")</f>
        <v/>
      </c>
      <c r="AL39" s="165">
        <f>IFERROR(VALUE(LEFT(OpenPendingCases[[#This Row],[Price]],FIND(" ",OpenPendingCases[[#This Row],[Price]])-1)),"")</f>
        <v/>
      </c>
      <c r="AM39" s="165">
        <f>IFERROR(VALUE(_xlfn.TEXTBEFORE(OpenPendingCases[[#This Row],[Price]]," AED")),"")</f>
        <v/>
      </c>
      <c r="AN39" s="165" t="n"/>
    </row>
    <row r="40" hidden="1" ht="18" customHeight="1" s="287">
      <c r="C40" s="148" t="n">
        <v>39</v>
      </c>
      <c r="D40" s="136">
        <f>IF($U40="Open Sale", IF(MAX($D$4:D39)+1=0, "", MAX($D$4:D39)+1), "")</f>
        <v/>
      </c>
      <c r="E40" s="136">
        <f>IF($U40="Pending Allocation", IF(MAX($E$4:E39)+1=0, "", MAX($E$4:E39)+1), "")</f>
        <v/>
      </c>
      <c r="F40" s="136" t="n"/>
      <c r="G40" s="136" t="n"/>
      <c r="H40" s="150" t="n"/>
      <c r="I40" s="150" t="n"/>
      <c r="J40" s="67">
        <f>IF(OpenPendingCases[[#This Row],[Timepiece Reference ]]="", "", IF(_xlfn.XLOOKUP(OpenPendingCases[[#This Row],[Timepiece Reference ]], Table1[[Timepiece Reference ]], Table1[CRC STOCK], "Not Found")="YES", "CRC Stock", "Boutique Stock"))</f>
        <v/>
      </c>
      <c r="K40" s="136">
        <f>IF(OpenPendingCases[[#This Row],[Timepiece Reference ]]="", "", IF(_xlfn.XLOOKUP(OpenPendingCases[[#This Row],[Timepiece Reference ]], Table1[[Timepiece Reference ]], Table1[CRC STOCK], "Not Found")="YES", "CRC Stock", "Boutique Stock"))</f>
        <v/>
      </c>
      <c r="L40" s="139" t="n"/>
      <c r="M40" s="140" t="n"/>
      <c r="N40" s="136" t="n"/>
      <c r="O40" s="133" t="n"/>
      <c r="P40" s="93">
        <f>IFERROR(VLOOKUP(TRIM(O40), Collection!$B$2:$D$1001, 2, FALSE), "")</f>
        <v/>
      </c>
      <c r="Q40" s="190">
        <f>IFERROR(VLOOKUP(TRIM(O40), Collection!$B$2:$D$1001, 3, FALSE), "")</f>
        <v/>
      </c>
      <c r="R40" s="153">
        <f>IFERROR(VALUE(SUBSTITUTE(SUBSTITUTE(Q40, "Price", ""), "AED", "")), "")</f>
        <v/>
      </c>
      <c r="S40" s="154" t="n"/>
      <c r="T40" s="166" t="n"/>
      <c r="U40" s="136" t="n"/>
      <c r="V40" s="136" t="n"/>
      <c r="W40" s="156">
        <f>IF(Z40 = "",
"",
TEXT(Z40, "mmmm"))</f>
        <v/>
      </c>
      <c r="X40" s="157" t="n"/>
      <c r="Y40" s="158" t="n"/>
      <c r="Z40" s="158" t="n"/>
      <c r="AA40" s="136">
        <f>IF(H40="", "", IF(U40="Open Sale", IF(TODAY()-H40=0, "0 Days", TEXT(TODAY()-H40, "0") &amp; " Days"), IF(U40="Closed Sale", AA40, "")))</f>
        <v/>
      </c>
      <c r="AB40" s="136">
        <f>IF(H40="", "", IF(OR(U40="Pending", U40="Pending Allocation"), CONCATENATE(TODAY()-H40, " Days"), IF(U40="Closed", "", "")))</f>
        <v/>
      </c>
      <c r="AC40" s="160">
        <f>IF(U40="Pending Allocation", IF(I40="", "", TODAY()-I40), "")</f>
        <v/>
      </c>
      <c r="AD40" s="159">
        <f>IF(U40="Open Sale", TEXT(TODAY()-I40, "0"),
IF(U40="Pending", "",
IF(U40="Closed Sale", "", "")))</f>
        <v/>
      </c>
      <c r="AE40" s="161" t="n"/>
      <c r="AF40" s="161" t="n"/>
      <c r="AG40" s="161" t="n"/>
      <c r="AH40" s="136" t="n"/>
      <c r="AI40" s="164">
        <f>IF(I40="","",TEXT(I40, "mmmm yyyy"))</f>
        <v/>
      </c>
      <c r="AJ40" s="164">
        <f>IF(AND(OpenPendingCases[[#This Row],[Sale Status	]]="Open Sale",OpenPendingCases[[#This Row],[Potential Same Month]]="High"),TEXT(OpenPendingCases[[#This Row],[Request Entry Date]], "[$-en-us]mmmm"),"")</f>
        <v/>
      </c>
      <c r="AK40" s="165">
        <f>IFERROR(VALUE(SUBSTITUTE(OpenPendingCases[[#This Row],[Price]]," AED","")),"")</f>
        <v/>
      </c>
      <c r="AL40" s="165">
        <f>IFERROR(VALUE(LEFT(OpenPendingCases[[#This Row],[Price]],FIND(" ",OpenPendingCases[[#This Row],[Price]])-1)),"")</f>
        <v/>
      </c>
      <c r="AM40" s="165">
        <f>IFERROR(VALUE(_xlfn.TEXTBEFORE(OpenPendingCases[[#This Row],[Price]]," AED")),"")</f>
        <v/>
      </c>
      <c r="AN40" s="165" t="n"/>
    </row>
    <row r="41" hidden="1" ht="18" customHeight="1" s="287">
      <c r="C41" s="148" t="n">
        <v>40</v>
      </c>
      <c r="D41" s="136">
        <f>IF($U41="Open Sale", IF(MAX($D$4:D40)+1=0, "", MAX($D$4:D40)+1), "")</f>
        <v/>
      </c>
      <c r="E41" s="136">
        <f>IF($U41="Pending Allocation", IF(MAX($E$4:E40)+1=0, "", MAX($E$4:E40)+1), "")</f>
        <v/>
      </c>
      <c r="F41" s="136" t="n"/>
      <c r="G41" s="136" t="n"/>
      <c r="H41" s="150" t="n"/>
      <c r="I41" s="150" t="n"/>
      <c r="J41" s="67">
        <f>IF(OpenPendingCases[[#This Row],[Timepiece Reference ]]="", "", IF(_xlfn.XLOOKUP(OpenPendingCases[[#This Row],[Timepiece Reference ]], Table1[[Timepiece Reference ]], Table1[CRC STOCK], "Not Found")="YES", "CRC Stock", "Boutique Stock"))</f>
        <v/>
      </c>
      <c r="K41" s="136">
        <f>IF(OpenPendingCases[[#This Row],[Timepiece Reference ]]="", "", IF(_xlfn.XLOOKUP(OpenPendingCases[[#This Row],[Timepiece Reference ]], Table1[[Timepiece Reference ]], Table1[CRC STOCK], "Not Found")="YES", "CRC Stock", "Boutique Stock"))</f>
        <v/>
      </c>
      <c r="L41" s="139" t="n"/>
      <c r="M41" s="140" t="n"/>
      <c r="N41" s="136" t="n"/>
      <c r="O41" s="133" t="n"/>
      <c r="P41" s="93">
        <f>IFERROR(VLOOKUP(TRIM(O41), Collection!$B$2:$D$1001, 2, FALSE), "")</f>
        <v/>
      </c>
      <c r="Q41" s="190">
        <f>IFERROR(VLOOKUP(TRIM(O41), Collection!$B$2:$D$1001, 3, FALSE), "")</f>
        <v/>
      </c>
      <c r="R41" s="153">
        <f>IFERROR(VALUE(SUBSTITUTE(SUBSTITUTE(Q41, "Price", ""), "AED", "")), "")</f>
        <v/>
      </c>
      <c r="S41" s="154" t="n"/>
      <c r="T41" s="166" t="n"/>
      <c r="U41" s="136" t="n"/>
      <c r="V41" s="136" t="n"/>
      <c r="W41" s="156">
        <f>IF(Z41 = "",
"",
TEXT(Z41, "mmmm"))</f>
        <v/>
      </c>
      <c r="X41" s="157" t="n"/>
      <c r="Y41" s="158" t="n"/>
      <c r="Z41" s="158" t="n"/>
      <c r="AA41" s="136">
        <f>IF(H41="", "", IF(U41="Open Sale", IF(TODAY()-H41=0, "0 Days", TEXT(TODAY()-H41, "0") &amp; " Days"), IF(U41="Closed Sale", AA41, "")))</f>
        <v/>
      </c>
      <c r="AB41" s="136">
        <f>IF(H41="", "", IF(OR(U41="Pending", U41="Pending Allocation"), CONCATENATE(TODAY()-H41, " Days"), IF(U41="Closed", "", "")))</f>
        <v/>
      </c>
      <c r="AC41" s="160">
        <f>IF(U41="Pending Allocation", IF(I41="", "", TODAY()-I41), "")</f>
        <v/>
      </c>
      <c r="AD41" s="159">
        <f>IF(U41="Open Sale", TEXT(TODAY()-I41, "0"),
IF(U41="Pending", "",
IF(U41="Closed Sale", "", "")))</f>
        <v/>
      </c>
      <c r="AE41" s="161" t="n"/>
      <c r="AF41" s="161" t="n"/>
      <c r="AG41" s="161" t="n"/>
      <c r="AH41" s="136" t="n"/>
      <c r="AI41" s="164">
        <f>IF(I41="","",TEXT(I41, "mmmm yyyy"))</f>
        <v/>
      </c>
      <c r="AJ41" s="164">
        <f>IF(AND(OpenPendingCases[[#This Row],[Sale Status	]]="Open Sale",OpenPendingCases[[#This Row],[Potential Same Month]]="High"),TEXT(OpenPendingCases[[#This Row],[Request Entry Date]], "[$-en-us]mmmm"),"")</f>
        <v/>
      </c>
      <c r="AK41" s="165">
        <f>IFERROR(VALUE(SUBSTITUTE(OpenPendingCases[[#This Row],[Price]]," AED","")),"")</f>
        <v/>
      </c>
      <c r="AL41" s="165">
        <f>IFERROR(VALUE(LEFT(OpenPendingCases[[#This Row],[Price]],FIND(" ",OpenPendingCases[[#This Row],[Price]])-1)),"")</f>
        <v/>
      </c>
      <c r="AM41" s="165">
        <f>IFERROR(VALUE(_xlfn.TEXTBEFORE(OpenPendingCases[[#This Row],[Price]]," AED")),"")</f>
        <v/>
      </c>
      <c r="AN41" s="165" t="n"/>
    </row>
    <row r="42" hidden="1" ht="18" customHeight="1" s="287">
      <c r="C42" s="148" t="n">
        <v>41</v>
      </c>
      <c r="D42" s="136">
        <f>IF($U42="Open Sale", IF(MAX($D$4:D41)+1=0, "", MAX($D$4:D41)+1), "")</f>
        <v/>
      </c>
      <c r="E42" s="136">
        <f>IF($U42="Pending Allocation", IF(MAX($E$4:E41)+1=0, "", MAX($E$4:E41)+1), "")</f>
        <v/>
      </c>
      <c r="F42" s="136" t="n"/>
      <c r="G42" s="136" t="n"/>
      <c r="H42" s="150" t="n"/>
      <c r="I42" s="150" t="n"/>
      <c r="J42" s="67">
        <f>IF(OpenPendingCases[[#This Row],[Timepiece Reference ]]="", "", IF(_xlfn.XLOOKUP(OpenPendingCases[[#This Row],[Timepiece Reference ]], Table1[[Timepiece Reference ]], Table1[CRC STOCK], "Not Found")="YES", "CRC Stock", "Boutique Stock"))</f>
        <v/>
      </c>
      <c r="K42" s="136">
        <f>IF(OpenPendingCases[[#This Row],[Timepiece Reference ]]="", "", IF(_xlfn.XLOOKUP(OpenPendingCases[[#This Row],[Timepiece Reference ]], Table1[[Timepiece Reference ]], Table1[CRC STOCK], "Not Found")="YES", "CRC Stock", "Boutique Stock"))</f>
        <v/>
      </c>
      <c r="L42" s="139" t="n"/>
      <c r="M42" s="140" t="n"/>
      <c r="N42" s="136" t="n"/>
      <c r="O42" s="133" t="n"/>
      <c r="P42" s="93">
        <f>IFERROR(VLOOKUP(TRIM(O42), Collection!$B$2:$D$1001, 2, FALSE), "")</f>
        <v/>
      </c>
      <c r="Q42" s="190">
        <f>IFERROR(VLOOKUP(TRIM(O42), Collection!$B$2:$D$1001, 3, FALSE), "")</f>
        <v/>
      </c>
      <c r="R42" s="153">
        <f>IFERROR(VALUE(SUBSTITUTE(SUBSTITUTE(Q42, "Price", ""), "AED", "")), "")</f>
        <v/>
      </c>
      <c r="S42" s="154" t="n"/>
      <c r="T42" s="166" t="n"/>
      <c r="U42" s="136" t="n"/>
      <c r="V42" s="136" t="n"/>
      <c r="W42" s="156">
        <f>IF(Z42 = "",
"",
TEXT(Z42, "mmmm"))</f>
        <v/>
      </c>
      <c r="X42" s="157" t="n"/>
      <c r="Y42" s="158" t="n"/>
      <c r="Z42" s="158" t="n"/>
      <c r="AA42" s="136">
        <f>IF(H42="", "", IF(U42="Open Sale", IF(TODAY()-H42=0, "0 Days", TEXT(TODAY()-H42, "0") &amp; " Days"), IF(U42="Closed Sale", AA42, "")))</f>
        <v/>
      </c>
      <c r="AB42" s="136">
        <f>IF(H42="", "", IF(OR(U42="Pending", U42="Pending Allocation"), CONCATENATE(TODAY()-H42, " Days"), IF(U42="Closed", "", "")))</f>
        <v/>
      </c>
      <c r="AC42" s="160">
        <f>IF(U42="Pending Allocation", IF(I42="", "", TODAY()-I42), "")</f>
        <v/>
      </c>
      <c r="AD42" s="159">
        <f>IF(U42="Open Sale", TEXT(TODAY()-I42, "0"),
IF(U42="Pending", "",
IF(U42="Closed Sale", "", "")))</f>
        <v/>
      </c>
      <c r="AE42" s="161" t="n"/>
      <c r="AF42" s="161" t="n"/>
      <c r="AG42" s="161" t="n"/>
      <c r="AH42" s="136" t="n"/>
      <c r="AI42" s="164">
        <f>IF(I42="","",TEXT(I42, "mmmm yyyy"))</f>
        <v/>
      </c>
      <c r="AJ42" s="164">
        <f>IF(AND(OpenPendingCases[[#This Row],[Sale Status	]]="Open Sale",OpenPendingCases[[#This Row],[Potential Same Month]]="High"),TEXT(OpenPendingCases[[#This Row],[Request Entry Date]], "[$-en-us]mmmm"),"")</f>
        <v/>
      </c>
      <c r="AK42" s="165">
        <f>IFERROR(VALUE(SUBSTITUTE(OpenPendingCases[[#This Row],[Price]]," AED","")),"")</f>
        <v/>
      </c>
      <c r="AL42" s="165">
        <f>IFERROR(VALUE(LEFT(OpenPendingCases[[#This Row],[Price]],FIND(" ",OpenPendingCases[[#This Row],[Price]])-1)),"")</f>
        <v/>
      </c>
      <c r="AM42" s="165">
        <f>IFERROR(VALUE(_xlfn.TEXTBEFORE(OpenPendingCases[[#This Row],[Price]]," AED")),"")</f>
        <v/>
      </c>
      <c r="AN42" s="165" t="n"/>
    </row>
    <row r="43" hidden="1" ht="18" customHeight="1" s="287">
      <c r="C43" s="148" t="n">
        <v>42</v>
      </c>
      <c r="D43" s="136">
        <f>IF($U43="Open Sale", IF(MAX($D$4:D42)+1=0, "", MAX($D$4:D42)+1), "")</f>
        <v/>
      </c>
      <c r="E43" s="136">
        <f>IF($U43="Pending Allocation", IF(MAX($E$4:E42)+1=0, "", MAX($E$4:E42)+1), "")</f>
        <v/>
      </c>
      <c r="F43" s="136" t="n"/>
      <c r="G43" s="136" t="n"/>
      <c r="H43" s="150" t="n"/>
      <c r="I43" s="150" t="n"/>
      <c r="J43" s="67">
        <f>IF(OpenPendingCases[[#This Row],[Timepiece Reference ]]="", "", IF(_xlfn.XLOOKUP(OpenPendingCases[[#This Row],[Timepiece Reference ]], Table1[[Timepiece Reference ]], Table1[CRC STOCK], "Not Found")="YES", "CRC Stock", "Boutique Stock"))</f>
        <v/>
      </c>
      <c r="K43" s="136">
        <f>IF(OpenPendingCases[[#This Row],[Timepiece Reference ]]="", "", IF(_xlfn.XLOOKUP(OpenPendingCases[[#This Row],[Timepiece Reference ]], Table1[[Timepiece Reference ]], Table1[CRC STOCK], "Not Found")="YES", "CRC Stock", "Boutique Stock"))</f>
        <v/>
      </c>
      <c r="L43" s="139" t="n"/>
      <c r="M43" s="140" t="n"/>
      <c r="N43" s="136" t="n"/>
      <c r="O43" s="133" t="n"/>
      <c r="P43" s="93">
        <f>IFERROR(VLOOKUP(TRIM(O43), Collection!$B$2:$D$1001, 2, FALSE), "")</f>
        <v/>
      </c>
      <c r="Q43" s="190">
        <f>IFERROR(VLOOKUP(TRIM(O43), Collection!$B$2:$D$1001, 3, FALSE), "")</f>
        <v/>
      </c>
      <c r="R43" s="153">
        <f>IFERROR(VALUE(SUBSTITUTE(SUBSTITUTE(Q43, "Price", ""), "AED", "")), "")</f>
        <v/>
      </c>
      <c r="S43" s="154" t="n"/>
      <c r="T43" s="166" t="n"/>
      <c r="U43" s="136" t="n"/>
      <c r="V43" s="136" t="n"/>
      <c r="W43" s="156">
        <f>IF(Z43 = "",
"",
TEXT(Z43, "mmmm"))</f>
        <v/>
      </c>
      <c r="X43" s="157" t="n"/>
      <c r="Y43" s="158" t="n"/>
      <c r="Z43" s="158" t="n"/>
      <c r="AA43" s="136">
        <f>IF(H43="", "", IF(U43="Open Sale", IF(TODAY()-H43=0, "0 Days", TEXT(TODAY()-H43, "0") &amp; " Days"), IF(U43="Closed Sale", AA43, "")))</f>
        <v/>
      </c>
      <c r="AB43" s="136">
        <f>IF(H43="", "", IF(OR(U43="Pending", U43="Pending Allocation"), CONCATENATE(TODAY()-H43, " Days"), IF(U43="Closed", "", "")))</f>
        <v/>
      </c>
      <c r="AC43" s="160">
        <f>IF(U43="Pending Allocation", IF(I43="", "", TODAY()-I43), "")</f>
        <v/>
      </c>
      <c r="AD43" s="159">
        <f>IF(U43="Open Sale", TEXT(TODAY()-I43, "0"),
IF(U43="Pending", "",
IF(U43="Closed Sale", "", "")))</f>
        <v/>
      </c>
      <c r="AE43" s="161" t="n"/>
      <c r="AF43" s="161" t="n"/>
      <c r="AG43" s="161" t="n"/>
      <c r="AH43" s="136" t="n"/>
      <c r="AI43" s="164">
        <f>IF(I43="","",TEXT(I43, "mmmm yyyy"))</f>
        <v/>
      </c>
      <c r="AJ43" s="164">
        <f>IF(AND(OpenPendingCases[[#This Row],[Sale Status	]]="Open Sale",OpenPendingCases[[#This Row],[Potential Same Month]]="High"),TEXT(OpenPendingCases[[#This Row],[Request Entry Date]], "[$-en-us]mmmm"),"")</f>
        <v/>
      </c>
      <c r="AK43" s="165">
        <f>IFERROR(VALUE(SUBSTITUTE(OpenPendingCases[[#This Row],[Price]]," AED","")),"")</f>
        <v/>
      </c>
      <c r="AL43" s="165">
        <f>IFERROR(VALUE(LEFT(OpenPendingCases[[#This Row],[Price]],FIND(" ",OpenPendingCases[[#This Row],[Price]])-1)),"")</f>
        <v/>
      </c>
      <c r="AM43" s="165">
        <f>IFERROR(VALUE(_xlfn.TEXTBEFORE(OpenPendingCases[[#This Row],[Price]]," AED")),"")</f>
        <v/>
      </c>
      <c r="AN43" s="165" t="n"/>
    </row>
    <row r="44" hidden="1" ht="18" customHeight="1" s="287">
      <c r="C44" s="148" t="n">
        <v>43</v>
      </c>
      <c r="D44" s="136">
        <f>IF($U44="Open Sale", IF(MAX($D$4:D43)+1=0, "", MAX($D$4:D43)+1), "")</f>
        <v/>
      </c>
      <c r="E44" s="136">
        <f>IF($U44="Pending Allocation", IF(MAX($E$4:E43)+1=0, "", MAX($E$4:E43)+1), "")</f>
        <v/>
      </c>
      <c r="F44" s="136" t="n"/>
      <c r="G44" s="136" t="n"/>
      <c r="H44" s="150" t="n"/>
      <c r="I44" s="150" t="n"/>
      <c r="J44" s="67">
        <f>IF(OpenPendingCases[[#This Row],[Timepiece Reference ]]="", "", IF(_xlfn.XLOOKUP(OpenPendingCases[[#This Row],[Timepiece Reference ]], Table1[[Timepiece Reference ]], Table1[CRC STOCK], "Not Found")="YES", "CRC Stock", "Boutique Stock"))</f>
        <v/>
      </c>
      <c r="K44" s="136">
        <f>IF(OpenPendingCases[[#This Row],[Timepiece Reference ]]="", "", IF(_xlfn.XLOOKUP(OpenPendingCases[[#This Row],[Timepiece Reference ]], Table1[[Timepiece Reference ]], Table1[CRC STOCK], "Not Found")="YES", "CRC Stock", "Boutique Stock"))</f>
        <v/>
      </c>
      <c r="L44" s="139" t="n"/>
      <c r="M44" s="140" t="n"/>
      <c r="N44" s="136" t="n"/>
      <c r="O44" s="133" t="n"/>
      <c r="P44" s="93">
        <f>IFERROR(VLOOKUP(TRIM(O44), Collection!$B$2:$D$1001, 2, FALSE), "")</f>
        <v/>
      </c>
      <c r="Q44" s="190">
        <f>IFERROR(VLOOKUP(TRIM(O44), Collection!$B$2:$D$1001, 3, FALSE), "")</f>
        <v/>
      </c>
      <c r="R44" s="153">
        <f>IFERROR(VALUE(SUBSTITUTE(SUBSTITUTE(Q44, "Price", ""), "AED", "")), "")</f>
        <v/>
      </c>
      <c r="S44" s="154" t="n"/>
      <c r="T44" s="166" t="n"/>
      <c r="U44" s="136" t="n"/>
      <c r="V44" s="136" t="n"/>
      <c r="W44" s="156">
        <f>IF(Z44 = "",
"",
TEXT(Z44, "mmmm"))</f>
        <v/>
      </c>
      <c r="X44" s="157" t="n"/>
      <c r="Y44" s="158" t="n"/>
      <c r="Z44" s="158" t="n"/>
      <c r="AA44" s="136">
        <f>IF(H44="", "", IF(U44="Open Sale", IF(TODAY()-H44=0, "0 Days", TEXT(TODAY()-H44, "0") &amp; " Days"), IF(U44="Closed Sale", AA44, "")))</f>
        <v/>
      </c>
      <c r="AB44" s="136">
        <f>IF(H44="", "", IF(OR(U44="Pending", U44="Pending Allocation"), CONCATENATE(TODAY()-H44, " Days"), IF(U44="Closed", "", "")))</f>
        <v/>
      </c>
      <c r="AC44" s="160">
        <f>IF(U44="Pending Allocation", IF(I44="", "", TODAY()-I44), "")</f>
        <v/>
      </c>
      <c r="AD44" s="159">
        <f>IF(U44="Open Sale", TEXT(TODAY()-I44, "0"),
IF(U44="Pending", "",
IF(U44="Closed Sale", "", "")))</f>
        <v/>
      </c>
      <c r="AE44" s="161" t="n"/>
      <c r="AF44" s="161" t="n"/>
      <c r="AG44" s="161" t="n"/>
      <c r="AH44" s="136" t="n"/>
      <c r="AI44" s="164">
        <f>IF(I44="","",TEXT(I44, "mmmm yyyy"))</f>
        <v/>
      </c>
      <c r="AJ44" s="164">
        <f>IF(AND(OpenPendingCases[[#This Row],[Sale Status	]]="Open Sale",OpenPendingCases[[#This Row],[Potential Same Month]]="High"),TEXT(OpenPendingCases[[#This Row],[Request Entry Date]], "[$-en-us]mmmm"),"")</f>
        <v/>
      </c>
      <c r="AK44" s="165">
        <f>IFERROR(VALUE(SUBSTITUTE(OpenPendingCases[[#This Row],[Price]]," AED","")),"")</f>
        <v/>
      </c>
      <c r="AL44" s="165">
        <f>IFERROR(VALUE(LEFT(OpenPendingCases[[#This Row],[Price]],FIND(" ",OpenPendingCases[[#This Row],[Price]])-1)),"")</f>
        <v/>
      </c>
      <c r="AM44" s="165">
        <f>IFERROR(VALUE(_xlfn.TEXTBEFORE(OpenPendingCases[[#This Row],[Price]]," AED")),"")</f>
        <v/>
      </c>
      <c r="AN44" s="165" t="n"/>
    </row>
    <row r="45" hidden="1" ht="18" customHeight="1" s="287">
      <c r="C45" s="148" t="n">
        <v>44</v>
      </c>
      <c r="D45" s="136">
        <f>IF($U45="Open Sale", IF(MAX($D$4:D44)+1=0, "", MAX($D$4:D44)+1), "")</f>
        <v/>
      </c>
      <c r="E45" s="136">
        <f>IF($U45="Pending Allocation", IF(MAX($E$4:E44)+1=0, "", MAX($E$4:E44)+1), "")</f>
        <v/>
      </c>
      <c r="F45" s="136" t="n"/>
      <c r="G45" s="136" t="n"/>
      <c r="H45" s="150" t="n"/>
      <c r="I45" s="150" t="n"/>
      <c r="J45" s="67">
        <f>IF(OpenPendingCases[[#This Row],[Timepiece Reference ]]="", "", IF(_xlfn.XLOOKUP(OpenPendingCases[[#This Row],[Timepiece Reference ]], Table1[[Timepiece Reference ]], Table1[CRC STOCK], "Not Found")="YES", "CRC Stock", "Boutique Stock"))</f>
        <v/>
      </c>
      <c r="K45" s="136">
        <f>IF(OpenPendingCases[[#This Row],[Timepiece Reference ]]="", "", IF(_xlfn.XLOOKUP(OpenPendingCases[[#This Row],[Timepiece Reference ]], Table1[[Timepiece Reference ]], Table1[CRC STOCK], "Not Found")="YES", "CRC Stock", "Boutique Stock"))</f>
        <v/>
      </c>
      <c r="L45" s="139" t="n"/>
      <c r="M45" s="140" t="n"/>
      <c r="N45" s="136" t="n"/>
      <c r="O45" s="133" t="n"/>
      <c r="P45" s="93">
        <f>IFERROR(VLOOKUP(TRIM(O45), Collection!$B$2:$D$1001, 2, FALSE), "")</f>
        <v/>
      </c>
      <c r="Q45" s="190">
        <f>IFERROR(VLOOKUP(TRIM(O45), Collection!$B$2:$D$1001, 3, FALSE), "")</f>
        <v/>
      </c>
      <c r="R45" s="153">
        <f>IFERROR(VALUE(SUBSTITUTE(SUBSTITUTE(Q45, "Price", ""), "AED", "")), "")</f>
        <v/>
      </c>
      <c r="S45" s="154" t="n"/>
      <c r="T45" s="166" t="n"/>
      <c r="U45" s="136" t="n"/>
      <c r="V45" s="136" t="n"/>
      <c r="W45" s="156">
        <f>IF(Z45 = "",
"",
TEXT(Z45, "mmmm"))</f>
        <v/>
      </c>
      <c r="X45" s="157" t="n"/>
      <c r="Y45" s="158" t="n"/>
      <c r="Z45" s="158" t="n"/>
      <c r="AA45" s="136">
        <f>IF(H45="", "", IF(U45="Open Sale", IF(TODAY()-H45=0, "0 Days", TEXT(TODAY()-H45, "0") &amp; " Days"), IF(U45="Closed Sale", AA45, "")))</f>
        <v/>
      </c>
      <c r="AB45" s="136">
        <f>IF(H45="", "", IF(OR(U45="Pending", U45="Pending Allocation"), CONCATENATE(TODAY()-H45, " Days"), IF(U45="Closed", "", "")))</f>
        <v/>
      </c>
      <c r="AC45" s="160">
        <f>IF(U45="Pending Allocation", IF(I45="", "", TODAY()-I45), "")</f>
        <v/>
      </c>
      <c r="AD45" s="159">
        <f>IF(U45="Open Sale", TEXT(TODAY()-I45, "0"),
IF(U45="Pending", "",
IF(U45="Closed Sale", "", "")))</f>
        <v/>
      </c>
      <c r="AE45" s="161" t="n"/>
      <c r="AF45" s="161" t="n"/>
      <c r="AG45" s="161" t="n"/>
      <c r="AH45" s="136" t="n"/>
      <c r="AI45" s="164">
        <f>IF(I45="","",TEXT(I45, "mmmm yyyy"))</f>
        <v/>
      </c>
      <c r="AJ45" s="164">
        <f>IF(AND(OpenPendingCases[[#This Row],[Sale Status	]]="Open Sale",OpenPendingCases[[#This Row],[Potential Same Month]]="High"),TEXT(OpenPendingCases[[#This Row],[Request Entry Date]], "[$-en-us]mmmm"),"")</f>
        <v/>
      </c>
      <c r="AK45" s="165">
        <f>IFERROR(VALUE(SUBSTITUTE(OpenPendingCases[[#This Row],[Price]]," AED","")),"")</f>
        <v/>
      </c>
      <c r="AL45" s="165">
        <f>IFERROR(VALUE(LEFT(OpenPendingCases[[#This Row],[Price]],FIND(" ",OpenPendingCases[[#This Row],[Price]])-1)),"")</f>
        <v/>
      </c>
      <c r="AM45" s="165">
        <f>IFERROR(VALUE(_xlfn.TEXTBEFORE(OpenPendingCases[[#This Row],[Price]]," AED")),"")</f>
        <v/>
      </c>
      <c r="AN45" s="165" t="n"/>
    </row>
    <row r="46" hidden="1" ht="18" customHeight="1" s="287">
      <c r="C46" s="148" t="n">
        <v>45</v>
      </c>
      <c r="D46" s="136">
        <f>IF($U46="Open Sale", IF(MAX($D$4:D45)+1=0, "", MAX($D$4:D45)+1), "")</f>
        <v/>
      </c>
      <c r="E46" s="136">
        <f>IF($U46="Pending Allocation", IF(MAX($E$4:E45)+1=0, "", MAX($E$4:E45)+1), "")</f>
        <v/>
      </c>
      <c r="F46" s="136" t="n"/>
      <c r="G46" s="136" t="n"/>
      <c r="H46" s="150" t="n"/>
      <c r="I46" s="150" t="n"/>
      <c r="J46" s="67">
        <f>IF(OpenPendingCases[[#This Row],[Timepiece Reference ]]="", "", IF(_xlfn.XLOOKUP(OpenPendingCases[[#This Row],[Timepiece Reference ]], Table1[[Timepiece Reference ]], Table1[CRC STOCK], "Not Found")="YES", "CRC Stock", "Boutique Stock"))</f>
        <v/>
      </c>
      <c r="K46" s="136">
        <f>IF(OpenPendingCases[[#This Row],[Timepiece Reference ]]="", "", IF(_xlfn.XLOOKUP(OpenPendingCases[[#This Row],[Timepiece Reference ]], Table1[[Timepiece Reference ]], Table1[CRC STOCK], "Not Found")="YES", "CRC Stock", "Boutique Stock"))</f>
        <v/>
      </c>
      <c r="L46" s="139" t="n"/>
      <c r="M46" s="140" t="n"/>
      <c r="N46" s="136" t="n"/>
      <c r="O46" s="133" t="n"/>
      <c r="P46" s="93">
        <f>IFERROR(VLOOKUP(TRIM(O46), Collection!$B$2:$D$1001, 2, FALSE), "")</f>
        <v/>
      </c>
      <c r="Q46" s="190">
        <f>IFERROR(VLOOKUP(TRIM(O46), Collection!$B$2:$D$1001, 3, FALSE), "")</f>
        <v/>
      </c>
      <c r="R46" s="153">
        <f>IFERROR(VALUE(SUBSTITUTE(SUBSTITUTE(Q46, "Price", ""), "AED", "")), "")</f>
        <v/>
      </c>
      <c r="S46" s="154" t="n"/>
      <c r="T46" s="166" t="n"/>
      <c r="U46" s="136" t="n"/>
      <c r="V46" s="136" t="n"/>
      <c r="W46" s="156">
        <f>IF(Z46 = "",
"",
TEXT(Z46, "mmmm"))</f>
        <v/>
      </c>
      <c r="X46" s="157" t="n"/>
      <c r="Y46" s="158" t="n"/>
      <c r="Z46" s="158" t="n"/>
      <c r="AA46" s="136">
        <f>IF(H46="", "", IF(U46="Open Sale", IF(TODAY()-H46=0, "0 Days", TEXT(TODAY()-H46, "0") &amp; " Days"), IF(U46="Closed Sale", AA46, "")))</f>
        <v/>
      </c>
      <c r="AB46" s="136">
        <f>IF(H46="", "", IF(OR(U46="Pending", U46="Pending Allocation"), CONCATENATE(TODAY()-H46, " Days"), IF(U46="Closed", "", "")))</f>
        <v/>
      </c>
      <c r="AC46" s="160">
        <f>IF(U46="Pending Allocation", IF(I46="", "", TODAY()-I46), "")</f>
        <v/>
      </c>
      <c r="AD46" s="159">
        <f>IF(U46="Open Sale", TEXT(TODAY()-I46, "0"),
IF(U46="Pending", "",
IF(U46="Closed Sale", "", "")))</f>
        <v/>
      </c>
      <c r="AE46" s="161" t="n"/>
      <c r="AF46" s="161" t="n"/>
      <c r="AG46" s="161" t="n"/>
      <c r="AH46" s="136" t="n"/>
      <c r="AI46" s="164">
        <f>IF(I46="","",TEXT(I46, "mmmm yyyy"))</f>
        <v/>
      </c>
      <c r="AJ46" s="164">
        <f>IF(AND(OpenPendingCases[[#This Row],[Sale Status	]]="Open Sale",OpenPendingCases[[#This Row],[Potential Same Month]]="High"),TEXT(OpenPendingCases[[#This Row],[Request Entry Date]], "[$-en-us]mmmm"),"")</f>
        <v/>
      </c>
      <c r="AK46" s="165">
        <f>IFERROR(VALUE(SUBSTITUTE(OpenPendingCases[[#This Row],[Price]]," AED","")),"")</f>
        <v/>
      </c>
      <c r="AL46" s="165">
        <f>IFERROR(VALUE(LEFT(OpenPendingCases[[#This Row],[Price]],FIND(" ",OpenPendingCases[[#This Row],[Price]])-1)),"")</f>
        <v/>
      </c>
      <c r="AM46" s="165">
        <f>IFERROR(VALUE(_xlfn.TEXTBEFORE(OpenPendingCases[[#This Row],[Price]]," AED")),"")</f>
        <v/>
      </c>
      <c r="AN46" s="165" t="n"/>
    </row>
    <row r="47" hidden="1" ht="18" customHeight="1" s="287">
      <c r="C47" s="148" t="n">
        <v>46</v>
      </c>
      <c r="D47" s="136">
        <f>IF($U47="Open Sale", IF(MAX($D$4:D46)+1=0, "", MAX($D$4:D46)+1), "")</f>
        <v/>
      </c>
      <c r="E47" s="136">
        <f>IF($U47="Pending Allocation", IF(MAX($E$4:E46)+1=0, "", MAX($E$4:E46)+1), "")</f>
        <v/>
      </c>
      <c r="F47" s="136" t="n"/>
      <c r="G47" s="136" t="n"/>
      <c r="H47" s="150" t="n"/>
      <c r="I47" s="150" t="n"/>
      <c r="J47" s="67">
        <f>IF(OpenPendingCases[[#This Row],[Timepiece Reference ]]="", "", IF(_xlfn.XLOOKUP(OpenPendingCases[[#This Row],[Timepiece Reference ]], Table1[[Timepiece Reference ]], Table1[CRC STOCK], "Not Found")="YES", "CRC Stock", "Boutique Stock"))</f>
        <v/>
      </c>
      <c r="K47" s="136">
        <f>IF(OpenPendingCases[[#This Row],[Timepiece Reference ]]="", "", IF(_xlfn.XLOOKUP(OpenPendingCases[[#This Row],[Timepiece Reference ]], Table1[[Timepiece Reference ]], Table1[CRC STOCK], "Not Found")="YES", "CRC Stock", "Boutique Stock"))</f>
        <v/>
      </c>
      <c r="L47" s="139" t="n"/>
      <c r="M47" s="140" t="n"/>
      <c r="N47" s="136" t="n"/>
      <c r="O47" s="133" t="n"/>
      <c r="P47" s="93">
        <f>IFERROR(VLOOKUP(TRIM(O47), Collection!$B$2:$D$1001, 2, FALSE), "")</f>
        <v/>
      </c>
      <c r="Q47" s="190">
        <f>IFERROR(VLOOKUP(TRIM(O47), Collection!$B$2:$D$1001, 3, FALSE), "")</f>
        <v/>
      </c>
      <c r="R47" s="153">
        <f>IFERROR(VALUE(SUBSTITUTE(SUBSTITUTE(Q47, "Price", ""), "AED", "")), "")</f>
        <v/>
      </c>
      <c r="S47" s="154" t="n"/>
      <c r="T47" s="166" t="n"/>
      <c r="U47" s="136" t="n"/>
      <c r="V47" s="136" t="n"/>
      <c r="W47" s="156">
        <f>IF(Z47 = "",
"",
TEXT(Z47, "mmmm"))</f>
        <v/>
      </c>
      <c r="X47" s="157" t="n"/>
      <c r="Y47" s="158" t="n"/>
      <c r="Z47" s="158" t="n"/>
      <c r="AA47" s="136">
        <f>IF(H47="", "", IF(U47="Open Sale", IF(TODAY()-H47=0, "0 Days", TEXT(TODAY()-H47, "0") &amp; " Days"), IF(U47="Closed Sale", AA47, "")))</f>
        <v/>
      </c>
      <c r="AB47" s="136">
        <f>IF(H47="", "", IF(OR(U47="Pending", U47="Pending Allocation"), CONCATENATE(TODAY()-H47, " Days"), IF(U47="Closed", "", "")))</f>
        <v/>
      </c>
      <c r="AC47" s="160">
        <f>IF(U47="Pending Allocation", IF(I47="", "", TODAY()-I47), "")</f>
        <v/>
      </c>
      <c r="AD47" s="159">
        <f>IF(U47="Open Sale", TEXT(TODAY()-I47, "0"),
IF(U47="Pending", "",
IF(U47="Closed Sale", "", "")))</f>
        <v/>
      </c>
      <c r="AE47" s="161" t="n"/>
      <c r="AF47" s="161" t="n"/>
      <c r="AG47" s="161" t="n"/>
      <c r="AH47" s="136" t="n"/>
      <c r="AI47" s="164">
        <f>IF(I47="","",TEXT(I47, "mmmm yyyy"))</f>
        <v/>
      </c>
      <c r="AJ47" s="164">
        <f>IF(AND(OpenPendingCases[[#This Row],[Sale Status	]]="Open Sale",OpenPendingCases[[#This Row],[Potential Same Month]]="High"),TEXT(OpenPendingCases[[#This Row],[Request Entry Date]], "[$-en-us]mmmm"),"")</f>
        <v/>
      </c>
      <c r="AK47" s="165">
        <f>IFERROR(VALUE(SUBSTITUTE(OpenPendingCases[[#This Row],[Price]]," AED","")),"")</f>
        <v/>
      </c>
      <c r="AL47" s="165">
        <f>IFERROR(VALUE(LEFT(OpenPendingCases[[#This Row],[Price]],FIND(" ",OpenPendingCases[[#This Row],[Price]])-1)),"")</f>
        <v/>
      </c>
      <c r="AM47" s="165">
        <f>IFERROR(VALUE(_xlfn.TEXTBEFORE(OpenPendingCases[[#This Row],[Price]]," AED")),"")</f>
        <v/>
      </c>
      <c r="AN47" s="165" t="n"/>
    </row>
    <row r="48" hidden="1" ht="18" customHeight="1" s="287">
      <c r="C48" s="148" t="n">
        <v>47</v>
      </c>
      <c r="D48" s="136">
        <f>IF($U48="Open Sale", IF(MAX($D$4:D47)+1=0, "", MAX($D$4:D47)+1), "")</f>
        <v/>
      </c>
      <c r="E48" s="136">
        <f>IF($U48="Pending Allocation", IF(MAX($E$4:E47)+1=0, "", MAX($E$4:E47)+1), "")</f>
        <v/>
      </c>
      <c r="F48" s="136" t="n"/>
      <c r="G48" s="136" t="n"/>
      <c r="H48" s="150" t="n"/>
      <c r="I48" s="150" t="n"/>
      <c r="J48" s="67">
        <f>IF(OpenPendingCases[[#This Row],[Timepiece Reference ]]="", "", IF(_xlfn.XLOOKUP(OpenPendingCases[[#This Row],[Timepiece Reference ]], Table1[[Timepiece Reference ]], Table1[CRC STOCK], "Not Found")="YES", "CRC Stock", "Boutique Stock"))</f>
        <v/>
      </c>
      <c r="K48" s="136">
        <f>IF(OpenPendingCases[[#This Row],[Timepiece Reference ]]="", "", IF(_xlfn.XLOOKUP(OpenPendingCases[[#This Row],[Timepiece Reference ]], Table1[[Timepiece Reference ]], Table1[CRC STOCK], "Not Found")="YES", "CRC Stock", "Boutique Stock"))</f>
        <v/>
      </c>
      <c r="L48" s="139" t="n"/>
      <c r="M48" s="140" t="n"/>
      <c r="N48" s="136" t="n"/>
      <c r="O48" s="133" t="n"/>
      <c r="P48" s="93">
        <f>IFERROR(VLOOKUP(TRIM(O48), Collection!$B$2:$D$1001, 2, FALSE), "")</f>
        <v/>
      </c>
      <c r="Q48" s="190">
        <f>IFERROR(VLOOKUP(TRIM(O48), Collection!$B$2:$D$1001, 3, FALSE), "")</f>
        <v/>
      </c>
      <c r="R48" s="153">
        <f>IFERROR(VALUE(SUBSTITUTE(SUBSTITUTE(Q48, "Price", ""), "AED", "")), "")</f>
        <v/>
      </c>
      <c r="S48" s="154" t="n"/>
      <c r="T48" s="166" t="n"/>
      <c r="U48" s="136" t="n"/>
      <c r="V48" s="136" t="n"/>
      <c r="W48" s="156">
        <f>IF(Z48 = "",
"",
TEXT(Z48, "mmmm"))</f>
        <v/>
      </c>
      <c r="X48" s="157" t="n"/>
      <c r="Y48" s="158" t="n"/>
      <c r="Z48" s="158" t="n"/>
      <c r="AA48" s="136">
        <f>IF(H48="", "", IF(U48="Open Sale", IF(TODAY()-H48=0, "0 Days", TEXT(TODAY()-H48, "0") &amp; " Days"), IF(U48="Closed Sale", AA48, "")))</f>
        <v/>
      </c>
      <c r="AB48" s="136">
        <f>IF(H48="", "", IF(OR(U48="Pending", U48="Pending Allocation"), CONCATENATE(TODAY()-H48, " Days"), IF(U48="Closed", "", "")))</f>
        <v/>
      </c>
      <c r="AC48" s="160">
        <f>IF(U48="Pending Allocation", IF(I48="", "", TODAY()-I48), "")</f>
        <v/>
      </c>
      <c r="AD48" s="159">
        <f>IF(U48="Open Sale", TEXT(TODAY()-I48, "0"),
IF(U48="Pending", "",
IF(U48="Closed Sale", "", "")))</f>
        <v/>
      </c>
      <c r="AE48" s="161" t="n"/>
      <c r="AF48" s="161" t="n"/>
      <c r="AG48" s="161" t="n"/>
      <c r="AH48" s="136" t="n"/>
      <c r="AI48" s="164">
        <f>IF(I48="","",TEXT(I48, "mmmm yyyy"))</f>
        <v/>
      </c>
      <c r="AJ48" s="164">
        <f>IF(AND(OpenPendingCases[[#This Row],[Sale Status	]]="Open Sale",OpenPendingCases[[#This Row],[Potential Same Month]]="High"),TEXT(OpenPendingCases[[#This Row],[Request Entry Date]], "[$-en-us]mmmm"),"")</f>
        <v/>
      </c>
      <c r="AK48" s="165">
        <f>IFERROR(VALUE(SUBSTITUTE(OpenPendingCases[[#This Row],[Price]]," AED","")),"")</f>
        <v/>
      </c>
      <c r="AL48" s="165">
        <f>IFERROR(VALUE(LEFT(OpenPendingCases[[#This Row],[Price]],FIND(" ",OpenPendingCases[[#This Row],[Price]])-1)),"")</f>
        <v/>
      </c>
      <c r="AM48" s="165">
        <f>IFERROR(VALUE(_xlfn.TEXTBEFORE(OpenPendingCases[[#This Row],[Price]]," AED")),"")</f>
        <v/>
      </c>
      <c r="AN48" s="165" t="n"/>
    </row>
    <row r="49" hidden="1" ht="18" customHeight="1" s="287">
      <c r="C49" s="148" t="n">
        <v>48</v>
      </c>
      <c r="D49" s="136">
        <f>IF($U49="Open Sale", IF(MAX($D$4:D48)+1=0, "", MAX($D$4:D48)+1), "")</f>
        <v/>
      </c>
      <c r="E49" s="136">
        <f>IF($U49="Pending Allocation", IF(MAX($E$4:E48)+1=0, "", MAX($E$4:E48)+1), "")</f>
        <v/>
      </c>
      <c r="F49" s="136" t="n"/>
      <c r="G49" s="136" t="n"/>
      <c r="H49" s="150" t="n"/>
      <c r="I49" s="150" t="n"/>
      <c r="J49" s="67">
        <f>IF(OpenPendingCases[[#This Row],[Timepiece Reference ]]="", "", IF(_xlfn.XLOOKUP(OpenPendingCases[[#This Row],[Timepiece Reference ]], Table1[[Timepiece Reference ]], Table1[CRC STOCK], "Not Found")="YES", "CRC Stock", "Boutique Stock"))</f>
        <v/>
      </c>
      <c r="K49" s="136">
        <f>IF(OpenPendingCases[[#This Row],[Timepiece Reference ]]="", "", IF(_xlfn.XLOOKUP(OpenPendingCases[[#This Row],[Timepiece Reference ]], Table1[[Timepiece Reference ]], Table1[CRC STOCK], "Not Found")="YES", "CRC Stock", "Boutique Stock"))</f>
        <v/>
      </c>
      <c r="L49" s="139" t="n"/>
      <c r="M49" s="140" t="n"/>
      <c r="N49" s="136" t="n"/>
      <c r="O49" s="133" t="n"/>
      <c r="P49" s="93">
        <f>IFERROR(VLOOKUP(TRIM(O49), Collection!$B$2:$D$1001, 2, FALSE), "")</f>
        <v/>
      </c>
      <c r="Q49" s="190">
        <f>IFERROR(VLOOKUP(TRIM(O49), Collection!$B$2:$D$1001, 3, FALSE), "")</f>
        <v/>
      </c>
      <c r="R49" s="153">
        <f>IFERROR(VALUE(SUBSTITUTE(SUBSTITUTE(Q49, "Price", ""), "AED", "")), "")</f>
        <v/>
      </c>
      <c r="S49" s="154" t="n"/>
      <c r="T49" s="166" t="n"/>
      <c r="U49" s="136" t="n"/>
      <c r="V49" s="136" t="n"/>
      <c r="W49" s="156">
        <f>IF(Z49 = "",
"",
TEXT(Z49, "mmmm"))</f>
        <v/>
      </c>
      <c r="X49" s="157" t="n"/>
      <c r="Y49" s="158" t="n"/>
      <c r="Z49" s="158" t="n"/>
      <c r="AA49" s="136">
        <f>IF(H49="", "", IF(U49="Open Sale", IF(TODAY()-H49=0, "0 Days", TEXT(TODAY()-H49, "0") &amp; " Days"), IF(U49="Closed Sale", AA49, "")))</f>
        <v/>
      </c>
      <c r="AB49" s="136">
        <f>IF(H49="", "", IF(OR(U49="Pending", U49="Pending Allocation"), CONCATENATE(TODAY()-H49, " Days"), IF(U49="Closed", "", "")))</f>
        <v/>
      </c>
      <c r="AC49" s="160">
        <f>IF(U49="Pending Allocation", IF(I49="", "", TODAY()-I49), "")</f>
        <v/>
      </c>
      <c r="AD49" s="159">
        <f>IF(U49="Open Sale", TEXT(TODAY()-I49, "0"),
IF(U49="Pending", "",
IF(U49="Closed Sale", "", "")))</f>
        <v/>
      </c>
      <c r="AE49" s="161" t="n"/>
      <c r="AF49" s="161" t="n"/>
      <c r="AG49" s="161" t="n"/>
      <c r="AH49" s="136" t="n"/>
      <c r="AI49" s="164">
        <f>IF(I49="","",TEXT(I49, "mmmm yyyy"))</f>
        <v/>
      </c>
      <c r="AJ49" s="164">
        <f>IF(AND(OpenPendingCases[[#This Row],[Sale Status	]]="Open Sale",OpenPendingCases[[#This Row],[Potential Same Month]]="High"),TEXT(OpenPendingCases[[#This Row],[Request Entry Date]], "[$-en-us]mmmm"),"")</f>
        <v/>
      </c>
      <c r="AK49" s="165">
        <f>IFERROR(VALUE(SUBSTITUTE(OpenPendingCases[[#This Row],[Price]]," AED","")),"")</f>
        <v/>
      </c>
      <c r="AL49" s="165">
        <f>IFERROR(VALUE(LEFT(OpenPendingCases[[#This Row],[Price]],FIND(" ",OpenPendingCases[[#This Row],[Price]])-1)),"")</f>
        <v/>
      </c>
      <c r="AM49" s="165">
        <f>IFERROR(VALUE(_xlfn.TEXTBEFORE(OpenPendingCases[[#This Row],[Price]]," AED")),"")</f>
        <v/>
      </c>
      <c r="AN49" s="165" t="n"/>
    </row>
    <row r="50" hidden="1" ht="18" customHeight="1" s="287">
      <c r="C50" s="148" t="n">
        <v>49</v>
      </c>
      <c r="D50" s="136">
        <f>IF($U50="Open Sale", IF(MAX($D$4:D49)+1=0, "", MAX($D$4:D49)+1), "")</f>
        <v/>
      </c>
      <c r="E50" s="136">
        <f>IF($U50="Pending Allocation", IF(MAX($E$4:E49)+1=0, "", MAX($E$4:E49)+1), "")</f>
        <v/>
      </c>
      <c r="F50" s="136" t="n"/>
      <c r="G50" s="136" t="n"/>
      <c r="H50" s="150" t="n"/>
      <c r="I50" s="150" t="n"/>
      <c r="J50" s="67">
        <f>IF(OpenPendingCases[[#This Row],[Timepiece Reference ]]="", "", IF(_xlfn.XLOOKUP(OpenPendingCases[[#This Row],[Timepiece Reference ]], Table1[[Timepiece Reference ]], Table1[CRC STOCK], "Not Found")="YES", "CRC Stock", "Boutique Stock"))</f>
        <v/>
      </c>
      <c r="K50" s="136">
        <f>IF(OpenPendingCases[[#This Row],[Timepiece Reference ]]="", "", IF(_xlfn.XLOOKUP(OpenPendingCases[[#This Row],[Timepiece Reference ]], Table1[[Timepiece Reference ]], Table1[CRC STOCK], "Not Found")="YES", "CRC Stock", "Boutique Stock"))</f>
        <v/>
      </c>
      <c r="L50" s="139" t="n"/>
      <c r="M50" s="140" t="n"/>
      <c r="N50" s="136" t="n"/>
      <c r="O50" s="133" t="n"/>
      <c r="P50" s="93">
        <f>IFERROR(VLOOKUP(TRIM(O50), Collection!$B$2:$D$1001, 2, FALSE), "")</f>
        <v/>
      </c>
      <c r="Q50" s="190">
        <f>IFERROR(VLOOKUP(TRIM(O50), Collection!$B$2:$D$1001, 3, FALSE), "")</f>
        <v/>
      </c>
      <c r="R50" s="153">
        <f>IFERROR(VALUE(SUBSTITUTE(SUBSTITUTE(Q50, "Price", ""), "AED", "")), "")</f>
        <v/>
      </c>
      <c r="S50" s="154" t="n"/>
      <c r="T50" s="166" t="n"/>
      <c r="U50" s="136" t="n"/>
      <c r="V50" s="136" t="n"/>
      <c r="W50" s="156">
        <f>IF(Z50 = "",
"",
TEXT(Z50, "mmmm"))</f>
        <v/>
      </c>
      <c r="X50" s="157" t="n"/>
      <c r="Y50" s="158" t="n"/>
      <c r="Z50" s="158" t="n"/>
      <c r="AA50" s="136">
        <f>IF(H50="", "", IF(U50="Open Sale", IF(TODAY()-H50=0, "0 Days", TEXT(TODAY()-H50, "0") &amp; " Days"), IF(U50="Closed Sale", AA50, "")))</f>
        <v/>
      </c>
      <c r="AB50" s="136">
        <f>IF(H50="", "", IF(OR(U50="Pending", U50="Pending Allocation"), CONCATENATE(TODAY()-H50, " Days"), IF(U50="Closed", "", "")))</f>
        <v/>
      </c>
      <c r="AC50" s="160">
        <f>IF(U50="Pending Allocation", IF(I50="", "", TODAY()-I50), "")</f>
        <v/>
      </c>
      <c r="AD50" s="159">
        <f>IF(U50="Open Sale", TEXT(TODAY()-I50, "0"),
IF(U50="Pending", "",
IF(U50="Closed Sale", "", "")))</f>
        <v/>
      </c>
      <c r="AE50" s="161" t="n"/>
      <c r="AF50" s="161" t="n"/>
      <c r="AG50" s="161" t="n"/>
      <c r="AH50" s="136" t="n"/>
      <c r="AI50" s="164">
        <f>IF(I50="","",TEXT(I50, "mmmm yyyy"))</f>
        <v/>
      </c>
      <c r="AJ50" s="164">
        <f>IF(AND(OpenPendingCases[[#This Row],[Sale Status	]]="Open Sale",OpenPendingCases[[#This Row],[Potential Same Month]]="High"),TEXT(OpenPendingCases[[#This Row],[Request Entry Date]], "[$-en-us]mmmm"),"")</f>
        <v/>
      </c>
      <c r="AK50" s="165">
        <f>IFERROR(VALUE(SUBSTITUTE(OpenPendingCases[[#This Row],[Price]]," AED","")),"")</f>
        <v/>
      </c>
      <c r="AL50" s="165">
        <f>IFERROR(VALUE(LEFT(OpenPendingCases[[#This Row],[Price]],FIND(" ",OpenPendingCases[[#This Row],[Price]])-1)),"")</f>
        <v/>
      </c>
      <c r="AM50" s="165">
        <f>IFERROR(VALUE(_xlfn.TEXTBEFORE(OpenPendingCases[[#This Row],[Price]]," AED")),"")</f>
        <v/>
      </c>
      <c r="AN50" s="165" t="n"/>
    </row>
    <row r="51" hidden="1" ht="18" customHeight="1" s="287">
      <c r="C51" s="148" t="n">
        <v>50</v>
      </c>
      <c r="D51" s="136">
        <f>IF($U51="Open Sale", IF(MAX($D$4:D50)+1=0, "", MAX($D$4:D50)+1), "")</f>
        <v/>
      </c>
      <c r="E51" s="136">
        <f>IF($U51="Pending Allocation", IF(MAX($E$4:E50)+1=0, "", MAX($E$4:E50)+1), "")</f>
        <v/>
      </c>
      <c r="F51" s="136" t="n"/>
      <c r="G51" s="136" t="n"/>
      <c r="H51" s="150" t="n"/>
      <c r="I51" s="150" t="n"/>
      <c r="J51" s="67">
        <f>IF(OpenPendingCases[[#This Row],[Timepiece Reference ]]="", "", IF(_xlfn.XLOOKUP(OpenPendingCases[[#This Row],[Timepiece Reference ]], Table1[[Timepiece Reference ]], Table1[CRC STOCK], "Not Found")="YES", "CRC Stock", "Boutique Stock"))</f>
        <v/>
      </c>
      <c r="K51" s="136">
        <f>IF(OpenPendingCases[[#This Row],[Timepiece Reference ]]="", "", IF(_xlfn.XLOOKUP(OpenPendingCases[[#This Row],[Timepiece Reference ]], Table1[[Timepiece Reference ]], Table1[CRC STOCK], "Not Found")="YES", "CRC Stock", "Boutique Stock"))</f>
        <v/>
      </c>
      <c r="L51" s="139" t="n"/>
      <c r="M51" s="140" t="n"/>
      <c r="N51" s="136" t="n"/>
      <c r="O51" s="133" t="n"/>
      <c r="P51" s="93">
        <f>IFERROR(VLOOKUP(TRIM(O51), Collection!$B$2:$D$1001, 2, FALSE), "")</f>
        <v/>
      </c>
      <c r="Q51" s="190">
        <f>IFERROR(VLOOKUP(TRIM(O51), Collection!$B$2:$D$1001, 3, FALSE), "")</f>
        <v/>
      </c>
      <c r="R51" s="153">
        <f>IFERROR(VALUE(SUBSTITUTE(SUBSTITUTE(Q51, "Price", ""), "AED", "")), "")</f>
        <v/>
      </c>
      <c r="S51" s="154" t="n"/>
      <c r="T51" s="166" t="n"/>
      <c r="U51" s="136" t="n"/>
      <c r="V51" s="136" t="n"/>
      <c r="W51" s="156">
        <f>IF(Z51 = "",
"",
TEXT(Z51, "mmmm"))</f>
        <v/>
      </c>
      <c r="X51" s="157" t="n"/>
      <c r="Y51" s="158" t="n"/>
      <c r="Z51" s="158" t="n"/>
      <c r="AA51" s="136">
        <f>IF(H51="", "", IF(U51="Open Sale", IF(TODAY()-H51=0, "0 Days", TEXT(TODAY()-H51, "0") &amp; " Days"), IF(U51="Closed Sale", AA51, "")))</f>
        <v/>
      </c>
      <c r="AB51" s="136">
        <f>IF(H51="", "", IF(OR(U51="Pending", U51="Pending Allocation"), CONCATENATE(TODAY()-H51, " Days"), IF(U51="Closed", "", "")))</f>
        <v/>
      </c>
      <c r="AC51" s="160">
        <f>IF(U51="Pending Allocation", IF(I51="", "", TODAY()-I51), "")</f>
        <v/>
      </c>
      <c r="AD51" s="159">
        <f>IF(U51="Open Sale", TEXT(TODAY()-I51, "0"),
IF(U51="Pending", "",
IF(U51="Closed Sale", "", "")))</f>
        <v/>
      </c>
      <c r="AE51" s="161" t="n"/>
      <c r="AF51" s="161" t="n"/>
      <c r="AG51" s="161" t="n"/>
      <c r="AH51" s="136" t="n"/>
      <c r="AI51" s="164">
        <f>IF(I51="","",TEXT(I51, "mmmm yyyy"))</f>
        <v/>
      </c>
      <c r="AJ51" s="164">
        <f>IF(AND(OpenPendingCases[[#This Row],[Sale Status	]]="Open Sale",OpenPendingCases[[#This Row],[Potential Same Month]]="High"),TEXT(OpenPendingCases[[#This Row],[Request Entry Date]], "[$-en-us]mmmm"),"")</f>
        <v/>
      </c>
      <c r="AK51" s="165">
        <f>IFERROR(VALUE(SUBSTITUTE(OpenPendingCases[[#This Row],[Price]]," AED","")),"")</f>
        <v/>
      </c>
      <c r="AL51" s="165">
        <f>IFERROR(VALUE(LEFT(OpenPendingCases[[#This Row],[Price]],FIND(" ",OpenPendingCases[[#This Row],[Price]])-1)),"")</f>
        <v/>
      </c>
      <c r="AM51" s="165">
        <f>IFERROR(VALUE(_xlfn.TEXTBEFORE(OpenPendingCases[[#This Row],[Price]]," AED")),"")</f>
        <v/>
      </c>
      <c r="AN51" s="165" t="n"/>
    </row>
    <row r="52" hidden="1" ht="18" customHeight="1" s="287">
      <c r="C52" s="148" t="n">
        <v>51</v>
      </c>
      <c r="D52" s="136">
        <f>IF($U52="Open Sale", IF(MAX($D$4:D51)+1=0, "", MAX($D$4:D51)+1), "")</f>
        <v/>
      </c>
      <c r="E52" s="136">
        <f>IF($U52="Pending Allocation", IF(MAX($E$4:E51)+1=0, "", MAX($E$4:E51)+1), "")</f>
        <v/>
      </c>
      <c r="F52" s="136" t="n"/>
      <c r="G52" s="136" t="n"/>
      <c r="H52" s="150" t="n"/>
      <c r="I52" s="150" t="n"/>
      <c r="J52" s="67">
        <f>IF(OpenPendingCases[[#This Row],[Timepiece Reference ]]="", "", IF(_xlfn.XLOOKUP(OpenPendingCases[[#This Row],[Timepiece Reference ]], Table1[[Timepiece Reference ]], Table1[CRC STOCK], "Not Found")="YES", "CRC Stock", "Boutique Stock"))</f>
        <v/>
      </c>
      <c r="K52" s="136">
        <f>IF(OpenPendingCases[[#This Row],[Timepiece Reference ]]="", "", IF(_xlfn.XLOOKUP(OpenPendingCases[[#This Row],[Timepiece Reference ]], Table1[[Timepiece Reference ]], Table1[CRC STOCK], "Not Found")="YES", "CRC Stock", "Boutique Stock"))</f>
        <v/>
      </c>
      <c r="L52" s="139" t="n"/>
      <c r="M52" s="140" t="n"/>
      <c r="N52" s="136" t="n"/>
      <c r="O52" s="133" t="n"/>
      <c r="P52" s="93">
        <f>IFERROR(VLOOKUP(TRIM(O52), Collection!$B$2:$D$1001, 2, FALSE), "")</f>
        <v/>
      </c>
      <c r="Q52" s="190">
        <f>IFERROR(VLOOKUP(TRIM(O52), Collection!$B$2:$D$1001, 3, FALSE), "")</f>
        <v/>
      </c>
      <c r="R52" s="153">
        <f>IFERROR(VALUE(SUBSTITUTE(SUBSTITUTE(Q52, "Price", ""), "AED", "")), "")</f>
        <v/>
      </c>
      <c r="S52" s="154" t="n"/>
      <c r="T52" s="166" t="n"/>
      <c r="U52" s="136" t="n"/>
      <c r="V52" s="136" t="n"/>
      <c r="W52" s="156">
        <f>IF(Z52 = "",
"",
TEXT(Z52, "mmmm"))</f>
        <v/>
      </c>
      <c r="X52" s="157" t="n"/>
      <c r="Y52" s="158" t="n"/>
      <c r="Z52" s="158" t="n"/>
      <c r="AA52" s="136">
        <f>IF(H52="", "", IF(U52="Open Sale", IF(TODAY()-H52=0, "0 Days", TEXT(TODAY()-H52, "0") &amp; " Days"), IF(U52="Closed Sale", AA52, "")))</f>
        <v/>
      </c>
      <c r="AB52" s="136">
        <f>IF(H52="", "", IF(OR(U52="Pending", U52="Pending Allocation"), CONCATENATE(TODAY()-H52, " Days"), IF(U52="Closed", "", "")))</f>
        <v/>
      </c>
      <c r="AC52" s="160">
        <f>IF(U52="Pending Allocation", IF(I52="", "", TODAY()-I52), "")</f>
        <v/>
      </c>
      <c r="AD52" s="159">
        <f>IF(U52="Open Sale", TEXT(TODAY()-I52, "0"),
IF(U52="Pending", "",
IF(U52="Closed Sale", "", "")))</f>
        <v/>
      </c>
      <c r="AE52" s="161" t="n"/>
      <c r="AF52" s="161" t="n"/>
      <c r="AG52" s="161" t="n"/>
      <c r="AH52" s="136" t="n"/>
      <c r="AI52" s="164">
        <f>IF(I52="","",TEXT(I52, "mmmm yyyy"))</f>
        <v/>
      </c>
      <c r="AJ52" s="164">
        <f>IF(AND(OpenPendingCases[[#This Row],[Sale Status	]]="Open Sale",OpenPendingCases[[#This Row],[Potential Same Month]]="High"),TEXT(OpenPendingCases[[#This Row],[Request Entry Date]], "[$-en-us]mmmm"),"")</f>
        <v/>
      </c>
      <c r="AK52" s="165">
        <f>IFERROR(VALUE(SUBSTITUTE(OpenPendingCases[[#This Row],[Price]]," AED","")),"")</f>
        <v/>
      </c>
      <c r="AL52" s="165">
        <f>IFERROR(VALUE(LEFT(OpenPendingCases[[#This Row],[Price]],FIND(" ",OpenPendingCases[[#This Row],[Price]])-1)),"")</f>
        <v/>
      </c>
      <c r="AM52" s="165">
        <f>IFERROR(VALUE(_xlfn.TEXTBEFORE(OpenPendingCases[[#This Row],[Price]]," AED")),"")</f>
        <v/>
      </c>
      <c r="AN52" s="165" t="n"/>
    </row>
    <row r="53" hidden="1" ht="18" customHeight="1" s="287">
      <c r="C53" s="148" t="n">
        <v>52</v>
      </c>
      <c r="D53" s="136">
        <f>IF($U53="Open Sale", IF(MAX($D$4:D52)+1=0, "", MAX($D$4:D52)+1), "")</f>
        <v/>
      </c>
      <c r="E53" s="136">
        <f>IF($U53="Pending Allocation", IF(MAX($E$4:E52)+1=0, "", MAX($E$4:E52)+1), "")</f>
        <v/>
      </c>
      <c r="F53" s="136" t="n"/>
      <c r="G53" s="136" t="n"/>
      <c r="H53" s="150" t="n"/>
      <c r="I53" s="150" t="n"/>
      <c r="J53" s="67">
        <f>IF(OpenPendingCases[[#This Row],[Timepiece Reference ]]="", "", IF(_xlfn.XLOOKUP(OpenPendingCases[[#This Row],[Timepiece Reference ]], Table1[[Timepiece Reference ]], Table1[CRC STOCK], "Not Found")="YES", "CRC Stock", "Boutique Stock"))</f>
        <v/>
      </c>
      <c r="K53" s="136">
        <f>IF(OpenPendingCases[[#This Row],[Timepiece Reference ]]="", "", IF(_xlfn.XLOOKUP(OpenPendingCases[[#This Row],[Timepiece Reference ]], Table1[[Timepiece Reference ]], Table1[CRC STOCK], "Not Found")="YES", "CRC Stock", "Boutique Stock"))</f>
        <v/>
      </c>
      <c r="L53" s="139" t="n"/>
      <c r="M53" s="143" t="n"/>
      <c r="N53" s="136" t="n"/>
      <c r="O53" s="133" t="n"/>
      <c r="P53" s="93">
        <f>IFERROR(VLOOKUP(TRIM(O53), Collection!$B$2:$D$1001, 2, FALSE), "")</f>
        <v/>
      </c>
      <c r="Q53" s="190">
        <f>IFERROR(VLOOKUP(TRIM(O53), Collection!$B$2:$D$1001, 3, FALSE), "")</f>
        <v/>
      </c>
      <c r="R53" s="153">
        <f>IFERROR(VALUE(SUBSTITUTE(SUBSTITUTE(Q53, "Price", ""), "AED", "")), "")</f>
        <v/>
      </c>
      <c r="S53" s="154" t="n"/>
      <c r="T53" s="166" t="n"/>
      <c r="U53" s="136" t="n"/>
      <c r="V53" s="136" t="n"/>
      <c r="W53" s="156">
        <f>IF(Z53 = "",
"",
TEXT(Z53, "mmmm"))</f>
        <v/>
      </c>
      <c r="X53" s="157" t="n"/>
      <c r="Y53" s="158" t="n"/>
      <c r="Z53" s="158" t="n"/>
      <c r="AA53" s="136">
        <f>IF(H53="", "", IF(U53="Open Sale", IF(TODAY()-H53=0, "0 Days", TEXT(TODAY()-H53, "0") &amp; " Days"), IF(U53="Closed Sale", AA53, "")))</f>
        <v/>
      </c>
      <c r="AB53" s="136">
        <f>IF(H53="", "", IF(OR(U53="Pending", U53="Pending Allocation"), CONCATENATE(TODAY()-H53, " Days"), IF(U53="Closed", "", "")))</f>
        <v/>
      </c>
      <c r="AC53" s="160">
        <f>IF(U53="Pending Allocation", IF(I53="", "", TODAY()-I53), "")</f>
        <v/>
      </c>
      <c r="AD53" s="159">
        <f>IF(U53="Open Sale", TEXT(TODAY()-I53, "0"),
IF(U53="Pending", "",
IF(U53="Closed Sale", "", "")))</f>
        <v/>
      </c>
      <c r="AE53" s="161" t="n"/>
      <c r="AF53" s="161" t="n"/>
      <c r="AG53" s="161" t="n"/>
      <c r="AH53" s="136" t="n"/>
      <c r="AI53" s="164">
        <f>IF(I53="","",TEXT(I53, "mmmm yyyy"))</f>
        <v/>
      </c>
      <c r="AJ53" s="164">
        <f>IF(AND(OpenPendingCases[[#This Row],[Sale Status	]]="Open Sale",OpenPendingCases[[#This Row],[Potential Same Month]]="High"),TEXT(OpenPendingCases[[#This Row],[Request Entry Date]], "[$-en-us]mmmm"),"")</f>
        <v/>
      </c>
      <c r="AK53" s="165">
        <f>IFERROR(VALUE(SUBSTITUTE(OpenPendingCases[[#This Row],[Price]]," AED","")),"")</f>
        <v/>
      </c>
      <c r="AL53" s="165">
        <f>IFERROR(VALUE(LEFT(OpenPendingCases[[#This Row],[Price]],FIND(" ",OpenPendingCases[[#This Row],[Price]])-1)),"")</f>
        <v/>
      </c>
      <c r="AM53" s="165">
        <f>IFERROR(VALUE(_xlfn.TEXTBEFORE(OpenPendingCases[[#This Row],[Price]]," AED")),"")</f>
        <v/>
      </c>
      <c r="AN53" s="165" t="n"/>
    </row>
    <row r="54" hidden="1" ht="18" customHeight="1" s="287">
      <c r="C54" s="148" t="n">
        <v>53</v>
      </c>
      <c r="D54" s="136">
        <f>IF($U54="Open Sale", IF(MAX($D$4:D53)+1=0, "", MAX($D$4:D53)+1), "")</f>
        <v/>
      </c>
      <c r="E54" s="136">
        <f>IF($U54="Pending Allocation", IF(MAX($E$4:E53)+1=0, "", MAX($E$4:E53)+1), "")</f>
        <v/>
      </c>
      <c r="F54" s="136" t="n"/>
      <c r="G54" s="136" t="n"/>
      <c r="H54" s="150" t="n"/>
      <c r="I54" s="150" t="n"/>
      <c r="J54" s="67">
        <f>IF(OpenPendingCases[[#This Row],[Timepiece Reference ]]="", "", IF(_xlfn.XLOOKUP(OpenPendingCases[[#This Row],[Timepiece Reference ]], Table1[[Timepiece Reference ]], Table1[CRC STOCK], "Not Found")="YES", "CRC Stock", "Boutique Stock"))</f>
        <v/>
      </c>
      <c r="K54" s="136">
        <f>IF(OpenPendingCases[[#This Row],[Timepiece Reference ]]="", "", IF(_xlfn.XLOOKUP(OpenPendingCases[[#This Row],[Timepiece Reference ]], Table1[[Timepiece Reference ]], Table1[CRC STOCK], "Not Found")="YES", "CRC Stock", "Boutique Stock"))</f>
        <v/>
      </c>
      <c r="L54" s="139" t="n"/>
      <c r="M54" s="140" t="n"/>
      <c r="N54" s="136" t="n"/>
      <c r="O54" s="133" t="n"/>
      <c r="P54" s="93">
        <f>IFERROR(VLOOKUP(TRIM(O54), Collection!$B$2:$D$1001, 2, FALSE), "")</f>
        <v/>
      </c>
      <c r="Q54" s="190">
        <f>IFERROR(VLOOKUP(TRIM(O54), Collection!$B$2:$D$1001, 3, FALSE), "")</f>
        <v/>
      </c>
      <c r="R54" s="153">
        <f>IFERROR(VALUE(SUBSTITUTE(SUBSTITUTE(Q54, "Price", ""), "AED", "")), "")</f>
        <v/>
      </c>
      <c r="S54" s="154" t="n"/>
      <c r="T54" s="166" t="n"/>
      <c r="U54" s="136" t="n"/>
      <c r="V54" s="136" t="n"/>
      <c r="W54" s="156">
        <f>IF(Z54 = "",
"",
TEXT(Z54, "mmmm"))</f>
        <v/>
      </c>
      <c r="X54" s="157" t="n"/>
      <c r="Y54" s="158" t="n"/>
      <c r="Z54" s="158" t="n"/>
      <c r="AA54" s="136">
        <f>IF(H54="", "", IF(U54="Open Sale", IF(TODAY()-H54=0, "0 Days", TEXT(TODAY()-H54, "0") &amp; " Days"), IF(U54="Closed Sale", AA54, "")))</f>
        <v/>
      </c>
      <c r="AB54" s="136">
        <f>IF(H54="", "", IF(OR(U54="Pending", U54="Pending Allocation"), CONCATENATE(TODAY()-H54, " Days"), IF(U54="Closed", "", "")))</f>
        <v/>
      </c>
      <c r="AC54" s="160">
        <f>IF(U54="Pending Allocation", IF(I54="", "", TODAY()-I54), "")</f>
        <v/>
      </c>
      <c r="AD54" s="159">
        <f>IF(U54="Open Sale", TEXT(TODAY()-I54, "0"),
IF(U54="Pending", "",
IF(U54="Closed Sale", "", "")))</f>
        <v/>
      </c>
      <c r="AE54" s="161" t="n"/>
      <c r="AF54" s="161" t="n"/>
      <c r="AG54" s="161" t="n"/>
      <c r="AH54" s="136" t="n"/>
      <c r="AI54" s="164">
        <f>IF(I54="","",TEXT(I54, "mmmm yyyy"))</f>
        <v/>
      </c>
      <c r="AJ54" s="164">
        <f>IF(AND(OpenPendingCases[[#This Row],[Sale Status	]]="Open Sale",OpenPendingCases[[#This Row],[Potential Same Month]]="High"),TEXT(OpenPendingCases[[#This Row],[Request Entry Date]], "[$-en-us]mmmm"),"")</f>
        <v/>
      </c>
      <c r="AK54" s="165">
        <f>IFERROR(VALUE(SUBSTITUTE(OpenPendingCases[[#This Row],[Price]]," AED","")),"")</f>
        <v/>
      </c>
      <c r="AL54" s="165">
        <f>IFERROR(VALUE(LEFT(OpenPendingCases[[#This Row],[Price]],FIND(" ",OpenPendingCases[[#This Row],[Price]])-1)),"")</f>
        <v/>
      </c>
      <c r="AM54" s="165">
        <f>IFERROR(VALUE(_xlfn.TEXTBEFORE(OpenPendingCases[[#This Row],[Price]]," AED")),"")</f>
        <v/>
      </c>
      <c r="AN54" s="165" t="n"/>
    </row>
    <row r="55" hidden="1" ht="18" customHeight="1" s="287">
      <c r="C55" s="148" t="n">
        <v>54</v>
      </c>
      <c r="D55" s="136">
        <f>IF($U55="Open Sale", IF(MAX($D$4:D54)+1=0, "", MAX($D$4:D54)+1), "")</f>
        <v/>
      </c>
      <c r="E55" s="136">
        <f>IF($U55="Pending Allocation", IF(MAX($E$4:E54)+1=0, "", MAX($E$4:E54)+1), "")</f>
        <v/>
      </c>
      <c r="F55" s="136" t="n"/>
      <c r="G55" s="136" t="n"/>
      <c r="H55" s="150" t="n"/>
      <c r="I55" s="150" t="n"/>
      <c r="J55" s="67">
        <f>IF(OpenPendingCases[[#This Row],[Timepiece Reference ]]="", "", IF(_xlfn.XLOOKUP(OpenPendingCases[[#This Row],[Timepiece Reference ]], Table1[[Timepiece Reference ]], Table1[CRC STOCK], "Not Found")="YES", "CRC Stock", "Boutique Stock"))</f>
        <v/>
      </c>
      <c r="K55" s="136">
        <f>IF(OpenPendingCases[[#This Row],[Timepiece Reference ]]="", "", IF(_xlfn.XLOOKUP(OpenPendingCases[[#This Row],[Timepiece Reference ]], Table1[[Timepiece Reference ]], Table1[CRC STOCK], "Not Found")="YES", "CRC Stock", "Boutique Stock"))</f>
        <v/>
      </c>
      <c r="L55" s="139" t="n"/>
      <c r="M55" s="140" t="n"/>
      <c r="N55" s="136" t="n"/>
      <c r="O55" s="133" t="n"/>
      <c r="P55" s="93">
        <f>IFERROR(VLOOKUP(TRIM(O55), Collection!$B$2:$D$1001, 2, FALSE), "")</f>
        <v/>
      </c>
      <c r="Q55" s="190">
        <f>IFERROR(VLOOKUP(TRIM(O55), Collection!$B$2:$D$1001, 3, FALSE), "")</f>
        <v/>
      </c>
      <c r="R55" s="153">
        <f>IFERROR(VALUE(SUBSTITUTE(SUBSTITUTE(Q55, "Price", ""), "AED", "")), "")</f>
        <v/>
      </c>
      <c r="S55" s="154" t="n"/>
      <c r="T55" s="166" t="n"/>
      <c r="U55" s="136" t="n"/>
      <c r="V55" s="136" t="n"/>
      <c r="W55" s="156">
        <f>IF(Z55 = "",
"",
TEXT(Z55, "mmmm"))</f>
        <v/>
      </c>
      <c r="X55" s="157" t="n"/>
      <c r="Y55" s="158" t="n"/>
      <c r="Z55" s="158" t="n"/>
      <c r="AA55" s="136">
        <f>IF(H55="", "", IF(U55="Open Sale", IF(TODAY()-H55=0, "0 Days", TEXT(TODAY()-H55, "0") &amp; " Days"), IF(U55="Closed Sale", AA55, "")))</f>
        <v/>
      </c>
      <c r="AB55" s="136">
        <f>IF(H55="", "", IF(OR(U55="Pending", U55="Pending Allocation"), CONCATENATE(TODAY()-H55, " Days"), IF(U55="Closed", "", "")))</f>
        <v/>
      </c>
      <c r="AC55" s="160">
        <f>IF(U55="Pending Allocation", IF(I55="", "", TODAY()-I55), "")</f>
        <v/>
      </c>
      <c r="AD55" s="159">
        <f>IF(U55="Open Sale", TEXT(TODAY()-I55, "0"),
IF(U55="Pending", "",
IF(U55="Closed Sale", "", "")))</f>
        <v/>
      </c>
      <c r="AE55" s="161" t="n"/>
      <c r="AF55" s="161" t="n"/>
      <c r="AG55" s="161" t="n"/>
      <c r="AH55" s="136" t="n"/>
      <c r="AI55" s="164">
        <f>IF(I55="","",TEXT(I55, "mmmm yyyy"))</f>
        <v/>
      </c>
      <c r="AJ55" s="164">
        <f>IF(AND(OpenPendingCases[[#This Row],[Sale Status	]]="Open Sale",OpenPendingCases[[#This Row],[Potential Same Month]]="High"),TEXT(OpenPendingCases[[#This Row],[Request Entry Date]], "[$-en-us]mmmm"),"")</f>
        <v/>
      </c>
      <c r="AK55" s="165">
        <f>IFERROR(VALUE(SUBSTITUTE(OpenPendingCases[[#This Row],[Price]]," AED","")),"")</f>
        <v/>
      </c>
      <c r="AL55" s="165">
        <f>IFERROR(VALUE(LEFT(OpenPendingCases[[#This Row],[Price]],FIND(" ",OpenPendingCases[[#This Row],[Price]])-1)),"")</f>
        <v/>
      </c>
      <c r="AM55" s="165">
        <f>IFERROR(VALUE(_xlfn.TEXTBEFORE(OpenPendingCases[[#This Row],[Price]]," AED")),"")</f>
        <v/>
      </c>
      <c r="AN55" s="165" t="n"/>
    </row>
    <row r="56" hidden="1" ht="18" customHeight="1" s="287">
      <c r="C56" s="148" t="n">
        <v>55</v>
      </c>
      <c r="D56" s="136">
        <f>IF($U56="Open Sale", IF(MAX($D$4:D55)+1=0, "", MAX($D$4:D55)+1), "")</f>
        <v/>
      </c>
      <c r="E56" s="136">
        <f>IF($U56="Pending Allocation", IF(MAX($E$4:E55)+1=0, "", MAX($E$4:E55)+1), "")</f>
        <v/>
      </c>
      <c r="F56" s="136" t="n"/>
      <c r="G56" s="136" t="n"/>
      <c r="H56" s="150" t="n"/>
      <c r="I56" s="150" t="n"/>
      <c r="J56" s="67">
        <f>IF(OpenPendingCases[[#This Row],[Timepiece Reference ]]="", "", IF(_xlfn.XLOOKUP(OpenPendingCases[[#This Row],[Timepiece Reference ]], Table1[[Timepiece Reference ]], Table1[CRC STOCK], "Not Found")="YES", "CRC Stock", "Boutique Stock"))</f>
        <v/>
      </c>
      <c r="K56" s="136">
        <f>IF(OpenPendingCases[[#This Row],[Timepiece Reference ]]="", "", IF(_xlfn.XLOOKUP(OpenPendingCases[[#This Row],[Timepiece Reference ]], Table1[[Timepiece Reference ]], Table1[CRC STOCK], "Not Found")="YES", "CRC Stock", "Boutique Stock"))</f>
        <v/>
      </c>
      <c r="L56" s="139" t="n"/>
      <c r="M56" s="140" t="n"/>
      <c r="N56" s="136" t="n"/>
      <c r="O56" s="133" t="n"/>
      <c r="P56" s="93">
        <f>IFERROR(VLOOKUP(TRIM(O56), Collection!$B$2:$D$1001, 2, FALSE), "")</f>
        <v/>
      </c>
      <c r="Q56" s="190">
        <f>IFERROR(VLOOKUP(TRIM(O56), Collection!$B$2:$D$1001, 3, FALSE), "")</f>
        <v/>
      </c>
      <c r="R56" s="153">
        <f>IFERROR(VALUE(SUBSTITUTE(SUBSTITUTE(Q56, "Price", ""), "AED", "")), "")</f>
        <v/>
      </c>
      <c r="S56" s="154" t="n"/>
      <c r="T56" s="166" t="n"/>
      <c r="U56" s="136" t="n"/>
      <c r="V56" s="136" t="n"/>
      <c r="W56" s="156">
        <f>IF(Z56 = "",
"",
TEXT(Z56, "mmmm"))</f>
        <v/>
      </c>
      <c r="X56" s="157" t="n"/>
      <c r="Y56" s="158" t="n"/>
      <c r="Z56" s="158" t="n"/>
      <c r="AA56" s="136">
        <f>IF(H56="", "", IF(U56="Open Sale", IF(TODAY()-H56=0, "0 Days", TEXT(TODAY()-H56, "0") &amp; " Days"), IF(U56="Closed Sale", AA56, "")))</f>
        <v/>
      </c>
      <c r="AB56" s="136">
        <f>IF(H56="", "", IF(OR(U56="Pending", U56="Pending Allocation"), CONCATENATE(TODAY()-H56, " Days"), IF(U56="Closed", "", "")))</f>
        <v/>
      </c>
      <c r="AC56" s="160">
        <f>IF(U56="Pending Allocation", IF(I56="", "", TODAY()-I56), "")</f>
        <v/>
      </c>
      <c r="AD56" s="159">
        <f>IF(U56="Open Sale", TEXT(TODAY()-I56, "0"),
IF(U56="Pending", "",
IF(U56="Closed Sale", "", "")))</f>
        <v/>
      </c>
      <c r="AE56" s="161" t="n"/>
      <c r="AF56" s="161" t="n"/>
      <c r="AG56" s="161" t="n"/>
      <c r="AH56" s="136" t="n"/>
      <c r="AI56" s="164">
        <f>IF(I56="","",TEXT(I56, "mmmm yyyy"))</f>
        <v/>
      </c>
      <c r="AJ56" s="164">
        <f>IF(AND(OpenPendingCases[[#This Row],[Sale Status	]]="Open Sale",OpenPendingCases[[#This Row],[Potential Same Month]]="High"),TEXT(OpenPendingCases[[#This Row],[Request Entry Date]], "[$-en-us]mmmm"),"")</f>
        <v/>
      </c>
      <c r="AK56" s="165">
        <f>IFERROR(VALUE(SUBSTITUTE(OpenPendingCases[[#This Row],[Price]]," AED","")),"")</f>
        <v/>
      </c>
      <c r="AL56" s="165">
        <f>IFERROR(VALUE(LEFT(OpenPendingCases[[#This Row],[Price]],FIND(" ",OpenPendingCases[[#This Row],[Price]])-1)),"")</f>
        <v/>
      </c>
      <c r="AM56" s="165">
        <f>IFERROR(VALUE(_xlfn.TEXTBEFORE(OpenPendingCases[[#This Row],[Price]]," AED")),"")</f>
        <v/>
      </c>
      <c r="AN56" s="165" t="n"/>
    </row>
    <row r="57" hidden="1" ht="18" customHeight="1" s="287">
      <c r="C57" s="148" t="n">
        <v>56</v>
      </c>
      <c r="D57" s="136">
        <f>IF($U57="Open Sale", IF(MAX($D$4:D56)+1=0, "", MAX($D$4:D56)+1), "")</f>
        <v/>
      </c>
      <c r="E57" s="136">
        <f>IF($U57="Pending Allocation", IF(MAX($E$4:E56)+1=0, "", MAX($E$4:E56)+1), "")</f>
        <v/>
      </c>
      <c r="F57" s="136" t="n"/>
      <c r="G57" s="136" t="n"/>
      <c r="H57" s="150" t="n"/>
      <c r="I57" s="150" t="n"/>
      <c r="J57" s="67">
        <f>IF(OpenPendingCases[[#This Row],[Timepiece Reference ]]="", "", IF(_xlfn.XLOOKUP(OpenPendingCases[[#This Row],[Timepiece Reference ]], Table1[[Timepiece Reference ]], Table1[CRC STOCK], "Not Found")="YES", "CRC Stock", "Boutique Stock"))</f>
        <v/>
      </c>
      <c r="K57" s="136">
        <f>IF(OpenPendingCases[[#This Row],[Timepiece Reference ]]="", "", IF(_xlfn.XLOOKUP(OpenPendingCases[[#This Row],[Timepiece Reference ]], Table1[[Timepiece Reference ]], Table1[CRC STOCK], "Not Found")="YES", "CRC Stock", "Boutique Stock"))</f>
        <v/>
      </c>
      <c r="L57" s="139" t="n"/>
      <c r="M57" s="140" t="n"/>
      <c r="N57" s="136" t="n"/>
      <c r="O57" s="133" t="n"/>
      <c r="P57" s="93">
        <f>IFERROR(VLOOKUP(TRIM(O57), Collection!$B$2:$D$1001, 2, FALSE), "")</f>
        <v/>
      </c>
      <c r="Q57" s="190">
        <f>IFERROR(VLOOKUP(TRIM(O57), Collection!$B$2:$D$1001, 3, FALSE), "")</f>
        <v/>
      </c>
      <c r="R57" s="153">
        <f>IFERROR(VALUE(SUBSTITUTE(SUBSTITUTE(Q57, "Price", ""), "AED", "")), "")</f>
        <v/>
      </c>
      <c r="S57" s="154" t="n"/>
      <c r="T57" s="166" t="n"/>
      <c r="U57" s="136" t="n"/>
      <c r="V57" s="136" t="n"/>
      <c r="W57" s="156">
        <f>IF(Z57 = "",
"",
TEXT(Z57, "mmmm"))</f>
        <v/>
      </c>
      <c r="X57" s="157" t="n"/>
      <c r="Y57" s="158" t="n"/>
      <c r="Z57" s="158" t="n"/>
      <c r="AA57" s="136">
        <f>IF(H57="", "", IF(U57="Open Sale", IF(TODAY()-H57=0, "0 Days", TEXT(TODAY()-H57, "0") &amp; " Days"), IF(U57="Closed Sale", AA57, "")))</f>
        <v/>
      </c>
      <c r="AB57" s="136">
        <f>IF(H57="", "", IF(OR(U57="Pending", U57="Pending Allocation"), CONCATENATE(TODAY()-H57, " Days"), IF(U57="Closed", "", "")))</f>
        <v/>
      </c>
      <c r="AC57" s="160">
        <f>IF(U57="Pending Allocation", IF(I57="", "", TODAY()-I57), "")</f>
        <v/>
      </c>
      <c r="AD57" s="159">
        <f>IF(U57="Open Sale", TEXT(TODAY()-I57, "0"),
IF(U57="Pending", "",
IF(U57="Closed Sale", "", "")))</f>
        <v/>
      </c>
      <c r="AE57" s="161" t="n"/>
      <c r="AF57" s="161" t="n"/>
      <c r="AG57" s="161" t="n"/>
      <c r="AH57" s="136" t="n"/>
      <c r="AI57" s="164">
        <f>IF(I57="","",TEXT(I57, "mmmm yyyy"))</f>
        <v/>
      </c>
      <c r="AJ57" s="164">
        <f>IF(AND(OpenPendingCases[[#This Row],[Sale Status	]]="Open Sale",OpenPendingCases[[#This Row],[Potential Same Month]]="High"),TEXT(OpenPendingCases[[#This Row],[Request Entry Date]], "[$-en-us]mmmm"),"")</f>
        <v/>
      </c>
      <c r="AK57" s="165">
        <f>IFERROR(VALUE(SUBSTITUTE(OpenPendingCases[[#This Row],[Price]]," AED","")),"")</f>
        <v/>
      </c>
      <c r="AL57" s="165">
        <f>IFERROR(VALUE(LEFT(OpenPendingCases[[#This Row],[Price]],FIND(" ",OpenPendingCases[[#This Row],[Price]])-1)),"")</f>
        <v/>
      </c>
      <c r="AM57" s="165">
        <f>IFERROR(VALUE(_xlfn.TEXTBEFORE(OpenPendingCases[[#This Row],[Price]]," AED")),"")</f>
        <v/>
      </c>
      <c r="AN57" s="165" t="n"/>
    </row>
    <row r="58" hidden="1" ht="18" customHeight="1" s="287">
      <c r="C58" s="148" t="n">
        <v>57</v>
      </c>
      <c r="D58" s="136">
        <f>IF($U58="Open Sale", IF(MAX($D$4:D57)+1=0, "", MAX($D$4:D57)+1), "")</f>
        <v/>
      </c>
      <c r="E58" s="136">
        <f>IF($U58="Pending Allocation", IF(MAX($E$4:E57)+1=0, "", MAX($E$4:E57)+1), "")</f>
        <v/>
      </c>
      <c r="F58" s="136" t="n"/>
      <c r="G58" s="136" t="n"/>
      <c r="H58" s="150" t="n"/>
      <c r="I58" s="150" t="n"/>
      <c r="J58" s="67">
        <f>IF(OpenPendingCases[[#This Row],[Timepiece Reference ]]="", "", IF(_xlfn.XLOOKUP(OpenPendingCases[[#This Row],[Timepiece Reference ]], Table1[[Timepiece Reference ]], Table1[CRC STOCK], "Not Found")="YES", "CRC Stock", "Boutique Stock"))</f>
        <v/>
      </c>
      <c r="K58" s="136">
        <f>IF(OpenPendingCases[[#This Row],[Timepiece Reference ]]="", "", IF(_xlfn.XLOOKUP(OpenPendingCases[[#This Row],[Timepiece Reference ]], Table1[[Timepiece Reference ]], Table1[CRC STOCK], "Not Found")="YES", "CRC Stock", "Boutique Stock"))</f>
        <v/>
      </c>
      <c r="L58" s="139" t="n"/>
      <c r="M58" s="140" t="n"/>
      <c r="N58" s="136" t="n"/>
      <c r="O58" s="133" t="n"/>
      <c r="P58" s="93">
        <f>IFERROR(VLOOKUP(TRIM(O58), Collection!$B$2:$D$1001, 2, FALSE), "")</f>
        <v/>
      </c>
      <c r="Q58" s="190">
        <f>IFERROR(VLOOKUP(TRIM(O58), Collection!$B$2:$D$1001, 3, FALSE), "")</f>
        <v/>
      </c>
      <c r="R58" s="153">
        <f>IFERROR(VALUE(SUBSTITUTE(SUBSTITUTE(Q58, "Price", ""), "AED", "")), "")</f>
        <v/>
      </c>
      <c r="S58" s="154" t="n"/>
      <c r="T58" s="166" t="n"/>
      <c r="U58" s="136" t="n"/>
      <c r="V58" s="136" t="n"/>
      <c r="W58" s="156">
        <f>IF(Z58 = "",
"",
TEXT(Z58, "mmmm"))</f>
        <v/>
      </c>
      <c r="X58" s="157" t="n"/>
      <c r="Y58" s="158" t="n"/>
      <c r="Z58" s="158" t="n"/>
      <c r="AA58" s="136">
        <f>IF(H58="", "", IF(U58="Open Sale", IF(TODAY()-H58=0, "0 Days", TEXT(TODAY()-H58, "0") &amp; " Days"), IF(U58="Closed Sale", AA58, "")))</f>
        <v/>
      </c>
      <c r="AB58" s="136">
        <f>IF(H58="", "", IF(OR(U58="Pending", U58="Pending Allocation"), CONCATENATE(TODAY()-H58, " Days"), IF(U58="Closed", "", "")))</f>
        <v/>
      </c>
      <c r="AC58" s="160">
        <f>IF(U58="Pending Allocation", IF(I58="", "", TODAY()-I58), "")</f>
        <v/>
      </c>
      <c r="AD58" s="159">
        <f>IF(U58="Open Sale", TEXT(TODAY()-I58, "0"),
IF(U58="Pending", "",
IF(U58="Closed Sale", "", "")))</f>
        <v/>
      </c>
      <c r="AE58" s="161" t="n"/>
      <c r="AF58" s="161" t="n"/>
      <c r="AG58" s="161" t="n"/>
      <c r="AH58" s="136" t="n"/>
      <c r="AI58" s="164">
        <f>IF(I58="","",TEXT(I58, "mmmm yyyy"))</f>
        <v/>
      </c>
      <c r="AJ58" s="164">
        <f>IF(AND(OpenPendingCases[[#This Row],[Sale Status	]]="Open Sale",OpenPendingCases[[#This Row],[Potential Same Month]]="High"),TEXT(OpenPendingCases[[#This Row],[Request Entry Date]], "[$-en-us]mmmm"),"")</f>
        <v/>
      </c>
      <c r="AK58" s="165">
        <f>IFERROR(VALUE(SUBSTITUTE(OpenPendingCases[[#This Row],[Price]]," AED","")),"")</f>
        <v/>
      </c>
      <c r="AL58" s="165">
        <f>IFERROR(VALUE(LEFT(OpenPendingCases[[#This Row],[Price]],FIND(" ",OpenPendingCases[[#This Row],[Price]])-1)),"")</f>
        <v/>
      </c>
      <c r="AM58" s="165">
        <f>IFERROR(VALUE(_xlfn.TEXTBEFORE(OpenPendingCases[[#This Row],[Price]]," AED")),"")</f>
        <v/>
      </c>
      <c r="AN58" s="165" t="n"/>
    </row>
    <row r="59" hidden="1" ht="18" customHeight="1" s="287">
      <c r="C59" s="148" t="n">
        <v>58</v>
      </c>
      <c r="D59" s="136">
        <f>IF($U59="Open Sale", IF(MAX($D$4:D58)+1=0, "", MAX($D$4:D58)+1), "")</f>
        <v/>
      </c>
      <c r="E59" s="136">
        <f>IF($U59="Pending Allocation", IF(MAX($E$4:E58)+1=0, "", MAX($E$4:E58)+1), "")</f>
        <v/>
      </c>
      <c r="F59" s="136" t="n"/>
      <c r="G59" s="136" t="n"/>
      <c r="H59" s="150" t="n"/>
      <c r="I59" s="150" t="n"/>
      <c r="J59" s="67">
        <f>IF(OpenPendingCases[[#This Row],[Timepiece Reference ]]="", "", IF(_xlfn.XLOOKUP(OpenPendingCases[[#This Row],[Timepiece Reference ]], Table1[[Timepiece Reference ]], Table1[CRC STOCK], "Not Found")="YES", "CRC Stock", "Boutique Stock"))</f>
        <v/>
      </c>
      <c r="K59" s="136">
        <f>IF(OpenPendingCases[[#This Row],[Timepiece Reference ]]="", "", IF(_xlfn.XLOOKUP(OpenPendingCases[[#This Row],[Timepiece Reference ]], Table1[[Timepiece Reference ]], Table1[CRC STOCK], "Not Found")="YES", "CRC Stock", "Boutique Stock"))</f>
        <v/>
      </c>
      <c r="L59" s="139" t="n"/>
      <c r="M59" s="140" t="n"/>
      <c r="N59" s="136" t="n"/>
      <c r="O59" s="133" t="n"/>
      <c r="P59" s="93">
        <f>IFERROR(VLOOKUP(TRIM(O59), Collection!$B$2:$D$1001, 2, FALSE), "")</f>
        <v/>
      </c>
      <c r="Q59" s="190">
        <f>IFERROR(VLOOKUP(TRIM(O59), Collection!$B$2:$D$1001, 3, FALSE), "")</f>
        <v/>
      </c>
      <c r="R59" s="153">
        <f>IFERROR(VALUE(SUBSTITUTE(SUBSTITUTE(Q59, "Price", ""), "AED", "")), "")</f>
        <v/>
      </c>
      <c r="S59" s="154" t="n"/>
      <c r="T59" s="166" t="n"/>
      <c r="U59" s="136" t="n"/>
      <c r="V59" s="136" t="n"/>
      <c r="W59" s="156">
        <f>IF(Z59 = "",
"",
TEXT(Z59, "mmmm"))</f>
        <v/>
      </c>
      <c r="X59" s="157" t="n"/>
      <c r="Y59" s="158" t="n"/>
      <c r="Z59" s="158" t="n"/>
      <c r="AA59" s="136">
        <f>IF(H59="", "", IF(U59="Open Sale", IF(TODAY()-H59=0, "0 Days", TEXT(TODAY()-H59, "0") &amp; " Days"), IF(U59="Closed Sale", AA59, "")))</f>
        <v/>
      </c>
      <c r="AB59" s="136">
        <f>IF(H59="", "", IF(OR(U59="Pending", U59="Pending Allocation"), CONCATENATE(TODAY()-H59, " Days"), IF(U59="Closed", "", "")))</f>
        <v/>
      </c>
      <c r="AC59" s="160">
        <f>IF(U59="Pending Allocation", IF(I59="", "", TODAY()-I59), "")</f>
        <v/>
      </c>
      <c r="AD59" s="159">
        <f>IF(U59="Open Sale", TEXT(TODAY()-I59, "0"),
IF(U59="Pending", "",
IF(U59="Closed Sale", "", "")))</f>
        <v/>
      </c>
      <c r="AE59" s="161" t="n"/>
      <c r="AF59" s="161" t="n"/>
      <c r="AG59" s="161" t="n"/>
      <c r="AH59" s="136" t="n"/>
      <c r="AI59" s="164">
        <f>IF(I59="","",TEXT(I59, "mmmm yyyy"))</f>
        <v/>
      </c>
      <c r="AJ59" s="164">
        <f>IF(AND(OpenPendingCases[[#This Row],[Sale Status	]]="Open Sale",OpenPendingCases[[#This Row],[Potential Same Month]]="High"),TEXT(OpenPendingCases[[#This Row],[Request Entry Date]], "[$-en-us]mmmm"),"")</f>
        <v/>
      </c>
      <c r="AK59" s="165">
        <f>IFERROR(VALUE(SUBSTITUTE(OpenPendingCases[[#This Row],[Price]]," AED","")),"")</f>
        <v/>
      </c>
      <c r="AL59" s="165">
        <f>IFERROR(VALUE(LEFT(OpenPendingCases[[#This Row],[Price]],FIND(" ",OpenPendingCases[[#This Row],[Price]])-1)),"")</f>
        <v/>
      </c>
      <c r="AM59" s="165">
        <f>IFERROR(VALUE(_xlfn.TEXTBEFORE(OpenPendingCases[[#This Row],[Price]]," AED")),"")</f>
        <v/>
      </c>
      <c r="AN59" s="165" t="n"/>
    </row>
    <row r="60" hidden="1" ht="18" customHeight="1" s="287">
      <c r="C60" s="148" t="n">
        <v>59</v>
      </c>
      <c r="D60" s="136">
        <f>IF($U60="Open Sale", IF(MAX($D$4:D59)+1=0, "", MAX($D$4:D59)+1), "")</f>
        <v/>
      </c>
      <c r="E60" s="136">
        <f>IF($U60="Pending Allocation", IF(MAX($E$4:E59)+1=0, "", MAX($E$4:E59)+1), "")</f>
        <v/>
      </c>
      <c r="F60" s="136" t="n"/>
      <c r="G60" s="136" t="n"/>
      <c r="H60" s="150" t="n"/>
      <c r="I60" s="150" t="n"/>
      <c r="J60" s="67">
        <f>IF(OpenPendingCases[[#This Row],[Timepiece Reference ]]="", "", IF(_xlfn.XLOOKUP(OpenPendingCases[[#This Row],[Timepiece Reference ]], Table1[[Timepiece Reference ]], Table1[CRC STOCK], "Not Found")="YES", "CRC Stock", "Boutique Stock"))</f>
        <v/>
      </c>
      <c r="K60" s="136">
        <f>IF(OpenPendingCases[[#This Row],[Timepiece Reference ]]="", "", IF(_xlfn.XLOOKUP(OpenPendingCases[[#This Row],[Timepiece Reference ]], Table1[[Timepiece Reference ]], Table1[CRC STOCK], "Not Found")="YES", "CRC Stock", "Boutique Stock"))</f>
        <v/>
      </c>
      <c r="L60" s="139" t="n"/>
      <c r="M60" s="140" t="n"/>
      <c r="N60" s="136" t="n"/>
      <c r="O60" s="133" t="n"/>
      <c r="P60" s="93">
        <f>IFERROR(VLOOKUP(TRIM(O60), Collection!$B$2:$D$1001, 2, FALSE), "")</f>
        <v/>
      </c>
      <c r="Q60" s="190">
        <f>IFERROR(VLOOKUP(TRIM(O60), Collection!$B$2:$D$1001, 3, FALSE), "")</f>
        <v/>
      </c>
      <c r="R60" s="153">
        <f>IFERROR(VALUE(SUBSTITUTE(SUBSTITUTE(Q60, "Price", ""), "AED", "")), "")</f>
        <v/>
      </c>
      <c r="S60" s="154" t="n"/>
      <c r="T60" s="166" t="n"/>
      <c r="U60" s="136" t="n"/>
      <c r="V60" s="136" t="n"/>
      <c r="W60" s="156">
        <f>IF(Z60 = "",
"",
TEXT(Z60, "mmmm"))</f>
        <v/>
      </c>
      <c r="X60" s="157" t="n"/>
      <c r="Y60" s="158" t="n"/>
      <c r="Z60" s="158" t="n"/>
      <c r="AA60" s="136">
        <f>IF(H60="", "", IF(U60="Open Sale", IF(TODAY()-H60=0, "0 Days", TEXT(TODAY()-H60, "0") &amp; " Days"), IF(U60="Closed Sale", AA60, "")))</f>
        <v/>
      </c>
      <c r="AB60" s="136">
        <f>IF(H60="", "", IF(OR(U60="Pending", U60="Pending Allocation"), CONCATENATE(TODAY()-H60, " Days"), IF(U60="Closed", "", "")))</f>
        <v/>
      </c>
      <c r="AC60" s="160">
        <f>IF(U60="Pending Allocation", IF(I60="", "", TODAY()-I60), "")</f>
        <v/>
      </c>
      <c r="AD60" s="159">
        <f>IF(U60="Open Sale", TEXT(TODAY()-I60, "0"),
IF(U60="Pending", "",
IF(U60="Closed Sale", "", "")))</f>
        <v/>
      </c>
      <c r="AE60" s="161" t="n"/>
      <c r="AF60" s="161" t="n"/>
      <c r="AG60" s="161" t="n"/>
      <c r="AH60" s="136" t="n"/>
      <c r="AI60" s="164">
        <f>IF(I60="","",TEXT(I60, "mmmm yyyy"))</f>
        <v/>
      </c>
      <c r="AJ60" s="164">
        <f>IF(AND(OpenPendingCases[[#This Row],[Sale Status	]]="Open Sale",OpenPendingCases[[#This Row],[Potential Same Month]]="High"),TEXT(OpenPendingCases[[#This Row],[Request Entry Date]], "[$-en-us]mmmm"),"")</f>
        <v/>
      </c>
      <c r="AK60" s="165">
        <f>IFERROR(VALUE(SUBSTITUTE(OpenPendingCases[[#This Row],[Price]]," AED","")),"")</f>
        <v/>
      </c>
      <c r="AL60" s="165">
        <f>IFERROR(VALUE(LEFT(OpenPendingCases[[#This Row],[Price]],FIND(" ",OpenPendingCases[[#This Row],[Price]])-1)),"")</f>
        <v/>
      </c>
      <c r="AM60" s="165">
        <f>IFERROR(VALUE(_xlfn.TEXTBEFORE(OpenPendingCases[[#This Row],[Price]]," AED")),"")</f>
        <v/>
      </c>
      <c r="AN60" s="165" t="n"/>
    </row>
    <row r="61" hidden="1" ht="18" customHeight="1" s="287">
      <c r="C61" s="148" t="n">
        <v>60</v>
      </c>
      <c r="D61" s="136">
        <f>IF($U61="Open Sale", IF(MAX($D$4:D60)+1=0, "", MAX($D$4:D60)+1), "")</f>
        <v/>
      </c>
      <c r="E61" s="136">
        <f>IF($U61="Pending Allocation", IF(MAX($E$4:E60)+1=0, "", MAX($E$4:E60)+1), "")</f>
        <v/>
      </c>
      <c r="F61" s="136" t="n"/>
      <c r="G61" s="136" t="n"/>
      <c r="H61" s="150" t="n"/>
      <c r="I61" s="150" t="n"/>
      <c r="J61" s="67">
        <f>IF(OpenPendingCases[[#This Row],[Timepiece Reference ]]="", "", IF(_xlfn.XLOOKUP(OpenPendingCases[[#This Row],[Timepiece Reference ]], Table1[[Timepiece Reference ]], Table1[CRC STOCK], "Not Found")="YES", "CRC Stock", "Boutique Stock"))</f>
        <v/>
      </c>
      <c r="K61" s="136">
        <f>IF(OpenPendingCases[[#This Row],[Timepiece Reference ]]="", "", IF(_xlfn.XLOOKUP(OpenPendingCases[[#This Row],[Timepiece Reference ]], Table1[[Timepiece Reference ]], Table1[CRC STOCK], "Not Found")="YES", "CRC Stock", "Boutique Stock"))</f>
        <v/>
      </c>
      <c r="L61" s="139" t="n"/>
      <c r="M61" s="140" t="n"/>
      <c r="N61" s="136" t="n"/>
      <c r="O61" s="133" t="n"/>
      <c r="P61" s="93">
        <f>IFERROR(VLOOKUP(TRIM(O61), Collection!$B$2:$D$1001, 2, FALSE), "")</f>
        <v/>
      </c>
      <c r="Q61" s="190">
        <f>IFERROR(VLOOKUP(TRIM(O61), Collection!$B$2:$D$1001, 3, FALSE), "")</f>
        <v/>
      </c>
      <c r="R61" s="153">
        <f>IFERROR(VALUE(SUBSTITUTE(SUBSTITUTE(Q61, "Price", ""), "AED", "")), "")</f>
        <v/>
      </c>
      <c r="S61" s="154" t="n"/>
      <c r="T61" s="166" t="n"/>
      <c r="U61" s="136" t="n"/>
      <c r="V61" s="136" t="n"/>
      <c r="W61" s="156">
        <f>IF(Z61 = "",
"",
TEXT(Z61, "mmmm"))</f>
        <v/>
      </c>
      <c r="X61" s="157" t="n"/>
      <c r="Y61" s="158" t="n"/>
      <c r="Z61" s="158" t="n"/>
      <c r="AA61" s="136">
        <f>IF(H61="", "", IF(U61="Open Sale", IF(TODAY()-H61=0, "0 Days", TEXT(TODAY()-H61, "0") &amp; " Days"), IF(U61="Closed Sale", AA61, "")))</f>
        <v/>
      </c>
      <c r="AB61" s="136">
        <f>IF(H61="", "", IF(OR(U61="Pending", U61="Pending Allocation"), CONCATENATE(TODAY()-H61, " Days"), IF(U61="Closed", "", "")))</f>
        <v/>
      </c>
      <c r="AC61" s="160">
        <f>IF(U61="Pending Allocation", IF(I61="", "", TODAY()-I61), "")</f>
        <v/>
      </c>
      <c r="AD61" s="159">
        <f>IF(U61="Open Sale", TEXT(TODAY()-I61, "0"),
IF(U61="Pending", "",
IF(U61="Closed Sale", "", "")))</f>
        <v/>
      </c>
      <c r="AE61" s="161" t="n"/>
      <c r="AF61" s="161" t="n"/>
      <c r="AG61" s="161" t="n"/>
      <c r="AH61" s="136" t="n"/>
      <c r="AI61" s="164">
        <f>IF(I61="","",TEXT(I61, "mmmm yyyy"))</f>
        <v/>
      </c>
      <c r="AJ61" s="164">
        <f>IF(AND(OpenPendingCases[[#This Row],[Sale Status	]]="Open Sale",OpenPendingCases[[#This Row],[Potential Same Month]]="High"),TEXT(OpenPendingCases[[#This Row],[Request Entry Date]], "[$-en-us]mmmm"),"")</f>
        <v/>
      </c>
      <c r="AK61" s="165">
        <f>IFERROR(VALUE(SUBSTITUTE(OpenPendingCases[[#This Row],[Price]]," AED","")),"")</f>
        <v/>
      </c>
      <c r="AL61" s="165">
        <f>IFERROR(VALUE(LEFT(OpenPendingCases[[#This Row],[Price]],FIND(" ",OpenPendingCases[[#This Row],[Price]])-1)),"")</f>
        <v/>
      </c>
      <c r="AM61" s="165">
        <f>IFERROR(VALUE(_xlfn.TEXTBEFORE(OpenPendingCases[[#This Row],[Price]]," AED")),"")</f>
        <v/>
      </c>
      <c r="AN61" s="165" t="n"/>
    </row>
    <row r="62" hidden="1" ht="18" customHeight="1" s="287">
      <c r="C62" s="148" t="n">
        <v>61</v>
      </c>
      <c r="D62" s="136">
        <f>IF($U62="Open Sale", IF(MAX($D$4:D61)+1=0, "", MAX($D$4:D61)+1), "")</f>
        <v/>
      </c>
      <c r="E62" s="136">
        <f>IF($U62="Pending Allocation", IF(MAX($E$4:E61)+1=0, "", MAX($E$4:E61)+1), "")</f>
        <v/>
      </c>
      <c r="F62" s="136" t="n"/>
      <c r="G62" s="136" t="n"/>
      <c r="H62" s="150" t="n"/>
      <c r="I62" s="150" t="n"/>
      <c r="J62" s="67">
        <f>IF(OpenPendingCases[[#This Row],[Timepiece Reference ]]="", "", IF(_xlfn.XLOOKUP(OpenPendingCases[[#This Row],[Timepiece Reference ]], Table1[[Timepiece Reference ]], Table1[CRC STOCK], "Not Found")="YES", "CRC Stock", "Boutique Stock"))</f>
        <v/>
      </c>
      <c r="K62" s="136">
        <f>IF(OpenPendingCases[[#This Row],[Timepiece Reference ]]="", "", IF(_xlfn.XLOOKUP(OpenPendingCases[[#This Row],[Timepiece Reference ]], Table1[[Timepiece Reference ]], Table1[CRC STOCK], "Not Found")="YES", "CRC Stock", "Boutique Stock"))</f>
        <v/>
      </c>
      <c r="L62" s="139" t="n"/>
      <c r="M62" s="140" t="n"/>
      <c r="N62" s="136" t="n"/>
      <c r="O62" s="133" t="n"/>
      <c r="P62" s="93">
        <f>IFERROR(VLOOKUP(TRIM(O62), Collection!$B$2:$D$1001, 2, FALSE), "")</f>
        <v/>
      </c>
      <c r="Q62" s="190">
        <f>IFERROR(VLOOKUP(TRIM(O62), Collection!$B$2:$D$1001, 3, FALSE), "")</f>
        <v/>
      </c>
      <c r="R62" s="153">
        <f>IFERROR(VALUE(SUBSTITUTE(SUBSTITUTE(Q62, "Price", ""), "AED", "")), "")</f>
        <v/>
      </c>
      <c r="S62" s="154" t="n"/>
      <c r="T62" s="166" t="n"/>
      <c r="U62" s="136" t="n"/>
      <c r="V62" s="136" t="n"/>
      <c r="W62" s="156">
        <f>IF(Z62 = "",
"",
TEXT(Z62, "mmmm"))</f>
        <v/>
      </c>
      <c r="X62" s="157" t="n"/>
      <c r="Y62" s="158" t="n"/>
      <c r="Z62" s="158" t="n"/>
      <c r="AA62" s="136">
        <f>IF(H62="", "", IF(U62="Open Sale", IF(TODAY()-H62=0, "0 Days", TEXT(TODAY()-H62, "0") &amp; " Days"), IF(U62="Closed Sale", AA62, "")))</f>
        <v/>
      </c>
      <c r="AB62" s="136">
        <f>IF(H62="", "", IF(OR(U62="Pending", U62="Pending Allocation"), CONCATENATE(TODAY()-H62, " Days"), IF(U62="Closed", "", "")))</f>
        <v/>
      </c>
      <c r="AC62" s="160">
        <f>IF(U62="Pending Allocation", IF(I62="", "", TODAY()-I62), "")</f>
        <v/>
      </c>
      <c r="AD62" s="159">
        <f>IF(U62="Open Sale", TEXT(TODAY()-I62, "0"),
IF(U62="Pending", "",
IF(U62="Closed Sale", "", "")))</f>
        <v/>
      </c>
      <c r="AE62" s="161" t="n"/>
      <c r="AF62" s="161" t="n"/>
      <c r="AG62" s="161" t="n"/>
      <c r="AH62" s="136" t="n"/>
      <c r="AI62" s="164">
        <f>IF(I62="","",TEXT(I62, "mmmm yyyy"))</f>
        <v/>
      </c>
      <c r="AJ62" s="164">
        <f>IF(AND(OpenPendingCases[[#This Row],[Sale Status	]]="Open Sale",OpenPendingCases[[#This Row],[Potential Same Month]]="High"),TEXT(OpenPendingCases[[#This Row],[Request Entry Date]], "[$-en-us]mmmm"),"")</f>
        <v/>
      </c>
      <c r="AK62" s="165">
        <f>IFERROR(VALUE(SUBSTITUTE(OpenPendingCases[[#This Row],[Price]]," AED","")),"")</f>
        <v/>
      </c>
      <c r="AL62" s="165">
        <f>IFERROR(VALUE(LEFT(OpenPendingCases[[#This Row],[Price]],FIND(" ",OpenPendingCases[[#This Row],[Price]])-1)),"")</f>
        <v/>
      </c>
      <c r="AM62" s="165">
        <f>IFERROR(VALUE(_xlfn.TEXTBEFORE(OpenPendingCases[[#This Row],[Price]]," AED")),"")</f>
        <v/>
      </c>
      <c r="AN62" s="165" t="n"/>
    </row>
    <row r="63" hidden="1" ht="18" customHeight="1" s="287">
      <c r="C63" s="148" t="n">
        <v>62</v>
      </c>
      <c r="D63" s="136">
        <f>IF($U63="Open Sale", IF(MAX($D$4:D62)+1=0, "", MAX($D$4:D62)+1), "")</f>
        <v/>
      </c>
      <c r="E63" s="136">
        <f>IF($U63="Pending Allocation", IF(MAX($E$4:E62)+1=0, "", MAX($E$4:E62)+1), "")</f>
        <v/>
      </c>
      <c r="F63" s="136" t="n"/>
      <c r="G63" s="136" t="n"/>
      <c r="H63" s="150" t="n"/>
      <c r="I63" s="150" t="n"/>
      <c r="J63" s="67">
        <f>IF(OpenPendingCases[[#This Row],[Timepiece Reference ]]="", "", IF(_xlfn.XLOOKUP(OpenPendingCases[[#This Row],[Timepiece Reference ]], Table1[[Timepiece Reference ]], Table1[CRC STOCK], "Not Found")="YES", "CRC Stock", "Boutique Stock"))</f>
        <v/>
      </c>
      <c r="K63" s="136">
        <f>IF(OpenPendingCases[[#This Row],[Timepiece Reference ]]="", "", IF(_xlfn.XLOOKUP(OpenPendingCases[[#This Row],[Timepiece Reference ]], Table1[[Timepiece Reference ]], Table1[CRC STOCK], "Not Found")="YES", "CRC Stock", "Boutique Stock"))</f>
        <v/>
      </c>
      <c r="L63" s="139" t="n"/>
      <c r="M63" s="140" t="n"/>
      <c r="N63" s="136" t="n"/>
      <c r="O63" s="133" t="n"/>
      <c r="P63" s="93">
        <f>IFERROR(VLOOKUP(TRIM(O63), Collection!$B$2:$D$1001, 2, FALSE), "")</f>
        <v/>
      </c>
      <c r="Q63" s="190">
        <f>IFERROR(VLOOKUP(TRIM(O63), Collection!$B$2:$D$1001, 3, FALSE), "")</f>
        <v/>
      </c>
      <c r="R63" s="153">
        <f>IFERROR(VALUE(SUBSTITUTE(SUBSTITUTE(Q63, "Price", ""), "AED", "")), "")</f>
        <v/>
      </c>
      <c r="S63" s="154" t="n"/>
      <c r="T63" s="166" t="n"/>
      <c r="U63" s="136" t="n"/>
      <c r="V63" s="136" t="n"/>
      <c r="W63" s="156">
        <f>IF(Z63 = "",
"",
TEXT(Z63, "mmmm"))</f>
        <v/>
      </c>
      <c r="X63" s="157" t="n"/>
      <c r="Y63" s="158" t="n"/>
      <c r="Z63" s="158" t="n"/>
      <c r="AA63" s="136">
        <f>IF(H63="", "", IF(U63="Open Sale", IF(TODAY()-H63=0, "0 Days", TEXT(TODAY()-H63, "0") &amp; " Days"), IF(U63="Closed Sale", AA63, "")))</f>
        <v/>
      </c>
      <c r="AB63" s="136">
        <f>IF(H63="", "", IF(OR(U63="Pending", U63="Pending Allocation"), CONCATENATE(TODAY()-H63, " Days"), IF(U63="Closed", "", "")))</f>
        <v/>
      </c>
      <c r="AC63" s="160">
        <f>IF(U63="Pending Allocation", IF(I63="", "", TODAY()-I63), "")</f>
        <v/>
      </c>
      <c r="AD63" s="159">
        <f>IF(U63="Open Sale", TEXT(TODAY()-I63, "0"),
IF(U63="Pending", "",
IF(U63="Closed Sale", "", "")))</f>
        <v/>
      </c>
      <c r="AE63" s="161" t="n"/>
      <c r="AF63" s="161" t="n"/>
      <c r="AG63" s="161" t="n"/>
      <c r="AH63" s="136" t="n"/>
      <c r="AI63" s="164">
        <f>IF(I63="","",TEXT(I63, "mmmm yyyy"))</f>
        <v/>
      </c>
      <c r="AJ63" s="164">
        <f>IF(AND(OpenPendingCases[[#This Row],[Sale Status	]]="Open Sale",OpenPendingCases[[#This Row],[Potential Same Month]]="High"),TEXT(OpenPendingCases[[#This Row],[Request Entry Date]], "[$-en-us]mmmm"),"")</f>
        <v/>
      </c>
      <c r="AK63" s="165">
        <f>IFERROR(VALUE(SUBSTITUTE(OpenPendingCases[[#This Row],[Price]]," AED","")),"")</f>
        <v/>
      </c>
      <c r="AL63" s="165">
        <f>IFERROR(VALUE(LEFT(OpenPendingCases[[#This Row],[Price]],FIND(" ",OpenPendingCases[[#This Row],[Price]])-1)),"")</f>
        <v/>
      </c>
      <c r="AM63" s="165">
        <f>IFERROR(VALUE(_xlfn.TEXTBEFORE(OpenPendingCases[[#This Row],[Price]]," AED")),"")</f>
        <v/>
      </c>
      <c r="AN63" s="165" t="n"/>
    </row>
    <row r="64" hidden="1" ht="18" customHeight="1" s="287">
      <c r="C64" s="148" t="n">
        <v>63</v>
      </c>
      <c r="D64" s="136">
        <f>IF($U64="Open Sale", IF(MAX($D$4:D63)+1=0, "", MAX($D$4:D63)+1), "")</f>
        <v/>
      </c>
      <c r="E64" s="136">
        <f>IF($U64="Pending Allocation", IF(MAX($E$4:E63)+1=0, "", MAX($E$4:E63)+1), "")</f>
        <v/>
      </c>
      <c r="F64" s="136" t="n"/>
      <c r="G64" s="136" t="n"/>
      <c r="H64" s="150" t="n"/>
      <c r="I64" s="150" t="n"/>
      <c r="J64" s="67">
        <f>IF(OpenPendingCases[[#This Row],[Timepiece Reference ]]="", "", IF(_xlfn.XLOOKUP(OpenPendingCases[[#This Row],[Timepiece Reference ]], Table1[[Timepiece Reference ]], Table1[CRC STOCK], "Not Found")="YES", "CRC Stock", "Boutique Stock"))</f>
        <v/>
      </c>
      <c r="K64" s="136">
        <f>IF(OpenPendingCases[[#This Row],[Timepiece Reference ]]="", "", IF(_xlfn.XLOOKUP(OpenPendingCases[[#This Row],[Timepiece Reference ]], Table1[[Timepiece Reference ]], Table1[CRC STOCK], "Not Found")="YES", "CRC Stock", "Boutique Stock"))</f>
        <v/>
      </c>
      <c r="L64" s="139" t="n"/>
      <c r="M64" s="140" t="n"/>
      <c r="N64" s="136" t="n"/>
      <c r="O64" s="133" t="n"/>
      <c r="P64" s="93">
        <f>IFERROR(VLOOKUP(TRIM(O64), Collection!$B$2:$D$1001, 2, FALSE), "")</f>
        <v/>
      </c>
      <c r="Q64" s="190">
        <f>IFERROR(VLOOKUP(TRIM(O64), Collection!$B$2:$D$1001, 3, FALSE), "")</f>
        <v/>
      </c>
      <c r="R64" s="153">
        <f>IFERROR(VALUE(SUBSTITUTE(SUBSTITUTE(Q64, "Price", ""), "AED", "")), "")</f>
        <v/>
      </c>
      <c r="S64" s="154" t="n"/>
      <c r="T64" s="166" t="n"/>
      <c r="U64" s="136" t="n"/>
      <c r="V64" s="136" t="n"/>
      <c r="W64" s="156">
        <f>IF(Z64 = "",
"",
TEXT(Z64, "mmmm"))</f>
        <v/>
      </c>
      <c r="X64" s="157" t="n"/>
      <c r="Y64" s="158" t="n"/>
      <c r="Z64" s="158" t="n"/>
      <c r="AA64" s="136">
        <f>IF(H64="", "", IF(U64="Open Sale", IF(TODAY()-H64=0, "0 Days", TEXT(TODAY()-H64, "0") &amp; " Days"), IF(U64="Closed Sale", AA64, "")))</f>
        <v/>
      </c>
      <c r="AB64" s="136">
        <f>IF(H64="", "", IF(OR(U64="Pending", U64="Pending Allocation"), CONCATENATE(TODAY()-H64, " Days"), IF(U64="Closed", "", "")))</f>
        <v/>
      </c>
      <c r="AC64" s="160">
        <f>IF(U64="Pending Allocation", IF(I64="", "", TODAY()-I64), "")</f>
        <v/>
      </c>
      <c r="AD64" s="159">
        <f>IF(U64="Open Sale", TEXT(TODAY()-I64, "0"),
IF(U64="Pending", "",
IF(U64="Closed Sale", "", "")))</f>
        <v/>
      </c>
      <c r="AE64" s="161" t="n"/>
      <c r="AF64" s="161" t="n"/>
      <c r="AG64" s="161" t="n"/>
      <c r="AH64" s="136" t="n"/>
      <c r="AI64" s="164">
        <f>IF(I64="","",TEXT(I64, "mmmm yyyy"))</f>
        <v/>
      </c>
      <c r="AJ64" s="164">
        <f>IF(AND(OpenPendingCases[[#This Row],[Sale Status	]]="Open Sale",OpenPendingCases[[#This Row],[Potential Same Month]]="High"),TEXT(OpenPendingCases[[#This Row],[Request Entry Date]], "[$-en-us]mmmm"),"")</f>
        <v/>
      </c>
      <c r="AK64" s="165">
        <f>IFERROR(VALUE(SUBSTITUTE(OpenPendingCases[[#This Row],[Price]]," AED","")),"")</f>
        <v/>
      </c>
      <c r="AL64" s="165">
        <f>IFERROR(VALUE(LEFT(OpenPendingCases[[#This Row],[Price]],FIND(" ",OpenPendingCases[[#This Row],[Price]])-1)),"")</f>
        <v/>
      </c>
      <c r="AM64" s="165">
        <f>IFERROR(VALUE(_xlfn.TEXTBEFORE(OpenPendingCases[[#This Row],[Price]]," AED")),"")</f>
        <v/>
      </c>
      <c r="AN64" s="165" t="n"/>
    </row>
    <row r="65" hidden="1" ht="18" customHeight="1" s="287">
      <c r="C65" s="148" t="n">
        <v>64</v>
      </c>
      <c r="D65" s="136">
        <f>IF($U65="Open Sale", IF(MAX($D$4:D64)+1=0, "", MAX($D$4:D64)+1), "")</f>
        <v/>
      </c>
      <c r="E65" s="136">
        <f>IF($U65="Pending Allocation", IF(MAX($E$4:E64)+1=0, "", MAX($E$4:E64)+1), "")</f>
        <v/>
      </c>
      <c r="F65" s="136" t="n"/>
      <c r="G65" s="136" t="n"/>
      <c r="H65" s="150" t="n"/>
      <c r="I65" s="150" t="n"/>
      <c r="J65" s="67">
        <f>IF(OpenPendingCases[[#This Row],[Timepiece Reference ]]="", "", IF(_xlfn.XLOOKUP(OpenPendingCases[[#This Row],[Timepiece Reference ]], Table1[[Timepiece Reference ]], Table1[CRC STOCK], "Not Found")="YES", "CRC Stock", "Boutique Stock"))</f>
        <v/>
      </c>
      <c r="K65" s="136">
        <f>IF(OpenPendingCases[[#This Row],[Timepiece Reference ]]="", "", IF(_xlfn.XLOOKUP(OpenPendingCases[[#This Row],[Timepiece Reference ]], Table1[[Timepiece Reference ]], Table1[CRC STOCK], "Not Found")="YES", "CRC Stock", "Boutique Stock"))</f>
        <v/>
      </c>
      <c r="L65" s="139" t="n"/>
      <c r="M65" s="140" t="n"/>
      <c r="N65" s="136" t="n"/>
      <c r="O65" s="133" t="n"/>
      <c r="P65" s="93">
        <f>IFERROR(VLOOKUP(TRIM(O65), Collection!$B$2:$D$1001, 2, FALSE), "")</f>
        <v/>
      </c>
      <c r="Q65" s="190">
        <f>IFERROR(VLOOKUP(TRIM(O65), Collection!$B$2:$D$1001, 3, FALSE), "")</f>
        <v/>
      </c>
      <c r="R65" s="153">
        <f>IFERROR(VALUE(SUBSTITUTE(SUBSTITUTE(Q65, "Price", ""), "AED", "")), "")</f>
        <v/>
      </c>
      <c r="S65" s="154" t="n"/>
      <c r="T65" s="166" t="n"/>
      <c r="U65" s="136" t="n"/>
      <c r="V65" s="136" t="n"/>
      <c r="W65" s="156">
        <f>IF(Z65 = "",
"",
TEXT(Z65, "mmmm"))</f>
        <v/>
      </c>
      <c r="X65" s="157" t="n"/>
      <c r="Y65" s="158" t="n"/>
      <c r="Z65" s="158" t="n"/>
      <c r="AA65" s="136">
        <f>IF(H65="", "", IF(U65="Open Sale", IF(TODAY()-H65=0, "0 Days", TEXT(TODAY()-H65, "0") &amp; " Days"), IF(U65="Closed Sale", AA65, "")))</f>
        <v/>
      </c>
      <c r="AB65" s="136">
        <f>IF(H65="", "", IF(OR(U65="Pending", U65="Pending Allocation"), CONCATENATE(TODAY()-H65, " Days"), IF(U65="Closed", "", "")))</f>
        <v/>
      </c>
      <c r="AC65" s="160">
        <f>IF(U65="Pending Allocation", IF(I65="", "", TODAY()-I65), "")</f>
        <v/>
      </c>
      <c r="AD65" s="159">
        <f>IF(U65="Open Sale", TEXT(TODAY()-I65, "0"),
IF(U65="Pending", "",
IF(U65="Closed Sale", "", "")))</f>
        <v/>
      </c>
      <c r="AE65" s="161" t="n"/>
      <c r="AF65" s="161" t="n"/>
      <c r="AG65" s="161" t="n"/>
      <c r="AH65" s="136" t="n"/>
      <c r="AI65" s="164">
        <f>IF(I65="","",TEXT(I65, "mmmm yyyy"))</f>
        <v/>
      </c>
      <c r="AJ65" s="164">
        <f>IF(AND(OpenPendingCases[[#This Row],[Sale Status	]]="Open Sale",OpenPendingCases[[#This Row],[Potential Same Month]]="High"),TEXT(OpenPendingCases[[#This Row],[Request Entry Date]], "[$-en-us]mmmm"),"")</f>
        <v/>
      </c>
      <c r="AK65" s="165">
        <f>IFERROR(VALUE(SUBSTITUTE(OpenPendingCases[[#This Row],[Price]]," AED","")),"")</f>
        <v/>
      </c>
      <c r="AL65" s="165">
        <f>IFERROR(VALUE(LEFT(OpenPendingCases[[#This Row],[Price]],FIND(" ",OpenPendingCases[[#This Row],[Price]])-1)),"")</f>
        <v/>
      </c>
      <c r="AM65" s="165">
        <f>IFERROR(VALUE(_xlfn.TEXTBEFORE(OpenPendingCases[[#This Row],[Price]]," AED")),"")</f>
        <v/>
      </c>
      <c r="AN65" s="165" t="n"/>
    </row>
    <row r="66" hidden="1" ht="18" customHeight="1" s="287">
      <c r="C66" s="148" t="n">
        <v>65</v>
      </c>
      <c r="D66" s="136">
        <f>IF($U66="Open Sale", IF(MAX($D$4:D65)+1=0, "", MAX($D$4:D65)+1), "")</f>
        <v/>
      </c>
      <c r="E66" s="136">
        <f>IF($U66="Pending Allocation", IF(MAX($E$4:E65)+1=0, "", MAX($E$4:E65)+1), "")</f>
        <v/>
      </c>
      <c r="F66" s="136" t="n"/>
      <c r="G66" s="136" t="n"/>
      <c r="H66" s="150" t="n"/>
      <c r="I66" s="150" t="n"/>
      <c r="J66" s="67">
        <f>IF(OpenPendingCases[[#This Row],[Timepiece Reference ]]="", "", IF(_xlfn.XLOOKUP(OpenPendingCases[[#This Row],[Timepiece Reference ]], Table1[[Timepiece Reference ]], Table1[CRC STOCK], "Not Found")="YES", "CRC Stock", "Boutique Stock"))</f>
        <v/>
      </c>
      <c r="K66" s="136">
        <f>IF(OpenPendingCases[[#This Row],[Timepiece Reference ]]="", "", IF(_xlfn.XLOOKUP(OpenPendingCases[[#This Row],[Timepiece Reference ]], Table1[[Timepiece Reference ]], Table1[CRC STOCK], "Not Found")="YES", "CRC Stock", "Boutique Stock"))</f>
        <v/>
      </c>
      <c r="L66" s="139" t="n"/>
      <c r="M66" s="140" t="n"/>
      <c r="N66" s="136" t="n"/>
      <c r="O66" s="133" t="n"/>
      <c r="P66" s="93">
        <f>IFERROR(VLOOKUP(TRIM(O66), Collection!$B$2:$D$1001, 2, FALSE), "")</f>
        <v/>
      </c>
      <c r="Q66" s="190">
        <f>IFERROR(VLOOKUP(TRIM(O66), Collection!$B$2:$D$1001, 3, FALSE), "")</f>
        <v/>
      </c>
      <c r="R66" s="153">
        <f>IFERROR(VALUE(SUBSTITUTE(SUBSTITUTE(Q66, "Price", ""), "AED", "")), "")</f>
        <v/>
      </c>
      <c r="S66" s="154" t="n"/>
      <c r="T66" s="166" t="n"/>
      <c r="U66" s="136" t="n"/>
      <c r="V66" s="136" t="n"/>
      <c r="W66" s="156">
        <f>IF(Z66 = "",
"",
TEXT(Z66, "mmmm"))</f>
        <v/>
      </c>
      <c r="X66" s="157" t="n"/>
      <c r="Y66" s="158" t="n"/>
      <c r="Z66" s="158" t="n"/>
      <c r="AA66" s="136">
        <f>IF(H66="", "", IF(U66="Open Sale", IF(TODAY()-H66=0, "0 Days", TEXT(TODAY()-H66, "0") &amp; " Days"), IF(U66="Closed Sale", AA66, "")))</f>
        <v/>
      </c>
      <c r="AB66" s="136">
        <f>IF(H66="", "", IF(OR(U66="Pending", U66="Pending Allocation"), CONCATENATE(TODAY()-H66, " Days"), IF(U66="Closed", "", "")))</f>
        <v/>
      </c>
      <c r="AC66" s="160">
        <f>IF(U66="Pending Allocation", IF(I66="", "", TODAY()-I66), "")</f>
        <v/>
      </c>
      <c r="AD66" s="159">
        <f>IF(U66="Open Sale", TEXT(TODAY()-I66, "0"),
IF(U66="Pending", "",
IF(U66="Closed Sale", "", "")))</f>
        <v/>
      </c>
      <c r="AE66" s="161" t="n"/>
      <c r="AF66" s="161" t="n"/>
      <c r="AG66" s="161" t="n"/>
      <c r="AH66" s="136" t="n"/>
      <c r="AI66" s="164">
        <f>IF(I66="","",TEXT(I66, "mmmm yyyy"))</f>
        <v/>
      </c>
      <c r="AJ66" s="164">
        <f>IF(AND(OpenPendingCases[[#This Row],[Sale Status	]]="Open Sale",OpenPendingCases[[#This Row],[Potential Same Month]]="High"),TEXT(OpenPendingCases[[#This Row],[Request Entry Date]], "[$-en-us]mmmm"),"")</f>
        <v/>
      </c>
      <c r="AK66" s="165">
        <f>IFERROR(VALUE(SUBSTITUTE(OpenPendingCases[[#This Row],[Price]]," AED","")),"")</f>
        <v/>
      </c>
      <c r="AL66" s="165">
        <f>IFERROR(VALUE(LEFT(OpenPendingCases[[#This Row],[Price]],FIND(" ",OpenPendingCases[[#This Row],[Price]])-1)),"")</f>
        <v/>
      </c>
      <c r="AM66" s="165">
        <f>IFERROR(VALUE(_xlfn.TEXTBEFORE(OpenPendingCases[[#This Row],[Price]]," AED")),"")</f>
        <v/>
      </c>
      <c r="AN66" s="165" t="n"/>
    </row>
    <row r="67" hidden="1" ht="18" customHeight="1" s="287">
      <c r="C67" s="148" t="n">
        <v>66</v>
      </c>
      <c r="D67" s="136">
        <f>IF($U67="Open Sale", IF(MAX($D$4:D66)+1=0, "", MAX($D$4:D66)+1), "")</f>
        <v/>
      </c>
      <c r="E67" s="136">
        <f>IF($U67="Pending Allocation", IF(MAX($E$4:E66)+1=0, "", MAX($E$4:E66)+1), "")</f>
        <v/>
      </c>
      <c r="F67" s="136" t="n"/>
      <c r="G67" s="136" t="n"/>
      <c r="H67" s="150" t="n"/>
      <c r="I67" s="150" t="n"/>
      <c r="J67" s="67">
        <f>IF(OpenPendingCases[[#This Row],[Timepiece Reference ]]="", "", IF(_xlfn.XLOOKUP(OpenPendingCases[[#This Row],[Timepiece Reference ]], Table1[[Timepiece Reference ]], Table1[CRC STOCK], "Not Found")="YES", "CRC Stock", "Boutique Stock"))</f>
        <v/>
      </c>
      <c r="K67" s="136">
        <f>IF(OpenPendingCases[[#This Row],[Timepiece Reference ]]="", "", IF(_xlfn.XLOOKUP(OpenPendingCases[[#This Row],[Timepiece Reference ]], Table1[[Timepiece Reference ]], Table1[CRC STOCK], "Not Found")="YES", "CRC Stock", "Boutique Stock"))</f>
        <v/>
      </c>
      <c r="L67" s="139" t="n"/>
      <c r="M67" s="140" t="n"/>
      <c r="N67" s="136" t="n"/>
      <c r="O67" s="133" t="n"/>
      <c r="P67" s="93">
        <f>IFERROR(VLOOKUP(TRIM(O67), Collection!$B$2:$D$1001, 2, FALSE), "")</f>
        <v/>
      </c>
      <c r="Q67" s="190">
        <f>IFERROR(VLOOKUP(TRIM(O67), Collection!$B$2:$D$1001, 3, FALSE), "")</f>
        <v/>
      </c>
      <c r="R67" s="153">
        <f>IFERROR(VALUE(SUBSTITUTE(SUBSTITUTE(Q67, "Price", ""), "AED", "")), "")</f>
        <v/>
      </c>
      <c r="S67" s="154" t="n"/>
      <c r="T67" s="166" t="n"/>
      <c r="U67" s="136" t="n"/>
      <c r="V67" s="136" t="n"/>
      <c r="W67" s="156">
        <f>IF(Z67 = "",
"",
TEXT(Z67, "mmmm"))</f>
        <v/>
      </c>
      <c r="X67" s="157" t="n"/>
      <c r="Y67" s="158" t="n"/>
      <c r="Z67" s="158" t="n"/>
      <c r="AA67" s="136">
        <f>IF(H67="", "", IF(U67="Open Sale", IF(TODAY()-H67=0, "0 Days", TEXT(TODAY()-H67, "0") &amp; " Days"), IF(U67="Closed Sale", AA67, "")))</f>
        <v/>
      </c>
      <c r="AB67" s="136">
        <f>IF(H67="", "", IF(OR(U67="Pending", U67="Pending Allocation"), CONCATENATE(TODAY()-H67, " Days"), IF(U67="Closed", "", "")))</f>
        <v/>
      </c>
      <c r="AC67" s="160">
        <f>IF(U67="Pending Allocation", IF(I67="", "", TODAY()-I67), "")</f>
        <v/>
      </c>
      <c r="AD67" s="159">
        <f>IF(U67="Open Sale", TEXT(TODAY()-I67, "0"),
   IF(U67="Pending", "",
      IF(U67="Closed Sale", "", "")))</f>
        <v/>
      </c>
      <c r="AE67" s="161" t="n"/>
      <c r="AF67" s="161" t="n"/>
      <c r="AG67" s="161" t="n"/>
      <c r="AH67" s="136" t="n"/>
      <c r="AI67" s="164">
        <f>IF(I67="","",TEXT(I67, "mmmm yyyy"))</f>
        <v/>
      </c>
      <c r="AJ67" s="164">
        <f>IF(AND(OpenPendingCases[[#This Row],[Sale Status	]]="Open Sale",OpenPendingCases[[#This Row],[Potential Same Month]]="High"),TEXT(OpenPendingCases[[#This Row],[Request Entry Date]], "[$-en-us]mmmm"),"")</f>
        <v/>
      </c>
      <c r="AK67" s="165">
        <f>IFERROR(VALUE(SUBSTITUTE(OpenPendingCases[[#This Row],[Price]]," AED","")),"")</f>
        <v/>
      </c>
      <c r="AL67" s="165">
        <f>IFERROR(VALUE(LEFT(OpenPendingCases[[#This Row],[Price]],FIND(" ",OpenPendingCases[[#This Row],[Price]])-1)),"")</f>
        <v/>
      </c>
      <c r="AM67" s="165">
        <f>IFERROR(VALUE(_xlfn.TEXTBEFORE(OpenPendingCases[[#This Row],[Price]]," AED")),"")</f>
        <v/>
      </c>
      <c r="AN67" s="165" t="n"/>
    </row>
    <row r="68" hidden="1" ht="18" customHeight="1" s="287">
      <c r="C68" s="148" t="n">
        <v>67</v>
      </c>
      <c r="D68" s="136">
        <f>IF($U68="Open Sale", IF(MAX($D$4:D67)+1=0, "", MAX($D$4:D67)+1), "")</f>
        <v/>
      </c>
      <c r="E68" s="136">
        <f>IF($U68="Pending Allocation", IF(MAX($E$4:E67)+1=0, "", MAX($E$4:E67)+1), "")</f>
        <v/>
      </c>
      <c r="F68" s="136" t="n"/>
      <c r="G68" s="136" t="n"/>
      <c r="H68" s="150" t="n"/>
      <c r="I68" s="150" t="n"/>
      <c r="J68" s="67">
        <f>IF(OpenPendingCases[[#This Row],[Timepiece Reference ]]="", "", IF(_xlfn.XLOOKUP(OpenPendingCases[[#This Row],[Timepiece Reference ]], Table1[[Timepiece Reference ]], Table1[CRC STOCK], "Not Found")="YES", "CRC Stock", "Boutique Stock"))</f>
        <v/>
      </c>
      <c r="K68" s="136">
        <f>IF(OpenPendingCases[[#This Row],[Timepiece Reference ]]="", "", IF(_xlfn.XLOOKUP(OpenPendingCases[[#This Row],[Timepiece Reference ]], Table1[[Timepiece Reference ]], Table1[CRC STOCK], "Not Found")="YES", "CRC Stock", "Boutique Stock"))</f>
        <v/>
      </c>
      <c r="L68" s="139" t="n"/>
      <c r="M68" s="140" t="n"/>
      <c r="N68" s="136" t="n"/>
      <c r="O68" s="133" t="n"/>
      <c r="P68" s="93">
        <f>IFERROR(VLOOKUP(TRIM(O68), Collection!$B$2:$D$1001, 2, FALSE), "")</f>
        <v/>
      </c>
      <c r="Q68" s="190">
        <f>IFERROR(VLOOKUP(TRIM(O68), Collection!$B$2:$D$1001, 3, FALSE), "")</f>
        <v/>
      </c>
      <c r="R68" s="153">
        <f>IFERROR(VALUE(SUBSTITUTE(SUBSTITUTE(Q68, "Price", ""), "AED", "")), "")</f>
        <v/>
      </c>
      <c r="S68" s="154" t="n"/>
      <c r="T68" s="166" t="n"/>
      <c r="U68" s="136" t="n"/>
      <c r="V68" s="136" t="n"/>
      <c r="W68" s="156">
        <f>IF(Z68 = "",
     "",
     TEXT(Z68, "mmmm"))</f>
        <v/>
      </c>
      <c r="X68" s="157" t="n"/>
      <c r="Y68" s="158" t="n"/>
      <c r="Z68" s="158" t="n"/>
      <c r="AA68" s="136">
        <f>IF(H68="", "", IF(U68="Open Sale", IF(TODAY()-H68=0, "0 Days", TEXT(TODAY()-H68, "0") &amp; " Days"), IF(U68="Closed Sale", AA68, "")))</f>
        <v/>
      </c>
      <c r="AB68" s="136">
        <f>IF(H68="", "", IF(OR(U68="Pending", U68="Pending Allocation"), CONCATENATE(TODAY()-H68, " Days"), IF(U68="Closed", "", "")))</f>
        <v/>
      </c>
      <c r="AC68" s="160">
        <f>IF(U68="Pending Allocation", IF(I68="", "", TODAY()-I68), "")</f>
        <v/>
      </c>
      <c r="AD68" s="159">
        <f>IF(U68="Open Sale", TEXT(TODAY()-I68, "0"),
IF(U68="Pending", "",
IF(U68="Closed Sale", "", "")))</f>
        <v/>
      </c>
      <c r="AE68" s="161" t="n"/>
      <c r="AF68" s="161" t="n"/>
      <c r="AG68" s="161" t="n"/>
      <c r="AH68" s="136" t="n"/>
      <c r="AI68" s="164">
        <f>IF(I68="","",TEXT(I68, "mmmm yyyy"))</f>
        <v/>
      </c>
      <c r="AJ68" s="164">
        <f>IF(AND(OpenPendingCases[[#This Row],[Sale Status	]]="Open Sale",OpenPendingCases[[#This Row],[Potential Same Month]]="High"),TEXT(OpenPendingCases[[#This Row],[Request Entry Date]], "[$-en-us]mmmm"),"")</f>
        <v/>
      </c>
      <c r="AK68" s="165">
        <f>IFERROR(VALUE(SUBSTITUTE(OpenPendingCases[[#This Row],[Price]]," AED","")),"")</f>
        <v/>
      </c>
      <c r="AL68" s="165">
        <f>IFERROR(VALUE(LEFT(OpenPendingCases[[#This Row],[Price]],FIND(" ",OpenPendingCases[[#This Row],[Price]])-1)),"")</f>
        <v/>
      </c>
      <c r="AM68" s="165">
        <f>IFERROR(VALUE(_xlfn.TEXTBEFORE(OpenPendingCases[[#This Row],[Price]]," AED")),"")</f>
        <v/>
      </c>
      <c r="AN68" s="165" t="n"/>
    </row>
    <row r="69" hidden="1" ht="18" customHeight="1" s="287">
      <c r="C69" s="148" t="n">
        <v>68</v>
      </c>
      <c r="D69" s="136">
        <f>IF($U69="Open Sale", IF(MAX($D$4:D68)+1=0, "", MAX($D$4:D68)+1), "")</f>
        <v/>
      </c>
      <c r="E69" s="136">
        <f>IF($U69="Pending Allocation", IF(MAX($E$4:E68)+1=0, "", MAX($E$4:E68)+1), "")</f>
        <v/>
      </c>
      <c r="F69" s="136" t="n"/>
      <c r="G69" s="136" t="n"/>
      <c r="H69" s="150" t="n"/>
      <c r="I69" s="150" t="n"/>
      <c r="J69" s="67">
        <f>IF(OpenPendingCases[[#This Row],[Timepiece Reference ]]="", "", IF(_xlfn.XLOOKUP(OpenPendingCases[[#This Row],[Timepiece Reference ]], Table1[[Timepiece Reference ]], Table1[CRC STOCK], "Not Found")="YES", "CRC Stock", "Boutique Stock"))</f>
        <v/>
      </c>
      <c r="K69" s="136">
        <f>IF(OpenPendingCases[[#This Row],[Timepiece Reference ]]="", "", IF(_xlfn.XLOOKUP(OpenPendingCases[[#This Row],[Timepiece Reference ]], Table1[[Timepiece Reference ]], Table1[CRC STOCK], "Not Found")="YES", "CRC Stock", "Boutique Stock"))</f>
        <v/>
      </c>
      <c r="L69" s="139" t="n"/>
      <c r="M69" s="140" t="n"/>
      <c r="N69" s="136" t="n"/>
      <c r="O69" s="133" t="n"/>
      <c r="P69" s="93">
        <f>IFERROR(VLOOKUP(TRIM(O69), Collection!$B$2:$D$1001, 2, FALSE), "")</f>
        <v/>
      </c>
      <c r="Q69" s="190">
        <f>IFERROR(VLOOKUP(TRIM(O69), Collection!$B$2:$D$1001, 3, FALSE), "")</f>
        <v/>
      </c>
      <c r="R69" s="153">
        <f>IFERROR(VALUE(SUBSTITUTE(SUBSTITUTE(Q69, "Price", ""), "AED", "")), "")</f>
        <v/>
      </c>
      <c r="S69" s="154" t="n"/>
      <c r="T69" s="166" t="n"/>
      <c r="U69" s="136" t="n"/>
      <c r="V69" s="136" t="n"/>
      <c r="W69" s="156">
        <f>IF(Z69 = "",
"",
TEXT(Z69, "mmmm"))</f>
        <v/>
      </c>
      <c r="X69" s="157" t="n"/>
      <c r="Y69" s="158" t="n"/>
      <c r="Z69" s="158" t="n"/>
      <c r="AA69" s="136">
        <f>IF(H69="", "", IF(U69="Open Sale", IF(TODAY()-H69=0, "0 Days", TEXT(TODAY()-H69, "0") &amp; " Days"), IF(U69="Closed Sale", AA69, "")))</f>
        <v/>
      </c>
      <c r="AB69" s="136">
        <f>IF(H69="", "", IF(OR(U69="Pending", U69="Pending Allocation"), CONCATENATE(TODAY()-H69, " Days"), IF(U69="Closed", "", "")))</f>
        <v/>
      </c>
      <c r="AC69" s="160">
        <f>IF(U69="Pending Allocation", IF(I69="", "", TODAY()-I69), "")</f>
        <v/>
      </c>
      <c r="AD69" s="159">
        <f>IF(U69="Open Sale", TEXT(TODAY()-I69, "0"),
IF(U69="Pending", "",
IF(U69="Closed Sale", "", "")))</f>
        <v/>
      </c>
      <c r="AE69" s="161" t="n"/>
      <c r="AF69" s="161" t="n"/>
      <c r="AG69" s="161" t="n"/>
      <c r="AH69" s="136" t="n"/>
      <c r="AI69" s="164">
        <f>IF(I69="","",TEXT(I69, "mmmm yyyy"))</f>
        <v/>
      </c>
      <c r="AJ69" s="164">
        <f>IF(AND(OpenPendingCases[[#This Row],[Sale Status	]]="Open Sale",OpenPendingCases[[#This Row],[Potential Same Month]]="High"),TEXT(OpenPendingCases[[#This Row],[Request Entry Date]], "[$-en-us]mmmm"),"")</f>
        <v/>
      </c>
      <c r="AK69" s="165">
        <f>IFERROR(VALUE(SUBSTITUTE(OpenPendingCases[[#This Row],[Price]]," AED","")),"")</f>
        <v/>
      </c>
      <c r="AL69" s="165">
        <f>IFERROR(VALUE(LEFT(OpenPendingCases[[#This Row],[Price]],FIND(" ",OpenPendingCases[[#This Row],[Price]])-1)),"")</f>
        <v/>
      </c>
      <c r="AM69" s="165">
        <f>IFERROR(VALUE(_xlfn.TEXTBEFORE(OpenPendingCases[[#This Row],[Price]]," AED")),"")</f>
        <v/>
      </c>
      <c r="AN69" s="165" t="n"/>
    </row>
    <row r="70" hidden="1" ht="18" customHeight="1" s="287">
      <c r="C70" s="148" t="n">
        <v>69</v>
      </c>
      <c r="D70" s="136">
        <f>IF($U70="Open Sale", IF(MAX($D$4:D69)+1=0, "", MAX($D$4:D69)+1), "")</f>
        <v/>
      </c>
      <c r="E70" s="136">
        <f>IF($U70="Pending Allocation", IF(MAX($E$4:E69)+1=0, "", MAX($E$4:E69)+1), "")</f>
        <v/>
      </c>
      <c r="F70" s="136" t="n"/>
      <c r="G70" s="136" t="n"/>
      <c r="H70" s="150" t="n"/>
      <c r="I70" s="150" t="n"/>
      <c r="J70" s="67">
        <f>IF(OpenPendingCases[[#This Row],[Timepiece Reference ]]="", "", IF(_xlfn.XLOOKUP(OpenPendingCases[[#This Row],[Timepiece Reference ]], Table1[[Timepiece Reference ]], Table1[CRC STOCK], "Not Found")="YES", "CRC Stock", "Boutique Stock"))</f>
        <v/>
      </c>
      <c r="K70" s="136">
        <f>IF(OpenPendingCases[[#This Row],[Timepiece Reference ]]="", "", IF(_xlfn.XLOOKUP(OpenPendingCases[[#This Row],[Timepiece Reference ]], Table1[[Timepiece Reference ]], Table1[CRC STOCK], "Not Found")="YES", "CRC Stock", "Boutique Stock"))</f>
        <v/>
      </c>
      <c r="L70" s="139" t="n"/>
      <c r="M70" s="140" t="n"/>
      <c r="N70" s="136" t="n"/>
      <c r="O70" s="133" t="n"/>
      <c r="P70" s="93">
        <f>IFERROR(VLOOKUP(TRIM(O70), Collection!$B$2:$D$1001, 2, FALSE), "")</f>
        <v/>
      </c>
      <c r="Q70" s="190">
        <f>IFERROR(VLOOKUP(TRIM(O70), Collection!$B$2:$D$1001, 3, FALSE), "")</f>
        <v/>
      </c>
      <c r="R70" s="153">
        <f>IFERROR(VALUE(SUBSTITUTE(SUBSTITUTE(Q70, "Price", ""), "AED", "")), "")</f>
        <v/>
      </c>
      <c r="S70" s="154" t="n"/>
      <c r="T70" s="166" t="n"/>
      <c r="U70" s="136" t="n"/>
      <c r="V70" s="136" t="n"/>
      <c r="W70" s="156">
        <f>IF(Z70 = "",
"",
TEXT(Z70, "mmmm"))</f>
        <v/>
      </c>
      <c r="X70" s="157" t="n"/>
      <c r="Y70" s="158" t="n"/>
      <c r="Z70" s="158" t="n"/>
      <c r="AA70" s="136">
        <f>IF(H70="", "", IF(U70="Open Sale", IF(TODAY()-H70=0, "0 Days", TEXT(TODAY()-H70, "0") &amp; " Days"), IF(U70="Closed Sale", AA70, "")))</f>
        <v/>
      </c>
      <c r="AB70" s="136">
        <f>IF(H70="", "", IF(OR(U70="Pending", U70="Pending Allocation"), CONCATENATE(TODAY()-H70, " Days"), IF(U70="Closed", "", "")))</f>
        <v/>
      </c>
      <c r="AC70" s="160">
        <f>IF(U70="Pending Allocation", IF(I70="", "", TODAY()-I70), "")</f>
        <v/>
      </c>
      <c r="AD70" s="159">
        <f>IF(U70="Open Sale", TEXT(TODAY()-I70, "0"),
IF(U70="Pending", "",
IF(U70="Closed Sale", "", "")))</f>
        <v/>
      </c>
      <c r="AE70" s="161" t="n"/>
      <c r="AF70" s="161" t="n"/>
      <c r="AG70" s="161" t="n"/>
      <c r="AH70" s="136" t="n"/>
      <c r="AI70" s="164">
        <f>IF(I70="","",TEXT(I70, "mmmm yyyy"))</f>
        <v/>
      </c>
      <c r="AJ70" s="164">
        <f>IF(AND(OpenPendingCases[[#This Row],[Sale Status	]]="Open Sale",OpenPendingCases[[#This Row],[Potential Same Month]]="High"),TEXT(OpenPendingCases[[#This Row],[Request Entry Date]], "[$-en-us]mmmm"),"")</f>
        <v/>
      </c>
      <c r="AK70" s="165">
        <f>IFERROR(VALUE(SUBSTITUTE(OpenPendingCases[[#This Row],[Price]]," AED","")),"")</f>
        <v/>
      </c>
      <c r="AL70" s="165">
        <f>IFERROR(VALUE(LEFT(OpenPendingCases[[#This Row],[Price]],FIND(" ",OpenPendingCases[[#This Row],[Price]])-1)),"")</f>
        <v/>
      </c>
      <c r="AM70" s="165">
        <f>IFERROR(VALUE(_xlfn.TEXTBEFORE(OpenPendingCases[[#This Row],[Price]]," AED")),"")</f>
        <v/>
      </c>
      <c r="AN70" s="165" t="n"/>
    </row>
    <row r="71" hidden="1" ht="18" customHeight="1" s="287">
      <c r="C71" s="148" t="n">
        <v>70</v>
      </c>
      <c r="D71" s="136">
        <f>IF($U71="Open Sale", IF(MAX($D$4:D70)+1=0, "", MAX($D$4:D70)+1), "")</f>
        <v/>
      </c>
      <c r="E71" s="136">
        <f>IF($U71="Pending Allocation", IF(MAX($E$4:E70)+1=0, "", MAX($E$4:E70)+1), "")</f>
        <v/>
      </c>
      <c r="F71" s="136" t="n"/>
      <c r="G71" s="136" t="n"/>
      <c r="H71" s="150" t="n"/>
      <c r="I71" s="150" t="n"/>
      <c r="J71" s="67">
        <f>IF(OpenPendingCases[[#This Row],[Timepiece Reference ]]="", "", IF(_xlfn.XLOOKUP(OpenPendingCases[[#This Row],[Timepiece Reference ]], Table1[[Timepiece Reference ]], Table1[CRC STOCK], "Not Found")="YES", "CRC Stock", "Boutique Stock"))</f>
        <v/>
      </c>
      <c r="K71" s="136">
        <f>IF(OpenPendingCases[[#This Row],[Timepiece Reference ]]="", "", IF(_xlfn.XLOOKUP(OpenPendingCases[[#This Row],[Timepiece Reference ]], Table1[[Timepiece Reference ]], Table1[CRC STOCK], "Not Found")="YES", "CRC Stock", "Boutique Stock"))</f>
        <v/>
      </c>
      <c r="L71" s="139" t="n"/>
      <c r="M71" s="140" t="n"/>
      <c r="N71" s="136" t="n"/>
      <c r="O71" s="133" t="n"/>
      <c r="P71" s="93">
        <f>IFERROR(VLOOKUP(TRIM(O71), Collection!$B$2:$D$1001, 2, FALSE), "")</f>
        <v/>
      </c>
      <c r="Q71" s="190">
        <f>IFERROR(VLOOKUP(TRIM(O71), Collection!$B$2:$D$1001, 3, FALSE), "")</f>
        <v/>
      </c>
      <c r="R71" s="153">
        <f>IFERROR(VALUE(SUBSTITUTE(SUBSTITUTE(Q71, "Price", ""), "AED", "")), "")</f>
        <v/>
      </c>
      <c r="S71" s="154" t="n"/>
      <c r="T71" s="166" t="n"/>
      <c r="U71" s="136" t="n"/>
      <c r="V71" s="136" t="n"/>
      <c r="W71" s="156">
        <f>IF(Z71 = "",
"",
TEXT(Z71, "mmmm"))</f>
        <v/>
      </c>
      <c r="X71" s="157" t="n"/>
      <c r="Y71" s="158" t="n"/>
      <c r="Z71" s="158" t="n"/>
      <c r="AA71" s="136">
        <f>IF(H71="", "", IF(U71="Open Sale", IF(TODAY()-H71=0, "0 Days", TEXT(TODAY()-H71, "0") &amp; " Days"), IF(U71="Closed Sale", AA71, "")))</f>
        <v/>
      </c>
      <c r="AB71" s="136">
        <f>IF(H71="", "", IF(OR(U71="Pending", U71="Pending Allocation"), CONCATENATE(TODAY()-H71, " Days"), IF(U71="Closed", "", "")))</f>
        <v/>
      </c>
      <c r="AC71" s="160">
        <f>IF(U71="Pending Allocation", IF(I71="", "", TODAY()-I71), "")</f>
        <v/>
      </c>
      <c r="AD71" s="159">
        <f>IF(U71="Open Sale", TEXT(TODAY()-I71, "0"),
IF(U71="Pending", "",
IF(U71="Closed Sale", "", "")))</f>
        <v/>
      </c>
      <c r="AE71" s="161" t="n"/>
      <c r="AF71" s="161" t="n"/>
      <c r="AG71" s="161" t="n"/>
      <c r="AH71" s="136" t="n"/>
      <c r="AI71" s="164">
        <f>IF(I71="","",TEXT(I71, "mmmm yyyy"))</f>
        <v/>
      </c>
      <c r="AJ71" s="164">
        <f>IF(AND(OpenPendingCases[[#This Row],[Sale Status	]]="Open Sale",OpenPendingCases[[#This Row],[Potential Same Month]]="High"),TEXT(OpenPendingCases[[#This Row],[Request Entry Date]], "[$-en-us]mmmm"),"")</f>
        <v/>
      </c>
      <c r="AK71" s="165">
        <f>IFERROR(VALUE(SUBSTITUTE(OpenPendingCases[[#This Row],[Price]]," AED","")),"")</f>
        <v/>
      </c>
      <c r="AL71" s="165">
        <f>IFERROR(VALUE(LEFT(OpenPendingCases[[#This Row],[Price]],FIND(" ",OpenPendingCases[[#This Row],[Price]])-1)),"")</f>
        <v/>
      </c>
      <c r="AM71" s="165">
        <f>IFERROR(VALUE(_xlfn.TEXTBEFORE(OpenPendingCases[[#This Row],[Price]]," AED")),"")</f>
        <v/>
      </c>
      <c r="AN71" s="165" t="n"/>
    </row>
    <row r="72" hidden="1" ht="18" customHeight="1" s="287">
      <c r="C72" s="148" t="n">
        <v>71</v>
      </c>
      <c r="D72" s="136">
        <f>IF($U72="Open Sale", IF(MAX($D$4:D71)+1=0, "", MAX($D$4:D71)+1), "")</f>
        <v/>
      </c>
      <c r="E72" s="136">
        <f>IF($U72="Pending Allocation", IF(MAX($E$4:E71)+1=0, "", MAX($E$4:E71)+1), "")</f>
        <v/>
      </c>
      <c r="F72" s="136" t="n"/>
      <c r="G72" s="136" t="n"/>
      <c r="H72" s="150" t="n"/>
      <c r="I72" s="150" t="n"/>
      <c r="J72" s="67">
        <f>IF(OpenPendingCases[[#This Row],[Timepiece Reference ]]="", "", IF(_xlfn.XLOOKUP(OpenPendingCases[[#This Row],[Timepiece Reference ]], Table1[[Timepiece Reference ]], Table1[CRC STOCK], "Not Found")="YES", "CRC Stock", "Boutique Stock"))</f>
        <v/>
      </c>
      <c r="K72" s="136">
        <f>IF(OpenPendingCases[[#This Row],[Timepiece Reference ]]="", "", IF(_xlfn.XLOOKUP(OpenPendingCases[[#This Row],[Timepiece Reference ]], Table1[[Timepiece Reference ]], Table1[CRC STOCK], "Not Found")="YES", "CRC Stock", "Boutique Stock"))</f>
        <v/>
      </c>
      <c r="L72" s="139" t="n"/>
      <c r="M72" s="140" t="n"/>
      <c r="N72" s="136" t="n"/>
      <c r="O72" s="133" t="n"/>
      <c r="P72" s="93">
        <f>IFERROR(VLOOKUP(TRIM(O72), Collection!$B$2:$D$1001, 2, FALSE), "")</f>
        <v/>
      </c>
      <c r="Q72" s="190">
        <f>IFERROR(VLOOKUP(TRIM(O72), Collection!$B$2:$D$1001, 3, FALSE), "")</f>
        <v/>
      </c>
      <c r="R72" s="153">
        <f>IFERROR(VALUE(SUBSTITUTE(SUBSTITUTE(Q72, "Price", ""), "AED", "")), "")</f>
        <v/>
      </c>
      <c r="S72" s="151" t="n"/>
      <c r="T72" s="158" t="n"/>
      <c r="U72" s="136" t="n"/>
      <c r="V72" s="136" t="n"/>
      <c r="W72" s="156">
        <f>IF(Z72 = "",
"",
TEXT(Z72, "mmmm"))</f>
        <v/>
      </c>
      <c r="X72" s="157" t="n"/>
      <c r="Y72" s="158" t="n"/>
      <c r="Z72" s="158" t="n"/>
      <c r="AA72" s="136">
        <f>IF(H72="", "", IF(U72="Open Sale", IF(TODAY()-H72=0, "0 Days", TEXT(TODAY()-H72, "0") &amp; " Days"), IF(U72="Closed Sale", AA72, "")))</f>
        <v/>
      </c>
      <c r="AB72" s="136">
        <f>IF(H72="", "", IF(OR(U72="Pending", U72="Pending Allocation"), CONCATENATE(TODAY()-H72, " Days"), IF(U72="Closed", "", "")))</f>
        <v/>
      </c>
      <c r="AC72" s="160">
        <f>IF(U72="Pending Allocation", IF(I72="", "", TODAY()-I72), "")</f>
        <v/>
      </c>
      <c r="AD72" s="159">
        <f>IF(U72="Open Sale", TEXT(TODAY()-I72, "0"),
IF(U72="Pending", "",
IF(U72="Closed Sale", "", "")))</f>
        <v/>
      </c>
      <c r="AE72" s="161" t="n"/>
      <c r="AF72" s="161" t="n"/>
      <c r="AG72" s="161" t="n"/>
      <c r="AH72" s="136" t="n"/>
      <c r="AI72" s="164">
        <f>IF(I72="","",TEXT(I72, "mmmm yyyy"))</f>
        <v/>
      </c>
      <c r="AJ72" s="164">
        <f>IF(AND(OpenPendingCases[[#This Row],[Sale Status	]]="Open Sale",OpenPendingCases[[#This Row],[Potential Same Month]]="High"),TEXT(OpenPendingCases[[#This Row],[Request Entry Date]], "[$-en-us]mmmm"),"")</f>
        <v/>
      </c>
      <c r="AK72" s="165">
        <f>IFERROR(VALUE(SUBSTITUTE(OpenPendingCases[[#This Row],[Price]]," AED","")),"")</f>
        <v/>
      </c>
      <c r="AL72" s="165">
        <f>IFERROR(VALUE(LEFT(OpenPendingCases[[#This Row],[Price]],FIND(" ",OpenPendingCases[[#This Row],[Price]])-1)),"")</f>
        <v/>
      </c>
      <c r="AM72" s="165">
        <f>IFERROR(VALUE(_xlfn.TEXTBEFORE(OpenPendingCases[[#This Row],[Price]]," AED")),"")</f>
        <v/>
      </c>
      <c r="AN72" s="165" t="n"/>
    </row>
    <row r="73" hidden="1" ht="18" customHeight="1" s="287">
      <c r="C73" s="148" t="n">
        <v>72</v>
      </c>
      <c r="D73" s="136">
        <f>IF($U73="Open Sale", IF(MAX($D$4:D72)+1=0, "", MAX($D$4:D72)+1), "")</f>
        <v/>
      </c>
      <c r="E73" s="136">
        <f>IF($U73="Pending Allocation", IF(MAX($E$4:E72)+1=0, "", MAX($E$4:E72)+1), "")</f>
        <v/>
      </c>
      <c r="F73" s="136" t="n"/>
      <c r="G73" s="136" t="n"/>
      <c r="H73" s="150" t="n"/>
      <c r="I73" s="150" t="n"/>
      <c r="J73" s="67">
        <f>IF(OpenPendingCases[[#This Row],[Timepiece Reference ]]="", "", IF(_xlfn.XLOOKUP(OpenPendingCases[[#This Row],[Timepiece Reference ]], Table1[[Timepiece Reference ]], Table1[CRC STOCK], "Not Found")="YES", "CRC Stock", "Boutique Stock"))</f>
        <v/>
      </c>
      <c r="K73" s="136">
        <f>IF(OpenPendingCases[[#This Row],[Timepiece Reference ]]="", "", IF(_xlfn.XLOOKUP(OpenPendingCases[[#This Row],[Timepiece Reference ]], Table1[[Timepiece Reference ]], Table1[CRC STOCK], "Not Found")="YES", "CRC Stock", "Boutique Stock"))</f>
        <v/>
      </c>
      <c r="L73" s="139" t="n"/>
      <c r="M73" s="140" t="n"/>
      <c r="N73" s="136" t="n"/>
      <c r="O73" s="133" t="n"/>
      <c r="P73" s="93">
        <f>IFERROR(VLOOKUP(TRIM(O73), Collection!$B$2:$D$1001, 2, FALSE), "")</f>
        <v/>
      </c>
      <c r="Q73" s="190">
        <f>IFERROR(VLOOKUP(TRIM(O73), Collection!$B$2:$D$1001, 3, FALSE), "")</f>
        <v/>
      </c>
      <c r="R73" s="153">
        <f>IFERROR(VALUE(SUBSTITUTE(SUBSTITUTE(Q73, "Price", ""), "AED", "")), "")</f>
        <v/>
      </c>
      <c r="S73" s="151" t="n"/>
      <c r="T73" s="158" t="n"/>
      <c r="U73" s="136" t="n"/>
      <c r="V73" s="136" t="n"/>
      <c r="W73" s="156">
        <f>IF(Z73 = "",
"",
TEXT(Z73, "mmmm"))</f>
        <v/>
      </c>
      <c r="X73" s="157" t="n"/>
      <c r="Y73" s="158" t="n"/>
      <c r="Z73" s="158" t="n"/>
      <c r="AA73" s="136">
        <f>IF(H73="", "", IF(U73="Open Sale", IF(TODAY()-H73=0, "0 Days", TEXT(TODAY()-H73, "0") &amp; " Days"), IF(U73="Closed Sale", AA73, "")))</f>
        <v/>
      </c>
      <c r="AB73" s="136">
        <f>IF(H73="", "", IF(OR(U73="Pending", U73="Pending Allocation"), CONCATENATE(TODAY()-H73, " Days"), IF(U73="Closed", "", "")))</f>
        <v/>
      </c>
      <c r="AC73" s="160">
        <f>IF(U73="Pending Allocation", IF(I73="", "", TODAY()-I73), "")</f>
        <v/>
      </c>
      <c r="AD73" s="159">
        <f>IF(U73="Open Sale", TEXT(TODAY()-I73, "0"),
IF(U73="Pending", "",
IF(U73="Closed Sale", "", "")))</f>
        <v/>
      </c>
      <c r="AE73" s="161" t="n"/>
      <c r="AF73" s="161" t="n"/>
      <c r="AG73" s="161" t="n"/>
      <c r="AH73" s="136" t="n"/>
      <c r="AI73" s="164">
        <f>IF(I73="","",TEXT(I73, "mmmm yyyy"))</f>
        <v/>
      </c>
      <c r="AJ73" s="164">
        <f>IF(AND(OpenPendingCases[[#This Row],[Sale Status	]]="Open Sale",OpenPendingCases[[#This Row],[Potential Same Month]]="High"),TEXT(OpenPendingCases[[#This Row],[Request Entry Date]], "[$-en-us]mmmm"),"")</f>
        <v/>
      </c>
      <c r="AK73" s="165">
        <f>IFERROR(VALUE(SUBSTITUTE(OpenPendingCases[[#This Row],[Price]]," AED","")),"")</f>
        <v/>
      </c>
      <c r="AL73" s="165">
        <f>IFERROR(VALUE(LEFT(OpenPendingCases[[#This Row],[Price]],FIND(" ",OpenPendingCases[[#This Row],[Price]])-1)),"")</f>
        <v/>
      </c>
      <c r="AM73" s="165">
        <f>IFERROR(VALUE(_xlfn.TEXTBEFORE(OpenPendingCases[[#This Row],[Price]]," AED")),"")</f>
        <v/>
      </c>
      <c r="AN73" s="165" t="n"/>
    </row>
    <row r="74" hidden="1" ht="18" customHeight="1" s="287">
      <c r="C74" s="148" t="n">
        <v>73</v>
      </c>
      <c r="D74" s="136">
        <f>IF($U74="Open Sale", IF(MAX($D$4:D73)+1=0, "", MAX($D$4:D73)+1), "")</f>
        <v/>
      </c>
      <c r="E74" s="136">
        <f>IF($U74="Pending Allocation", IF(MAX($E$4:E73)+1=0, "", MAX($E$4:E73)+1), "")</f>
        <v/>
      </c>
      <c r="F74" s="136" t="n"/>
      <c r="G74" s="136" t="n"/>
      <c r="H74" s="150" t="n"/>
      <c r="I74" s="150" t="n"/>
      <c r="J74" s="67">
        <f>IF(OpenPendingCases[[#This Row],[Timepiece Reference ]]="", "", IF(_xlfn.XLOOKUP(OpenPendingCases[[#This Row],[Timepiece Reference ]], Table1[[Timepiece Reference ]], Table1[CRC STOCK], "Not Found")="YES", "CRC Stock", "Boutique Stock"))</f>
        <v/>
      </c>
      <c r="K74" s="136">
        <f>IF(OpenPendingCases[[#This Row],[Timepiece Reference ]]="", "", IF(_xlfn.XLOOKUP(OpenPendingCases[[#This Row],[Timepiece Reference ]], Table1[[Timepiece Reference ]], Table1[CRC STOCK], "Not Found")="YES", "CRC Stock", "Boutique Stock"))</f>
        <v/>
      </c>
      <c r="L74" s="139" t="n"/>
      <c r="M74" s="140" t="n"/>
      <c r="N74" s="136" t="n"/>
      <c r="O74" s="133" t="n"/>
      <c r="P74" s="93">
        <f>IFERROR(VLOOKUP(TRIM(O74), Collection!$B$2:$D$1001, 2, FALSE), "")</f>
        <v/>
      </c>
      <c r="Q74" s="190">
        <f>IFERROR(VLOOKUP(TRIM(O74), Collection!$B$2:$D$1001, 3, FALSE), "")</f>
        <v/>
      </c>
      <c r="R74" s="153">
        <f>IFERROR(VALUE(SUBSTITUTE(SUBSTITUTE(Q74, "Price", ""), "AED", "")), "")</f>
        <v/>
      </c>
      <c r="S74" s="151" t="n"/>
      <c r="T74" s="158" t="n"/>
      <c r="U74" s="136" t="n"/>
      <c r="V74" s="136" t="n"/>
      <c r="W74" s="156">
        <f>IF(Z74 = "",
"",
TEXT(Z74, "mmmm"))</f>
        <v/>
      </c>
      <c r="X74" s="157" t="n"/>
      <c r="Y74" s="158" t="n"/>
      <c r="Z74" s="158" t="n"/>
      <c r="AA74" s="136">
        <f>IF(H74="", "", IF(U74="Open Sale", IF(TODAY()-H74=0, "0 Days", TEXT(TODAY()-H74, "0") &amp; " Days"), IF(U74="Closed Sale", AA74, "")))</f>
        <v/>
      </c>
      <c r="AB74" s="136">
        <f>IF(H74="", "", IF(OR(U74="Pending", U74="Pending Allocation"), CONCATENATE(TODAY()-H74, " Days"), IF(U74="Closed", "", "")))</f>
        <v/>
      </c>
      <c r="AC74" s="160">
        <f>IF(U74="Pending Allocation", IF(I74="", "", TODAY()-I74), "")</f>
        <v/>
      </c>
      <c r="AD74" s="159">
        <f>IF(U74="Open Sale", TEXT(TODAY()-I74, "0"),
IF(U74="Pending", "",
IF(U74="Closed Sale", "", "")))</f>
        <v/>
      </c>
      <c r="AE74" s="161" t="n"/>
      <c r="AF74" s="161" t="n"/>
      <c r="AG74" s="161" t="n"/>
      <c r="AH74" s="136" t="n"/>
      <c r="AI74" s="164">
        <f>IF(I74="","",TEXT(I74, "mmmm yyyy"))</f>
        <v/>
      </c>
      <c r="AJ74" s="164">
        <f>IF(AND(OpenPendingCases[[#This Row],[Sale Status	]]="Open Sale",OpenPendingCases[[#This Row],[Potential Same Month]]="High"),TEXT(OpenPendingCases[[#This Row],[Request Entry Date]], "[$-en-us]mmmm"),"")</f>
        <v/>
      </c>
      <c r="AK74" s="165">
        <f>IFERROR(VALUE(SUBSTITUTE(OpenPendingCases[[#This Row],[Price]]," AED","")),"")</f>
        <v/>
      </c>
      <c r="AL74" s="165">
        <f>IFERROR(VALUE(LEFT(OpenPendingCases[[#This Row],[Price]],FIND(" ",OpenPendingCases[[#This Row],[Price]])-1)),"")</f>
        <v/>
      </c>
      <c r="AM74" s="165">
        <f>IFERROR(VALUE(_xlfn.TEXTBEFORE(OpenPendingCases[[#This Row],[Price]]," AED")),"")</f>
        <v/>
      </c>
      <c r="AN74" s="165" t="n"/>
    </row>
    <row r="75" hidden="1" ht="18" customHeight="1" s="287">
      <c r="C75" s="148" t="n">
        <v>74</v>
      </c>
      <c r="D75" s="136">
        <f>IF($U75="Open Sale", IF(MAX($D$4:D74)+1=0, "", MAX($D$4:D74)+1), "")</f>
        <v/>
      </c>
      <c r="E75" s="136">
        <f>IF($U75="Pending Allocation", IF(MAX($E$4:E74)+1=0, "", MAX($E$4:E74)+1), "")</f>
        <v/>
      </c>
      <c r="F75" s="136" t="n"/>
      <c r="G75" s="136" t="n"/>
      <c r="H75" s="150" t="n"/>
      <c r="I75" s="150" t="n"/>
      <c r="J75" s="67">
        <f>IF(OpenPendingCases[[#This Row],[Timepiece Reference ]]="", "", IF(_xlfn.XLOOKUP(OpenPendingCases[[#This Row],[Timepiece Reference ]], Table1[[Timepiece Reference ]], Table1[CRC STOCK], "Not Found")="YES", "CRC Stock", "Boutique Stock"))</f>
        <v/>
      </c>
      <c r="K75" s="136">
        <f>IF(OpenPendingCases[[#This Row],[Timepiece Reference ]]="", "", IF(_xlfn.XLOOKUP(OpenPendingCases[[#This Row],[Timepiece Reference ]], Table1[[Timepiece Reference ]], Table1[CRC STOCK], "Not Found")="YES", "CRC Stock", "Boutique Stock"))</f>
        <v/>
      </c>
      <c r="L75" s="139" t="n"/>
      <c r="M75" s="140" t="n"/>
      <c r="N75" s="136" t="n"/>
      <c r="O75" s="133" t="n"/>
      <c r="P75" s="93">
        <f>IFERROR(VLOOKUP(TRIM(O75), Collection!$B$2:$D$1001, 2, FALSE), "")</f>
        <v/>
      </c>
      <c r="Q75" s="190">
        <f>IFERROR(VLOOKUP(TRIM(O75), Collection!$B$2:$D$1001, 3, FALSE), "")</f>
        <v/>
      </c>
      <c r="R75" s="153">
        <f>IFERROR(VALUE(SUBSTITUTE(SUBSTITUTE(Q75, "Price", ""), "AED", "")), "")</f>
        <v/>
      </c>
      <c r="S75" s="151" t="n"/>
      <c r="T75" s="158" t="n"/>
      <c r="U75" s="136" t="n"/>
      <c r="V75" s="136" t="n"/>
      <c r="W75" s="156">
        <f>IF(Z75 = "",
"",
TEXT(Z75, "mmmm"))</f>
        <v/>
      </c>
      <c r="X75" s="157" t="n"/>
      <c r="Y75" s="158" t="n"/>
      <c r="Z75" s="158" t="n"/>
      <c r="AA75" s="136">
        <f>IF(H75="", "", IF(U75="Open Sale", IF(TODAY()-H75=0, "0 Days", TEXT(TODAY()-H75, "0") &amp; " Days"), IF(U75="Closed Sale", AA75, "")))</f>
        <v/>
      </c>
      <c r="AB75" s="136">
        <f>IF(H75="", "", IF(OR(U75="Pending", U75="Pending Allocation"), CONCATENATE(TODAY()-H75, " Days"), IF(U75="Closed", "", "")))</f>
        <v/>
      </c>
      <c r="AC75" s="160">
        <f>IF(U75="Pending Allocation", IF(I75="", "", TODAY()-I75), "")</f>
        <v/>
      </c>
      <c r="AD75" s="159">
        <f>IF(U75="Open Sale", TEXT(TODAY()-I75, "0"),
IF(U75="Pending", "",
IF(U75="Closed Sale", "", "")))</f>
        <v/>
      </c>
      <c r="AE75" s="161" t="n"/>
      <c r="AF75" s="161" t="n"/>
      <c r="AG75" s="161" t="n"/>
      <c r="AH75" s="136" t="n"/>
      <c r="AI75" s="164">
        <f>IF(I75="","",TEXT(I75, "mmmm yyyy"))</f>
        <v/>
      </c>
      <c r="AJ75" s="164">
        <f>IF(AND(OpenPendingCases[[#This Row],[Sale Status	]]="Open Sale",OpenPendingCases[[#This Row],[Potential Same Month]]="High"),TEXT(OpenPendingCases[[#This Row],[Request Entry Date]], "[$-en-us]mmmm"),"")</f>
        <v/>
      </c>
      <c r="AK75" s="165">
        <f>IFERROR(VALUE(SUBSTITUTE(OpenPendingCases[[#This Row],[Price]]," AED","")),"")</f>
        <v/>
      </c>
      <c r="AL75" s="165">
        <f>IFERROR(VALUE(LEFT(OpenPendingCases[[#This Row],[Price]],FIND(" ",OpenPendingCases[[#This Row],[Price]])-1)),"")</f>
        <v/>
      </c>
      <c r="AM75" s="165">
        <f>IFERROR(VALUE(_xlfn.TEXTBEFORE(OpenPendingCases[[#This Row],[Price]]," AED")),"")</f>
        <v/>
      </c>
      <c r="AN75" s="165" t="n"/>
    </row>
    <row r="76" hidden="1" ht="18" customHeight="1" s="287">
      <c r="C76" s="148" t="n">
        <v>75</v>
      </c>
      <c r="D76" s="136">
        <f>IF($U76="Open Sale", IF(MAX($D$4:D75)+1=0, "", MAX($D$4:D75)+1), "")</f>
        <v/>
      </c>
      <c r="E76" s="136">
        <f>IF($U76="Pending Allocation", IF(MAX($E$4:E75)+1=0, "", MAX($E$4:E75)+1), "")</f>
        <v/>
      </c>
      <c r="F76" s="136" t="n"/>
      <c r="G76" s="136" t="n"/>
      <c r="H76" s="150" t="n"/>
      <c r="I76" s="150" t="n"/>
      <c r="J76" s="67">
        <f>IF(OpenPendingCases[[#This Row],[Timepiece Reference ]]="", "", IF(_xlfn.XLOOKUP(OpenPendingCases[[#This Row],[Timepiece Reference ]], Table1[[Timepiece Reference ]], Table1[CRC STOCK], "Not Found")="YES", "CRC Stock", "Boutique Stock"))</f>
        <v/>
      </c>
      <c r="K76" s="136">
        <f>IF(OpenPendingCases[[#This Row],[Timepiece Reference ]]="", "", IF(_xlfn.XLOOKUP(OpenPendingCases[[#This Row],[Timepiece Reference ]], Table1[[Timepiece Reference ]], Table1[CRC STOCK], "Not Found")="YES", "CRC Stock", "Boutique Stock"))</f>
        <v/>
      </c>
      <c r="L76" s="139" t="n"/>
      <c r="M76" s="140" t="n"/>
      <c r="N76" s="136" t="n"/>
      <c r="O76" s="133" t="n"/>
      <c r="P76" s="93">
        <f>IFERROR(VLOOKUP(TRIM(O76), Collection!$B$2:$D$1001, 2, FALSE), "")</f>
        <v/>
      </c>
      <c r="Q76" s="190">
        <f>IFERROR(VLOOKUP(TRIM(O76), Collection!$B$2:$D$1001, 3, FALSE), "")</f>
        <v/>
      </c>
      <c r="R76" s="153">
        <f>IFERROR(VALUE(SUBSTITUTE(SUBSTITUTE(Q76, "Price", ""), "AED", "")), "")</f>
        <v/>
      </c>
      <c r="S76" s="151" t="n"/>
      <c r="T76" s="158" t="n"/>
      <c r="U76" s="136" t="n"/>
      <c r="V76" s="136" t="n"/>
      <c r="W76" s="156">
        <f>IF(Z76 = "",
"",
TEXT(Z76, "mmmm"))</f>
        <v/>
      </c>
      <c r="X76" s="157" t="n"/>
      <c r="Y76" s="158" t="n"/>
      <c r="Z76" s="158" t="n"/>
      <c r="AA76" s="136">
        <f>IF(H76="", "", IF(U76="Open Sale", IF(TODAY()-H76=0, "0 Days", TEXT(TODAY()-H76, "0") &amp; " Days"), IF(U76="Closed Sale", AA76, "")))</f>
        <v/>
      </c>
      <c r="AB76" s="136">
        <f>IF(H76="", "", IF(OR(U76="Pending", U76="Pending Allocation"), CONCATENATE(TODAY()-H76, " Days"), IF(U76="Closed", "", "")))</f>
        <v/>
      </c>
      <c r="AC76" s="160">
        <f>IF(U76="Pending Allocation", IF(I76="", "", TODAY()-I76), "")</f>
        <v/>
      </c>
      <c r="AD76" s="159">
        <f>IF(U76="Open Sale", TEXT(TODAY()-I76, "0"),
IF(U76="Pending", "",
IF(U76="Closed Sale", "", "")))</f>
        <v/>
      </c>
      <c r="AE76" s="161" t="n"/>
      <c r="AF76" s="161" t="n"/>
      <c r="AG76" s="161" t="n"/>
      <c r="AH76" s="136" t="n"/>
      <c r="AI76" s="164">
        <f>IF(I76="","",TEXT(I76, "mmmm yyyy"))</f>
        <v/>
      </c>
      <c r="AJ76" s="164">
        <f>IF(AND(OpenPendingCases[[#This Row],[Sale Status	]]="Open Sale",OpenPendingCases[[#This Row],[Potential Same Month]]="High"),TEXT(OpenPendingCases[[#This Row],[Request Entry Date]], "[$-en-us]mmmm"),"")</f>
        <v/>
      </c>
      <c r="AK76" s="165">
        <f>IFERROR(VALUE(SUBSTITUTE(OpenPendingCases[[#This Row],[Price]]," AED","")),"")</f>
        <v/>
      </c>
      <c r="AL76" s="165">
        <f>IFERROR(VALUE(LEFT(OpenPendingCases[[#This Row],[Price]],FIND(" ",OpenPendingCases[[#This Row],[Price]])-1)),"")</f>
        <v/>
      </c>
      <c r="AM76" s="165">
        <f>IFERROR(VALUE(_xlfn.TEXTBEFORE(OpenPendingCases[[#This Row],[Price]]," AED")),"")</f>
        <v/>
      </c>
      <c r="AN76" s="165" t="n"/>
    </row>
    <row r="77" hidden="1" ht="18" customHeight="1" s="287">
      <c r="C77" s="148" t="n">
        <v>76</v>
      </c>
      <c r="D77" s="136">
        <f>IF($U77="Open Sale", IF(MAX($D$4:D76)+1=0, "", MAX($D$4:D76)+1), "")</f>
        <v/>
      </c>
      <c r="E77" s="136">
        <f>IF($U77="Pending Allocation", IF(MAX($E$4:E76)+1=0, "", MAX($E$4:E76)+1), "")</f>
        <v/>
      </c>
      <c r="F77" s="136" t="n"/>
      <c r="G77" s="136" t="n"/>
      <c r="H77" s="150" t="n"/>
      <c r="I77" s="150" t="n"/>
      <c r="J77" s="67">
        <f>IF(OpenPendingCases[[#This Row],[Timepiece Reference ]]="", "", IF(_xlfn.XLOOKUP(OpenPendingCases[[#This Row],[Timepiece Reference ]], Table1[[Timepiece Reference ]], Table1[CRC STOCK], "Not Found")="YES", "CRC Stock", "Boutique Stock"))</f>
        <v/>
      </c>
      <c r="K77" s="136">
        <f>IF(OpenPendingCases[[#This Row],[Timepiece Reference ]]="", "", IF(_xlfn.XLOOKUP(OpenPendingCases[[#This Row],[Timepiece Reference ]], Table1[[Timepiece Reference ]], Table1[CRC STOCK], "Not Found")="YES", "CRC Stock", "Boutique Stock"))</f>
        <v/>
      </c>
      <c r="L77" s="139" t="n"/>
      <c r="M77" s="140" t="n"/>
      <c r="N77" s="136" t="n"/>
      <c r="O77" s="133" t="n"/>
      <c r="P77" s="93">
        <f>IFERROR(VLOOKUP(TRIM(O77), Collection!$B$2:$D$1001, 2, FALSE), "")</f>
        <v/>
      </c>
      <c r="Q77" s="190">
        <f>IFERROR(VLOOKUP(TRIM(O77), Collection!$B$2:$D$1001, 3, FALSE), "")</f>
        <v/>
      </c>
      <c r="R77" s="153">
        <f>IFERROR(VALUE(SUBSTITUTE(SUBSTITUTE(Q77, "Price", ""), "AED", "")), "")</f>
        <v/>
      </c>
      <c r="S77" s="151" t="n"/>
      <c r="T77" s="158" t="n"/>
      <c r="U77" s="136" t="n"/>
      <c r="V77" s="136" t="n"/>
      <c r="W77" s="156">
        <f>IF(Z77 = "",
"",
TEXT(Z77, "mmmm"))</f>
        <v/>
      </c>
      <c r="X77" s="157" t="n"/>
      <c r="Y77" s="158" t="n"/>
      <c r="Z77" s="158" t="n"/>
      <c r="AA77" s="136">
        <f>IF(H77="", "", IF(U77="Open Sale", IF(TODAY()-H77=0, "0 Days", TEXT(TODAY()-H77, "0") &amp; " Days"), IF(U77="Closed Sale", AA77, "")))</f>
        <v/>
      </c>
      <c r="AB77" s="136">
        <f>IF(H77="", "", IF(OR(U77="Pending", U77="Pending Allocation"), CONCATENATE(TODAY()-H77, " Days"), IF(U77="Closed", "", "")))</f>
        <v/>
      </c>
      <c r="AC77" s="160">
        <f>IF(U77="Pending Allocation", IF(I77="", "", TODAY()-I77), "")</f>
        <v/>
      </c>
      <c r="AD77" s="159">
        <f>IF(U77="Open Sale", TEXT(TODAY()-I77, "0"),
IF(U77="Pending", "",
IF(U77="Closed Sale", "", "")))</f>
        <v/>
      </c>
      <c r="AE77" s="161" t="n"/>
      <c r="AF77" s="161" t="n"/>
      <c r="AG77" s="161" t="n"/>
      <c r="AH77" s="136" t="n"/>
      <c r="AI77" s="164">
        <f>IF(I77="","",TEXT(I77, "mmmm yyyy"))</f>
        <v/>
      </c>
      <c r="AJ77" s="164">
        <f>IF(AND(OpenPendingCases[[#This Row],[Sale Status	]]="Open Sale",OpenPendingCases[[#This Row],[Potential Same Month]]="High"),TEXT(OpenPendingCases[[#This Row],[Request Entry Date]], "[$-en-us]mmmm"),"")</f>
        <v/>
      </c>
      <c r="AK77" s="165">
        <f>IFERROR(VALUE(SUBSTITUTE(OpenPendingCases[[#This Row],[Price]]," AED","")),"")</f>
        <v/>
      </c>
      <c r="AL77" s="165">
        <f>IFERROR(VALUE(LEFT(OpenPendingCases[[#This Row],[Price]],FIND(" ",OpenPendingCases[[#This Row],[Price]])-1)),"")</f>
        <v/>
      </c>
      <c r="AM77" s="165">
        <f>IFERROR(VALUE(_xlfn.TEXTBEFORE(OpenPendingCases[[#This Row],[Price]]," AED")),"")</f>
        <v/>
      </c>
      <c r="AN77" s="165" t="n"/>
    </row>
    <row r="78" hidden="1" ht="18" customHeight="1" s="287">
      <c r="C78" s="148" t="n">
        <v>77</v>
      </c>
      <c r="D78" s="136">
        <f>IF($U78="Open Sale", IF(MAX($D$4:D77)+1=0, "", MAX($D$4:D77)+1), "")</f>
        <v/>
      </c>
      <c r="E78" s="136">
        <f>IF($U78="Pending Allocation", IF(MAX($E$4:E77)+1=0, "", MAX($E$4:E77)+1), "")</f>
        <v/>
      </c>
      <c r="F78" s="136" t="n"/>
      <c r="G78" s="136" t="n"/>
      <c r="H78" s="150" t="n"/>
      <c r="I78" s="150" t="n"/>
      <c r="J78" s="67">
        <f>IF(OpenPendingCases[[#This Row],[Timepiece Reference ]]="", "", IF(_xlfn.XLOOKUP(OpenPendingCases[[#This Row],[Timepiece Reference ]], Table1[[Timepiece Reference ]], Table1[CRC STOCK], "Not Found")="YES", "CRC Stock", "Boutique Stock"))</f>
        <v/>
      </c>
      <c r="K78" s="136">
        <f>IF(OpenPendingCases[[#This Row],[Timepiece Reference ]]="", "", IF(_xlfn.XLOOKUP(OpenPendingCases[[#This Row],[Timepiece Reference ]], Table1[[Timepiece Reference ]], Table1[CRC STOCK], "Not Found")="YES", "CRC Stock", "Boutique Stock"))</f>
        <v/>
      </c>
      <c r="L78" s="139" t="n"/>
      <c r="M78" s="140" t="n"/>
      <c r="N78" s="136" t="n"/>
      <c r="O78" s="133" t="n"/>
      <c r="P78" s="93">
        <f>IFERROR(VLOOKUP(TRIM(O78), Collection!$B$2:$D$1001, 2, FALSE), "")</f>
        <v/>
      </c>
      <c r="Q78" s="190">
        <f>IFERROR(VLOOKUP(TRIM(O78), Collection!$B$2:$D$1001, 3, FALSE), "")</f>
        <v/>
      </c>
      <c r="R78" s="153">
        <f>IFERROR(VALUE(SUBSTITUTE(SUBSTITUTE(Q78, "Price", ""), "AED", "")), "")</f>
        <v/>
      </c>
      <c r="S78" s="151" t="n"/>
      <c r="T78" s="158" t="n"/>
      <c r="U78" s="136" t="n"/>
      <c r="V78" s="136" t="n"/>
      <c r="W78" s="156">
        <f>IF(Z78 = "",
"",
TEXT(Z78, "mmmm"))</f>
        <v/>
      </c>
      <c r="X78" s="157" t="n"/>
      <c r="Y78" s="158" t="n"/>
      <c r="Z78" s="158" t="n"/>
      <c r="AA78" s="136">
        <f>IF(H78="", "", IF(U78="Open Sale", IF(TODAY()-H78=0, "0 Days", TEXT(TODAY()-H78, "0") &amp; " Days"), IF(U78="Closed Sale", AA78, "")))</f>
        <v/>
      </c>
      <c r="AB78" s="136">
        <f>IF(H78="", "", IF(OR(U78="Pending", U78="Pending Allocation"), CONCATENATE(TODAY()-H78, " Days"), IF(U78="Closed", "", "")))</f>
        <v/>
      </c>
      <c r="AC78" s="160">
        <f>IF(U78="Pending Allocation", IF(I78="", "", TODAY()-I78), "")</f>
        <v/>
      </c>
      <c r="AD78" s="159">
        <f>IF(U78="Open Sale", TEXT(TODAY()-I78, "0"),
IF(U78="Pending", "",
IF(U78="Closed Sale", "", "")))</f>
        <v/>
      </c>
      <c r="AE78" s="161" t="n"/>
      <c r="AF78" s="161" t="n"/>
      <c r="AG78" s="161" t="n"/>
      <c r="AH78" s="136" t="n"/>
      <c r="AI78" s="164">
        <f>IF(I78="","",TEXT(I78, "mmmm yyyy"))</f>
        <v/>
      </c>
      <c r="AJ78" s="164">
        <f>IF(AND(OpenPendingCases[[#This Row],[Sale Status	]]="Open Sale",OpenPendingCases[[#This Row],[Potential Same Month]]="High"),TEXT(OpenPendingCases[[#This Row],[Request Entry Date]], "[$-en-us]mmmm"),"")</f>
        <v/>
      </c>
      <c r="AK78" s="165">
        <f>IFERROR(VALUE(SUBSTITUTE(OpenPendingCases[[#This Row],[Price]]," AED","")),"")</f>
        <v/>
      </c>
      <c r="AL78" s="165">
        <f>IFERROR(VALUE(LEFT(OpenPendingCases[[#This Row],[Price]],FIND(" ",OpenPendingCases[[#This Row],[Price]])-1)),"")</f>
        <v/>
      </c>
      <c r="AM78" s="165">
        <f>IFERROR(VALUE(_xlfn.TEXTBEFORE(OpenPendingCases[[#This Row],[Price]]," AED")),"")</f>
        <v/>
      </c>
      <c r="AN78" s="165" t="n"/>
    </row>
    <row r="79" hidden="1" ht="18" customHeight="1" s="287">
      <c r="C79" s="148" t="n">
        <v>78</v>
      </c>
      <c r="D79" s="136">
        <f>IF($U79="Open Sale", IF(MAX($D$4:D78)+1=0, "", MAX($D$4:D78)+1), "")</f>
        <v/>
      </c>
      <c r="E79" s="136">
        <f>IF($U79="Pending Allocation", IF(MAX($E$4:E78)+1=0, "", MAX($E$4:E78)+1), "")</f>
        <v/>
      </c>
      <c r="F79" s="136" t="n"/>
      <c r="G79" s="136" t="n"/>
      <c r="H79" s="150" t="n"/>
      <c r="I79" s="150" t="n"/>
      <c r="J79" s="67">
        <f>IF(OpenPendingCases[[#This Row],[Timepiece Reference ]]="", "", IF(_xlfn.XLOOKUP(OpenPendingCases[[#This Row],[Timepiece Reference ]], Table1[[Timepiece Reference ]], Table1[CRC STOCK], "Not Found")="YES", "CRC Stock", "Boutique Stock"))</f>
        <v/>
      </c>
      <c r="K79" s="136">
        <f>IF(OpenPendingCases[[#This Row],[Timepiece Reference ]]="", "", IF(_xlfn.XLOOKUP(OpenPendingCases[[#This Row],[Timepiece Reference ]], Table1[[Timepiece Reference ]], Table1[CRC STOCK], "Not Found")="YES", "CRC Stock", "Boutique Stock"))</f>
        <v/>
      </c>
      <c r="L79" s="139" t="n"/>
      <c r="M79" s="140" t="n"/>
      <c r="N79" s="136" t="n"/>
      <c r="O79" s="133" t="n"/>
      <c r="P79" s="93">
        <f>IFERROR(VLOOKUP(TRIM(O79), Collection!$B$2:$D$1001, 2, FALSE), "")</f>
        <v/>
      </c>
      <c r="Q79" s="190">
        <f>IFERROR(VLOOKUP(TRIM(O79), Collection!$B$2:$D$1001, 3, FALSE), "")</f>
        <v/>
      </c>
      <c r="R79" s="153">
        <f>IFERROR(VALUE(SUBSTITUTE(SUBSTITUTE(Q79, "Price", ""), "AED", "")), "")</f>
        <v/>
      </c>
      <c r="S79" s="151" t="n"/>
      <c r="T79" s="158" t="n"/>
      <c r="U79" s="136" t="n"/>
      <c r="V79" s="136" t="n"/>
      <c r="W79" s="156">
        <f>IF(Z79 = "",
"",
TEXT(Z79, "mmmm"))</f>
        <v/>
      </c>
      <c r="X79" s="157" t="n"/>
      <c r="Y79" s="158" t="n"/>
      <c r="Z79" s="158" t="n"/>
      <c r="AA79" s="136">
        <f>IF(H79="", "", IF(U79="Open Sale", IF(TODAY()-H79=0, "0 Days", TEXT(TODAY()-H79, "0") &amp; " Days"), IF(U79="Closed Sale", AA79, "")))</f>
        <v/>
      </c>
      <c r="AB79" s="136">
        <f>IF(H79="", "", IF(OR(U79="Pending", U79="Pending Allocation"), CONCATENATE(TODAY()-H79, " Days"), IF(U79="Closed", "", "")))</f>
        <v/>
      </c>
      <c r="AC79" s="160">
        <f>IF(U79="Pending Allocation", IF(I79="", "", TODAY()-I79), "")</f>
        <v/>
      </c>
      <c r="AD79" s="159">
        <f>IF(U79="Open Sale", TEXT(TODAY()-I79, "0"),
IF(U79="Pending", "",
IF(U79="Closed Sale", "", "")))</f>
        <v/>
      </c>
      <c r="AE79" s="161" t="n"/>
      <c r="AF79" s="161" t="n"/>
      <c r="AG79" s="161" t="n"/>
      <c r="AH79" s="136" t="n"/>
      <c r="AI79" s="164">
        <f>IF(I79="","",TEXT(I79, "mmmm yyyy"))</f>
        <v/>
      </c>
      <c r="AJ79" s="164">
        <f>IF(AND(OpenPendingCases[[#This Row],[Sale Status	]]="Open Sale",OpenPendingCases[[#This Row],[Potential Same Month]]="High"),TEXT(OpenPendingCases[[#This Row],[Request Entry Date]], "[$-en-us]mmmm"),"")</f>
        <v/>
      </c>
      <c r="AK79" s="165">
        <f>IFERROR(VALUE(SUBSTITUTE(OpenPendingCases[[#This Row],[Price]]," AED","")),"")</f>
        <v/>
      </c>
      <c r="AL79" s="165">
        <f>IFERROR(VALUE(LEFT(OpenPendingCases[[#This Row],[Price]],FIND(" ",OpenPendingCases[[#This Row],[Price]])-1)),"")</f>
        <v/>
      </c>
      <c r="AM79" s="165">
        <f>IFERROR(VALUE(_xlfn.TEXTBEFORE(OpenPendingCases[[#This Row],[Price]]," AED")),"")</f>
        <v/>
      </c>
      <c r="AN79" s="165" t="n"/>
    </row>
    <row r="80" hidden="1" ht="18" customHeight="1" s="287">
      <c r="C80" s="148" t="n">
        <v>79</v>
      </c>
      <c r="D80" s="136">
        <f>IF($U80="Open Sale", IF(MAX($D$4:D79)+1=0, "", MAX($D$4:D79)+1), "")</f>
        <v/>
      </c>
      <c r="E80" s="136">
        <f>IF($U80="Pending Allocation", IF(MAX($E$4:E79)+1=0, "", MAX($E$4:E79)+1), "")</f>
        <v/>
      </c>
      <c r="F80" s="136" t="n"/>
      <c r="G80" s="136" t="n"/>
      <c r="H80" s="150" t="n"/>
      <c r="I80" s="150" t="n"/>
      <c r="J80" s="67">
        <f>IF(OpenPendingCases[[#This Row],[Timepiece Reference ]]="", "", IF(_xlfn.XLOOKUP(OpenPendingCases[[#This Row],[Timepiece Reference ]], Table1[[Timepiece Reference ]], Table1[CRC STOCK], "Not Found")="YES", "CRC Stock", "Boutique Stock"))</f>
        <v/>
      </c>
      <c r="K80" s="136">
        <f>IF(OpenPendingCases[[#This Row],[Timepiece Reference ]]="", "", IF(_xlfn.XLOOKUP(OpenPendingCases[[#This Row],[Timepiece Reference ]], Table1[[Timepiece Reference ]], Table1[CRC STOCK], "Not Found")="YES", "CRC Stock", "Boutique Stock"))</f>
        <v/>
      </c>
      <c r="L80" s="139" t="n"/>
      <c r="M80" s="140" t="n"/>
      <c r="N80" s="136" t="n"/>
      <c r="O80" s="133" t="n"/>
      <c r="P80" s="93">
        <f>IFERROR(VLOOKUP(TRIM(O80), Collection!$B$2:$D$1001, 2, FALSE), "")</f>
        <v/>
      </c>
      <c r="Q80" s="190">
        <f>IFERROR(VLOOKUP(TRIM(O80), Collection!$B$2:$D$1001, 3, FALSE), "")</f>
        <v/>
      </c>
      <c r="R80" s="153">
        <f>IFERROR(VALUE(SUBSTITUTE(SUBSTITUTE(Q80, "Price", ""), "AED", "")), "")</f>
        <v/>
      </c>
      <c r="S80" s="151" t="n"/>
      <c r="T80" s="158" t="n"/>
      <c r="U80" s="136" t="n"/>
      <c r="V80" s="136" t="n"/>
      <c r="W80" s="156">
        <f>IF(Z80 = "",
"",
TEXT(Z80, "mmmm"))</f>
        <v/>
      </c>
      <c r="X80" s="157" t="n"/>
      <c r="Y80" s="158" t="n"/>
      <c r="Z80" s="158" t="n"/>
      <c r="AA80" s="136">
        <f>IF(H80="", "", IF(U80="Open Sale", IF(TODAY()-H80=0, "0 Days", TEXT(TODAY()-H80, "0") &amp; " Days"), IF(U80="Closed Sale", AA80, "")))</f>
        <v/>
      </c>
      <c r="AB80" s="136">
        <f>IF(H80="", "", IF(OR(U80="Pending", U80="Pending Allocation"), CONCATENATE(TODAY()-H80, " Days"), IF(U80="Closed", "", "")))</f>
        <v/>
      </c>
      <c r="AC80" s="160">
        <f>IF(U80="Pending Allocation", IF(I80="", "", TODAY()-I80), "")</f>
        <v/>
      </c>
      <c r="AD80" s="159">
        <f>IF(U80="Open Sale", TEXT(TODAY()-I80, "0"),
IF(U80="Pending", "",
IF(U80="Closed Sale", "", "")))</f>
        <v/>
      </c>
      <c r="AE80" s="161" t="n"/>
      <c r="AF80" s="161" t="n"/>
      <c r="AG80" s="161" t="n"/>
      <c r="AH80" s="136" t="n"/>
      <c r="AI80" s="164">
        <f>IF(I80="","",TEXT(I80, "mmmm yyyy"))</f>
        <v/>
      </c>
      <c r="AJ80" s="164">
        <f>IF(AND(OpenPendingCases[[#This Row],[Sale Status	]]="Open Sale",OpenPendingCases[[#This Row],[Potential Same Month]]="High"),TEXT(OpenPendingCases[[#This Row],[Request Entry Date]], "[$-en-us]mmmm"),"")</f>
        <v/>
      </c>
      <c r="AK80" s="165">
        <f>IFERROR(VALUE(SUBSTITUTE(OpenPendingCases[[#This Row],[Price]]," AED","")),"")</f>
        <v/>
      </c>
      <c r="AL80" s="165">
        <f>IFERROR(VALUE(LEFT(OpenPendingCases[[#This Row],[Price]],FIND(" ",OpenPendingCases[[#This Row],[Price]])-1)),"")</f>
        <v/>
      </c>
      <c r="AM80" s="165">
        <f>IFERROR(VALUE(_xlfn.TEXTBEFORE(OpenPendingCases[[#This Row],[Price]]," AED")),"")</f>
        <v/>
      </c>
      <c r="AN80" s="165" t="n"/>
    </row>
    <row r="81" hidden="1" ht="18" customHeight="1" s="287">
      <c r="C81" s="148" t="n">
        <v>80</v>
      </c>
      <c r="D81" s="136">
        <f>IF($U81="Open Sale", IF(MAX($D$4:D80)+1=0, "", MAX($D$4:D80)+1), "")</f>
        <v/>
      </c>
      <c r="E81" s="136">
        <f>IF($U81="Pending Allocation", IF(MAX($E$4:E80)+1=0, "", MAX($E$4:E80)+1), "")</f>
        <v/>
      </c>
      <c r="F81" s="136" t="n"/>
      <c r="G81" s="136" t="n"/>
      <c r="H81" s="150" t="n"/>
      <c r="I81" s="150" t="n"/>
      <c r="J81" s="67">
        <f>IF(OpenPendingCases[[#This Row],[Timepiece Reference ]]="", "", IF(_xlfn.XLOOKUP(OpenPendingCases[[#This Row],[Timepiece Reference ]], Table1[[Timepiece Reference ]], Table1[CRC STOCK], "Not Found")="YES", "CRC Stock", "Boutique Stock"))</f>
        <v/>
      </c>
      <c r="K81" s="136">
        <f>IF(OpenPendingCases[[#This Row],[Timepiece Reference ]]="", "", IF(_xlfn.XLOOKUP(OpenPendingCases[[#This Row],[Timepiece Reference ]], Table1[[Timepiece Reference ]], Table1[CRC STOCK], "Not Found")="YES", "CRC Stock", "Boutique Stock"))</f>
        <v/>
      </c>
      <c r="L81" s="139" t="n"/>
      <c r="M81" s="140" t="n"/>
      <c r="N81" s="136" t="n"/>
      <c r="O81" s="133" t="n"/>
      <c r="P81" s="93">
        <f>IFERROR(VLOOKUP(TRIM(O81), Collection!$B$2:$D$1001, 2, FALSE), "")</f>
        <v/>
      </c>
      <c r="Q81" s="190">
        <f>IFERROR(VLOOKUP(TRIM(O81), Collection!$B$2:$D$1001, 3, FALSE), "")</f>
        <v/>
      </c>
      <c r="R81" s="153">
        <f>IFERROR(VALUE(SUBSTITUTE(SUBSTITUTE(Q81, "Price", ""), "AED", "")), "")</f>
        <v/>
      </c>
      <c r="S81" s="151" t="n"/>
      <c r="T81" s="158" t="n"/>
      <c r="U81" s="136" t="n"/>
      <c r="V81" s="136" t="n"/>
      <c r="W81" s="156">
        <f>IF(Z81 = "",
"",
TEXT(Z81, "mmmm"))</f>
        <v/>
      </c>
      <c r="X81" s="157" t="n"/>
      <c r="Y81" s="158" t="n"/>
      <c r="Z81" s="158" t="n"/>
      <c r="AA81" s="136">
        <f>IF(H81="", "", IF(U81="Open Sale", IF(TODAY()-H81=0, "0 Days", TEXT(TODAY()-H81, "0") &amp; " Days"), IF(U81="Closed Sale", AA81, "")))</f>
        <v/>
      </c>
      <c r="AB81" s="136">
        <f>IF(H81="", "", IF(OR(U81="Pending", U81="Pending Allocation"), CONCATENATE(TODAY()-H81, " Days"), IF(U81="Closed", "", "")))</f>
        <v/>
      </c>
      <c r="AC81" s="160">
        <f>IF(U81="Pending Allocation", IF(I81="", "", TODAY()-I81), "")</f>
        <v/>
      </c>
      <c r="AD81" s="159">
        <f>IF(U81="Open Sale", TEXT(TODAY()-I81, "0"),
IF(U81="Pending", "",
IF(U81="Closed Sale", "", "")))</f>
        <v/>
      </c>
      <c r="AE81" s="161" t="n"/>
      <c r="AF81" s="161" t="n"/>
      <c r="AG81" s="161" t="n"/>
      <c r="AH81" s="136" t="n"/>
      <c r="AI81" s="164">
        <f>IF(I81="","",TEXT(I81, "mmmm yyyy"))</f>
        <v/>
      </c>
      <c r="AJ81" s="164">
        <f>IF(AND(OpenPendingCases[[#This Row],[Sale Status	]]="Open Sale",OpenPendingCases[[#This Row],[Potential Same Month]]="High"),TEXT(OpenPendingCases[[#This Row],[Request Entry Date]], "[$-en-us]mmmm"),"")</f>
        <v/>
      </c>
      <c r="AK81" s="165">
        <f>IFERROR(VALUE(SUBSTITUTE(OpenPendingCases[[#This Row],[Price]]," AED","")),"")</f>
        <v/>
      </c>
      <c r="AL81" s="165">
        <f>IFERROR(VALUE(LEFT(OpenPendingCases[[#This Row],[Price]],FIND(" ",OpenPendingCases[[#This Row],[Price]])-1)),"")</f>
        <v/>
      </c>
      <c r="AM81" s="165">
        <f>IFERROR(VALUE(_xlfn.TEXTBEFORE(OpenPendingCases[[#This Row],[Price]]," AED")),"")</f>
        <v/>
      </c>
      <c r="AN81" s="165" t="n"/>
    </row>
    <row r="82" hidden="1" ht="18" customHeight="1" s="287">
      <c r="C82" s="148" t="n">
        <v>81</v>
      </c>
      <c r="D82" s="136">
        <f>IF($U82="Open Sale", IF(MAX($D$4:D81)+1=0, "", MAX($D$4:D81)+1), "")</f>
        <v/>
      </c>
      <c r="E82" s="136">
        <f>IF($U82="Pending Allocation", IF(MAX($E$4:E81)+1=0, "", MAX($E$4:E81)+1), "")</f>
        <v/>
      </c>
      <c r="F82" s="136" t="n"/>
      <c r="G82" s="136" t="n"/>
      <c r="H82" s="150" t="n"/>
      <c r="I82" s="150" t="n"/>
      <c r="J82" s="67">
        <f>IF(OpenPendingCases[[#This Row],[Timepiece Reference ]]="", "", IF(_xlfn.XLOOKUP(OpenPendingCases[[#This Row],[Timepiece Reference ]], Table1[[Timepiece Reference ]], Table1[CRC STOCK], "Not Found")="YES", "CRC Stock", "Boutique Stock"))</f>
        <v/>
      </c>
      <c r="K82" s="136">
        <f>IF(OpenPendingCases[[#This Row],[Timepiece Reference ]]="", "", IF(_xlfn.XLOOKUP(OpenPendingCases[[#This Row],[Timepiece Reference ]], Table1[[Timepiece Reference ]], Table1[CRC STOCK], "Not Found")="YES", "CRC Stock", "Boutique Stock"))</f>
        <v/>
      </c>
      <c r="L82" s="139" t="n"/>
      <c r="M82" s="140" t="n"/>
      <c r="N82" s="136" t="n"/>
      <c r="O82" s="133" t="n"/>
      <c r="P82" s="93">
        <f>IFERROR(VLOOKUP(TRIM(O82), Collection!$B$2:$D$1001, 2, FALSE), "")</f>
        <v/>
      </c>
      <c r="Q82" s="190">
        <f>IFERROR(VLOOKUP(TRIM(O82), Collection!$B$2:$D$1001, 3, FALSE), "")</f>
        <v/>
      </c>
      <c r="R82" s="153">
        <f>IFERROR(VALUE(SUBSTITUTE(SUBSTITUTE(Q82, "Price", ""), "AED", "")), "")</f>
        <v/>
      </c>
      <c r="S82" s="151" t="n"/>
      <c r="T82" s="158" t="n"/>
      <c r="U82" s="136" t="n"/>
      <c r="V82" s="136" t="n"/>
      <c r="W82" s="156">
        <f>IF(Z82 = "",
"",
TEXT(Z82, "mmmm"))</f>
        <v/>
      </c>
      <c r="X82" s="157" t="n"/>
      <c r="Y82" s="158" t="n"/>
      <c r="Z82" s="158" t="n"/>
      <c r="AA82" s="136">
        <f>IF(H82="", "", IF(U82="Open Sale", IF(TODAY()-H82=0, "0 Days", TEXT(TODAY()-H82, "0") &amp; " Days"), IF(U82="Closed Sale", AA82, "")))</f>
        <v/>
      </c>
      <c r="AB82" s="136">
        <f>IF(H82="", "", IF(OR(U82="Pending", U82="Pending Allocation"), CONCATENATE(TODAY()-H82, " Days"), IF(U82="Closed", "", "")))</f>
        <v/>
      </c>
      <c r="AC82" s="160">
        <f>IF(U82="Pending Allocation", IF(I82="", "", TODAY()-I82), "")</f>
        <v/>
      </c>
      <c r="AD82" s="159">
        <f>IF(U82="Open Sale", TEXT(TODAY()-I82, "0"),
IF(U82="Pending", "",
IF(U82="Closed Sale", "", "")))</f>
        <v/>
      </c>
      <c r="AE82" s="161" t="n"/>
      <c r="AF82" s="161" t="n"/>
      <c r="AG82" s="161" t="n"/>
      <c r="AH82" s="136" t="n"/>
      <c r="AI82" s="164">
        <f>IF(I82="","",TEXT(I82, "mmmm yyyy"))</f>
        <v/>
      </c>
      <c r="AJ82" s="164">
        <f>IF(AND(OpenPendingCases[[#This Row],[Sale Status	]]="Open Sale",OpenPendingCases[[#This Row],[Potential Same Month]]="High"),TEXT(OpenPendingCases[[#This Row],[Request Entry Date]], "[$-en-us]mmmm"),"")</f>
        <v/>
      </c>
      <c r="AK82" s="165">
        <f>IFERROR(VALUE(SUBSTITUTE(OpenPendingCases[[#This Row],[Price]]," AED","")),"")</f>
        <v/>
      </c>
      <c r="AL82" s="165">
        <f>IFERROR(VALUE(LEFT(OpenPendingCases[[#This Row],[Price]],FIND(" ",OpenPendingCases[[#This Row],[Price]])-1)),"")</f>
        <v/>
      </c>
      <c r="AM82" s="165">
        <f>IFERROR(VALUE(_xlfn.TEXTBEFORE(OpenPendingCases[[#This Row],[Price]]," AED")),"")</f>
        <v/>
      </c>
      <c r="AN82" s="165" t="n"/>
    </row>
    <row r="83" hidden="1" ht="18" customHeight="1" s="287">
      <c r="C83" s="148" t="n">
        <v>82</v>
      </c>
      <c r="D83" s="136">
        <f>IF($U83="Open Sale", IF(MAX($D$4:D82)+1=0, "", MAX($D$4:D82)+1), "")</f>
        <v/>
      </c>
      <c r="E83" s="136">
        <f>IF($U83="Pending Allocation", IF(MAX($E$4:E82)+1=0, "", MAX($E$4:E82)+1), "")</f>
        <v/>
      </c>
      <c r="F83" s="136" t="n"/>
      <c r="G83" s="136" t="n"/>
      <c r="H83" s="150" t="n"/>
      <c r="I83" s="150" t="n"/>
      <c r="J83" s="67">
        <f>IF(OpenPendingCases[[#This Row],[Timepiece Reference ]]="", "", IF(_xlfn.XLOOKUP(OpenPendingCases[[#This Row],[Timepiece Reference ]], Table1[[Timepiece Reference ]], Table1[CRC STOCK], "Not Found")="YES", "CRC Stock", "Boutique Stock"))</f>
        <v/>
      </c>
      <c r="K83" s="136">
        <f>IF(OpenPendingCases[[#This Row],[Timepiece Reference ]]="", "", IF(_xlfn.XLOOKUP(OpenPendingCases[[#This Row],[Timepiece Reference ]], Table1[[Timepiece Reference ]], Table1[CRC STOCK], "Not Found")="YES", "CRC Stock", "Boutique Stock"))</f>
        <v/>
      </c>
      <c r="L83" s="139" t="n"/>
      <c r="M83" s="140" t="n"/>
      <c r="N83" s="136" t="n"/>
      <c r="O83" s="133" t="n"/>
      <c r="P83" s="93">
        <f>IFERROR(VLOOKUP(TRIM(O83), Collection!$B$2:$D$1001, 2, FALSE), "")</f>
        <v/>
      </c>
      <c r="Q83" s="190">
        <f>IFERROR(VLOOKUP(TRIM(O83), Collection!$B$2:$D$1001, 3, FALSE), "")</f>
        <v/>
      </c>
      <c r="R83" s="153">
        <f>IFERROR(VALUE(SUBSTITUTE(SUBSTITUTE(Q83, "Price", ""), "AED", "")), "")</f>
        <v/>
      </c>
      <c r="S83" s="151" t="n"/>
      <c r="T83" s="158" t="n"/>
      <c r="U83" s="136" t="n"/>
      <c r="V83" s="136" t="n"/>
      <c r="W83" s="156">
        <f>IF(Z83 = "",
"",
TEXT(Z83, "mmmm"))</f>
        <v/>
      </c>
      <c r="X83" s="157" t="n"/>
      <c r="Y83" s="158" t="n"/>
      <c r="Z83" s="158" t="n"/>
      <c r="AA83" s="136">
        <f>IF(H83="", "", IF(U83="Open Sale", IF(TODAY()-H83=0, "0 Days", TEXT(TODAY()-H83, "0") &amp; " Days"), IF(U83="Closed Sale", AA83, "")))</f>
        <v/>
      </c>
      <c r="AB83" s="136">
        <f>IF(H83="", "", IF(OR(U83="Pending", U83="Pending Allocation"), CONCATENATE(TODAY()-H83, " Days"), IF(U83="Closed", "", "")))</f>
        <v/>
      </c>
      <c r="AC83" s="160">
        <f>IF(U83="Pending Allocation", IF(I83="", "", TODAY()-I83), "")</f>
        <v/>
      </c>
      <c r="AD83" s="159">
        <f>IF(U83="Open Sale", TEXT(TODAY()-I83, "0"),
IF(U83="Pending", "",
IF(U83="Closed Sale", "", "")))</f>
        <v/>
      </c>
      <c r="AE83" s="161" t="n"/>
      <c r="AF83" s="161" t="n"/>
      <c r="AG83" s="161" t="n"/>
      <c r="AH83" s="136" t="n"/>
      <c r="AI83" s="164">
        <f>IF(I83="","",TEXT(I83, "mmmm yyyy"))</f>
        <v/>
      </c>
      <c r="AJ83" s="164">
        <f>IF(AND(OpenPendingCases[[#This Row],[Sale Status	]]="Open Sale",OpenPendingCases[[#This Row],[Potential Same Month]]="High"),TEXT(OpenPendingCases[[#This Row],[Request Entry Date]], "[$-en-us]mmmm"),"")</f>
        <v/>
      </c>
      <c r="AK83" s="165">
        <f>IFERROR(VALUE(SUBSTITUTE(OpenPendingCases[[#This Row],[Price]]," AED","")),"")</f>
        <v/>
      </c>
      <c r="AL83" s="165">
        <f>IFERROR(VALUE(LEFT(OpenPendingCases[[#This Row],[Price]],FIND(" ",OpenPendingCases[[#This Row],[Price]])-1)),"")</f>
        <v/>
      </c>
      <c r="AM83" s="165">
        <f>IFERROR(VALUE(_xlfn.TEXTBEFORE(OpenPendingCases[[#This Row],[Price]]," AED")),"")</f>
        <v/>
      </c>
      <c r="AN83" s="165" t="n"/>
    </row>
    <row r="84" hidden="1" ht="18" customHeight="1" s="287">
      <c r="C84" s="148" t="n">
        <v>83</v>
      </c>
      <c r="D84" s="136">
        <f>IF($U84="Open Sale", IF(MAX($D$4:D83)+1=0, "", MAX($D$4:D83)+1), "")</f>
        <v/>
      </c>
      <c r="E84" s="136">
        <f>IF($U84="Pending Allocation", IF(MAX($E$4:E83)+1=0, "", MAX($E$4:E83)+1), "")</f>
        <v/>
      </c>
      <c r="F84" s="136" t="n"/>
      <c r="G84" s="136" t="n"/>
      <c r="H84" s="150" t="n"/>
      <c r="I84" s="150" t="n"/>
      <c r="J84" s="67">
        <f>IF(OpenPendingCases[[#This Row],[Timepiece Reference ]]="", "", IF(_xlfn.XLOOKUP(OpenPendingCases[[#This Row],[Timepiece Reference ]], Table1[[Timepiece Reference ]], Table1[CRC STOCK], "Not Found")="YES", "CRC Stock", "Boutique Stock"))</f>
        <v/>
      </c>
      <c r="K84" s="136">
        <f>IF(OpenPendingCases[[#This Row],[Timepiece Reference ]]="", "", IF(_xlfn.XLOOKUP(OpenPendingCases[[#This Row],[Timepiece Reference ]], Table1[[Timepiece Reference ]], Table1[CRC STOCK], "Not Found")="YES", "CRC Stock", "Boutique Stock"))</f>
        <v/>
      </c>
      <c r="L84" s="139" t="n"/>
      <c r="M84" s="140" t="n"/>
      <c r="N84" s="136" t="n"/>
      <c r="O84" s="133" t="n"/>
      <c r="P84" s="93">
        <f>IFERROR(VLOOKUP(TRIM(O84), Collection!$B$2:$D$1001, 2, FALSE), "")</f>
        <v/>
      </c>
      <c r="Q84" s="190">
        <f>IFERROR(VLOOKUP(TRIM(O84), Collection!$B$2:$D$1001, 3, FALSE), "")</f>
        <v/>
      </c>
      <c r="R84" s="153">
        <f>IFERROR(VALUE(SUBSTITUTE(SUBSTITUTE(Q84, "Price", ""), "AED", "")), "")</f>
        <v/>
      </c>
      <c r="S84" s="151" t="n"/>
      <c r="T84" s="158" t="n"/>
      <c r="U84" s="136" t="n"/>
      <c r="V84" s="136" t="n"/>
      <c r="W84" s="156">
        <f>IF(Z84 = "",
"",
TEXT(Z84, "mmmm"))</f>
        <v/>
      </c>
      <c r="X84" s="157" t="n"/>
      <c r="Y84" s="158" t="n"/>
      <c r="Z84" s="158" t="n"/>
      <c r="AA84" s="136">
        <f>IF(H84="", "", IF(U84="Open Sale", IF(TODAY()-H84=0, "0 Days", TEXT(TODAY()-H84, "0") &amp; " Days"), IF(U84="Closed Sale", AA84, "")))</f>
        <v/>
      </c>
      <c r="AB84" s="136">
        <f>IF(H84="", "", IF(OR(U84="Pending", U84="Pending Allocation"), CONCATENATE(TODAY()-H84, " Days"), IF(U84="Closed", "", "")))</f>
        <v/>
      </c>
      <c r="AC84" s="160">
        <f>IF(U84="Pending Allocation", IF(I84="", "", TODAY()-I84), "")</f>
        <v/>
      </c>
      <c r="AD84" s="159">
        <f>IF(U84="Open Sale", TEXT(TODAY()-I84, "0"),
IF(U84="Pending", "",
IF(U84="Closed Sale", "", "")))</f>
        <v/>
      </c>
      <c r="AE84" s="161" t="n"/>
      <c r="AF84" s="161" t="n"/>
      <c r="AG84" s="161" t="n"/>
      <c r="AH84" s="136" t="n"/>
      <c r="AI84" s="164">
        <f>IF(I84="","",TEXT(I84, "mmmm yyyy"))</f>
        <v/>
      </c>
      <c r="AJ84" s="164">
        <f>IF(AND(OpenPendingCases[[#This Row],[Sale Status	]]="Open Sale",OpenPendingCases[[#This Row],[Potential Same Month]]="High"),TEXT(OpenPendingCases[[#This Row],[Request Entry Date]], "[$-en-us]mmmm"),"")</f>
        <v/>
      </c>
      <c r="AK84" s="165">
        <f>IFERROR(VALUE(SUBSTITUTE(OpenPendingCases[[#This Row],[Price]]," AED","")),"")</f>
        <v/>
      </c>
      <c r="AL84" s="165">
        <f>IFERROR(VALUE(LEFT(OpenPendingCases[[#This Row],[Price]],FIND(" ",OpenPendingCases[[#This Row],[Price]])-1)),"")</f>
        <v/>
      </c>
      <c r="AM84" s="165">
        <f>IFERROR(VALUE(_xlfn.TEXTBEFORE(OpenPendingCases[[#This Row],[Price]]," AED")),"")</f>
        <v/>
      </c>
      <c r="AN84" s="165" t="n"/>
    </row>
    <row r="85" hidden="1" ht="18" customHeight="1" s="287">
      <c r="C85" s="148" t="n">
        <v>84</v>
      </c>
      <c r="D85" s="136">
        <f>IF($U85="Open Sale", IF(MAX($D$4:D84)+1=0, "", MAX($D$4:D84)+1), "")</f>
        <v/>
      </c>
      <c r="E85" s="136">
        <f>IF($U85="Pending Allocation", IF(MAX($E$4:E84)+1=0, "", MAX($E$4:E84)+1), "")</f>
        <v/>
      </c>
      <c r="F85" s="136" t="n"/>
      <c r="G85" s="136" t="n"/>
      <c r="H85" s="150" t="n"/>
      <c r="I85" s="150" t="n"/>
      <c r="J85" s="67">
        <f>IF(OpenPendingCases[[#This Row],[Timepiece Reference ]]="", "", IF(_xlfn.XLOOKUP(OpenPendingCases[[#This Row],[Timepiece Reference ]], Table1[[Timepiece Reference ]], Table1[CRC STOCK], "Not Found")="YES", "CRC Stock", "Boutique Stock"))</f>
        <v/>
      </c>
      <c r="K85" s="136">
        <f>IF(OpenPendingCases[[#This Row],[Timepiece Reference ]]="", "", IF(_xlfn.XLOOKUP(OpenPendingCases[[#This Row],[Timepiece Reference ]], Table1[[Timepiece Reference ]], Table1[CRC STOCK], "Not Found")="YES", "CRC Stock", "Boutique Stock"))</f>
        <v/>
      </c>
      <c r="L85" s="139" t="n"/>
      <c r="M85" s="140" t="n"/>
      <c r="N85" s="136" t="n"/>
      <c r="O85" s="133" t="n"/>
      <c r="P85" s="93">
        <f>IFERROR(VLOOKUP(TRIM(O85), Collection!$B$2:$D$1001, 2, FALSE), "")</f>
        <v/>
      </c>
      <c r="Q85" s="190">
        <f>IFERROR(VLOOKUP(TRIM(O85), Collection!$B$2:$D$1001, 3, FALSE), "")</f>
        <v/>
      </c>
      <c r="R85" s="153">
        <f>IFERROR(VALUE(SUBSTITUTE(SUBSTITUTE(Q85, "Price", ""), "AED", "")), "")</f>
        <v/>
      </c>
      <c r="S85" s="151" t="n"/>
      <c r="T85" s="158" t="n"/>
      <c r="U85" s="136" t="n"/>
      <c r="V85" s="136" t="n"/>
      <c r="W85" s="156">
        <f>IF(Z85 = "",
"",
TEXT(Z85, "mmmm"))</f>
        <v/>
      </c>
      <c r="X85" s="157" t="n"/>
      <c r="Y85" s="158" t="n"/>
      <c r="Z85" s="158" t="n"/>
      <c r="AA85" s="136">
        <f>IF(H85="", "", IF(U85="Open Sale", IF(TODAY()-H85=0, "0 Days", TEXT(TODAY()-H85, "0") &amp; " Days"), IF(U85="Closed Sale", AA85, "")))</f>
        <v/>
      </c>
      <c r="AB85" s="136">
        <f>IF(H85="", "", IF(OR(U85="Pending", U85="Pending Allocation"), CONCATENATE(TODAY()-H85, " Days"), IF(U85="Closed", "", "")))</f>
        <v/>
      </c>
      <c r="AC85" s="160">
        <f>IF(U85="Pending Allocation", IF(I85="", "", TODAY()-I85), "")</f>
        <v/>
      </c>
      <c r="AD85" s="159">
        <f>IF(U85="Open Sale", TEXT(TODAY()-I85, "0"),
IF(U85="Pending", "",
IF(U85="Closed Sale", "", "")))</f>
        <v/>
      </c>
      <c r="AE85" s="161" t="n"/>
      <c r="AF85" s="161" t="n"/>
      <c r="AG85" s="161" t="n"/>
      <c r="AH85" s="136" t="n"/>
      <c r="AI85" s="164">
        <f>IF(I85="","",TEXT(I85, "mmmm yyyy"))</f>
        <v/>
      </c>
      <c r="AJ85" s="164">
        <f>IF(AND(OpenPendingCases[[#This Row],[Sale Status	]]="Open Sale",OpenPendingCases[[#This Row],[Potential Same Month]]="High"),TEXT(OpenPendingCases[[#This Row],[Request Entry Date]], "[$-en-us]mmmm"),"")</f>
        <v/>
      </c>
      <c r="AK85" s="165">
        <f>IFERROR(VALUE(SUBSTITUTE(OpenPendingCases[[#This Row],[Price]]," AED","")),"")</f>
        <v/>
      </c>
      <c r="AL85" s="165">
        <f>IFERROR(VALUE(LEFT(OpenPendingCases[[#This Row],[Price]],FIND(" ",OpenPendingCases[[#This Row],[Price]])-1)),"")</f>
        <v/>
      </c>
      <c r="AM85" s="165">
        <f>IFERROR(VALUE(_xlfn.TEXTBEFORE(OpenPendingCases[[#This Row],[Price]]," AED")),"")</f>
        <v/>
      </c>
      <c r="AN85" s="165" t="n"/>
    </row>
    <row r="86" hidden="1" ht="18" customHeight="1" s="287">
      <c r="C86" s="148" t="n">
        <v>85</v>
      </c>
      <c r="D86" s="136">
        <f>IF($U86="Open Sale", IF(MAX($D$4:D85)+1=0, "", MAX($D$4:D85)+1), "")</f>
        <v/>
      </c>
      <c r="E86" s="136">
        <f>IF($U86="Pending Allocation", IF(MAX($E$4:E85)+1=0, "", MAX($E$4:E85)+1), "")</f>
        <v/>
      </c>
      <c r="F86" s="136" t="n"/>
      <c r="G86" s="136" t="n"/>
      <c r="H86" s="150" t="n"/>
      <c r="I86" s="150" t="n"/>
      <c r="J86" s="67">
        <f>IF(OpenPendingCases[[#This Row],[Timepiece Reference ]]="", "", IF(_xlfn.XLOOKUP(OpenPendingCases[[#This Row],[Timepiece Reference ]], Table1[[Timepiece Reference ]], Table1[CRC STOCK], "Not Found")="YES", "CRC Stock", "Boutique Stock"))</f>
        <v/>
      </c>
      <c r="K86" s="136">
        <f>IF(OpenPendingCases[[#This Row],[Timepiece Reference ]]="", "", IF(_xlfn.XLOOKUP(OpenPendingCases[[#This Row],[Timepiece Reference ]], Table1[[Timepiece Reference ]], Table1[CRC STOCK], "Not Found")="YES", "CRC Stock", "Boutique Stock"))</f>
        <v/>
      </c>
      <c r="L86" s="139" t="n"/>
      <c r="M86" s="140" t="n"/>
      <c r="N86" s="136" t="n"/>
      <c r="O86" s="133" t="n"/>
      <c r="P86" s="93">
        <f>IFERROR(VLOOKUP(TRIM(O86), Collection!$B$2:$D$1001, 2, FALSE), "")</f>
        <v/>
      </c>
      <c r="Q86" s="190">
        <f>IFERROR(VLOOKUP(TRIM(O86), Collection!$B$2:$D$1001, 3, FALSE), "")</f>
        <v/>
      </c>
      <c r="R86" s="153">
        <f>IFERROR(VALUE(SUBSTITUTE(SUBSTITUTE(Q86, "Price", ""), "AED", "")), "")</f>
        <v/>
      </c>
      <c r="S86" s="151" t="n"/>
      <c r="T86" s="158" t="n"/>
      <c r="U86" s="136" t="n"/>
      <c r="V86" s="136" t="n"/>
      <c r="W86" s="156">
        <f>IF(Z86 = "",
"",
TEXT(Z86, "mmmm"))</f>
        <v/>
      </c>
      <c r="X86" s="157" t="n"/>
      <c r="Y86" s="158" t="n"/>
      <c r="Z86" s="158" t="n"/>
      <c r="AA86" s="136">
        <f>IF(H86="", "", IF(U86="Open Sale", IF(TODAY()-H86=0, "0 Days", TEXT(TODAY()-H86, "0") &amp; " Days"), IF(U86="Closed Sale", AA86, "")))</f>
        <v/>
      </c>
      <c r="AB86" s="136">
        <f>IF(H86="", "", IF(OR(U86="Pending", U86="Pending Allocation"), CONCATENATE(TODAY()-H86, " Days"), IF(U86="Closed", "", "")))</f>
        <v/>
      </c>
      <c r="AC86" s="160">
        <f>IF(U86="Pending Allocation", IF(I86="", "", TODAY()-I86), "")</f>
        <v/>
      </c>
      <c r="AD86" s="159">
        <f>IF(U86="Open Sale", TEXT(TODAY()-I86, "0"),
IF(U86="Pending", "",
IF(U86="Closed Sale", "", "")))</f>
        <v/>
      </c>
      <c r="AE86" s="161" t="n"/>
      <c r="AF86" s="161" t="n"/>
      <c r="AG86" s="161" t="n"/>
      <c r="AH86" s="136" t="n"/>
      <c r="AI86" s="164">
        <f>IF(I86="","",TEXT(I86, "mmmm yyyy"))</f>
        <v/>
      </c>
      <c r="AJ86" s="164">
        <f>IF(AND(OpenPendingCases[[#This Row],[Sale Status	]]="Open Sale",OpenPendingCases[[#This Row],[Potential Same Month]]="High"),TEXT(OpenPendingCases[[#This Row],[Request Entry Date]], "[$-en-us]mmmm"),"")</f>
        <v/>
      </c>
      <c r="AK86" s="165">
        <f>IFERROR(VALUE(SUBSTITUTE(OpenPendingCases[[#This Row],[Price]]," AED","")),"")</f>
        <v/>
      </c>
      <c r="AL86" s="165">
        <f>IFERROR(VALUE(LEFT(OpenPendingCases[[#This Row],[Price]],FIND(" ",OpenPendingCases[[#This Row],[Price]])-1)),"")</f>
        <v/>
      </c>
      <c r="AM86" s="165">
        <f>IFERROR(VALUE(_xlfn.TEXTBEFORE(OpenPendingCases[[#This Row],[Price]]," AED")),"")</f>
        <v/>
      </c>
      <c r="AN86" s="165" t="n"/>
    </row>
    <row r="87" hidden="1" ht="18" customHeight="1" s="287">
      <c r="C87" s="148" t="n">
        <v>86</v>
      </c>
      <c r="D87" s="136">
        <f>IF($U87="Open Sale", IF(MAX($D$4:D86)+1=0, "", MAX($D$4:D86)+1), "")</f>
        <v/>
      </c>
      <c r="E87" s="136">
        <f>IF($U87="Pending Allocation", IF(MAX($E$4:E86)+1=0, "", MAX($E$4:E86)+1), "")</f>
        <v/>
      </c>
      <c r="F87" s="136" t="n"/>
      <c r="G87" s="136" t="n"/>
      <c r="H87" s="150" t="n"/>
      <c r="I87" s="150" t="n"/>
      <c r="J87" s="67">
        <f>IF(OpenPendingCases[[#This Row],[Timepiece Reference ]]="", "", IF(_xlfn.XLOOKUP(OpenPendingCases[[#This Row],[Timepiece Reference ]], Table1[[Timepiece Reference ]], Table1[CRC STOCK], "Not Found")="YES", "CRC Stock", "Boutique Stock"))</f>
        <v/>
      </c>
      <c r="K87" s="136">
        <f>IF(OpenPendingCases[[#This Row],[Timepiece Reference ]]="", "", IF(_xlfn.XLOOKUP(OpenPendingCases[[#This Row],[Timepiece Reference ]], Table1[[Timepiece Reference ]], Table1[CRC STOCK], "Not Found")="YES", "CRC Stock", "Boutique Stock"))</f>
        <v/>
      </c>
      <c r="L87" s="139" t="n"/>
      <c r="M87" s="140" t="n"/>
      <c r="N87" s="136" t="n"/>
      <c r="O87" s="133" t="n"/>
      <c r="P87" s="93">
        <f>IFERROR(VLOOKUP(TRIM(O87), Collection!$B$2:$D$1001, 2, FALSE), "")</f>
        <v/>
      </c>
      <c r="Q87" s="190">
        <f>IFERROR(VLOOKUP(TRIM(O87), Collection!$B$2:$D$1001, 3, FALSE), "")</f>
        <v/>
      </c>
      <c r="R87" s="153">
        <f>IFERROR(VALUE(SUBSTITUTE(SUBSTITUTE(Q87, "Price", ""), "AED", "")), "")</f>
        <v/>
      </c>
      <c r="S87" s="151" t="n"/>
      <c r="T87" s="158" t="n"/>
      <c r="U87" s="136" t="n"/>
      <c r="V87" s="136" t="n"/>
      <c r="W87" s="156">
        <f>IF(Z87 = "",
"",
TEXT(Z87, "mmmm"))</f>
        <v/>
      </c>
      <c r="X87" s="157" t="n"/>
      <c r="Y87" s="158" t="n"/>
      <c r="Z87" s="158" t="n"/>
      <c r="AA87" s="136">
        <f>IF(H87="", "", IF(U87="Open Sale", IF(TODAY()-H87=0, "0 Days", TEXT(TODAY()-H87, "0") &amp; " Days"), IF(U87="Closed Sale", AA87, "")))</f>
        <v/>
      </c>
      <c r="AB87" s="136">
        <f>IF(H87="", "", IF(OR(U87="Pending", U87="Pending Allocation"), CONCATENATE(TODAY()-H87, " Days"), IF(U87="Closed", "", "")))</f>
        <v/>
      </c>
      <c r="AC87" s="160">
        <f>IF(U87="Pending Allocation", IF(I87="", "", TODAY()-I87), "")</f>
        <v/>
      </c>
      <c r="AD87" s="159">
        <f>IF(U87="Open Sale", TEXT(TODAY()-I87, "0"),
IF(U87="Pending", "",
IF(U87="Closed Sale", "", "")))</f>
        <v/>
      </c>
      <c r="AE87" s="161" t="n"/>
      <c r="AF87" s="161" t="n"/>
      <c r="AG87" s="161" t="n"/>
      <c r="AH87" s="136" t="n"/>
      <c r="AI87" s="164">
        <f>IF(I87="","",TEXT(I87, "mmmm yyyy"))</f>
        <v/>
      </c>
      <c r="AJ87" s="164">
        <f>IF(AND(OpenPendingCases[[#This Row],[Sale Status	]]="Open Sale",OpenPendingCases[[#This Row],[Potential Same Month]]="High"),TEXT(OpenPendingCases[[#This Row],[Request Entry Date]], "[$-en-us]mmmm"),"")</f>
        <v/>
      </c>
      <c r="AK87" s="165">
        <f>IFERROR(VALUE(SUBSTITUTE(OpenPendingCases[[#This Row],[Price]]," AED","")),"")</f>
        <v/>
      </c>
      <c r="AL87" s="165">
        <f>IFERROR(VALUE(LEFT(OpenPendingCases[[#This Row],[Price]],FIND(" ",OpenPendingCases[[#This Row],[Price]])-1)),"")</f>
        <v/>
      </c>
      <c r="AM87" s="165">
        <f>IFERROR(VALUE(_xlfn.TEXTBEFORE(OpenPendingCases[[#This Row],[Price]]," AED")),"")</f>
        <v/>
      </c>
      <c r="AN87" s="165" t="n"/>
    </row>
    <row r="88" hidden="1" ht="18" customHeight="1" s="287">
      <c r="C88" s="148" t="n">
        <v>87</v>
      </c>
      <c r="D88" s="136">
        <f>IF($U88="Open Sale", IF(MAX($D$4:D87)+1=0, "", MAX($D$4:D87)+1), "")</f>
        <v/>
      </c>
      <c r="E88" s="136">
        <f>IF($U88="Pending Allocation", IF(MAX($E$4:E87)+1=0, "", MAX($E$4:E87)+1), "")</f>
        <v/>
      </c>
      <c r="F88" s="136" t="n"/>
      <c r="G88" s="136" t="n"/>
      <c r="H88" s="150" t="n"/>
      <c r="I88" s="150" t="n"/>
      <c r="J88" s="67">
        <f>IF(OpenPendingCases[[#This Row],[Timepiece Reference ]]="", "", IF(_xlfn.XLOOKUP(OpenPendingCases[[#This Row],[Timepiece Reference ]], Table1[[Timepiece Reference ]], Table1[CRC STOCK], "Not Found")="YES", "CRC Stock", "Boutique Stock"))</f>
        <v/>
      </c>
      <c r="K88" s="136">
        <f>IF(OpenPendingCases[[#This Row],[Timepiece Reference ]]="", "", IF(_xlfn.XLOOKUP(OpenPendingCases[[#This Row],[Timepiece Reference ]], Table1[[Timepiece Reference ]], Table1[CRC STOCK], "Not Found")="YES", "CRC Stock", "Boutique Stock"))</f>
        <v/>
      </c>
      <c r="L88" s="139" t="n"/>
      <c r="M88" s="140" t="n"/>
      <c r="N88" s="136" t="n"/>
      <c r="O88" s="133" t="n"/>
      <c r="P88" s="93">
        <f>IFERROR(VLOOKUP(TRIM(O88), Collection!$B$2:$D$1001, 2, FALSE), "")</f>
        <v/>
      </c>
      <c r="Q88" s="190">
        <f>IFERROR(VLOOKUP(TRIM(O88), Collection!$B$2:$D$1001, 3, FALSE), "")</f>
        <v/>
      </c>
      <c r="R88" s="153">
        <f>IFERROR(VALUE(SUBSTITUTE(SUBSTITUTE(Q88, "Price", ""), "AED", "")), "")</f>
        <v/>
      </c>
      <c r="S88" s="151" t="n"/>
      <c r="T88" s="158" t="n"/>
      <c r="U88" s="136" t="n"/>
      <c r="V88" s="136" t="n"/>
      <c r="W88" s="156">
        <f>IF(Z88 = "",
"",
TEXT(Z88, "mmmm"))</f>
        <v/>
      </c>
      <c r="X88" s="157" t="n"/>
      <c r="Y88" s="158" t="n"/>
      <c r="Z88" s="158" t="n"/>
      <c r="AA88" s="136">
        <f>IF(H88="", "", IF(U88="Open Sale", IF(TODAY()-H88=0, "0 Days", TEXT(TODAY()-H88, "0") &amp; " Days"), IF(U88="Closed Sale", AA88, "")))</f>
        <v/>
      </c>
      <c r="AB88" s="136">
        <f>IF(H88="", "", IF(OR(U88="Pending", U88="Pending Allocation"), CONCATENATE(TODAY()-H88, " Days"), IF(U88="Closed", "", "")))</f>
        <v/>
      </c>
      <c r="AC88" s="160">
        <f>IF(U88="Pending Allocation", IF(I88="", "", TODAY()-I88), "")</f>
        <v/>
      </c>
      <c r="AD88" s="159">
        <f>IF(U88="Open Sale", TEXT(TODAY()-I88, "0"),
IF(U88="Pending", "",
IF(U88="Closed Sale", "", "")))</f>
        <v/>
      </c>
      <c r="AE88" s="161" t="n"/>
      <c r="AF88" s="161" t="n"/>
      <c r="AG88" s="161" t="n"/>
      <c r="AH88" s="136" t="n"/>
      <c r="AI88" s="164">
        <f>IF(I88="","",TEXT(I88, "mmmm yyyy"))</f>
        <v/>
      </c>
      <c r="AJ88" s="164">
        <f>IF(AND(OpenPendingCases[[#This Row],[Sale Status	]]="Open Sale",OpenPendingCases[[#This Row],[Potential Same Month]]="High"),TEXT(OpenPendingCases[[#This Row],[Request Entry Date]], "[$-en-us]mmmm"),"")</f>
        <v/>
      </c>
      <c r="AK88" s="165">
        <f>IFERROR(VALUE(SUBSTITUTE(OpenPendingCases[[#This Row],[Price]]," AED","")),"")</f>
        <v/>
      </c>
      <c r="AL88" s="165">
        <f>IFERROR(VALUE(LEFT(OpenPendingCases[[#This Row],[Price]],FIND(" ",OpenPendingCases[[#This Row],[Price]])-1)),"")</f>
        <v/>
      </c>
      <c r="AM88" s="165">
        <f>IFERROR(VALUE(_xlfn.TEXTBEFORE(OpenPendingCases[[#This Row],[Price]]," AED")),"")</f>
        <v/>
      </c>
      <c r="AN88" s="165" t="n"/>
    </row>
    <row r="89" hidden="1" ht="18" customHeight="1" s="287">
      <c r="C89" s="148" t="n">
        <v>88</v>
      </c>
      <c r="D89" s="136">
        <f>IF($U89="Open Sale", IF(MAX($D$4:D88)+1=0, "", MAX($D$4:D88)+1), "")</f>
        <v/>
      </c>
      <c r="E89" s="136">
        <f>IF($U89="Pending Allocation", IF(MAX($E$4:E88)+1=0, "", MAX($E$4:E88)+1), "")</f>
        <v/>
      </c>
      <c r="F89" s="136" t="n"/>
      <c r="G89" s="136" t="n"/>
      <c r="H89" s="150" t="n"/>
      <c r="I89" s="150" t="n"/>
      <c r="J89" s="67">
        <f>IF(OpenPendingCases[[#This Row],[Timepiece Reference ]]="", "", IF(_xlfn.XLOOKUP(OpenPendingCases[[#This Row],[Timepiece Reference ]], Table1[[Timepiece Reference ]], Table1[CRC STOCK], "Not Found")="YES", "CRC Stock", "Boutique Stock"))</f>
        <v/>
      </c>
      <c r="K89" s="136">
        <f>IF(OpenPendingCases[[#This Row],[Timepiece Reference ]]="", "", IF(_xlfn.XLOOKUP(OpenPendingCases[[#This Row],[Timepiece Reference ]], Table1[[Timepiece Reference ]], Table1[CRC STOCK], "Not Found")="YES", "CRC Stock", "Boutique Stock"))</f>
        <v/>
      </c>
      <c r="L89" s="139" t="n"/>
      <c r="M89" s="140" t="n"/>
      <c r="N89" s="136" t="n"/>
      <c r="O89" s="133" t="n"/>
      <c r="P89" s="93">
        <f>IFERROR(VLOOKUP(TRIM(O89), Collection!$B$2:$D$1001, 2, FALSE), "")</f>
        <v/>
      </c>
      <c r="Q89" s="190">
        <f>IFERROR(VLOOKUP(TRIM(O89), Collection!$B$2:$D$1001, 3, FALSE), "")</f>
        <v/>
      </c>
      <c r="R89" s="153">
        <f>IFERROR(VALUE(SUBSTITUTE(SUBSTITUTE(Q89, "Price", ""), "AED", "")), "")</f>
        <v/>
      </c>
      <c r="S89" s="151" t="n"/>
      <c r="T89" s="158" t="n"/>
      <c r="U89" s="136" t="n"/>
      <c r="V89" s="136" t="n"/>
      <c r="W89" s="156">
        <f>IF(Z89 = "",
"",
TEXT(Z89, "mmmm"))</f>
        <v/>
      </c>
      <c r="X89" s="157" t="n"/>
      <c r="Y89" s="158" t="n"/>
      <c r="Z89" s="158" t="n"/>
      <c r="AA89" s="136">
        <f>IF(H89="", "", IF(U89="Open Sale", IF(TODAY()-H89=0, "0 Days", TEXT(TODAY()-H89, "0") &amp; " Days"), IF(U89="Closed Sale", AA89, "")))</f>
        <v/>
      </c>
      <c r="AB89" s="136">
        <f>IF(H89="", "", IF(OR(U89="Pending", U89="Pending Allocation"), CONCATENATE(TODAY()-H89, " Days"), IF(U89="Closed", "", "")))</f>
        <v/>
      </c>
      <c r="AC89" s="160">
        <f>IF(U89="Pending Allocation", IF(I89="", "", TODAY()-I89), "")</f>
        <v/>
      </c>
      <c r="AD89" s="159">
        <f>IF(U89="Open Sale", TEXT(TODAY()-I89, "0"),
IF(U89="Pending", "",
IF(U89="Closed Sale", "", "")))</f>
        <v/>
      </c>
      <c r="AE89" s="161" t="n"/>
      <c r="AF89" s="161" t="n"/>
      <c r="AG89" s="161" t="n"/>
      <c r="AH89" s="136" t="n"/>
      <c r="AI89" s="164">
        <f>IF(I89="","",TEXT(I89, "mmmm yyyy"))</f>
        <v/>
      </c>
      <c r="AJ89" s="164">
        <f>IF(AND(OpenPendingCases[[#This Row],[Sale Status	]]="Open Sale",OpenPendingCases[[#This Row],[Potential Same Month]]="High"),TEXT(OpenPendingCases[[#This Row],[Request Entry Date]], "[$-en-us]mmmm"),"")</f>
        <v/>
      </c>
      <c r="AK89" s="165">
        <f>IFERROR(VALUE(SUBSTITUTE(OpenPendingCases[[#This Row],[Price]]," AED","")),"")</f>
        <v/>
      </c>
      <c r="AL89" s="165">
        <f>IFERROR(VALUE(LEFT(OpenPendingCases[[#This Row],[Price]],FIND(" ",OpenPendingCases[[#This Row],[Price]])-1)),"")</f>
        <v/>
      </c>
      <c r="AM89" s="165">
        <f>IFERROR(VALUE(_xlfn.TEXTBEFORE(OpenPendingCases[[#This Row],[Price]]," AED")),"")</f>
        <v/>
      </c>
      <c r="AN89" s="165" t="n"/>
    </row>
    <row r="90" hidden="1" ht="18" customHeight="1" s="287">
      <c r="C90" s="148" t="n">
        <v>89</v>
      </c>
      <c r="D90" s="136">
        <f>IF($U90="Open Sale", IF(MAX($D$4:D89)+1=0, "", MAX($D$4:D89)+1), "")</f>
        <v/>
      </c>
      <c r="E90" s="136">
        <f>IF($U90="Pending Allocation", IF(MAX($E$4:E89)+1=0, "", MAX($E$4:E89)+1), "")</f>
        <v/>
      </c>
      <c r="F90" s="136" t="n"/>
      <c r="G90" s="136" t="n"/>
      <c r="H90" s="150" t="n"/>
      <c r="I90" s="150" t="n"/>
      <c r="J90" s="67">
        <f>IF(OpenPendingCases[[#This Row],[Timepiece Reference ]]="", "", IF(_xlfn.XLOOKUP(OpenPendingCases[[#This Row],[Timepiece Reference ]], Table1[[Timepiece Reference ]], Table1[CRC STOCK], "Not Found")="YES", "CRC Stock", "Boutique Stock"))</f>
        <v/>
      </c>
      <c r="K90" s="136">
        <f>IF(OpenPendingCases[[#This Row],[Timepiece Reference ]]="", "", IF(_xlfn.XLOOKUP(OpenPendingCases[[#This Row],[Timepiece Reference ]], Table1[[Timepiece Reference ]], Table1[CRC STOCK], "Not Found")="YES", "CRC Stock", "Boutique Stock"))</f>
        <v/>
      </c>
      <c r="L90" s="139" t="n"/>
      <c r="M90" s="140" t="n"/>
      <c r="N90" s="136" t="n"/>
      <c r="O90" s="133" t="n"/>
      <c r="P90" s="93">
        <f>IFERROR(VLOOKUP(TRIM(O90), Collection!$B$2:$D$1001, 2, FALSE), "")</f>
        <v/>
      </c>
      <c r="Q90" s="190">
        <f>IFERROR(VLOOKUP(TRIM(O90), Collection!$B$2:$D$1001, 3, FALSE), "")</f>
        <v/>
      </c>
      <c r="R90" s="153">
        <f>IFERROR(VALUE(SUBSTITUTE(SUBSTITUTE(Q90, "Price", ""), "AED", "")), "")</f>
        <v/>
      </c>
      <c r="S90" s="151" t="n"/>
      <c r="T90" s="158" t="n"/>
      <c r="U90" s="136" t="n"/>
      <c r="V90" s="136" t="n"/>
      <c r="W90" s="156">
        <f>IF(Z90 = "",
"",
TEXT(Z90, "mmmm"))</f>
        <v/>
      </c>
      <c r="X90" s="157" t="n"/>
      <c r="Y90" s="158" t="n"/>
      <c r="Z90" s="158" t="n"/>
      <c r="AA90" s="136">
        <f>IF(H90="", "", IF(U90="Open Sale", IF(TODAY()-H90=0, "0 Days", TEXT(TODAY()-H90, "0") &amp; " Days"), IF(U90="Closed Sale", AA90, "")))</f>
        <v/>
      </c>
      <c r="AB90" s="136">
        <f>IF(H90="", "", IF(OR(U90="Pending", U90="Pending Allocation"), CONCATENATE(TODAY()-H90, " Days"), IF(U90="Closed", "", "")))</f>
        <v/>
      </c>
      <c r="AC90" s="160">
        <f>IF(U90="Pending Allocation", IF(I90="", "", TODAY()-I90), "")</f>
        <v/>
      </c>
      <c r="AD90" s="159">
        <f>IF(U90="Open Sale", TEXT(TODAY()-I90, "0"),
IF(U90="Pending", "",
IF(U90="Closed Sale", "", "")))</f>
        <v/>
      </c>
      <c r="AE90" s="161" t="n"/>
      <c r="AF90" s="161" t="n"/>
      <c r="AG90" s="161" t="n"/>
      <c r="AH90" s="136" t="n"/>
      <c r="AI90" s="164">
        <f>IF(I90="","",TEXT(I90, "mmmm yyyy"))</f>
        <v/>
      </c>
      <c r="AJ90" s="164">
        <f>IF(AND(OpenPendingCases[[#This Row],[Sale Status	]]="Open Sale",OpenPendingCases[[#This Row],[Potential Same Month]]="High"),TEXT(OpenPendingCases[[#This Row],[Request Entry Date]], "[$-en-us]mmmm"),"")</f>
        <v/>
      </c>
      <c r="AK90" s="165">
        <f>IFERROR(VALUE(SUBSTITUTE(OpenPendingCases[[#This Row],[Price]]," AED","")),"")</f>
        <v/>
      </c>
      <c r="AL90" s="165">
        <f>IFERROR(VALUE(LEFT(OpenPendingCases[[#This Row],[Price]],FIND(" ",OpenPendingCases[[#This Row],[Price]])-1)),"")</f>
        <v/>
      </c>
      <c r="AM90" s="165">
        <f>IFERROR(VALUE(_xlfn.TEXTBEFORE(OpenPendingCases[[#This Row],[Price]]," AED")),"")</f>
        <v/>
      </c>
      <c r="AN90" s="165" t="n"/>
    </row>
    <row r="91" hidden="1" ht="18" customHeight="1" s="287">
      <c r="C91" s="148" t="n">
        <v>90</v>
      </c>
      <c r="D91" s="136">
        <f>IF($U91="Open Sale", IF(MAX($D$4:D90)+1=0, "", MAX($D$4:D90)+1), "")</f>
        <v/>
      </c>
      <c r="E91" s="136">
        <f>IF($U91="Pending Allocation", IF(MAX($E$4:E90)+1=0, "", MAX($E$4:E90)+1), "")</f>
        <v/>
      </c>
      <c r="F91" s="136" t="n"/>
      <c r="G91" s="136" t="n"/>
      <c r="H91" s="150" t="n"/>
      <c r="I91" s="150" t="n"/>
      <c r="J91" s="67">
        <f>IF(OpenPendingCases[[#This Row],[Timepiece Reference ]]="", "", IF(_xlfn.XLOOKUP(OpenPendingCases[[#This Row],[Timepiece Reference ]], Table1[[Timepiece Reference ]], Table1[CRC STOCK], "Not Found")="YES", "CRC Stock", "Boutique Stock"))</f>
        <v/>
      </c>
      <c r="K91" s="136">
        <f>IF(OpenPendingCases[[#This Row],[Timepiece Reference ]]="", "", IF(_xlfn.XLOOKUP(OpenPendingCases[[#This Row],[Timepiece Reference ]], Table1[[Timepiece Reference ]], Table1[CRC STOCK], "Not Found")="YES", "CRC Stock", "Boutique Stock"))</f>
        <v/>
      </c>
      <c r="L91" s="139" t="n"/>
      <c r="M91" s="140" t="n"/>
      <c r="N91" s="136" t="n"/>
      <c r="O91" s="133" t="n"/>
      <c r="P91" s="93">
        <f>IFERROR(VLOOKUP(TRIM(O91), Collection!$B$2:$D$1001, 2, FALSE), "")</f>
        <v/>
      </c>
      <c r="Q91" s="190">
        <f>IFERROR(VLOOKUP(TRIM(O91), Collection!$B$2:$D$1001, 3, FALSE), "")</f>
        <v/>
      </c>
      <c r="R91" s="153">
        <f>IFERROR(VALUE(SUBSTITUTE(SUBSTITUTE(Q91, "Price", ""), "AED", "")), "")</f>
        <v/>
      </c>
      <c r="S91" s="151" t="n"/>
      <c r="T91" s="158" t="n"/>
      <c r="U91" s="136" t="n"/>
      <c r="V91" s="136" t="n"/>
      <c r="W91" s="156">
        <f>IF(Z91 = "",
"",
TEXT(Z91, "mmmm"))</f>
        <v/>
      </c>
      <c r="X91" s="157" t="n"/>
      <c r="Y91" s="158" t="n"/>
      <c r="Z91" s="158" t="n"/>
      <c r="AA91" s="136">
        <f>IF(H91="", "", IF(U91="Open Sale", IF(TODAY()-H91=0, "0 Days", TEXT(TODAY()-H91, "0") &amp; " Days"), IF(U91="Closed Sale", AA91, "")))</f>
        <v/>
      </c>
      <c r="AB91" s="136">
        <f>IF(H91="", "", IF(OR(U91="Pending", U91="Pending Allocation"), CONCATENATE(TODAY()-H91, " Days"), IF(U91="Closed", "", "")))</f>
        <v/>
      </c>
      <c r="AC91" s="160">
        <f>IF(U91="Pending Allocation", IF(I91="", "", TODAY()-I91), "")</f>
        <v/>
      </c>
      <c r="AD91" s="159">
        <f>IF(U91="Open Sale", TEXT(TODAY()-I91, "0"),
IF(U91="Pending", "",
IF(U91="Closed Sale", "", "")))</f>
        <v/>
      </c>
      <c r="AE91" s="161" t="n"/>
      <c r="AF91" s="161" t="n"/>
      <c r="AG91" s="161" t="n"/>
      <c r="AH91" s="136" t="n"/>
      <c r="AI91" s="164">
        <f>IF(I91="","",TEXT(I91, "mmmm yyyy"))</f>
        <v/>
      </c>
      <c r="AJ91" s="164">
        <f>IF(AND(OpenPendingCases[[#This Row],[Sale Status	]]="Open Sale",OpenPendingCases[[#This Row],[Potential Same Month]]="High"),TEXT(OpenPendingCases[[#This Row],[Request Entry Date]], "[$-en-us]mmmm"),"")</f>
        <v/>
      </c>
      <c r="AK91" s="165">
        <f>IFERROR(VALUE(SUBSTITUTE(OpenPendingCases[[#This Row],[Price]]," AED","")),"")</f>
        <v/>
      </c>
      <c r="AL91" s="165">
        <f>IFERROR(VALUE(LEFT(OpenPendingCases[[#This Row],[Price]],FIND(" ",OpenPendingCases[[#This Row],[Price]])-1)),"")</f>
        <v/>
      </c>
      <c r="AM91" s="165">
        <f>IFERROR(VALUE(_xlfn.TEXTBEFORE(OpenPendingCases[[#This Row],[Price]]," AED")),"")</f>
        <v/>
      </c>
      <c r="AN91" s="165" t="n"/>
    </row>
    <row r="92" hidden="1" ht="18" customHeight="1" s="287">
      <c r="C92" s="148" t="n">
        <v>91</v>
      </c>
      <c r="D92" s="136">
        <f>IF($U92="Open Sale", IF(MAX($D$4:D91)+1=0, "", MAX($D$4:D91)+1), "")</f>
        <v/>
      </c>
      <c r="E92" s="136">
        <f>IF($U92="Pending Allocation", IF(MAX($E$4:E91)+1=0, "", MAX($E$4:E91)+1), "")</f>
        <v/>
      </c>
      <c r="F92" s="136" t="n"/>
      <c r="G92" s="136" t="n"/>
      <c r="H92" s="150" t="n"/>
      <c r="I92" s="150" t="n"/>
      <c r="J92" s="67">
        <f>IF(OpenPendingCases[[#This Row],[Timepiece Reference ]]="", "", IF(_xlfn.XLOOKUP(OpenPendingCases[[#This Row],[Timepiece Reference ]], Table1[[Timepiece Reference ]], Table1[CRC STOCK], "Not Found")="YES", "CRC Stock", "Boutique Stock"))</f>
        <v/>
      </c>
      <c r="K92" s="136">
        <f>IF(OpenPendingCases[[#This Row],[Timepiece Reference ]]="", "", IF(_xlfn.XLOOKUP(OpenPendingCases[[#This Row],[Timepiece Reference ]], Table1[[Timepiece Reference ]], Table1[CRC STOCK], "Not Found")="YES", "CRC Stock", "Boutique Stock"))</f>
        <v/>
      </c>
      <c r="L92" s="139" t="n"/>
      <c r="M92" s="140" t="n"/>
      <c r="N92" s="136" t="n"/>
      <c r="O92" s="133" t="n"/>
      <c r="P92" s="93">
        <f>IFERROR(VLOOKUP(TRIM(O92), Collection!$B$2:$D$1001, 2, FALSE), "")</f>
        <v/>
      </c>
      <c r="Q92" s="190">
        <f>IFERROR(VLOOKUP(TRIM(O92), Collection!$B$2:$D$1001, 3, FALSE), "")</f>
        <v/>
      </c>
      <c r="R92" s="153">
        <f>IFERROR(VALUE(SUBSTITUTE(SUBSTITUTE(Q92, "Price", ""), "AED", "")), "")</f>
        <v/>
      </c>
      <c r="S92" s="151" t="n"/>
      <c r="T92" s="158" t="n"/>
      <c r="U92" s="136" t="n"/>
      <c r="V92" s="136" t="n"/>
      <c r="W92" s="156">
        <f>IF(Z92 = "",
"",
TEXT(Z92, "mmmm"))</f>
        <v/>
      </c>
      <c r="X92" s="157" t="n"/>
      <c r="Y92" s="158" t="n"/>
      <c r="Z92" s="158" t="n"/>
      <c r="AA92" s="136">
        <f>IF(H92="", "", IF(U92="Open Sale", IF(TODAY()-H92=0, "0 Days", TEXT(TODAY()-H92, "0") &amp; " Days"), IF(U92="Closed Sale", AA92, "")))</f>
        <v/>
      </c>
      <c r="AB92" s="136">
        <f>IF(H92="", "", IF(OR(U92="Pending", U92="Pending Allocation"), CONCATENATE(TODAY()-H92, " Days"), IF(U92="Closed", "", "")))</f>
        <v/>
      </c>
      <c r="AC92" s="160">
        <f>IF(U92="Pending Allocation", IF(I92="", "", TODAY()-I92), "")</f>
        <v/>
      </c>
      <c r="AD92" s="159">
        <f>IF(U92="Open Sale", TEXT(TODAY()-I92, "0"),
IF(U92="Pending", "",
IF(U92="Closed Sale", "", "")))</f>
        <v/>
      </c>
      <c r="AE92" s="161" t="n"/>
      <c r="AF92" s="161" t="n"/>
      <c r="AG92" s="161" t="n"/>
      <c r="AH92" s="136" t="n"/>
      <c r="AI92" s="164">
        <f>IF(I92="","",TEXT(I92, "mmmm yyyy"))</f>
        <v/>
      </c>
      <c r="AJ92" s="164">
        <f>IF(AND(OpenPendingCases[[#This Row],[Sale Status	]]="Open Sale",OpenPendingCases[[#This Row],[Potential Same Month]]="High"),TEXT(OpenPendingCases[[#This Row],[Request Entry Date]], "[$-en-us]mmmm"),"")</f>
        <v/>
      </c>
      <c r="AK92" s="165">
        <f>IFERROR(VALUE(SUBSTITUTE(OpenPendingCases[[#This Row],[Price]]," AED","")),"")</f>
        <v/>
      </c>
      <c r="AL92" s="165">
        <f>IFERROR(VALUE(LEFT(OpenPendingCases[[#This Row],[Price]],FIND(" ",OpenPendingCases[[#This Row],[Price]])-1)),"")</f>
        <v/>
      </c>
      <c r="AM92" s="165">
        <f>IFERROR(VALUE(_xlfn.TEXTBEFORE(OpenPendingCases[[#This Row],[Price]]," AED")),"")</f>
        <v/>
      </c>
      <c r="AN92" s="165" t="n"/>
    </row>
    <row r="93" hidden="1" ht="18" customHeight="1" s="287">
      <c r="C93" s="148" t="n">
        <v>92</v>
      </c>
      <c r="D93" s="136">
        <f>IF($U93="Open Sale", IF(MAX($D$4:D92)+1=0, "", MAX($D$4:D92)+1), "")</f>
        <v/>
      </c>
      <c r="E93" s="136">
        <f>IF($U93="Pending Allocation", IF(MAX($E$4:E92)+1=0, "", MAX($E$4:E92)+1), "")</f>
        <v/>
      </c>
      <c r="F93" s="136" t="n"/>
      <c r="G93" s="136" t="n"/>
      <c r="H93" s="150" t="n"/>
      <c r="I93" s="150" t="n"/>
      <c r="J93" s="67">
        <f>IF(OpenPendingCases[[#This Row],[Timepiece Reference ]]="", "", IF(_xlfn.XLOOKUP(OpenPendingCases[[#This Row],[Timepiece Reference ]], Table1[[Timepiece Reference ]], Table1[CRC STOCK], "Not Found")="YES", "CRC Stock", "Boutique Stock"))</f>
        <v/>
      </c>
      <c r="K93" s="136">
        <f>IF(OpenPendingCases[[#This Row],[Timepiece Reference ]]="", "", IF(_xlfn.XLOOKUP(OpenPendingCases[[#This Row],[Timepiece Reference ]], Table1[[Timepiece Reference ]], Table1[CRC STOCK], "Not Found")="YES", "CRC Stock", "Boutique Stock"))</f>
        <v/>
      </c>
      <c r="L93" s="139" t="n"/>
      <c r="M93" s="140" t="n"/>
      <c r="N93" s="136" t="n"/>
      <c r="O93" s="133" t="n"/>
      <c r="P93" s="93">
        <f>IFERROR(VLOOKUP(TRIM(O93), Collection!$B$2:$D$1001, 2, FALSE), "")</f>
        <v/>
      </c>
      <c r="Q93" s="190">
        <f>IFERROR(VLOOKUP(TRIM(O93), Collection!$B$2:$D$1001, 3, FALSE), "")</f>
        <v/>
      </c>
      <c r="R93" s="153">
        <f>IFERROR(VALUE(SUBSTITUTE(SUBSTITUTE(Q93, "Price", ""), "AED", "")), "")</f>
        <v/>
      </c>
      <c r="S93" s="151" t="n"/>
      <c r="T93" s="158" t="n"/>
      <c r="U93" s="136" t="n"/>
      <c r="V93" s="136" t="n"/>
      <c r="W93" s="156">
        <f>IF(Z93 = "",
"",
TEXT(Z93, "mmmm"))</f>
        <v/>
      </c>
      <c r="X93" s="157" t="n"/>
      <c r="Y93" s="158" t="n"/>
      <c r="Z93" s="158" t="n"/>
      <c r="AA93" s="136">
        <f>IF(H93="", "", IF(U93="Open Sale", IF(TODAY()-H93=0, "0 Days", TEXT(TODAY()-H93, "0") &amp; " Days"), IF(U93="Closed Sale", AA93, "")))</f>
        <v/>
      </c>
      <c r="AB93" s="136">
        <f>IF(H93="", "", IF(OR(U93="Pending", U93="Pending Allocation"), CONCATENATE(TODAY()-H93, " Days"), IF(U93="Closed", "", "")))</f>
        <v/>
      </c>
      <c r="AC93" s="160">
        <f>IF(U93="Pending Allocation", IF(I93="", "", TODAY()-I93), "")</f>
        <v/>
      </c>
      <c r="AD93" s="159">
        <f>IF(U93="Open Sale", TEXT(TODAY()-I93, "0"),
IF(U93="Pending", "",
IF(U93="Closed Sale", "", "")))</f>
        <v/>
      </c>
      <c r="AE93" s="161" t="n"/>
      <c r="AF93" s="161" t="n"/>
      <c r="AG93" s="161" t="n"/>
      <c r="AH93" s="136" t="n"/>
      <c r="AI93" s="164">
        <f>IF(I93="","",TEXT(I93, "mmmm yyyy"))</f>
        <v/>
      </c>
      <c r="AJ93" s="164">
        <f>IF(AND(OpenPendingCases[[#This Row],[Sale Status	]]="Open Sale",OpenPendingCases[[#This Row],[Potential Same Month]]="High"),TEXT(OpenPendingCases[[#This Row],[Request Entry Date]], "[$-en-us]mmmm"),"")</f>
        <v/>
      </c>
      <c r="AK93" s="165">
        <f>IFERROR(VALUE(SUBSTITUTE(OpenPendingCases[[#This Row],[Price]]," AED","")),"")</f>
        <v/>
      </c>
      <c r="AL93" s="165">
        <f>IFERROR(VALUE(LEFT(OpenPendingCases[[#This Row],[Price]],FIND(" ",OpenPendingCases[[#This Row],[Price]])-1)),"")</f>
        <v/>
      </c>
      <c r="AM93" s="165">
        <f>IFERROR(VALUE(_xlfn.TEXTBEFORE(OpenPendingCases[[#This Row],[Price]]," AED")),"")</f>
        <v/>
      </c>
      <c r="AN93" s="165" t="n"/>
    </row>
    <row r="94" hidden="1" ht="18" customHeight="1" s="287">
      <c r="C94" s="148" t="n">
        <v>93</v>
      </c>
      <c r="D94" s="136">
        <f>IF($U94="Open Sale", IF(MAX($D$4:D93)+1=0, "", MAX($D$4:D93)+1), "")</f>
        <v/>
      </c>
      <c r="E94" s="136">
        <f>IF($U94="Pending Allocation", IF(MAX($E$4:E93)+1=0, "", MAX($E$4:E93)+1), "")</f>
        <v/>
      </c>
      <c r="F94" s="136" t="n"/>
      <c r="G94" s="136" t="n"/>
      <c r="H94" s="150" t="n"/>
      <c r="I94" s="150" t="n"/>
      <c r="J94" s="67">
        <f>IF(OpenPendingCases[[#This Row],[Timepiece Reference ]]="", "", IF(_xlfn.XLOOKUP(OpenPendingCases[[#This Row],[Timepiece Reference ]], Table1[[Timepiece Reference ]], Table1[CRC STOCK], "Not Found")="YES", "CRC Stock", "Boutique Stock"))</f>
        <v/>
      </c>
      <c r="K94" s="136">
        <f>IF(OpenPendingCases[[#This Row],[Timepiece Reference ]]="", "", IF(_xlfn.XLOOKUP(OpenPendingCases[[#This Row],[Timepiece Reference ]], Table1[[Timepiece Reference ]], Table1[CRC STOCK], "Not Found")="YES", "CRC Stock", "Boutique Stock"))</f>
        <v/>
      </c>
      <c r="L94" s="139" t="n"/>
      <c r="M94" s="140" t="n"/>
      <c r="N94" s="136" t="n"/>
      <c r="O94" s="133" t="n"/>
      <c r="P94" s="93">
        <f>IFERROR(VLOOKUP(TRIM(O94), Collection!$B$2:$D$1001, 2, FALSE), "")</f>
        <v/>
      </c>
      <c r="Q94" s="190">
        <f>IFERROR(VLOOKUP(TRIM(O94), Collection!$B$2:$D$1001, 3, FALSE), "")</f>
        <v/>
      </c>
      <c r="R94" s="153">
        <f>IFERROR(VALUE(SUBSTITUTE(SUBSTITUTE(Q94, "Price", ""), "AED", "")), "")</f>
        <v/>
      </c>
      <c r="S94" s="151" t="n"/>
      <c r="T94" s="158" t="n"/>
      <c r="U94" s="136" t="n"/>
      <c r="V94" s="136" t="n"/>
      <c r="W94" s="156">
        <f>IF(Z94 = "",
"",
TEXT(Z94, "mmmm"))</f>
        <v/>
      </c>
      <c r="X94" s="157" t="n"/>
      <c r="Y94" s="158" t="n"/>
      <c r="Z94" s="158" t="n"/>
      <c r="AA94" s="136">
        <f>IF(H94="", "", IF(U94="Open Sale", IF(TODAY()-H94=0, "0 Days", TEXT(TODAY()-H94, "0") &amp; " Days"), IF(U94="Closed Sale", AA94, "")))</f>
        <v/>
      </c>
      <c r="AB94" s="136">
        <f>IF(H94="", "", IF(OR(U94="Pending", U94="Pending Allocation"), CONCATENATE(TODAY()-H94, " Days"), IF(U94="Closed", "", "")))</f>
        <v/>
      </c>
      <c r="AC94" s="160">
        <f>IF(U94="Pending Allocation", IF(I94="", "", TODAY()-I94), "")</f>
        <v/>
      </c>
      <c r="AD94" s="159">
        <f>IF(U94="Open Sale", TEXT(TODAY()-I94, "0"),
IF(U94="Pending", "",
IF(U94="Closed Sale", "", "")))</f>
        <v/>
      </c>
      <c r="AE94" s="161" t="n"/>
      <c r="AF94" s="161" t="n"/>
      <c r="AG94" s="161" t="n"/>
      <c r="AH94" s="136" t="n"/>
      <c r="AI94" s="164">
        <f>IF(I94="","",TEXT(I94, "mmmm yyyy"))</f>
        <v/>
      </c>
      <c r="AJ94" s="164">
        <f>IF(AND(OpenPendingCases[[#This Row],[Sale Status	]]="Open Sale",OpenPendingCases[[#This Row],[Potential Same Month]]="High"),TEXT(OpenPendingCases[[#This Row],[Request Entry Date]], "[$-en-us]mmmm"),"")</f>
        <v/>
      </c>
      <c r="AK94" s="165">
        <f>IFERROR(VALUE(SUBSTITUTE(OpenPendingCases[[#This Row],[Price]]," AED","")),"")</f>
        <v/>
      </c>
      <c r="AL94" s="165">
        <f>IFERROR(VALUE(LEFT(OpenPendingCases[[#This Row],[Price]],FIND(" ",OpenPendingCases[[#This Row],[Price]])-1)),"")</f>
        <v/>
      </c>
      <c r="AM94" s="165">
        <f>IFERROR(VALUE(_xlfn.TEXTBEFORE(OpenPendingCases[[#This Row],[Price]]," AED")),"")</f>
        <v/>
      </c>
      <c r="AN94" s="165" t="n"/>
    </row>
    <row r="95" hidden="1" ht="18" customHeight="1" s="287">
      <c r="C95" s="148" t="n">
        <v>94</v>
      </c>
      <c r="D95" s="136">
        <f>IF($U95="Open Sale", IF(MAX($D$4:D94)+1=0, "", MAX($D$4:D94)+1), "")</f>
        <v/>
      </c>
      <c r="E95" s="136">
        <f>IF($U95="Pending Allocation", IF(MAX($E$4:E94)+1=0, "", MAX($E$4:E94)+1), "")</f>
        <v/>
      </c>
      <c r="F95" s="136" t="n"/>
      <c r="G95" s="136" t="n"/>
      <c r="H95" s="150" t="n"/>
      <c r="I95" s="150" t="n"/>
      <c r="J95" s="67">
        <f>IF(OpenPendingCases[[#This Row],[Timepiece Reference ]]="", "", IF(_xlfn.XLOOKUP(OpenPendingCases[[#This Row],[Timepiece Reference ]], Table1[[Timepiece Reference ]], Table1[CRC STOCK], "Not Found")="YES", "CRC Stock", "Boutique Stock"))</f>
        <v/>
      </c>
      <c r="K95" s="136">
        <f>IF(OpenPendingCases[[#This Row],[Timepiece Reference ]]="", "", IF(_xlfn.XLOOKUP(OpenPendingCases[[#This Row],[Timepiece Reference ]], Table1[[Timepiece Reference ]], Table1[CRC STOCK], "Not Found")="YES", "CRC Stock", "Boutique Stock"))</f>
        <v/>
      </c>
      <c r="L95" s="139" t="n"/>
      <c r="M95" s="140" t="n"/>
      <c r="N95" s="136" t="n"/>
      <c r="O95" s="133" t="n"/>
      <c r="P95" s="93">
        <f>IFERROR(VLOOKUP(TRIM(O95), Collection!$B$2:$D$1001, 2, FALSE), "")</f>
        <v/>
      </c>
      <c r="Q95" s="190">
        <f>IFERROR(VLOOKUP(TRIM(O95), Collection!$B$2:$D$1001, 3, FALSE), "")</f>
        <v/>
      </c>
      <c r="R95" s="153">
        <f>IFERROR(VALUE(SUBSTITUTE(SUBSTITUTE(Q95, "Price", ""), "AED", "")), "")</f>
        <v/>
      </c>
      <c r="S95" s="151" t="n"/>
      <c r="T95" s="158" t="n"/>
      <c r="U95" s="136" t="n"/>
      <c r="V95" s="136" t="n"/>
      <c r="W95" s="156">
        <f>IF(Z95 = "",
"",
TEXT(Z95, "mmmm"))</f>
        <v/>
      </c>
      <c r="X95" s="157" t="n"/>
      <c r="Y95" s="158" t="n"/>
      <c r="Z95" s="158" t="n"/>
      <c r="AA95" s="136">
        <f>IF(H95="", "", IF(U95="Open Sale", IF(TODAY()-H95=0, "0 Days", TEXT(TODAY()-H95, "0") &amp; " Days"), IF(U95="Closed Sale", AA95, "")))</f>
        <v/>
      </c>
      <c r="AB95" s="136">
        <f>IF(H95="", "", IF(OR(U95="Pending", U95="Pending Allocation"), CONCATENATE(TODAY()-H95, " Days"), IF(U95="Closed", "", "")))</f>
        <v/>
      </c>
      <c r="AC95" s="160">
        <f>IF(U95="Pending Allocation", IF(I95="", "", TODAY()-I95), "")</f>
        <v/>
      </c>
      <c r="AD95" s="159">
        <f>IF(U95="Open Sale", TEXT(TODAY()-I95, "0"),
IF(U95="Pending", "",
IF(U95="Closed Sale", "", "")))</f>
        <v/>
      </c>
      <c r="AE95" s="161" t="n"/>
      <c r="AF95" s="161" t="n"/>
      <c r="AG95" s="161" t="n"/>
      <c r="AH95" s="136" t="n"/>
      <c r="AI95" s="164">
        <f>IF(I95="","",TEXT(I95, "mmmm yyyy"))</f>
        <v/>
      </c>
      <c r="AJ95" s="164">
        <f>IF(AND(OpenPendingCases[[#This Row],[Sale Status	]]="Open Sale",OpenPendingCases[[#This Row],[Potential Same Month]]="High"),TEXT(OpenPendingCases[[#This Row],[Request Entry Date]], "[$-en-us]mmmm"),"")</f>
        <v/>
      </c>
      <c r="AK95" s="165">
        <f>IFERROR(VALUE(SUBSTITUTE(OpenPendingCases[[#This Row],[Price]]," AED","")),"")</f>
        <v/>
      </c>
      <c r="AL95" s="165">
        <f>IFERROR(VALUE(LEFT(OpenPendingCases[[#This Row],[Price]],FIND(" ",OpenPendingCases[[#This Row],[Price]])-1)),"")</f>
        <v/>
      </c>
      <c r="AM95" s="165">
        <f>IFERROR(VALUE(_xlfn.TEXTBEFORE(OpenPendingCases[[#This Row],[Price]]," AED")),"")</f>
        <v/>
      </c>
      <c r="AN95" s="165" t="n"/>
    </row>
    <row r="96" hidden="1" ht="18" customHeight="1" s="287">
      <c r="C96" s="148" t="n">
        <v>95</v>
      </c>
      <c r="D96" s="136">
        <f>IF($U96="Open Sale", IF(MAX($D$4:D95)+1=0, "", MAX($D$4:D95)+1), "")</f>
        <v/>
      </c>
      <c r="E96" s="136">
        <f>IF($U96="Pending Allocation", IF(MAX($E$4:E95)+1=0, "", MAX($E$4:E95)+1), "")</f>
        <v/>
      </c>
      <c r="F96" s="136" t="n"/>
      <c r="G96" s="136" t="n"/>
      <c r="H96" s="150" t="n"/>
      <c r="I96" s="150" t="n"/>
      <c r="J96" s="67">
        <f>IF(OpenPendingCases[[#This Row],[Timepiece Reference ]]="", "", IF(_xlfn.XLOOKUP(OpenPendingCases[[#This Row],[Timepiece Reference ]], Table1[[Timepiece Reference ]], Table1[CRC STOCK], "Not Found")="YES", "CRC Stock", "Boutique Stock"))</f>
        <v/>
      </c>
      <c r="K96" s="136">
        <f>IF(OpenPendingCases[[#This Row],[Timepiece Reference ]]="", "", IF(_xlfn.XLOOKUP(OpenPendingCases[[#This Row],[Timepiece Reference ]], Table1[[Timepiece Reference ]], Table1[CRC STOCK], "Not Found")="YES", "CRC Stock", "Boutique Stock"))</f>
        <v/>
      </c>
      <c r="L96" s="139" t="n"/>
      <c r="M96" s="140" t="n"/>
      <c r="N96" s="136" t="n"/>
      <c r="O96" s="133" t="n"/>
      <c r="P96" s="93">
        <f>IFERROR(VLOOKUP(TRIM(O96), Collection!$B$2:$D$1001, 2, FALSE), "")</f>
        <v/>
      </c>
      <c r="Q96" s="190">
        <f>IFERROR(VLOOKUP(TRIM(O96), Collection!$B$2:$D$1001, 3, FALSE), "")</f>
        <v/>
      </c>
      <c r="R96" s="153">
        <f>IFERROR(VALUE(SUBSTITUTE(SUBSTITUTE(Q96, "Price", ""), "AED", "")), "")</f>
        <v/>
      </c>
      <c r="S96" s="151" t="n"/>
      <c r="T96" s="158" t="n"/>
      <c r="U96" s="136" t="n"/>
      <c r="V96" s="136" t="n"/>
      <c r="W96" s="156">
        <f>IF(Z96 = "",
"",
TEXT(Z96, "mmmm"))</f>
        <v/>
      </c>
      <c r="X96" s="157" t="n"/>
      <c r="Y96" s="158" t="n"/>
      <c r="Z96" s="158" t="n"/>
      <c r="AA96" s="136">
        <f>IF(H96="", "", IF(U96="Open Sale", IF(TODAY()-H96=0, "0 Days", TEXT(TODAY()-H96, "0") &amp; " Days"), IF(U96="Closed Sale", AA96, "")))</f>
        <v/>
      </c>
      <c r="AB96" s="136">
        <f>IF(H96="", "", IF(OR(U96="Pending", U96="Pending Allocation"), CONCATENATE(TODAY()-H96, " Days"), IF(U96="Closed", "", "")))</f>
        <v/>
      </c>
      <c r="AC96" s="160">
        <f>IF(U96="Pending Allocation", IF(I96="", "", TODAY()-I96), "")</f>
        <v/>
      </c>
      <c r="AD96" s="159">
        <f>IF(U96="Open Sale", TEXT(TODAY()-I96, "0"),
IF(U96="Pending", "",
IF(U96="Closed Sale", "", "")))</f>
        <v/>
      </c>
      <c r="AE96" s="161" t="n"/>
      <c r="AF96" s="161" t="n"/>
      <c r="AG96" s="161" t="n"/>
      <c r="AH96" s="136" t="n"/>
      <c r="AI96" s="164">
        <f>IF(I96="","",TEXT(I96, "mmmm yyyy"))</f>
        <v/>
      </c>
      <c r="AJ96" s="164">
        <f>IF(AND(OpenPendingCases[[#This Row],[Sale Status	]]="Open Sale",OpenPendingCases[[#This Row],[Potential Same Month]]="High"),TEXT(OpenPendingCases[[#This Row],[Request Entry Date]], "[$-en-us]mmmm"),"")</f>
        <v/>
      </c>
      <c r="AK96" s="165">
        <f>IFERROR(VALUE(SUBSTITUTE(OpenPendingCases[[#This Row],[Price]]," AED","")),"")</f>
        <v/>
      </c>
      <c r="AL96" s="165">
        <f>IFERROR(VALUE(LEFT(OpenPendingCases[[#This Row],[Price]],FIND(" ",OpenPendingCases[[#This Row],[Price]])-1)),"")</f>
        <v/>
      </c>
      <c r="AM96" s="165">
        <f>IFERROR(VALUE(_xlfn.TEXTBEFORE(OpenPendingCases[[#This Row],[Price]]," AED")),"")</f>
        <v/>
      </c>
      <c r="AN96" s="165" t="n"/>
    </row>
    <row r="97" hidden="1" ht="18" customHeight="1" s="287">
      <c r="C97" s="148" t="n">
        <v>96</v>
      </c>
      <c r="D97" s="136">
        <f>IF($U97="Open Sale", IF(MAX($D$4:D96)+1=0, "", MAX($D$4:D96)+1), "")</f>
        <v/>
      </c>
      <c r="E97" s="136">
        <f>IF($U97="Pending Allocation", IF(MAX($E$4:E96)+1=0, "", MAX($E$4:E96)+1), "")</f>
        <v/>
      </c>
      <c r="F97" s="136" t="n"/>
      <c r="G97" s="136" t="n"/>
      <c r="H97" s="150" t="n"/>
      <c r="I97" s="150" t="n"/>
      <c r="J97" s="67">
        <f>IF(OpenPendingCases[[#This Row],[Timepiece Reference ]]="", "", IF(_xlfn.XLOOKUP(OpenPendingCases[[#This Row],[Timepiece Reference ]], Table1[[Timepiece Reference ]], Table1[CRC STOCK], "Not Found")="YES", "CRC Stock", "Boutique Stock"))</f>
        <v/>
      </c>
      <c r="K97" s="136">
        <f>IF(OpenPendingCases[[#This Row],[Timepiece Reference ]]="", "", IF(_xlfn.XLOOKUP(OpenPendingCases[[#This Row],[Timepiece Reference ]], Table1[[Timepiece Reference ]], Table1[CRC STOCK], "Not Found")="YES", "CRC Stock", "Boutique Stock"))</f>
        <v/>
      </c>
      <c r="L97" s="139" t="n"/>
      <c r="M97" s="140" t="n"/>
      <c r="N97" s="136" t="n"/>
      <c r="O97" s="133" t="n"/>
      <c r="P97" s="93">
        <f>IFERROR(VLOOKUP(TRIM(O97), Collection!$B$2:$D$1001, 2, FALSE), "")</f>
        <v/>
      </c>
      <c r="Q97" s="190">
        <f>IFERROR(VLOOKUP(TRIM(O97), Collection!$B$2:$D$1001, 3, FALSE), "")</f>
        <v/>
      </c>
      <c r="R97" s="153">
        <f>IFERROR(VALUE(SUBSTITUTE(SUBSTITUTE(Q97, "Price", ""), "AED", "")), "")</f>
        <v/>
      </c>
      <c r="S97" s="151" t="n"/>
      <c r="T97" s="158" t="n"/>
      <c r="U97" s="136" t="n"/>
      <c r="V97" s="136" t="n"/>
      <c r="W97" s="156">
        <f>IF(Z97 = "",
     "",
     TEXT(Z97, "mmmm"))</f>
        <v/>
      </c>
      <c r="X97" s="157" t="n"/>
      <c r="Y97" s="158" t="n"/>
      <c r="Z97" s="158" t="n"/>
      <c r="AA97" s="136">
        <f>IF(H97="", "", IF(U97="Open Sale", IF(TODAY()-H97=0, "0 Days", TEXT(TODAY()-H97, "0") &amp; " Days"), IF(U97="Closed Sale", AA97, "")))</f>
        <v/>
      </c>
      <c r="AB97" s="136">
        <f>IF(H97="", "", IF(OR(U97="Pending", U97="Pending Allocation"), CONCATENATE(TODAY()-H97, " Days"), IF(U97="Closed", "", "")))</f>
        <v/>
      </c>
      <c r="AC97" s="160">
        <f>IF(U97="Pending Allocation", IF(I97="", "", TODAY()-I97), "")</f>
        <v/>
      </c>
      <c r="AD97" s="159">
        <f>IF(U97="Open Sale", TEXT(TODAY()-I97, "0"),
IF(U97="Pending", "",
IF(U97="Closed Sale", "", "")))</f>
        <v/>
      </c>
      <c r="AE97" s="161" t="n"/>
      <c r="AF97" s="161" t="n"/>
      <c r="AG97" s="161" t="n"/>
      <c r="AH97" s="136" t="n"/>
      <c r="AI97" s="164">
        <f>IF(I97="","",TEXT(I97, "mmmm yyyy"))</f>
        <v/>
      </c>
      <c r="AJ97" s="164">
        <f>IF(AND(OpenPendingCases[[#This Row],[Sale Status	]]="Open Sale",OpenPendingCases[[#This Row],[Potential Same Month]]="High"),TEXT(OpenPendingCases[[#This Row],[Request Entry Date]], "[$-en-us]mmmm"),"")</f>
        <v/>
      </c>
      <c r="AK97" s="165">
        <f>IFERROR(VALUE(SUBSTITUTE(OpenPendingCases[[#This Row],[Price]]," AED","")),"")</f>
        <v/>
      </c>
      <c r="AL97" s="165">
        <f>IFERROR(VALUE(LEFT(OpenPendingCases[[#This Row],[Price]],FIND(" ",OpenPendingCases[[#This Row],[Price]])-1)),"")</f>
        <v/>
      </c>
      <c r="AM97" s="165">
        <f>IFERROR(VALUE(_xlfn.TEXTBEFORE(OpenPendingCases[[#This Row],[Price]]," AED")),"")</f>
        <v/>
      </c>
      <c r="AN97" s="165" t="n"/>
    </row>
    <row r="98" hidden="1" ht="18" customHeight="1" s="287">
      <c r="C98" s="148" t="n">
        <v>97</v>
      </c>
      <c r="D98" s="136">
        <f>IF($U98="Open Sale", IF(MAX($D$4:D97)+1=0, "", MAX($D$4:D97)+1), "")</f>
        <v/>
      </c>
      <c r="E98" s="136">
        <f>IF($U98="Pending Allocation", IF(MAX($E$4:E97)+1=0, "", MAX($E$4:E97)+1), "")</f>
        <v/>
      </c>
      <c r="F98" s="136" t="n"/>
      <c r="G98" s="136" t="n"/>
      <c r="H98" s="150" t="n"/>
      <c r="I98" s="150" t="n"/>
      <c r="J98" s="67">
        <f>IF(OpenPendingCases[[#This Row],[Timepiece Reference ]]="", "", IF(_xlfn.XLOOKUP(OpenPendingCases[[#This Row],[Timepiece Reference ]], Table1[[Timepiece Reference ]], Table1[CRC STOCK], "Not Found")="YES", "CRC Stock", "Boutique Stock"))</f>
        <v/>
      </c>
      <c r="K98" s="136">
        <f>IF(OpenPendingCases[[#This Row],[Timepiece Reference ]]="", "", IF(_xlfn.XLOOKUP(OpenPendingCases[[#This Row],[Timepiece Reference ]], Table1[[Timepiece Reference ]], Table1[CRC STOCK], "Not Found")="YES", "CRC Stock", "Boutique Stock"))</f>
        <v/>
      </c>
      <c r="L98" s="139" t="n"/>
      <c r="M98" s="140" t="n"/>
      <c r="N98" s="136" t="n"/>
      <c r="O98" s="133" t="n"/>
      <c r="P98" s="93">
        <f>IFERROR(VLOOKUP(TRIM(O98), Collection!$B$2:$D$1001, 2, FALSE), "")</f>
        <v/>
      </c>
      <c r="Q98" s="190">
        <f>IFERROR(VLOOKUP(TRIM(O98), Collection!$B$2:$D$1001, 3, FALSE), "")</f>
        <v/>
      </c>
      <c r="R98" s="153">
        <f>IFERROR(VALUE(SUBSTITUTE(SUBSTITUTE(Q98, "Price", ""), "AED", "")), "")</f>
        <v/>
      </c>
      <c r="S98" s="151" t="n"/>
      <c r="T98" s="158" t="n"/>
      <c r="U98" s="136" t="n"/>
      <c r="V98" s="136" t="n"/>
      <c r="W98" s="156">
        <f>IF(Z98 = "",
"",
TEXT(Z98, "mmmm"))</f>
        <v/>
      </c>
      <c r="X98" s="157" t="n"/>
      <c r="Y98" s="158" t="n"/>
      <c r="Z98" s="158" t="n"/>
      <c r="AA98" s="136">
        <f>IF(H98="", "", IF(U98="Open Sale", IF(TODAY()-H98=0, "0 Days", TEXT(TODAY()-H98, "0") &amp; " Days"), IF(U98="Closed Sale", AA98, "")))</f>
        <v/>
      </c>
      <c r="AB98" s="136">
        <f>IF(H98="", "", IF(OR(U98="Pending", U98="Pending Allocation"), CONCATENATE(TODAY()-H98, " Days"), IF(U98="Closed", "", "")))</f>
        <v/>
      </c>
      <c r="AC98" s="160">
        <f>IF(U98="Pending Allocation", IF(I98="", "", TODAY()-I98), "")</f>
        <v/>
      </c>
      <c r="AD98" s="159">
        <f>IF(U98="Open Sale", TEXT(TODAY()-I98, "0"),
IF(U98="Pending", "",
IF(U98="Closed Sale", "", "")))</f>
        <v/>
      </c>
      <c r="AE98" s="161" t="n"/>
      <c r="AF98" s="161" t="n"/>
      <c r="AG98" s="161" t="n"/>
      <c r="AH98" s="136" t="n"/>
      <c r="AI98" s="164">
        <f>IF(I98="","",TEXT(I98, "mmmm yyyy"))</f>
        <v/>
      </c>
      <c r="AJ98" s="164">
        <f>IF(AND(OpenPendingCases[[#This Row],[Sale Status	]]="Open Sale",OpenPendingCases[[#This Row],[Potential Same Month]]="High"),TEXT(OpenPendingCases[[#This Row],[Request Entry Date]], "[$-en-us]mmmm"),"")</f>
        <v/>
      </c>
      <c r="AK98" s="165">
        <f>IFERROR(VALUE(SUBSTITUTE(OpenPendingCases[[#This Row],[Price]]," AED","")),"")</f>
        <v/>
      </c>
      <c r="AL98" s="165">
        <f>IFERROR(VALUE(LEFT(OpenPendingCases[[#This Row],[Price]],FIND(" ",OpenPendingCases[[#This Row],[Price]])-1)),"")</f>
        <v/>
      </c>
      <c r="AM98" s="165">
        <f>IFERROR(VALUE(_xlfn.TEXTBEFORE(OpenPendingCases[[#This Row],[Price]]," AED")),"")</f>
        <v/>
      </c>
      <c r="AN98" s="165" t="n"/>
    </row>
    <row r="99" hidden="1" ht="18" customHeight="1" s="287">
      <c r="C99" s="148" t="n">
        <v>98</v>
      </c>
      <c r="D99" s="136">
        <f>IF($U99="Open Sale", IF(MAX($D$4:D98)+1=0, "", MAX($D$4:D98)+1), "")</f>
        <v/>
      </c>
      <c r="E99" s="136">
        <f>IF($U99="Pending Allocation", IF(MAX($E$4:E98)+1=0, "", MAX($E$4:E98)+1), "")</f>
        <v/>
      </c>
      <c r="F99" s="136" t="n"/>
      <c r="G99" s="136" t="n"/>
      <c r="H99" s="150" t="n"/>
      <c r="I99" s="150" t="n"/>
      <c r="J99" s="67">
        <f>IF(OpenPendingCases[[#This Row],[Timepiece Reference ]]="", "", IF(_xlfn.XLOOKUP(OpenPendingCases[[#This Row],[Timepiece Reference ]], Table1[[Timepiece Reference ]], Table1[CRC STOCK], "Not Found")="YES", "CRC Stock", "Boutique Stock"))</f>
        <v/>
      </c>
      <c r="K99" s="136">
        <f>IF(OpenPendingCases[[#This Row],[Timepiece Reference ]]="", "", IF(_xlfn.XLOOKUP(OpenPendingCases[[#This Row],[Timepiece Reference ]], Table1[[Timepiece Reference ]], Table1[CRC STOCK], "Not Found")="YES", "CRC Stock", "Boutique Stock"))</f>
        <v/>
      </c>
      <c r="L99" s="139" t="n"/>
      <c r="M99" s="140" t="n"/>
      <c r="N99" s="136" t="n"/>
      <c r="O99" s="133" t="n"/>
      <c r="P99" s="93">
        <f>IFERROR(VLOOKUP(TRIM(O99), Collection!$B$2:$D$1001, 2, FALSE), "")</f>
        <v/>
      </c>
      <c r="Q99" s="190">
        <f>IFERROR(VLOOKUP(TRIM(O99), Collection!$B$2:$D$1001, 3, FALSE), "")</f>
        <v/>
      </c>
      <c r="R99" s="153">
        <f>IFERROR(VALUE(SUBSTITUTE(SUBSTITUTE(Q99, "Price", ""), "AED", "")), "")</f>
        <v/>
      </c>
      <c r="S99" s="151" t="n"/>
      <c r="T99" s="158" t="n"/>
      <c r="U99" s="136" t="n"/>
      <c r="V99" s="136" t="n"/>
      <c r="W99" s="156">
        <f>IF(Z99 = "",
"",
TEXT(Z99, "mmmm"))</f>
        <v/>
      </c>
      <c r="X99" s="157" t="n"/>
      <c r="Y99" s="158" t="n"/>
      <c r="Z99" s="158" t="n"/>
      <c r="AA99" s="136">
        <f>IF(H99="", "", IF(U99="Open Sale", IF(TODAY()-H99=0, "0 Days", TEXT(TODAY()-H99, "0") &amp; " Days"), IF(U99="Closed Sale", AA99, "")))</f>
        <v/>
      </c>
      <c r="AB99" s="136">
        <f>IF(H99="", "", IF(OR(U99="Pending", U99="Pending Allocation"), CONCATENATE(TODAY()-H99, " Days"), IF(U99="Closed", "", "")))</f>
        <v/>
      </c>
      <c r="AC99" s="160">
        <f>IF(U99="Pending Allocation", IF(I99="", "", TODAY()-I99), "")</f>
        <v/>
      </c>
      <c r="AD99" s="159">
        <f>IF(U99="Open Sale", TEXT(TODAY()-I99, "0"),
IF(U99="Pending", "",
IF(U99="Closed Sale", "", "")))</f>
        <v/>
      </c>
      <c r="AE99" s="161" t="n"/>
      <c r="AF99" s="161" t="n"/>
      <c r="AG99" s="161" t="n"/>
      <c r="AH99" s="136" t="n"/>
      <c r="AI99" s="164">
        <f>IF(I99="","",TEXT(I99, "mmmm yyyy"))</f>
        <v/>
      </c>
      <c r="AJ99" s="164">
        <f>IF(AND(OpenPendingCases[[#This Row],[Sale Status	]]="Open Sale",OpenPendingCases[[#This Row],[Potential Same Month]]="High"),TEXT(OpenPendingCases[[#This Row],[Request Entry Date]], "[$-en-us]mmmm"),"")</f>
        <v/>
      </c>
      <c r="AK99" s="165">
        <f>IFERROR(VALUE(SUBSTITUTE(OpenPendingCases[[#This Row],[Price]]," AED","")),"")</f>
        <v/>
      </c>
      <c r="AL99" s="165">
        <f>IFERROR(VALUE(LEFT(OpenPendingCases[[#This Row],[Price]],FIND(" ",OpenPendingCases[[#This Row],[Price]])-1)),"")</f>
        <v/>
      </c>
      <c r="AM99" s="165">
        <f>IFERROR(VALUE(_xlfn.TEXTBEFORE(OpenPendingCases[[#This Row],[Price]]," AED")),"")</f>
        <v/>
      </c>
      <c r="AN99" s="165" t="n"/>
    </row>
    <row r="100" hidden="1" ht="18" customHeight="1" s="287">
      <c r="C100" s="148" t="n">
        <v>99</v>
      </c>
      <c r="D100" s="136">
        <f>IF($U100="Open Sale", IF(MAX($D$4:D99)+1=0, "", MAX($D$4:D99)+1), "")</f>
        <v/>
      </c>
      <c r="E100" s="136">
        <f>IF($U100="Pending Allocation", IF(MAX($E$4:E99)+1=0, "", MAX($E$4:E99)+1), "")</f>
        <v/>
      </c>
      <c r="F100" s="136" t="n"/>
      <c r="G100" s="136" t="n"/>
      <c r="H100" s="150" t="n"/>
      <c r="I100" s="150" t="n"/>
      <c r="J100" s="67">
        <f>IF(OpenPendingCases[[#This Row],[Timepiece Reference ]]="", "", IF(_xlfn.XLOOKUP(OpenPendingCases[[#This Row],[Timepiece Reference ]], Table1[[Timepiece Reference ]], Table1[CRC STOCK], "Not Found")="YES", "CRC Stock", "Boutique Stock"))</f>
        <v/>
      </c>
      <c r="K100" s="136">
        <f>IF(OpenPendingCases[[#This Row],[Timepiece Reference ]]="", "", IF(_xlfn.XLOOKUP(OpenPendingCases[[#This Row],[Timepiece Reference ]], Table1[[Timepiece Reference ]], Table1[CRC STOCK], "Not Found")="YES", "CRC Stock", "Boutique Stock"))</f>
        <v/>
      </c>
      <c r="L100" s="139" t="n"/>
      <c r="M100" s="140" t="n"/>
      <c r="N100" s="136" t="n"/>
      <c r="O100" s="133" t="n"/>
      <c r="P100" s="93">
        <f>IFERROR(VLOOKUP(TRIM(O100), Collection!$B$2:$D$1001, 2, FALSE), "")</f>
        <v/>
      </c>
      <c r="Q100" s="190">
        <f>IFERROR(VLOOKUP(TRIM(O100), Collection!$B$2:$D$1001, 3, FALSE), "")</f>
        <v/>
      </c>
      <c r="R100" s="153">
        <f>IFERROR(VALUE(SUBSTITUTE(SUBSTITUTE(Q100, "Price", ""), "AED", "")), "")</f>
        <v/>
      </c>
      <c r="S100" s="151" t="n"/>
      <c r="T100" s="158" t="n"/>
      <c r="U100" s="136" t="n"/>
      <c r="V100" s="136" t="n"/>
      <c r="W100" s="156">
        <f>IF(Z100 = "",
"",
TEXT(Z100, "mmmm"))</f>
        <v/>
      </c>
      <c r="X100" s="157" t="n"/>
      <c r="Y100" s="158" t="n"/>
      <c r="Z100" s="158" t="n"/>
      <c r="AA100" s="136">
        <f>IF(H100="", "", IF(U100="Open Sale", IF(TODAY()-H100=0, "0 Days", TEXT(TODAY()-H100, "0") &amp; " Days"), IF(U100="Closed Sale", AA100, "")))</f>
        <v/>
      </c>
      <c r="AB100" s="136">
        <f>IF(H100="", "", IF(OR(U100="Pending", U100="Pending Allocation"), CONCATENATE(TODAY()-H100, " Days"), IF(U100="Closed", "", "")))</f>
        <v/>
      </c>
      <c r="AC100" s="160">
        <f>IF(U100="Pending Allocation", IF(I100="", "", TODAY()-I100), "")</f>
        <v/>
      </c>
      <c r="AD100" s="159">
        <f>IF(U100="Open Sale", TEXT(TODAY()-I100, "0"),
IF(U100="Pending", "",
IF(U100="Closed Sale", "", "")))</f>
        <v/>
      </c>
      <c r="AE100" s="161" t="n"/>
      <c r="AF100" s="161" t="n"/>
      <c r="AG100" s="161" t="n"/>
      <c r="AH100" s="136" t="n"/>
      <c r="AI100" s="164">
        <f>IF(I100="","",TEXT(I100, "mmmm yyyy"))</f>
        <v/>
      </c>
      <c r="AJ100" s="164">
        <f>IF(AND(OpenPendingCases[[#This Row],[Sale Status	]]="Open Sale",OpenPendingCases[[#This Row],[Potential Same Month]]="High"),TEXT(OpenPendingCases[[#This Row],[Request Entry Date]], "[$-en-us]mmmm"),"")</f>
        <v/>
      </c>
      <c r="AK100" s="165">
        <f>IFERROR(VALUE(SUBSTITUTE(OpenPendingCases[[#This Row],[Price]]," AED","")),"")</f>
        <v/>
      </c>
      <c r="AL100" s="165">
        <f>IFERROR(VALUE(LEFT(OpenPendingCases[[#This Row],[Price]],FIND(" ",OpenPendingCases[[#This Row],[Price]])-1)),"")</f>
        <v/>
      </c>
      <c r="AM100" s="165">
        <f>IFERROR(VALUE(_xlfn.TEXTBEFORE(OpenPendingCases[[#This Row],[Price]]," AED")),"")</f>
        <v/>
      </c>
      <c r="AN100" s="165" t="n"/>
    </row>
    <row r="101" hidden="1" ht="18" customHeight="1" s="287">
      <c r="C101" s="148" t="n">
        <v>100</v>
      </c>
      <c r="D101" s="136">
        <f>IF($U101="Open Sale", IF(MAX($D$4:D100)+1=0, "", MAX($D$4:D100)+1), "")</f>
        <v/>
      </c>
      <c r="E101" s="136">
        <f>IF($U101="Pending Allocation", IF(MAX($E$4:E100)+1=0, "", MAX($E$4:E100)+1), "")</f>
        <v/>
      </c>
      <c r="F101" s="136" t="n"/>
      <c r="G101" s="136" t="n"/>
      <c r="H101" s="150" t="n"/>
      <c r="I101" s="150" t="n"/>
      <c r="J101" s="67">
        <f>IF(OpenPendingCases[[#This Row],[Timepiece Reference ]]="", "", IF(_xlfn.XLOOKUP(OpenPendingCases[[#This Row],[Timepiece Reference ]], Table1[[Timepiece Reference ]], Table1[CRC STOCK], "Not Found")="YES", "CRC Stock", "Boutique Stock"))</f>
        <v/>
      </c>
      <c r="K101" s="136">
        <f>IF(OpenPendingCases[[#This Row],[Timepiece Reference ]]="", "", IF(_xlfn.XLOOKUP(OpenPendingCases[[#This Row],[Timepiece Reference ]], Table1[[Timepiece Reference ]], Table1[CRC STOCK], "Not Found")="YES", "CRC Stock", "Boutique Stock"))</f>
        <v/>
      </c>
      <c r="L101" s="139" t="n"/>
      <c r="M101" s="140" t="n"/>
      <c r="N101" s="136" t="n"/>
      <c r="O101" s="133" t="n"/>
      <c r="P101" s="93">
        <f>IFERROR(VLOOKUP(TRIM(O101), Collection!$B$2:$D$1001, 2, FALSE), "")</f>
        <v/>
      </c>
      <c r="Q101" s="190">
        <f>IFERROR(VLOOKUP(TRIM(O101), Collection!$B$2:$D$1001, 3, FALSE), "")</f>
        <v/>
      </c>
      <c r="R101" s="153">
        <f>IFERROR(VALUE(SUBSTITUTE(SUBSTITUTE(Q101, "Price", ""), "AED", "")), "")</f>
        <v/>
      </c>
      <c r="S101" s="151" t="n"/>
      <c r="T101" s="158" t="n"/>
      <c r="U101" s="136" t="n"/>
      <c r="V101" s="136" t="n"/>
      <c r="W101" s="156">
        <f>IF(Z101 = "",
"",
TEXT(Z101, "mmmm"))</f>
        <v/>
      </c>
      <c r="X101" s="157" t="n"/>
      <c r="Y101" s="158" t="n"/>
      <c r="Z101" s="158" t="n"/>
      <c r="AA101" s="136">
        <f>IF(H101="", "", IF(U101="Open Sale", IF(TODAY()-H101=0, "0 Days", TEXT(TODAY()-H101, "0") &amp; " Days"), IF(U101="Closed Sale", AA101, "")))</f>
        <v/>
      </c>
      <c r="AB101" s="136">
        <f>IF(H101="", "", IF(OR(U101="Pending", U101="Pending Allocation"), CONCATENATE(TODAY()-H101, " Days"), IF(U101="Closed", "", "")))</f>
        <v/>
      </c>
      <c r="AC101" s="160">
        <f>IF(U101="Pending Allocation", IF(I101="", "", TODAY()-I101), "")</f>
        <v/>
      </c>
      <c r="AD101" s="159">
        <f>IF(U101="Open Sale", TEXT(TODAY()-I101, "0"),
IF(U101="Pending", "",
IF(U101="Closed Sale", "", "")))</f>
        <v/>
      </c>
      <c r="AE101" s="161" t="n"/>
      <c r="AF101" s="161" t="n"/>
      <c r="AG101" s="161" t="n"/>
      <c r="AH101" s="136" t="n"/>
      <c r="AI101" s="164">
        <f>IF(I101="","",TEXT(I101, "mmmm yyyy"))</f>
        <v/>
      </c>
      <c r="AJ101" s="164">
        <f>IF(AND(OpenPendingCases[[#This Row],[Sale Status	]]="Open Sale",OpenPendingCases[[#This Row],[Potential Same Month]]="High"),TEXT(OpenPendingCases[[#This Row],[Request Entry Date]], "[$-en-us]mmmm"),"")</f>
        <v/>
      </c>
      <c r="AK101" s="165">
        <f>IFERROR(VALUE(SUBSTITUTE(OpenPendingCases[[#This Row],[Price]]," AED","")),"")</f>
        <v/>
      </c>
      <c r="AL101" s="165">
        <f>IFERROR(VALUE(LEFT(OpenPendingCases[[#This Row],[Price]],FIND(" ",OpenPendingCases[[#This Row],[Price]])-1)),"")</f>
        <v/>
      </c>
      <c r="AM101" s="165">
        <f>IFERROR(VALUE(_xlfn.TEXTBEFORE(OpenPendingCases[[#This Row],[Price]]," AED")),"")</f>
        <v/>
      </c>
      <c r="AN101" s="165" t="n"/>
    </row>
    <row r="102" hidden="1" ht="18" customHeight="1" s="287">
      <c r="C102" s="133" t="n"/>
      <c r="D102" s="136">
        <f>IF($U102="Open Sale", IF(MAX($D$4:D101)+1=0, "", MAX($D$4:D101)+1), "")</f>
        <v/>
      </c>
      <c r="E102" s="136">
        <f>IF($U102="Pending Allocation", IF(MAX($E$4:E101)+1=0, "", MAX($E$4:E101)+1), "")</f>
        <v/>
      </c>
      <c r="F102" s="136" t="n"/>
      <c r="G102" s="136" t="n"/>
      <c r="H102" s="150" t="n"/>
      <c r="I102" s="150" t="n"/>
      <c r="J102" s="67">
        <f>IF(OpenPendingCases[[#This Row],[Timepiece Reference ]]="", "", IF(_xlfn.XLOOKUP(OpenPendingCases[[#This Row],[Timepiece Reference ]], Table1[[Timepiece Reference ]], Table1[CRC STOCK], "Not Found")="YES", "CRC Stock", "Boutique Stock"))</f>
        <v/>
      </c>
      <c r="K102" s="136">
        <f>IF(OpenPendingCases[[#This Row],[Timepiece Reference ]]="", "", IF(_xlfn.XLOOKUP(OpenPendingCases[[#This Row],[Timepiece Reference ]], Table1[[Timepiece Reference ]], Table1[CRC STOCK], "Not Found")="YES", "CRC Stock", "Boutique Stock"))</f>
        <v/>
      </c>
      <c r="L102" s="139" t="n"/>
      <c r="M102" s="140" t="n"/>
      <c r="N102" s="136" t="n"/>
      <c r="O102" s="133" t="n"/>
      <c r="P102" s="93">
        <f>IFERROR(VLOOKUP(TRIM(O102), Collection!$B$2:$D$1001, 2, FALSE), "")</f>
        <v/>
      </c>
      <c r="Q102" s="190">
        <f>IFERROR(VLOOKUP(TRIM(O102), Collection!$B$2:$D$1001, 3, FALSE), "")</f>
        <v/>
      </c>
      <c r="R102" s="153">
        <f>IFERROR(VALUE(SUBSTITUTE(SUBSTITUTE(Q102, "Price", ""), "AED", "")), "")</f>
        <v/>
      </c>
      <c r="S102" s="151" t="n"/>
      <c r="T102" s="158" t="n"/>
      <c r="U102" s="136" t="n"/>
      <c r="V102" s="136" t="n"/>
      <c r="W102" s="156">
        <f>IF(Z102 = "",
"",
TEXT(Z102, "mmmm"))</f>
        <v/>
      </c>
      <c r="X102" s="157" t="n"/>
      <c r="Y102" s="158" t="n"/>
      <c r="Z102" s="158" t="n"/>
      <c r="AA102" s="136">
        <f>IF(H102="", "", IF(U102="Open Sale", IF(TODAY()-H102=0, "0 Days", TEXT(TODAY()-H102, "0") &amp; " Days"), IF(U102="Closed Sale", AA102, "")))</f>
        <v/>
      </c>
      <c r="AB102" s="136">
        <f>IF(H102="", "", IF(OR(U102="Pending", U102="Pending Allocation"), CONCATENATE(TODAY()-H102, " Days"), IF(U102="Closed", "", "")))</f>
        <v/>
      </c>
      <c r="AC102" s="160">
        <f>IF(U102="Pending Allocation", IF(I102="", "", TODAY()-I102), "")</f>
        <v/>
      </c>
      <c r="AD102" s="159">
        <f>IF(U102="Open Sale", TEXT(TODAY()-I102, "0"),
IF(U102="Pending", "",
IF(U102="Closed Sale", "", "")))</f>
        <v/>
      </c>
      <c r="AE102" s="161" t="n"/>
      <c r="AF102" s="161" t="n"/>
      <c r="AG102" s="161" t="n"/>
      <c r="AH102" s="136" t="n"/>
      <c r="AI102" s="164">
        <f>IF(I102="","",TEXT(I102, "mmmm yyyy"))</f>
        <v/>
      </c>
      <c r="AJ102" s="164">
        <f>IF(AND(OpenPendingCases[[#This Row],[Sale Status	]]="Open Sale",OpenPendingCases[[#This Row],[Potential Same Month]]="High"),TEXT(OpenPendingCases[[#This Row],[Request Entry Date]], "[$-en-us]mmmm"),"")</f>
        <v/>
      </c>
      <c r="AK102" s="165">
        <f>IFERROR(VALUE(SUBSTITUTE(OpenPendingCases[[#This Row],[Price]]," AED","")),"")</f>
        <v/>
      </c>
      <c r="AL102" s="165">
        <f>IFERROR(VALUE(LEFT(OpenPendingCases[[#This Row],[Price]],FIND(" ",OpenPendingCases[[#This Row],[Price]])-1)),"")</f>
        <v/>
      </c>
      <c r="AM102" s="165">
        <f>IFERROR(VALUE(_xlfn.TEXTBEFORE(OpenPendingCases[[#This Row],[Price]]," AED")),"")</f>
        <v/>
      </c>
      <c r="AN102" s="165" t="n"/>
    </row>
    <row r="103" hidden="1" ht="18" customHeight="1" s="287">
      <c r="C103" s="133" t="n"/>
      <c r="D103" s="136">
        <f>IF($U103="Open Sale", IF(MAX($D$4:D102)+1=0, "", MAX($D$4:D102)+1), "")</f>
        <v/>
      </c>
      <c r="E103" s="136">
        <f>IF($U103="Pending Allocation", IF(MAX($E$4:E102)+1=0, "", MAX($E$4:E102)+1), "")</f>
        <v/>
      </c>
      <c r="F103" s="136" t="n"/>
      <c r="G103" s="136" t="n"/>
      <c r="H103" s="150" t="n"/>
      <c r="I103" s="150" t="n"/>
      <c r="J103" s="67">
        <f>IF(OpenPendingCases[[#This Row],[Timepiece Reference ]]="", "", IF(_xlfn.XLOOKUP(OpenPendingCases[[#This Row],[Timepiece Reference ]], Table1[[Timepiece Reference ]], Table1[CRC STOCK], "Not Found")="YES", "CRC Stock", "Boutique Stock"))</f>
        <v/>
      </c>
      <c r="K103" s="136">
        <f>IF(OpenPendingCases[[#This Row],[Timepiece Reference ]]="", "", IF(_xlfn.XLOOKUP(OpenPendingCases[[#This Row],[Timepiece Reference ]], Table1[[Timepiece Reference ]], Table1[CRC STOCK], "Not Found")="YES", "CRC Stock", "Boutique Stock"))</f>
        <v/>
      </c>
      <c r="L103" s="139" t="n"/>
      <c r="M103" s="140" t="n"/>
      <c r="N103" s="136" t="n"/>
      <c r="O103" s="133" t="n"/>
      <c r="P103" s="93">
        <f>IFERROR(VLOOKUP(TRIM(O103), Collection!$B$2:$D$1001, 2, FALSE), "")</f>
        <v/>
      </c>
      <c r="Q103" s="190">
        <f>IFERROR(VLOOKUP(TRIM(O103), Collection!$B$2:$D$1001, 3, FALSE), "")</f>
        <v/>
      </c>
      <c r="R103" s="153">
        <f>IFERROR(VALUE(SUBSTITUTE(SUBSTITUTE(Q103, "Price", ""), "AED", "")), "")</f>
        <v/>
      </c>
      <c r="S103" s="151" t="n"/>
      <c r="T103" s="158" t="n"/>
      <c r="U103" s="136" t="n"/>
      <c r="V103" s="136" t="n"/>
      <c r="W103" s="156">
        <f>IF(Z103 = "",
"",
TEXT(Z103, "mmmm"))</f>
        <v/>
      </c>
      <c r="X103" s="157" t="n"/>
      <c r="Y103" s="158" t="n"/>
      <c r="Z103" s="158" t="n"/>
      <c r="AA103" s="136">
        <f>IF(H103="", "", IF(U103="Open Sale", IF(TODAY()-H103=0, "0 Days", TEXT(TODAY()-H103, "0") &amp; " Days"), IF(U103="Closed Sale", AA103, "")))</f>
        <v/>
      </c>
      <c r="AB103" s="136">
        <f>IF(H103="", "", IF(OR(U103="Pending", U103="Pending Allocation"), CONCATENATE(TODAY()-H103, " Days"), IF(U103="Closed", "", "")))</f>
        <v/>
      </c>
      <c r="AC103" s="160">
        <f>IF(U103="Pending Allocation", IF(I103="", "", TODAY()-I103), "")</f>
        <v/>
      </c>
      <c r="AD103" s="159">
        <f>IF(U103="Open Sale", TEXT(TODAY()-I103, "0"),
IF(U103="Pending", "",
IF(U103="Closed Sale", "", "")))</f>
        <v/>
      </c>
      <c r="AE103" s="161" t="n"/>
      <c r="AF103" s="161" t="n"/>
      <c r="AG103" s="161" t="n"/>
      <c r="AH103" s="136" t="n"/>
      <c r="AI103" s="164">
        <f>IF(I103="","",TEXT(I103, "mmmm yyyy"))</f>
        <v/>
      </c>
      <c r="AJ103" s="164">
        <f>IF(AND(OpenPendingCases[[#This Row],[Sale Status	]]="Open Sale",OpenPendingCases[[#This Row],[Potential Same Month]]="High"),TEXT(OpenPendingCases[[#This Row],[Request Entry Date]], "[$-en-us]mmmm"),"")</f>
        <v/>
      </c>
      <c r="AK103" s="165">
        <f>IFERROR(VALUE(SUBSTITUTE(OpenPendingCases[[#This Row],[Price]]," AED","")),"")</f>
        <v/>
      </c>
      <c r="AL103" s="165">
        <f>IFERROR(VALUE(LEFT(OpenPendingCases[[#This Row],[Price]],FIND(" ",OpenPendingCases[[#This Row],[Price]])-1)),"")</f>
        <v/>
      </c>
      <c r="AM103" s="165">
        <f>IFERROR(VALUE(_xlfn.TEXTBEFORE(OpenPendingCases[[#This Row],[Price]]," AED")),"")</f>
        <v/>
      </c>
      <c r="AN103" s="165" t="n"/>
    </row>
    <row r="104" hidden="1" ht="18" customHeight="1" s="287">
      <c r="C104" s="133" t="n"/>
      <c r="D104" s="136">
        <f>IF($U104="Open Sale", IF(MAX($D$4:D103)+1=0, "", MAX($D$4:D103)+1), "")</f>
        <v/>
      </c>
      <c r="E104" s="136">
        <f>IF($U104="Pending Allocation", IF(MAX($E$4:E103)+1=0, "", MAX($E$4:E103)+1), "")</f>
        <v/>
      </c>
      <c r="F104" s="136" t="n"/>
      <c r="G104" s="136" t="n"/>
      <c r="H104" s="150" t="n"/>
      <c r="I104" s="150" t="n"/>
      <c r="J104" s="67">
        <f>IF(OpenPendingCases[[#This Row],[Timepiece Reference ]]="", "", IF(_xlfn.XLOOKUP(OpenPendingCases[[#This Row],[Timepiece Reference ]], Table1[[Timepiece Reference ]], Table1[CRC STOCK], "Not Found")="YES", "CRC Stock", "Boutique Stock"))</f>
        <v/>
      </c>
      <c r="K104" s="136">
        <f>IF(OpenPendingCases[[#This Row],[Timepiece Reference ]]="", "", IF(_xlfn.XLOOKUP(OpenPendingCases[[#This Row],[Timepiece Reference ]], Table1[[Timepiece Reference ]], Table1[CRC STOCK], "Not Found")="YES", "CRC Stock", "Boutique Stock"))</f>
        <v/>
      </c>
      <c r="L104" s="139" t="n"/>
      <c r="M104" s="140" t="n"/>
      <c r="N104" s="136" t="n"/>
      <c r="O104" s="133" t="n"/>
      <c r="P104" s="93">
        <f>IFERROR(VLOOKUP(TRIM(O104), Collection!$B$2:$D$1001, 2, FALSE), "")</f>
        <v/>
      </c>
      <c r="Q104" s="190">
        <f>IFERROR(VLOOKUP(TRIM(O104), Collection!$B$2:$D$1001, 3, FALSE), "")</f>
        <v/>
      </c>
      <c r="R104" s="153">
        <f>IFERROR(VALUE(SUBSTITUTE(SUBSTITUTE(Q104, "Price", ""), "AED", "")), "")</f>
        <v/>
      </c>
      <c r="S104" s="151" t="n"/>
      <c r="T104" s="158" t="n"/>
      <c r="U104" s="136" t="n"/>
      <c r="V104" s="136" t="n"/>
      <c r="W104" s="156">
        <f>IF(Z104 = "",
"",
TEXT(Z104, "mmmm"))</f>
        <v/>
      </c>
      <c r="X104" s="157" t="n"/>
      <c r="Y104" s="158" t="n"/>
      <c r="Z104" s="158" t="n"/>
      <c r="AA104" s="136">
        <f>IF(H104="", "", IF(U104="Open Sale", IF(TODAY()-H104=0, "0 Days", TEXT(TODAY()-H104, "0") &amp; " Days"), IF(U104="Closed Sale", AA104, "")))</f>
        <v/>
      </c>
      <c r="AB104" s="136">
        <f>IF(H104="", "", IF(OR(U104="Pending", U104="Pending Allocation"), CONCATENATE(TODAY()-H104, " Days"), IF(U104="Closed", "", "")))</f>
        <v/>
      </c>
      <c r="AC104" s="160">
        <f>IF(U104="Pending Allocation", IF(I104="", "", TODAY()-I104), "")</f>
        <v/>
      </c>
      <c r="AD104" s="159">
        <f>IF(U104="Open Sale", TEXT(TODAY()-I104, "0"),
IF(U104="Pending", "",
IF(U104="Closed Sale", "", "")))</f>
        <v/>
      </c>
      <c r="AE104" s="161" t="n"/>
      <c r="AF104" s="161" t="n"/>
      <c r="AG104" s="161" t="n"/>
      <c r="AH104" s="136" t="n"/>
      <c r="AI104" s="164">
        <f>IF(I104="","",TEXT(I104, "mmmm yyyy"))</f>
        <v/>
      </c>
      <c r="AJ104" s="164">
        <f>IF(AND(OpenPendingCases[[#This Row],[Sale Status	]]="Open Sale",OpenPendingCases[[#This Row],[Potential Same Month]]="High"),TEXT(OpenPendingCases[[#This Row],[Request Entry Date]], "[$-en-us]mmmm"),"")</f>
        <v/>
      </c>
      <c r="AK104" s="165">
        <f>IFERROR(VALUE(SUBSTITUTE(OpenPendingCases[[#This Row],[Price]]," AED","")),"")</f>
        <v/>
      </c>
      <c r="AL104" s="165">
        <f>IFERROR(VALUE(LEFT(OpenPendingCases[[#This Row],[Price]],FIND(" ",OpenPendingCases[[#This Row],[Price]])-1)),"")</f>
        <v/>
      </c>
      <c r="AM104" s="165">
        <f>IFERROR(VALUE(_xlfn.TEXTBEFORE(OpenPendingCases[[#This Row],[Price]]," AED")),"")</f>
        <v/>
      </c>
      <c r="AN104" s="165" t="n"/>
    </row>
    <row r="105" hidden="1" ht="18" customHeight="1" s="287">
      <c r="C105" s="133" t="n"/>
      <c r="D105" s="136">
        <f>IF($U105="Open Sale", IF(MAX($D$4:D104)+1=0, "", MAX($D$4:D104)+1), "")</f>
        <v/>
      </c>
      <c r="E105" s="136">
        <f>IF($U105="Pending Allocation", IF(MAX($E$4:E104)+1=0, "", MAX($E$4:E104)+1), "")</f>
        <v/>
      </c>
      <c r="F105" s="136" t="n"/>
      <c r="G105" s="136" t="n"/>
      <c r="H105" s="150" t="n"/>
      <c r="I105" s="150" t="n"/>
      <c r="J105" s="67">
        <f>IF(OpenPendingCases[[#This Row],[Timepiece Reference ]]="", "", IF(_xlfn.XLOOKUP(OpenPendingCases[[#This Row],[Timepiece Reference ]], Table1[[Timepiece Reference ]], Table1[CRC STOCK], "Not Found")="YES", "CRC Stock", "Boutique Stock"))</f>
        <v/>
      </c>
      <c r="K105" s="136">
        <f>IF(OpenPendingCases[[#This Row],[Timepiece Reference ]]="", "", IF(_xlfn.XLOOKUP(OpenPendingCases[[#This Row],[Timepiece Reference ]], Table1[[Timepiece Reference ]], Table1[CRC STOCK], "Not Found")="YES", "CRC Stock", "Boutique Stock"))</f>
        <v/>
      </c>
      <c r="L105" s="139" t="n"/>
      <c r="M105" s="140" t="n"/>
      <c r="N105" s="136" t="n"/>
      <c r="O105" s="133" t="n"/>
      <c r="P105" s="93">
        <f>IFERROR(VLOOKUP(TRIM(O105), Collection!$B$2:$D$1001, 2, FALSE), "")</f>
        <v/>
      </c>
      <c r="Q105" s="190">
        <f>IFERROR(VLOOKUP(TRIM(O105), Collection!$B$2:$D$1001, 3, FALSE), "")</f>
        <v/>
      </c>
      <c r="R105" s="153">
        <f>IFERROR(VALUE(SUBSTITUTE(SUBSTITUTE(Q105, "Price", ""), "AED", "")), "")</f>
        <v/>
      </c>
      <c r="S105" s="151" t="n"/>
      <c r="T105" s="158" t="n"/>
      <c r="U105" s="136" t="n"/>
      <c r="V105" s="136" t="n"/>
      <c r="W105" s="156">
        <f>IF(Z105 = "",
"",
TEXT(Z105, "mmmm"))</f>
        <v/>
      </c>
      <c r="X105" s="157" t="n"/>
      <c r="Y105" s="158" t="n"/>
      <c r="Z105" s="158" t="n"/>
      <c r="AA105" s="136">
        <f>IF(H105="", "", IF(U105="Open Sale", IF(TODAY()-H105=0, "0 Days", TEXT(TODAY()-H105, "0") &amp; " Days"), IF(U105="Closed Sale", AA105, "")))</f>
        <v/>
      </c>
      <c r="AB105" s="136">
        <f>IF(H105="", "", IF(OR(U105="Pending", U105="Pending Allocation"), CONCATENATE(TODAY()-H105, " Days"), IF(U105="Closed", "", "")))</f>
        <v/>
      </c>
      <c r="AC105" s="160">
        <f>IF(U105="Pending Allocation", IF(I105="", "", TODAY()-I105), "")</f>
        <v/>
      </c>
      <c r="AD105" s="159">
        <f>IF(U105="Open Sale", TEXT(TODAY()-I105, "0"),
IF(U105="Pending", "",
IF(U105="Closed Sale", "", "")))</f>
        <v/>
      </c>
      <c r="AE105" s="161" t="n"/>
      <c r="AF105" s="161" t="n"/>
      <c r="AG105" s="161" t="n"/>
      <c r="AH105" s="136" t="n"/>
      <c r="AI105" s="164">
        <f>IF(I105="","",TEXT(I105, "mmmm yyyy"))</f>
        <v/>
      </c>
      <c r="AJ105" s="164">
        <f>IF(AND(OpenPendingCases[[#This Row],[Sale Status	]]="Open Sale",OpenPendingCases[[#This Row],[Potential Same Month]]="High"),TEXT(OpenPendingCases[[#This Row],[Request Entry Date]], "[$-en-us]mmmm"),"")</f>
        <v/>
      </c>
      <c r="AK105" s="165">
        <f>IFERROR(VALUE(SUBSTITUTE(OpenPendingCases[[#This Row],[Price]]," AED","")),"")</f>
        <v/>
      </c>
      <c r="AL105" s="165">
        <f>IFERROR(VALUE(LEFT(OpenPendingCases[[#This Row],[Price]],FIND(" ",OpenPendingCases[[#This Row],[Price]])-1)),"")</f>
        <v/>
      </c>
      <c r="AM105" s="165">
        <f>IFERROR(VALUE(_xlfn.TEXTBEFORE(OpenPendingCases[[#This Row],[Price]]," AED")),"")</f>
        <v/>
      </c>
      <c r="AN105" s="165" t="n"/>
    </row>
    <row r="106" hidden="1" ht="18" customHeight="1" s="287">
      <c r="C106" s="133" t="n"/>
      <c r="D106" s="136">
        <f>IF($U106="Open Sale", IF(MAX($D$4:D105)+1=0, "", MAX($D$4:D105)+1), "")</f>
        <v/>
      </c>
      <c r="E106" s="136">
        <f>IF($U106="Pending Allocation", IF(MAX($E$4:E105)+1=0, "", MAX($E$4:E105)+1), "")</f>
        <v/>
      </c>
      <c r="F106" s="136" t="n"/>
      <c r="G106" s="136" t="n"/>
      <c r="H106" s="150" t="n"/>
      <c r="I106" s="150" t="n"/>
      <c r="J106" s="67">
        <f>IF(OpenPendingCases[[#This Row],[Timepiece Reference ]]="", "", IF(_xlfn.XLOOKUP(OpenPendingCases[[#This Row],[Timepiece Reference ]], Table1[[Timepiece Reference ]], Table1[CRC STOCK], "Not Found")="YES", "CRC Stock", "Boutique Stock"))</f>
        <v/>
      </c>
      <c r="K106" s="136">
        <f>IF(OpenPendingCases[[#This Row],[Timepiece Reference ]]="", "", IF(_xlfn.XLOOKUP(OpenPendingCases[[#This Row],[Timepiece Reference ]], Table1[[Timepiece Reference ]], Table1[CRC STOCK], "Not Found")="YES", "CRC Stock", "Boutique Stock"))</f>
        <v/>
      </c>
      <c r="L106" s="139" t="n"/>
      <c r="M106" s="144" t="n"/>
      <c r="N106" s="136" t="n"/>
      <c r="O106" s="133" t="n"/>
      <c r="P106" s="93">
        <f>IFERROR(VLOOKUP(TRIM(O106), Collection!$B$2:$D$1001, 2, FALSE), "")</f>
        <v/>
      </c>
      <c r="Q106" s="190">
        <f>IFERROR(VLOOKUP(TRIM(O106), Collection!$B$2:$D$1001, 3, FALSE), "")</f>
        <v/>
      </c>
      <c r="R106" s="153">
        <f>IFERROR(VALUE(SUBSTITUTE(SUBSTITUTE(Q106, "Price", ""), "AED", "")), "")</f>
        <v/>
      </c>
      <c r="S106" s="151" t="n"/>
      <c r="T106" s="158" t="n"/>
      <c r="U106" s="136" t="n"/>
      <c r="V106" s="136" t="n"/>
      <c r="W106" s="156">
        <f>IF(Z106 = "",
"",
TEXT(Z106, "mmmm"))</f>
        <v/>
      </c>
      <c r="X106" s="157" t="n"/>
      <c r="Y106" s="158" t="n"/>
      <c r="Z106" s="158" t="n"/>
      <c r="AA106" s="136">
        <f>IF(H106="", "", IF(U106="Open Sale", IF(TODAY()-H106=0, "0 Days", TEXT(TODAY()-H106, "0") &amp; " Days"), IF(U106="Closed Sale", AA106, "")))</f>
        <v/>
      </c>
      <c r="AB106" s="136">
        <f>IF(H106="", "", IF(OR(U106="Pending", U106="Pending Allocation"), CONCATENATE(TODAY()-H106, " Days"), IF(U106="Closed", "", "")))</f>
        <v/>
      </c>
      <c r="AC106" s="160">
        <f>IF(U106="Pending Allocation", IF(I106="", "", TODAY()-I106), "")</f>
        <v/>
      </c>
      <c r="AD106" s="159">
        <f>IF(U106="Open Sale", TEXT(TODAY()-I106, "0"),
IF(U106="Pending", "",
IF(U106="Closed Sale", "", "")))</f>
        <v/>
      </c>
      <c r="AE106" s="161" t="n"/>
      <c r="AF106" s="161" t="n"/>
      <c r="AG106" s="161" t="n"/>
      <c r="AH106" s="136" t="n"/>
      <c r="AI106" s="164">
        <f>IF(I106="","",TEXT(I106, "mmmm yyyy"))</f>
        <v/>
      </c>
      <c r="AJ106" s="164">
        <f>IF(AND(OpenPendingCases[[#This Row],[Sale Status	]]="Open Sale",OpenPendingCases[[#This Row],[Potential Same Month]]="High"),TEXT(OpenPendingCases[[#This Row],[Request Entry Date]], "[$-en-us]mmmm"),"")</f>
        <v/>
      </c>
      <c r="AK106" s="165">
        <f>IFERROR(VALUE(SUBSTITUTE(OpenPendingCases[[#This Row],[Price]]," AED","")),"")</f>
        <v/>
      </c>
      <c r="AL106" s="165">
        <f>IFERROR(VALUE(LEFT(OpenPendingCases[[#This Row],[Price]],FIND(" ",OpenPendingCases[[#This Row],[Price]])-1)),"")</f>
        <v/>
      </c>
      <c r="AM106" s="165">
        <f>IFERROR(VALUE(_xlfn.TEXTBEFORE(OpenPendingCases[[#This Row],[Price]]," AED")),"")</f>
        <v/>
      </c>
      <c r="AN106" s="165" t="n"/>
    </row>
    <row r="107" hidden="1" ht="18" customHeight="1" s="287">
      <c r="C107" s="133" t="n"/>
      <c r="D107" s="136">
        <f>IF($U107="Open Sale", IF(MAX($D$4:D106)+1=0, "", MAX($D$4:D106)+1), "")</f>
        <v/>
      </c>
      <c r="E107" s="136">
        <f>IF($U107="Pending Allocation", IF(MAX($E$4:E106)+1=0, "", MAX($E$4:E106)+1), "")</f>
        <v/>
      </c>
      <c r="F107" s="136" t="n"/>
      <c r="G107" s="136" t="n"/>
      <c r="H107" s="150" t="n"/>
      <c r="I107" s="150" t="n"/>
      <c r="J107" s="67">
        <f>IF(OpenPendingCases[[#This Row],[Timepiece Reference ]]="", "", IF(_xlfn.XLOOKUP(OpenPendingCases[[#This Row],[Timepiece Reference ]], Table1[[Timepiece Reference ]], Table1[CRC STOCK], "Not Found")="YES", "CRC Stock", "Boutique Stock"))</f>
        <v/>
      </c>
      <c r="K107" s="136">
        <f>IF(OpenPendingCases[[#This Row],[Timepiece Reference ]]="", "", IF(_xlfn.XLOOKUP(OpenPendingCases[[#This Row],[Timepiece Reference ]], Table1[[Timepiece Reference ]], Table1[CRC STOCK], "Not Found")="YES", "CRC Stock", "Boutique Stock"))</f>
        <v/>
      </c>
      <c r="L107" s="139" t="n"/>
      <c r="M107" s="140" t="n"/>
      <c r="N107" s="136" t="n"/>
      <c r="O107" s="133" t="n"/>
      <c r="P107" s="93">
        <f>IFERROR(VLOOKUP(TRIM(O107), Collection!$B$2:$D$1001, 2, FALSE), "")</f>
        <v/>
      </c>
      <c r="Q107" s="190">
        <f>IFERROR(VLOOKUP(TRIM(O107), Collection!$B$2:$D$1001, 3, FALSE), "")</f>
        <v/>
      </c>
      <c r="R107" s="153">
        <f>IFERROR(VALUE(SUBSTITUTE(SUBSTITUTE(Q107, "Price", ""), "AED", "")), "")</f>
        <v/>
      </c>
      <c r="S107" s="151" t="n"/>
      <c r="T107" s="158" t="n"/>
      <c r="U107" s="136" t="n"/>
      <c r="V107" s="136" t="n"/>
      <c r="W107" s="156">
        <f>IF(Z107 = "",
"",
TEXT(Z107, "mmmm"))</f>
        <v/>
      </c>
      <c r="X107" s="157" t="n"/>
      <c r="Y107" s="158" t="n"/>
      <c r="Z107" s="158" t="n"/>
      <c r="AA107" s="136">
        <f>IF(H107="", "", IF(U107="Open Sale", IF(TODAY()-H107=0, "0 Days", TEXT(TODAY()-H107, "0") &amp; " Days"), IF(U107="Closed Sale", AA107, "")))</f>
        <v/>
      </c>
      <c r="AB107" s="136">
        <f>IF(H107="", "", IF(OR(U107="Pending", U107="Pending Allocation"), CONCATENATE(TODAY()-H107, " Days"), IF(U107="Closed", "", "")))</f>
        <v/>
      </c>
      <c r="AC107" s="160">
        <f>IF(U107="Pending Allocation", IF(I107="", "", TODAY()-I107), "")</f>
        <v/>
      </c>
      <c r="AD107" s="159">
        <f>IF(U107="Open Sale", TEXT(TODAY()-I107, "0"),
IF(U107="Pending", "",
IF(U107="Closed Sale", "", "")))</f>
        <v/>
      </c>
      <c r="AE107" s="161" t="n"/>
      <c r="AF107" s="161" t="n"/>
      <c r="AG107" s="161" t="n"/>
      <c r="AH107" s="136" t="n"/>
      <c r="AI107" s="164">
        <f>IF(I107="","",TEXT(I107, "mmmm yyyy"))</f>
        <v/>
      </c>
      <c r="AJ107" s="164">
        <f>IF(AND(OpenPendingCases[[#This Row],[Sale Status	]]="Open Sale",OpenPendingCases[[#This Row],[Potential Same Month]]="High"),TEXT(OpenPendingCases[[#This Row],[Request Entry Date]], "[$-en-us]mmmm"),"")</f>
        <v/>
      </c>
      <c r="AK107" s="165">
        <f>IFERROR(VALUE(SUBSTITUTE(OpenPendingCases[[#This Row],[Price]]," AED","")),"")</f>
        <v/>
      </c>
      <c r="AL107" s="165">
        <f>IFERROR(VALUE(LEFT(OpenPendingCases[[#This Row],[Price]],FIND(" ",OpenPendingCases[[#This Row],[Price]])-1)),"")</f>
        <v/>
      </c>
      <c r="AM107" s="165">
        <f>IFERROR(VALUE(_xlfn.TEXTBEFORE(OpenPendingCases[[#This Row],[Price]]," AED")),"")</f>
        <v/>
      </c>
      <c r="AN107" s="165" t="n"/>
    </row>
    <row r="108" hidden="1" ht="18" customHeight="1" s="287">
      <c r="C108" s="133" t="n"/>
      <c r="D108" s="136">
        <f>IF($U108="Open Sale", IF(MAX($D$4:D107)+1=0, "", MAX($D$4:D107)+1), "")</f>
        <v/>
      </c>
      <c r="E108" s="136">
        <f>IF($U108="Pending Allocation", IF(MAX($E$4:E107)+1=0, "", MAX($E$4:E107)+1), "")</f>
        <v/>
      </c>
      <c r="F108" s="136" t="n"/>
      <c r="G108" s="136" t="n"/>
      <c r="H108" s="150" t="n"/>
      <c r="I108" s="150" t="n"/>
      <c r="J108" s="67">
        <f>IF(OpenPendingCases[[#This Row],[Timepiece Reference ]]="", "", IF(_xlfn.XLOOKUP(OpenPendingCases[[#This Row],[Timepiece Reference ]], Table1[[Timepiece Reference ]], Table1[CRC STOCK], "Not Found")="YES", "CRC Stock", "Boutique Stock"))</f>
        <v/>
      </c>
      <c r="K108" s="136">
        <f>IF(OpenPendingCases[[#This Row],[Timepiece Reference ]]="", "", IF(_xlfn.XLOOKUP(OpenPendingCases[[#This Row],[Timepiece Reference ]], Table1[[Timepiece Reference ]], Table1[CRC STOCK], "Not Found")="YES", "CRC Stock", "Boutique Stock"))</f>
        <v/>
      </c>
      <c r="L108" s="139" t="n"/>
      <c r="M108" s="140" t="n"/>
      <c r="N108" s="136" t="n"/>
      <c r="O108" s="133" t="n"/>
      <c r="P108" s="93">
        <f>IFERROR(VLOOKUP(TRIM(O108), Collection!$B$2:$D$1001, 2, FALSE), "")</f>
        <v/>
      </c>
      <c r="Q108" s="190">
        <f>IFERROR(VLOOKUP(TRIM(O108), Collection!$B$2:$D$1001, 3, FALSE), "")</f>
        <v/>
      </c>
      <c r="R108" s="153">
        <f>IFERROR(VALUE(SUBSTITUTE(SUBSTITUTE(Q108, "Price", ""), "AED", "")), "")</f>
        <v/>
      </c>
      <c r="S108" s="151" t="n"/>
      <c r="T108" s="158" t="n"/>
      <c r="U108" s="136" t="n"/>
      <c r="V108" s="136" t="n"/>
      <c r="W108" s="156">
        <f>IF(Z108 = "",
"",
TEXT(Z108, "mmmm"))</f>
        <v/>
      </c>
      <c r="X108" s="157" t="n"/>
      <c r="Y108" s="158" t="n"/>
      <c r="Z108" s="158" t="n"/>
      <c r="AA108" s="136">
        <f>IF(H108="", "", IF(U108="Open Sale", IF(TODAY()-H108=0, "0 Days", TEXT(TODAY()-H108, "0") &amp; " Days"), IF(U108="Closed Sale", AA108, "")))</f>
        <v/>
      </c>
      <c r="AB108" s="136">
        <f>IF(H108="", "", IF(OR(U108="Pending", U108="Pending Allocation"), CONCATENATE(TODAY()-H108, " Days"), IF(U108="Closed", "", "")))</f>
        <v/>
      </c>
      <c r="AC108" s="160">
        <f>IF(U108="Pending Allocation", IF(I108="", "", TODAY()-I108), "")</f>
        <v/>
      </c>
      <c r="AD108" s="159">
        <f>IF(U108="Open Sale", TEXT(TODAY()-I108, "0"),
IF(U108="Pending", "",
IF(U108="Closed Sale", "", "")))</f>
        <v/>
      </c>
      <c r="AE108" s="161" t="n"/>
      <c r="AF108" s="161" t="n"/>
      <c r="AG108" s="161" t="n"/>
      <c r="AH108" s="136" t="n"/>
      <c r="AI108" s="164">
        <f>IF(I108="","",TEXT(I108, "mmmm yyyy"))</f>
        <v/>
      </c>
      <c r="AJ108" s="164">
        <f>IF(AND(OpenPendingCases[[#This Row],[Sale Status	]]="Open Sale",OpenPendingCases[[#This Row],[Potential Same Month]]="High"),TEXT(OpenPendingCases[[#This Row],[Request Entry Date]], "[$-en-us]mmmm"),"")</f>
        <v/>
      </c>
      <c r="AK108" s="165">
        <f>IFERROR(VALUE(SUBSTITUTE(OpenPendingCases[[#This Row],[Price]]," AED","")),"")</f>
        <v/>
      </c>
      <c r="AL108" s="165">
        <f>IFERROR(VALUE(LEFT(OpenPendingCases[[#This Row],[Price]],FIND(" ",OpenPendingCases[[#This Row],[Price]])-1)),"")</f>
        <v/>
      </c>
      <c r="AM108" s="165">
        <f>IFERROR(VALUE(_xlfn.TEXTBEFORE(OpenPendingCases[[#This Row],[Price]]," AED")),"")</f>
        <v/>
      </c>
      <c r="AN108" s="165" t="n"/>
    </row>
    <row r="109" hidden="1" ht="18" customHeight="1" s="287">
      <c r="C109" s="133" t="n"/>
      <c r="D109" s="136">
        <f>IF($U109="Open Sale", IF(MAX($D$4:D108)+1=0, "", MAX($D$4:D108)+1), "")</f>
        <v/>
      </c>
      <c r="E109" s="136">
        <f>IF($U109="Pending Allocation", IF(MAX($E$4:E108)+1=0, "", MAX($E$4:E108)+1), "")</f>
        <v/>
      </c>
      <c r="F109" s="136" t="n"/>
      <c r="G109" s="136" t="n"/>
      <c r="H109" s="150" t="n"/>
      <c r="I109" s="150" t="n"/>
      <c r="J109" s="67">
        <f>IF(OpenPendingCases[[#This Row],[Timepiece Reference ]]="", "", IF(_xlfn.XLOOKUP(OpenPendingCases[[#This Row],[Timepiece Reference ]], Table1[[Timepiece Reference ]], Table1[CRC STOCK], "Not Found")="YES", "CRC Stock", "Boutique Stock"))</f>
        <v/>
      </c>
      <c r="K109" s="136">
        <f>IF(OpenPendingCases[[#This Row],[Timepiece Reference ]]="", "", IF(_xlfn.XLOOKUP(OpenPendingCases[[#This Row],[Timepiece Reference ]], Table1[[Timepiece Reference ]], Table1[CRC STOCK], "Not Found")="YES", "CRC Stock", "Boutique Stock"))</f>
        <v/>
      </c>
      <c r="L109" s="139" t="n"/>
      <c r="M109" s="140" t="n"/>
      <c r="N109" s="136" t="n"/>
      <c r="O109" s="133" t="n"/>
      <c r="P109" s="93">
        <f>IFERROR(VLOOKUP(TRIM(O109), Collection!$B$2:$D$1001, 2, FALSE), "")</f>
        <v/>
      </c>
      <c r="Q109" s="190">
        <f>IFERROR(VLOOKUP(TRIM(O109), Collection!$B$2:$D$1001, 3, FALSE), "")</f>
        <v/>
      </c>
      <c r="R109" s="153">
        <f>IFERROR(VALUE(SUBSTITUTE(SUBSTITUTE(Q109, "Price", ""), "AED", "")), "")</f>
        <v/>
      </c>
      <c r="S109" s="151" t="n"/>
      <c r="T109" s="158" t="n"/>
      <c r="U109" s="136" t="n"/>
      <c r="V109" s="136" t="n"/>
      <c r="W109" s="156">
        <f>IF(Z109 = "",
"",
TEXT(Z109, "mmmm"))</f>
        <v/>
      </c>
      <c r="X109" s="157" t="n"/>
      <c r="Y109" s="158" t="n"/>
      <c r="Z109" s="158" t="n"/>
      <c r="AA109" s="136">
        <f>IF(H109="", "", IF(U109="Open Sale", IF(TODAY()-H109=0, "0 Days", TEXT(TODAY()-H109, "0") &amp; " Days"), IF(U109="Closed Sale", AA109, "")))</f>
        <v/>
      </c>
      <c r="AB109" s="136">
        <f>IF(H109="", "", IF(OR(U109="Pending", U109="Pending Allocation"), CONCATENATE(TODAY()-H109, " Days"), IF(U109="Closed", "", "")))</f>
        <v/>
      </c>
      <c r="AC109" s="160">
        <f>IF(U109="Pending Allocation", IF(I109="", "", TODAY()-I109), "")</f>
        <v/>
      </c>
      <c r="AD109" s="159">
        <f>IF(U109="Open Sale", TEXT(TODAY()-I109, "0"),
IF(U109="Pending", "",
IF(U109="Closed Sale", "", "")))</f>
        <v/>
      </c>
      <c r="AE109" s="161" t="n"/>
      <c r="AF109" s="161" t="n"/>
      <c r="AG109" s="161" t="n"/>
      <c r="AH109" s="136" t="n"/>
      <c r="AI109" s="164">
        <f>IF(I109="","",TEXT(I109, "mmmm yyyy"))</f>
        <v/>
      </c>
      <c r="AJ109" s="164">
        <f>IF(AND(OpenPendingCases[[#This Row],[Sale Status	]]="Open Sale",OpenPendingCases[[#This Row],[Potential Same Month]]="High"),TEXT(OpenPendingCases[[#This Row],[Request Entry Date]], "[$-en-us]mmmm"),"")</f>
        <v/>
      </c>
      <c r="AK109" s="165">
        <f>IFERROR(VALUE(SUBSTITUTE(OpenPendingCases[[#This Row],[Price]]," AED","")),"")</f>
        <v/>
      </c>
      <c r="AL109" s="165">
        <f>IFERROR(VALUE(LEFT(OpenPendingCases[[#This Row],[Price]],FIND(" ",OpenPendingCases[[#This Row],[Price]])-1)),"")</f>
        <v/>
      </c>
      <c r="AM109" s="165">
        <f>IFERROR(VALUE(_xlfn.TEXTBEFORE(OpenPendingCases[[#This Row],[Price]]," AED")),"")</f>
        <v/>
      </c>
      <c r="AN109" s="165" t="n"/>
    </row>
    <row r="110" hidden="1" ht="18" customHeight="1" s="287">
      <c r="C110" s="133" t="n"/>
      <c r="D110" s="136">
        <f>IF($U110="Open Sale", IF(MAX($D$4:D109)+1=0, "", MAX($D$4:D109)+1), "")</f>
        <v/>
      </c>
      <c r="E110" s="136">
        <f>IF($U110="Pending Allocation", IF(MAX($E$4:E109)+1=0, "", MAX($E$4:E109)+1), "")</f>
        <v/>
      </c>
      <c r="F110" s="136" t="n"/>
      <c r="G110" s="136" t="n"/>
      <c r="H110" s="150" t="n"/>
      <c r="I110" s="150" t="n"/>
      <c r="J110" s="67">
        <f>IF(OpenPendingCases[[#This Row],[Timepiece Reference ]]="", "", IF(_xlfn.XLOOKUP(OpenPendingCases[[#This Row],[Timepiece Reference ]], Table1[[Timepiece Reference ]], Table1[CRC STOCK], "Not Found")="YES", "CRC Stock", "Boutique Stock"))</f>
        <v/>
      </c>
      <c r="K110" s="136">
        <f>IF(OpenPendingCases[[#This Row],[Timepiece Reference ]]="", "", IF(_xlfn.XLOOKUP(OpenPendingCases[[#This Row],[Timepiece Reference ]], Table1[[Timepiece Reference ]], Table1[CRC STOCK], "Not Found")="YES", "CRC Stock", "Boutique Stock"))</f>
        <v/>
      </c>
      <c r="L110" s="139" t="n"/>
      <c r="M110" s="140" t="n"/>
      <c r="N110" s="136" t="n"/>
      <c r="O110" s="133" t="n"/>
      <c r="P110" s="93">
        <f>IFERROR(VLOOKUP(TRIM(O110), Collection!$B$2:$D$1001, 2, FALSE), "")</f>
        <v/>
      </c>
      <c r="Q110" s="190">
        <f>IFERROR(VLOOKUP(TRIM(O110), Collection!$B$2:$D$1001, 3, FALSE), "")</f>
        <v/>
      </c>
      <c r="R110" s="153">
        <f>IFERROR(VALUE(SUBSTITUTE(SUBSTITUTE(Q110, "Price", ""), "AED", "")), "")</f>
        <v/>
      </c>
      <c r="S110" s="151" t="n"/>
      <c r="T110" s="158" t="n"/>
      <c r="U110" s="136" t="n"/>
      <c r="V110" s="136" t="n"/>
      <c r="W110" s="156">
        <f>IF(Z110 = "",
"",
TEXT(Z110, "mmmm"))</f>
        <v/>
      </c>
      <c r="X110" s="157" t="n"/>
      <c r="Y110" s="158" t="n"/>
      <c r="Z110" s="158" t="n"/>
      <c r="AA110" s="136">
        <f>IF(H110="", "", IF(U110="Open Sale", IF(TODAY()-H110=0, "0 Days", TEXT(TODAY()-H110, "0") &amp; " Days"), IF(U110="Closed Sale", AA110, "")))</f>
        <v/>
      </c>
      <c r="AB110" s="136">
        <f>IF(H110="", "", IF(OR(U110="Pending", U110="Pending Allocation"), CONCATENATE(TODAY()-H110, " Days"), IF(U110="Closed", "", "")))</f>
        <v/>
      </c>
      <c r="AC110" s="160">
        <f>IF(U110="Pending Allocation", IF(I110="", "", TODAY()-I110), "")</f>
        <v/>
      </c>
      <c r="AD110" s="159">
        <f>IF(U110="Open Sale", TEXT(TODAY()-I110, "0"),
IF(U110="Pending", "",
IF(U110="Closed Sale", "", "")))</f>
        <v/>
      </c>
      <c r="AE110" s="161" t="n"/>
      <c r="AF110" s="161" t="n"/>
      <c r="AG110" s="161" t="n"/>
      <c r="AH110" s="136" t="n"/>
      <c r="AI110" s="164">
        <f>IF(I110="","",TEXT(I110, "mmmm yyyy"))</f>
        <v/>
      </c>
      <c r="AJ110" s="164">
        <f>IF(AND(OpenPendingCases[[#This Row],[Sale Status	]]="Open Sale",OpenPendingCases[[#This Row],[Potential Same Month]]="High"),TEXT(OpenPendingCases[[#This Row],[Request Entry Date]], "[$-en-us]mmmm"),"")</f>
        <v/>
      </c>
      <c r="AK110" s="165">
        <f>IFERROR(VALUE(SUBSTITUTE(OpenPendingCases[[#This Row],[Price]]," AED","")),"")</f>
        <v/>
      </c>
      <c r="AL110" s="165">
        <f>IFERROR(VALUE(LEFT(OpenPendingCases[[#This Row],[Price]],FIND(" ",OpenPendingCases[[#This Row],[Price]])-1)),"")</f>
        <v/>
      </c>
      <c r="AM110" s="165">
        <f>IFERROR(VALUE(_xlfn.TEXTBEFORE(OpenPendingCases[[#This Row],[Price]]," AED")),"")</f>
        <v/>
      </c>
      <c r="AN110" s="165" t="n"/>
    </row>
    <row r="111" hidden="1" ht="18" customHeight="1" s="287">
      <c r="C111" s="133" t="n"/>
      <c r="D111" s="136">
        <f>IF($U111="Open Sale", IF(MAX($D$4:D110)+1=0, "", MAX($D$4:D110)+1), "")</f>
        <v/>
      </c>
      <c r="E111" s="136">
        <f>IF($U111="Pending Allocation", IF(MAX($E$4:E110)+1=0, "", MAX($E$4:E110)+1), "")</f>
        <v/>
      </c>
      <c r="F111" s="136" t="n"/>
      <c r="G111" s="136" t="n"/>
      <c r="H111" s="150" t="n"/>
      <c r="I111" s="150" t="n"/>
      <c r="J111" s="67">
        <f>IF(OpenPendingCases[[#This Row],[Timepiece Reference ]]="", "", IF(_xlfn.XLOOKUP(OpenPendingCases[[#This Row],[Timepiece Reference ]], Table1[[Timepiece Reference ]], Table1[CRC STOCK], "Not Found")="YES", "CRC Stock", "Boutique Stock"))</f>
        <v/>
      </c>
      <c r="K111" s="136">
        <f>IF(OpenPendingCases[[#This Row],[Timepiece Reference ]]="", "", IF(_xlfn.XLOOKUP(OpenPendingCases[[#This Row],[Timepiece Reference ]], Table1[[Timepiece Reference ]], Table1[CRC STOCK], "Not Found")="YES", "CRC Stock", "Boutique Stock"))</f>
        <v/>
      </c>
      <c r="L111" s="139" t="n"/>
      <c r="M111" s="140" t="n"/>
      <c r="N111" s="136" t="n"/>
      <c r="O111" s="133" t="n"/>
      <c r="P111" s="93">
        <f>IFERROR(VLOOKUP(TRIM(O111), Collection!$B$2:$D$1001, 2, FALSE), "")</f>
        <v/>
      </c>
      <c r="Q111" s="190">
        <f>IFERROR(VLOOKUP(TRIM(O111), Collection!$B$2:$D$1001, 3, FALSE), "")</f>
        <v/>
      </c>
      <c r="R111" s="153">
        <f>IFERROR(VALUE(SUBSTITUTE(SUBSTITUTE(Q111, "Price", ""), "AED", "")), "")</f>
        <v/>
      </c>
      <c r="S111" s="151" t="n"/>
      <c r="T111" s="158" t="n"/>
      <c r="U111" s="136" t="n"/>
      <c r="V111" s="136" t="n"/>
      <c r="W111" s="156">
        <f>IF(Z111 = "",
"",
TEXT(Z111, "mmmm"))</f>
        <v/>
      </c>
      <c r="X111" s="157" t="n"/>
      <c r="Y111" s="158" t="n"/>
      <c r="Z111" s="158" t="n"/>
      <c r="AA111" s="136">
        <f>IF(H111="", "", IF(U111="Open Sale", IF(TODAY()-H111=0, "0 Days", TEXT(TODAY()-H111, "0") &amp; " Days"), IF(U111="Closed Sale", AA111, "")))</f>
        <v/>
      </c>
      <c r="AB111" s="136">
        <f>IF(H111="", "", IF(OR(U111="Pending", U111="Pending Allocation"), CONCATENATE(TODAY()-H111, " Days"), IF(U111="Closed", "", "")))</f>
        <v/>
      </c>
      <c r="AC111" s="160">
        <f>IF(U111="Pending Allocation", IF(I111="", "", TODAY()-I111), "")</f>
        <v/>
      </c>
      <c r="AD111" s="159">
        <f>IF(U111="Open Sale", TEXT(TODAY()-I111, "0"),
IF(U111="Pending", "",
IF(U111="Closed Sale", "", "")))</f>
        <v/>
      </c>
      <c r="AE111" s="161" t="n"/>
      <c r="AF111" s="161" t="n"/>
      <c r="AG111" s="161" t="n"/>
      <c r="AH111" s="136" t="n"/>
      <c r="AI111" s="164">
        <f>IF(I111="","",TEXT(I111, "mmmm yyyy"))</f>
        <v/>
      </c>
      <c r="AJ111" s="164">
        <f>IF(AND(OpenPendingCases[[#This Row],[Sale Status	]]="Open Sale",OpenPendingCases[[#This Row],[Potential Same Month]]="High"),TEXT(OpenPendingCases[[#This Row],[Request Entry Date]], "[$-en-us]mmmm"),"")</f>
        <v/>
      </c>
      <c r="AK111" s="165">
        <f>IFERROR(VALUE(SUBSTITUTE(OpenPendingCases[[#This Row],[Price]]," AED","")),"")</f>
        <v/>
      </c>
      <c r="AL111" s="165">
        <f>IFERROR(VALUE(LEFT(OpenPendingCases[[#This Row],[Price]],FIND(" ",OpenPendingCases[[#This Row],[Price]])-1)),"")</f>
        <v/>
      </c>
      <c r="AM111" s="165">
        <f>IFERROR(VALUE(_xlfn.TEXTBEFORE(OpenPendingCases[[#This Row],[Price]]," AED")),"")</f>
        <v/>
      </c>
      <c r="AN111" s="165" t="n"/>
    </row>
    <row r="112" hidden="1" ht="18" customHeight="1" s="287">
      <c r="C112" s="133" t="n"/>
      <c r="D112" s="136">
        <f>IF($U112="Open Sale", IF(MAX($D$4:D111)+1=0, "", MAX($D$4:D111)+1), "")</f>
        <v/>
      </c>
      <c r="E112" s="136">
        <f>IF($U112="Pending Allocation", IF(MAX($E$4:E111)+1=0, "", MAX($E$4:E111)+1), "")</f>
        <v/>
      </c>
      <c r="F112" s="136" t="n"/>
      <c r="G112" s="136" t="n"/>
      <c r="H112" s="150" t="n"/>
      <c r="I112" s="150" t="n"/>
      <c r="J112" s="67">
        <f>IF(OpenPendingCases[[#This Row],[Timepiece Reference ]]="", "", IF(_xlfn.XLOOKUP(OpenPendingCases[[#This Row],[Timepiece Reference ]], Table1[[Timepiece Reference ]], Table1[CRC STOCK], "Not Found")="YES", "CRC Stock", "Boutique Stock"))</f>
        <v/>
      </c>
      <c r="K112" s="136">
        <f>IF(OpenPendingCases[[#This Row],[Timepiece Reference ]]="", "", IF(_xlfn.XLOOKUP(OpenPendingCases[[#This Row],[Timepiece Reference ]], Table1[[Timepiece Reference ]], Table1[CRC STOCK], "Not Found")="YES", "CRC Stock", "Boutique Stock"))</f>
        <v/>
      </c>
      <c r="L112" s="139" t="n"/>
      <c r="M112" s="140" t="n"/>
      <c r="N112" s="136" t="n"/>
      <c r="O112" s="133" t="n"/>
      <c r="P112" s="93">
        <f>IFERROR(VLOOKUP(TRIM(O112), Collection!$B$2:$D$1001, 2, FALSE), "")</f>
        <v/>
      </c>
      <c r="Q112" s="190">
        <f>IFERROR(VLOOKUP(TRIM(O112), Collection!$B$2:$D$1001, 3, FALSE), "")</f>
        <v/>
      </c>
      <c r="R112" s="153">
        <f>IFERROR(VALUE(SUBSTITUTE(SUBSTITUTE(Q112, "Price", ""), "AED", "")), "")</f>
        <v/>
      </c>
      <c r="S112" s="151" t="n"/>
      <c r="T112" s="158" t="n"/>
      <c r="U112" s="136" t="n"/>
      <c r="V112" s="136" t="n"/>
      <c r="W112" s="156">
        <f>IF(Z112 = "",
"",
TEXT(Z112, "mmmm"))</f>
        <v/>
      </c>
      <c r="X112" s="157" t="n"/>
      <c r="Y112" s="158" t="n"/>
      <c r="Z112" s="158" t="n"/>
      <c r="AA112" s="136">
        <f>IF(H112="", "", IF(U112="Open Sale", IF(TODAY()-H112=0, "0 Days", TEXT(TODAY()-H112, "0") &amp; " Days"), IF(U112="Closed Sale", AA112, "")))</f>
        <v/>
      </c>
      <c r="AB112" s="136">
        <f>IF(H112="", "", IF(OR(U112="Pending", U112="Pending Allocation"), CONCATENATE(TODAY()-H112, " Days"), IF(U112="Closed", "", "")))</f>
        <v/>
      </c>
      <c r="AC112" s="160">
        <f>IF(U112="Pending Allocation", IF(I112="", "", TODAY()-I112), "")</f>
        <v/>
      </c>
      <c r="AD112" s="159">
        <f>IF(U112="Open Sale", TEXT(TODAY()-I112, "0"),
IF(U112="Pending", "",
IF(U112="Closed Sale", "", "")))</f>
        <v/>
      </c>
      <c r="AE112" s="161" t="n"/>
      <c r="AF112" s="161" t="n"/>
      <c r="AG112" s="161" t="n"/>
      <c r="AH112" s="136" t="n"/>
      <c r="AI112" s="164">
        <f>IF(I112="","",TEXT(I112, "mmmm yyyy"))</f>
        <v/>
      </c>
      <c r="AJ112" s="164">
        <f>IF(AND(OpenPendingCases[[#This Row],[Sale Status	]]="Open Sale",OpenPendingCases[[#This Row],[Potential Same Month]]="High"),TEXT(OpenPendingCases[[#This Row],[Request Entry Date]], "[$-en-us]mmmm"),"")</f>
        <v/>
      </c>
      <c r="AK112" s="165">
        <f>IFERROR(VALUE(SUBSTITUTE(OpenPendingCases[[#This Row],[Price]]," AED","")),"")</f>
        <v/>
      </c>
      <c r="AL112" s="165">
        <f>IFERROR(VALUE(LEFT(OpenPendingCases[[#This Row],[Price]],FIND(" ",OpenPendingCases[[#This Row],[Price]])-1)),"")</f>
        <v/>
      </c>
      <c r="AM112" s="165">
        <f>IFERROR(VALUE(_xlfn.TEXTBEFORE(OpenPendingCases[[#This Row],[Price]]," AED")),"")</f>
        <v/>
      </c>
      <c r="AN112" s="165" t="n"/>
    </row>
    <row r="113" hidden="1" ht="18" customHeight="1" s="287">
      <c r="C113" s="133" t="n"/>
      <c r="D113" s="136">
        <f>IF($U113="Open Sale", IF(MAX($D$4:D112)+1=0, "", MAX($D$4:D112)+1), "")</f>
        <v/>
      </c>
      <c r="E113" s="136">
        <f>IF($U113="Pending Allocation", IF(MAX($E$4:E112)+1=0, "", MAX($E$4:E112)+1), "")</f>
        <v/>
      </c>
      <c r="F113" s="136" t="n"/>
      <c r="G113" s="136" t="n"/>
      <c r="H113" s="150" t="n"/>
      <c r="I113" s="150" t="n"/>
      <c r="J113" s="67">
        <f>IF(OpenPendingCases[[#This Row],[Timepiece Reference ]]="", "", IF(_xlfn.XLOOKUP(OpenPendingCases[[#This Row],[Timepiece Reference ]], Table1[[Timepiece Reference ]], Table1[CRC STOCK], "Not Found")="YES", "CRC Stock", "Boutique Stock"))</f>
        <v/>
      </c>
      <c r="K113" s="136">
        <f>IF(OpenPendingCases[[#This Row],[Timepiece Reference ]]="", "", IF(_xlfn.XLOOKUP(OpenPendingCases[[#This Row],[Timepiece Reference ]], Table1[[Timepiece Reference ]], Table1[CRC STOCK], "Not Found")="YES", "CRC Stock", "Boutique Stock"))</f>
        <v/>
      </c>
      <c r="L113" s="139" t="n"/>
      <c r="M113" s="140" t="n"/>
      <c r="N113" s="136" t="n"/>
      <c r="O113" s="133" t="n"/>
      <c r="P113" s="93">
        <f>IFERROR(VLOOKUP(TRIM(O113), Collection!$B$2:$D$1001, 2, FALSE), "")</f>
        <v/>
      </c>
      <c r="Q113" s="190">
        <f>IFERROR(VLOOKUP(TRIM(O113), Collection!$B$2:$D$1001, 3, FALSE), "")</f>
        <v/>
      </c>
      <c r="R113" s="153">
        <f>IFERROR(VALUE(SUBSTITUTE(SUBSTITUTE(Q113, "Price", ""), "AED", "")), "")</f>
        <v/>
      </c>
      <c r="S113" s="151" t="n"/>
      <c r="T113" s="158" t="n"/>
      <c r="U113" s="136" t="n"/>
      <c r="V113" s="136" t="n"/>
      <c r="W113" s="156">
        <f>IF(Z113 = "",
"",
TEXT(Z113, "mmmm"))</f>
        <v/>
      </c>
      <c r="X113" s="157" t="n"/>
      <c r="Y113" s="158" t="n"/>
      <c r="Z113" s="158" t="n"/>
      <c r="AA113" s="136">
        <f>IF(H113="", "", IF(U113="Open Sale", IF(TODAY()-H113=0, "0 Days", TEXT(TODAY()-H113, "0") &amp; " Days"), IF(U113="Closed Sale", AA113, "")))</f>
        <v/>
      </c>
      <c r="AB113" s="136">
        <f>IF(H113="", "", IF(OR(U113="Pending", U113="Pending Allocation"), CONCATENATE(TODAY()-H113, " Days"), IF(U113="Closed", "", "")))</f>
        <v/>
      </c>
      <c r="AC113" s="160">
        <f>IF(U113="Pending Allocation", IF(I113="", "", TODAY()-I113), "")</f>
        <v/>
      </c>
      <c r="AD113" s="159">
        <f>IF(U113="Open Sale", TEXT(TODAY()-I113, "0"),
IF(U113="Pending", "",
IF(U113="Closed Sale", "", "")))</f>
        <v/>
      </c>
      <c r="AE113" s="161" t="n"/>
      <c r="AF113" s="161" t="n"/>
      <c r="AG113" s="161" t="n"/>
      <c r="AH113" s="136" t="n"/>
      <c r="AI113" s="164">
        <f>IF(I113="","",TEXT(I113, "mmmm yyyy"))</f>
        <v/>
      </c>
      <c r="AJ113" s="164">
        <f>IF(AND(OpenPendingCases[[#This Row],[Sale Status	]]="Open Sale",OpenPendingCases[[#This Row],[Potential Same Month]]="High"),TEXT(OpenPendingCases[[#This Row],[Request Entry Date]], "[$-en-us]mmmm"),"")</f>
        <v/>
      </c>
      <c r="AK113" s="165">
        <f>IFERROR(VALUE(SUBSTITUTE(OpenPendingCases[[#This Row],[Price]]," AED","")),"")</f>
        <v/>
      </c>
      <c r="AL113" s="165">
        <f>IFERROR(VALUE(LEFT(OpenPendingCases[[#This Row],[Price]],FIND(" ",OpenPendingCases[[#This Row],[Price]])-1)),"")</f>
        <v/>
      </c>
      <c r="AM113" s="165">
        <f>IFERROR(VALUE(_xlfn.TEXTBEFORE(OpenPendingCases[[#This Row],[Price]]," AED")),"")</f>
        <v/>
      </c>
      <c r="AN113" s="165" t="n"/>
    </row>
    <row r="114" hidden="1" ht="18" customHeight="1" s="287">
      <c r="C114" s="133" t="n"/>
      <c r="D114" s="136">
        <f>IF($U114="Open Sale", IF(MAX($D$4:D113)+1=0, "", MAX($D$4:D113)+1), "")</f>
        <v/>
      </c>
      <c r="E114" s="136">
        <f>IF($U114="Pending Allocation", IF(MAX($E$4:E113)+1=0, "", MAX($E$4:E113)+1), "")</f>
        <v/>
      </c>
      <c r="F114" s="136" t="n"/>
      <c r="G114" s="136" t="n"/>
      <c r="H114" s="150" t="n"/>
      <c r="I114" s="150" t="n"/>
      <c r="J114" s="67">
        <f>IF(OpenPendingCases[[#This Row],[Timepiece Reference ]]="", "", IF(_xlfn.XLOOKUP(OpenPendingCases[[#This Row],[Timepiece Reference ]], Table1[[Timepiece Reference ]], Table1[CRC STOCK], "Not Found")="YES", "CRC Stock", "Boutique Stock"))</f>
        <v/>
      </c>
      <c r="K114" s="136">
        <f>IF(OpenPendingCases[[#This Row],[Timepiece Reference ]]="", "", IF(_xlfn.XLOOKUP(OpenPendingCases[[#This Row],[Timepiece Reference ]], Table1[[Timepiece Reference ]], Table1[CRC STOCK], "Not Found")="YES", "CRC Stock", "Boutique Stock"))</f>
        <v/>
      </c>
      <c r="L114" s="139" t="n"/>
      <c r="M114" s="140" t="n"/>
      <c r="N114" s="136" t="n"/>
      <c r="O114" s="133" t="n"/>
      <c r="P114" s="93">
        <f>IFERROR(VLOOKUP(TRIM(O114), Collection!$B$2:$D$1001, 2, FALSE), "")</f>
        <v/>
      </c>
      <c r="Q114" s="190">
        <f>IFERROR(VLOOKUP(TRIM(O114), Collection!$B$2:$D$1001, 3, FALSE), "")</f>
        <v/>
      </c>
      <c r="R114" s="153">
        <f>IFERROR(VALUE(SUBSTITUTE(SUBSTITUTE(Q114, "Price", ""), "AED", "")), "")</f>
        <v/>
      </c>
      <c r="S114" s="151" t="n"/>
      <c r="T114" s="158" t="n"/>
      <c r="U114" s="136" t="n"/>
      <c r="V114" s="136" t="n"/>
      <c r="W114" s="156">
        <f>IF(Z114 = "",
"",
TEXT(Z114, "mmmm"))</f>
        <v/>
      </c>
      <c r="X114" s="157" t="n"/>
      <c r="Y114" s="158" t="n"/>
      <c r="Z114" s="158" t="n"/>
      <c r="AA114" s="136">
        <f>IF(H114="", "", IF(U114="Open Sale", IF(TODAY()-H114=0, "0 Days", TEXT(TODAY()-H114, "0") &amp; " Days"), IF(U114="Closed Sale", AA114, "")))</f>
        <v/>
      </c>
      <c r="AB114" s="136">
        <f>IF(H114="", "", IF(OR(U114="Pending", U114="Pending Allocation"), CONCATENATE(TODAY()-H114, " Days"), IF(U114="Closed", "", "")))</f>
        <v/>
      </c>
      <c r="AC114" s="160">
        <f>IF(U114="Pending Allocation", IF(I114="", "", TODAY()-I114), "")</f>
        <v/>
      </c>
      <c r="AD114" s="159">
        <f>IF(U114="Open Sale", TEXT(TODAY()-I114, "0"),
IF(U114="Pending", "",
IF(U114="Closed Sale", "", "")))</f>
        <v/>
      </c>
      <c r="AE114" s="161" t="n"/>
      <c r="AF114" s="161" t="n"/>
      <c r="AG114" s="161" t="n"/>
      <c r="AH114" s="136" t="n"/>
      <c r="AI114" s="164">
        <f>IF(I114="","",TEXT(I114, "mmmm yyyy"))</f>
        <v/>
      </c>
      <c r="AJ114" s="164">
        <f>IF(AND(OpenPendingCases[[#This Row],[Sale Status	]]="Open Sale",OpenPendingCases[[#This Row],[Potential Same Month]]="High"),TEXT(OpenPendingCases[[#This Row],[Request Entry Date]], "[$-en-us]mmmm"),"")</f>
        <v/>
      </c>
      <c r="AK114" s="165">
        <f>IFERROR(VALUE(SUBSTITUTE(OpenPendingCases[[#This Row],[Price]]," AED","")),"")</f>
        <v/>
      </c>
      <c r="AL114" s="165">
        <f>IFERROR(VALUE(LEFT(OpenPendingCases[[#This Row],[Price]],FIND(" ",OpenPendingCases[[#This Row],[Price]])-1)),"")</f>
        <v/>
      </c>
      <c r="AM114" s="165">
        <f>IFERROR(VALUE(_xlfn.TEXTBEFORE(OpenPendingCases[[#This Row],[Price]]," AED")),"")</f>
        <v/>
      </c>
      <c r="AN114" s="165" t="n"/>
    </row>
    <row r="115" hidden="1" ht="18" customHeight="1" s="287">
      <c r="C115" s="133" t="n"/>
      <c r="D115" s="136">
        <f>IF($U115="Open Sale", IF(MAX($D$4:D114)+1=0, "", MAX($D$4:D114)+1), "")</f>
        <v/>
      </c>
      <c r="E115" s="136">
        <f>IF($U115="Pending Allocation", IF(MAX($E$4:E114)+1=0, "", MAX($E$4:E114)+1), "")</f>
        <v/>
      </c>
      <c r="F115" s="136" t="n"/>
      <c r="G115" s="136" t="n"/>
      <c r="H115" s="150" t="n"/>
      <c r="I115" s="150" t="n"/>
      <c r="J115" s="67">
        <f>IF(OpenPendingCases[[#This Row],[Timepiece Reference ]]="", "", IF(_xlfn.XLOOKUP(OpenPendingCases[[#This Row],[Timepiece Reference ]], Table1[[Timepiece Reference ]], Table1[CRC STOCK], "Not Found")="YES", "CRC Stock", "Boutique Stock"))</f>
        <v/>
      </c>
      <c r="K115" s="136">
        <f>IF(OpenPendingCases[[#This Row],[Timepiece Reference ]]="", "", IF(_xlfn.XLOOKUP(OpenPendingCases[[#This Row],[Timepiece Reference ]], Table1[[Timepiece Reference ]], Table1[CRC STOCK], "Not Found")="YES", "CRC Stock", "Boutique Stock"))</f>
        <v/>
      </c>
      <c r="L115" s="139" t="n"/>
      <c r="M115" s="140" t="n"/>
      <c r="N115" s="136" t="n"/>
      <c r="O115" s="133" t="n"/>
      <c r="P115" s="93">
        <f>IFERROR(VLOOKUP(TRIM(O115), Collection!$B$2:$D$1001, 2, FALSE), "")</f>
        <v/>
      </c>
      <c r="Q115" s="190">
        <f>IFERROR(VLOOKUP(TRIM(O115), Collection!$B$2:$D$1001, 3, FALSE), "")</f>
        <v/>
      </c>
      <c r="R115" s="153">
        <f>IFERROR(VALUE(SUBSTITUTE(SUBSTITUTE(Q115, "Price", ""), "AED", "")), "")</f>
        <v/>
      </c>
      <c r="S115" s="151" t="n"/>
      <c r="T115" s="158" t="n"/>
      <c r="U115" s="136" t="n"/>
      <c r="V115" s="136" t="n"/>
      <c r="W115" s="156">
        <f>IF(Z115 = "",
"",
TEXT(Z115, "mmmm"))</f>
        <v/>
      </c>
      <c r="X115" s="157" t="n"/>
      <c r="Y115" s="158" t="n"/>
      <c r="Z115" s="158" t="n"/>
      <c r="AA115" s="136">
        <f>IF(H115="", "", IF(U115="Open Sale", IF(TODAY()-H115=0, "0 Days", TEXT(TODAY()-H115, "0") &amp; " Days"), IF(U115="Closed Sale", AA115, "")))</f>
        <v/>
      </c>
      <c r="AB115" s="136">
        <f>IF(H115="", "", IF(OR(U115="Pending", U115="Pending Allocation"), CONCATENATE(TODAY()-H115, " Days"), IF(U115="Closed", "", "")))</f>
        <v/>
      </c>
      <c r="AC115" s="160">
        <f>IF(U115="Pending Allocation", IF(I115="", "", TODAY()-I115), "")</f>
        <v/>
      </c>
      <c r="AD115" s="159">
        <f>IF(U115="Open Sale", TEXT(TODAY()-I115, "0"),
IF(U115="Pending", "",
IF(U115="Closed Sale", "", "")))</f>
        <v/>
      </c>
      <c r="AE115" s="161" t="n"/>
      <c r="AF115" s="161" t="n"/>
      <c r="AG115" s="161" t="n"/>
      <c r="AH115" s="136" t="n"/>
      <c r="AI115" s="164">
        <f>IF(I115="","",TEXT(I115, "mmmm yyyy"))</f>
        <v/>
      </c>
      <c r="AJ115" s="164">
        <f>IF(AND(OpenPendingCases[[#This Row],[Sale Status	]]="Open Sale",OpenPendingCases[[#This Row],[Potential Same Month]]="High"),TEXT(OpenPendingCases[[#This Row],[Request Entry Date]], "[$-en-us]mmmm"),"")</f>
        <v/>
      </c>
      <c r="AK115" s="165">
        <f>IFERROR(VALUE(SUBSTITUTE(OpenPendingCases[[#This Row],[Price]]," AED","")),"")</f>
        <v/>
      </c>
      <c r="AL115" s="165">
        <f>IFERROR(VALUE(LEFT(OpenPendingCases[[#This Row],[Price]],FIND(" ",OpenPendingCases[[#This Row],[Price]])-1)),"")</f>
        <v/>
      </c>
      <c r="AM115" s="165">
        <f>IFERROR(VALUE(_xlfn.TEXTBEFORE(OpenPendingCases[[#This Row],[Price]]," AED")),"")</f>
        <v/>
      </c>
      <c r="AN115" s="165" t="n"/>
    </row>
    <row r="116" hidden="1" ht="18" customHeight="1" s="287">
      <c r="C116" s="133" t="n"/>
      <c r="D116" s="136">
        <f>IF($U116="Open Sale", IF(MAX($D$4:D115)+1=0, "", MAX($D$4:D115)+1), "")</f>
        <v/>
      </c>
      <c r="E116" s="136">
        <f>IF($U116="Pending Allocation", IF(MAX($E$4:E115)+1=0, "", MAX($E$4:E115)+1), "")</f>
        <v/>
      </c>
      <c r="F116" s="136" t="n"/>
      <c r="G116" s="136" t="n"/>
      <c r="H116" s="150" t="n"/>
      <c r="I116" s="150" t="n"/>
      <c r="J116" s="67">
        <f>IF(OpenPendingCases[[#This Row],[Timepiece Reference ]]="", "", IF(_xlfn.XLOOKUP(OpenPendingCases[[#This Row],[Timepiece Reference ]], Table1[[Timepiece Reference ]], Table1[CRC STOCK], "Not Found")="YES", "CRC Stock", "Boutique Stock"))</f>
        <v/>
      </c>
      <c r="K116" s="136">
        <f>IF(OpenPendingCases[[#This Row],[Timepiece Reference ]]="", "", IF(_xlfn.XLOOKUP(OpenPendingCases[[#This Row],[Timepiece Reference ]], Table1[[Timepiece Reference ]], Table1[CRC STOCK], "Not Found")="YES", "CRC Stock", "Boutique Stock"))</f>
        <v/>
      </c>
      <c r="L116" s="139" t="n"/>
      <c r="M116" s="140" t="n"/>
      <c r="N116" s="136" t="n"/>
      <c r="O116" s="133" t="n"/>
      <c r="P116" s="93">
        <f>IFERROR(VLOOKUP(TRIM(O116), Collection!$B$2:$D$1001, 2, FALSE), "")</f>
        <v/>
      </c>
      <c r="Q116" s="190">
        <f>IFERROR(VLOOKUP(TRIM(O116), Collection!$B$2:$D$1001, 3, FALSE), "")</f>
        <v/>
      </c>
      <c r="R116" s="153">
        <f>IFERROR(VALUE(SUBSTITUTE(SUBSTITUTE(Q116, "Price", ""), "AED", "")), "")</f>
        <v/>
      </c>
      <c r="S116" s="151" t="n"/>
      <c r="T116" s="158" t="n"/>
      <c r="U116" s="136" t="n"/>
      <c r="V116" s="136" t="n"/>
      <c r="W116" s="156">
        <f>IF(Z116 = "",
"",
TEXT(Z116, "mmmm"))</f>
        <v/>
      </c>
      <c r="X116" s="157" t="n"/>
      <c r="Y116" s="158" t="n"/>
      <c r="Z116" s="158" t="n"/>
      <c r="AA116" s="136">
        <f>IF(H116="", "", IF(U116="Open Sale", IF(TODAY()-H116=0, "0 Days", TEXT(TODAY()-H116, "0") &amp; " Days"), IF(U116="Closed Sale", AA116, "")))</f>
        <v/>
      </c>
      <c r="AB116" s="136">
        <f>IF(H116="", "", IF(OR(U116="Pending", U116="Pending Allocation"), CONCATENATE(TODAY()-H116, " Days"), IF(U116="Closed", "", "")))</f>
        <v/>
      </c>
      <c r="AC116" s="160">
        <f>IF(U116="Pending Allocation", IF(I116="", "", TODAY()-I116), "")</f>
        <v/>
      </c>
      <c r="AD116" s="159">
        <f>IF(U116="Open Sale", TEXT(TODAY()-I116, "0"),
IF(U116="Pending", "",
IF(U116="Closed Sale", "", "")))</f>
        <v/>
      </c>
      <c r="AE116" s="161" t="n"/>
      <c r="AF116" s="161" t="n"/>
      <c r="AG116" s="161" t="n"/>
      <c r="AH116" s="136" t="n"/>
      <c r="AI116" s="164">
        <f>IF(I116="","",TEXT(I116, "mmmm yyyy"))</f>
        <v/>
      </c>
      <c r="AJ116" s="164">
        <f>IF(AND(OpenPendingCases[[#This Row],[Sale Status	]]="Open Sale",OpenPendingCases[[#This Row],[Potential Same Month]]="High"),TEXT(OpenPendingCases[[#This Row],[Request Entry Date]], "[$-en-us]mmmm"),"")</f>
        <v/>
      </c>
      <c r="AK116" s="165">
        <f>IFERROR(VALUE(SUBSTITUTE(OpenPendingCases[[#This Row],[Price]]," AED","")),"")</f>
        <v/>
      </c>
      <c r="AL116" s="165">
        <f>IFERROR(VALUE(LEFT(OpenPendingCases[[#This Row],[Price]],FIND(" ",OpenPendingCases[[#This Row],[Price]])-1)),"")</f>
        <v/>
      </c>
      <c r="AM116" s="165">
        <f>IFERROR(VALUE(_xlfn.TEXTBEFORE(OpenPendingCases[[#This Row],[Price]]," AED")),"")</f>
        <v/>
      </c>
      <c r="AN116" s="165" t="n"/>
    </row>
    <row r="117" hidden="1" ht="18" customHeight="1" s="287">
      <c r="C117" s="133" t="n"/>
      <c r="D117" s="136">
        <f>IF($U117="Open Sale", IF(MAX($D$4:D116)+1=0, "", MAX($D$4:D116)+1), "")</f>
        <v/>
      </c>
      <c r="E117" s="136">
        <f>IF($U117="Pending Allocation", IF(MAX($E$4:E116)+1=0, "", MAX($E$4:E116)+1), "")</f>
        <v/>
      </c>
      <c r="F117" s="136" t="n"/>
      <c r="G117" s="136" t="n"/>
      <c r="H117" s="150" t="n"/>
      <c r="I117" s="150" t="n"/>
      <c r="J117" s="67">
        <f>IF(OpenPendingCases[[#This Row],[Timepiece Reference ]]="", "", IF(_xlfn.XLOOKUP(OpenPendingCases[[#This Row],[Timepiece Reference ]], Table1[[Timepiece Reference ]], Table1[CRC STOCK], "Not Found")="YES", "CRC Stock", "Boutique Stock"))</f>
        <v/>
      </c>
      <c r="K117" s="136">
        <f>IF(OpenPendingCases[[#This Row],[Timepiece Reference ]]="", "", IF(_xlfn.XLOOKUP(OpenPendingCases[[#This Row],[Timepiece Reference ]], Table1[[Timepiece Reference ]], Table1[CRC STOCK], "Not Found")="YES", "CRC Stock", "Boutique Stock"))</f>
        <v/>
      </c>
      <c r="L117" s="139" t="n"/>
      <c r="M117" s="140" t="n"/>
      <c r="N117" s="136" t="n"/>
      <c r="O117" s="133" t="n"/>
      <c r="P117" s="93">
        <f>IFERROR(VLOOKUP(TRIM(O117), Collection!$B$2:$D$1001, 2, FALSE), "")</f>
        <v/>
      </c>
      <c r="Q117" s="190">
        <f>IFERROR(VLOOKUP(TRIM(O117), Collection!$B$2:$D$1001, 3, FALSE), "")</f>
        <v/>
      </c>
      <c r="R117" s="153">
        <f>IFERROR(VALUE(SUBSTITUTE(SUBSTITUTE(Q117, "Price", ""), "AED", "")), "")</f>
        <v/>
      </c>
      <c r="S117" s="151" t="n"/>
      <c r="T117" s="158" t="n"/>
      <c r="U117" s="136" t="n"/>
      <c r="V117" s="136" t="n"/>
      <c r="W117" s="156">
        <f>IF(Z117 = "",
"",
TEXT(Z117, "mmmm"))</f>
        <v/>
      </c>
      <c r="X117" s="157" t="n"/>
      <c r="Y117" s="158" t="n"/>
      <c r="Z117" s="158" t="n"/>
      <c r="AA117" s="136">
        <f>IF(H117="", "", IF(U117="Open Sale", IF(TODAY()-H117=0, "0 Days", TEXT(TODAY()-H117, "0") &amp; " Days"), IF(U117="Closed Sale", AA117, "")))</f>
        <v/>
      </c>
      <c r="AB117" s="136">
        <f>IF(H117="", "", IF(OR(U117="Pending", U117="Pending Allocation"), CONCATENATE(TODAY()-H117, " Days"), IF(U117="Closed", "", "")))</f>
        <v/>
      </c>
      <c r="AC117" s="160">
        <f>IF(U117="Pending Allocation", IF(I117="", "", TODAY()-I117), "")</f>
        <v/>
      </c>
      <c r="AD117" s="159">
        <f>IF(U117="Open Sale", TEXT(TODAY()-I117, "0"),
IF(U117="Pending", "",
IF(U117="Closed Sale", "", "")))</f>
        <v/>
      </c>
      <c r="AE117" s="161" t="n"/>
      <c r="AF117" s="161" t="n"/>
      <c r="AG117" s="161" t="n"/>
      <c r="AH117" s="136" t="n"/>
      <c r="AI117" s="164">
        <f>IF(I117="","",TEXT(I117, "mmmm yyyy"))</f>
        <v/>
      </c>
      <c r="AJ117" s="164">
        <f>IF(AND(OpenPendingCases[[#This Row],[Sale Status	]]="Open Sale",OpenPendingCases[[#This Row],[Potential Same Month]]="High"),TEXT(OpenPendingCases[[#This Row],[Request Entry Date]], "[$-en-us]mmmm"),"")</f>
        <v/>
      </c>
      <c r="AK117" s="165">
        <f>IFERROR(VALUE(SUBSTITUTE(OpenPendingCases[[#This Row],[Price]]," AED","")),"")</f>
        <v/>
      </c>
      <c r="AL117" s="165">
        <f>IFERROR(VALUE(LEFT(OpenPendingCases[[#This Row],[Price]],FIND(" ",OpenPendingCases[[#This Row],[Price]])-1)),"")</f>
        <v/>
      </c>
      <c r="AM117" s="165">
        <f>IFERROR(VALUE(_xlfn.TEXTBEFORE(OpenPendingCases[[#This Row],[Price]]," AED")),"")</f>
        <v/>
      </c>
      <c r="AN117" s="165" t="n"/>
    </row>
    <row r="118" hidden="1" ht="18" customHeight="1" s="287">
      <c r="C118" s="133" t="n"/>
      <c r="D118" s="136">
        <f>IF($U118="Open Sale", IF(MAX($D$4:D117)+1=0, "", MAX($D$4:D117)+1), "")</f>
        <v/>
      </c>
      <c r="E118" s="136">
        <f>IF($U118="Pending Allocation", IF(MAX($E$4:E117)+1=0, "", MAX($E$4:E117)+1), "")</f>
        <v/>
      </c>
      <c r="F118" s="136" t="n"/>
      <c r="G118" s="136" t="n"/>
      <c r="H118" s="150" t="n"/>
      <c r="I118" s="150" t="n"/>
      <c r="J118" s="67">
        <f>IF(OpenPendingCases[[#This Row],[Timepiece Reference ]]="", "", IF(_xlfn.XLOOKUP(OpenPendingCases[[#This Row],[Timepiece Reference ]], Table1[[Timepiece Reference ]], Table1[CRC STOCK], "Not Found")="YES", "CRC Stock", "Boutique Stock"))</f>
        <v/>
      </c>
      <c r="K118" s="136">
        <f>IF(OpenPendingCases[[#This Row],[Timepiece Reference ]]="", "", IF(_xlfn.XLOOKUP(OpenPendingCases[[#This Row],[Timepiece Reference ]], Table1[[Timepiece Reference ]], Table1[CRC STOCK], "Not Found")="YES", "CRC Stock", "Boutique Stock"))</f>
        <v/>
      </c>
      <c r="L118" s="139" t="n"/>
      <c r="M118" s="140" t="n"/>
      <c r="N118" s="136" t="n"/>
      <c r="O118" s="133" t="n"/>
      <c r="P118" s="93">
        <f>IFERROR(VLOOKUP(TRIM(O118), Collection!$B$2:$D$1001, 2, FALSE), "")</f>
        <v/>
      </c>
      <c r="Q118" s="190">
        <f>IFERROR(VLOOKUP(TRIM(O118), Collection!$B$2:$D$1001, 3, FALSE), "")</f>
        <v/>
      </c>
      <c r="R118" s="153">
        <f>IFERROR(VALUE(SUBSTITUTE(SUBSTITUTE(Q118, "Price", ""), "AED", "")), "")</f>
        <v/>
      </c>
      <c r="S118" s="151" t="n"/>
      <c r="T118" s="158" t="n"/>
      <c r="U118" s="136" t="n"/>
      <c r="V118" s="136" t="n"/>
      <c r="W118" s="156">
        <f>IF(Z118 = "",
"",
TEXT(Z118, "mmmm"))</f>
        <v/>
      </c>
      <c r="X118" s="157" t="n"/>
      <c r="Y118" s="158" t="n"/>
      <c r="Z118" s="158" t="n"/>
      <c r="AA118" s="136">
        <f>IF(H118="", "", IF(U118="Open Sale", IF(TODAY()-H118=0, "0 Days", TEXT(TODAY()-H118, "0") &amp; " Days"), IF(U118="Closed Sale", AA118, "")))</f>
        <v/>
      </c>
      <c r="AB118" s="136">
        <f>IF(H118="", "", IF(OR(U118="Pending", U118="Pending Allocation"), CONCATENATE(TODAY()-H118, " Days"), IF(U118="Closed", "", "")))</f>
        <v/>
      </c>
      <c r="AC118" s="160">
        <f>IF(U118="Pending Allocation", IF(I118="", "", TODAY()-I118), "")</f>
        <v/>
      </c>
      <c r="AD118" s="159">
        <f>IF(U118="Open Sale", TEXT(TODAY()-I118, "0"),
IF(U118="Pending", "",
IF(U118="Closed Sale", "", "")))</f>
        <v/>
      </c>
      <c r="AE118" s="161" t="n"/>
      <c r="AF118" s="161" t="n"/>
      <c r="AG118" s="161" t="n"/>
      <c r="AH118" s="136" t="n"/>
      <c r="AI118" s="164">
        <f>IF(I118="","",TEXT(I118, "mmmm yyyy"))</f>
        <v/>
      </c>
      <c r="AJ118" s="164">
        <f>IF(AND(OpenPendingCases[[#This Row],[Sale Status	]]="Open Sale",OpenPendingCases[[#This Row],[Potential Same Month]]="High"),TEXT(OpenPendingCases[[#This Row],[Request Entry Date]], "[$-en-us]mmmm"),"")</f>
        <v/>
      </c>
      <c r="AK118" s="165">
        <f>IFERROR(VALUE(SUBSTITUTE(OpenPendingCases[[#This Row],[Price]]," AED","")),"")</f>
        <v/>
      </c>
      <c r="AL118" s="165">
        <f>IFERROR(VALUE(LEFT(OpenPendingCases[[#This Row],[Price]],FIND(" ",OpenPendingCases[[#This Row],[Price]])-1)),"")</f>
        <v/>
      </c>
      <c r="AM118" s="165">
        <f>IFERROR(VALUE(_xlfn.TEXTBEFORE(OpenPendingCases[[#This Row],[Price]]," AED")),"")</f>
        <v/>
      </c>
      <c r="AN118" s="165" t="n"/>
    </row>
    <row r="119" hidden="1" ht="18" customHeight="1" s="287">
      <c r="C119" s="133" t="n"/>
      <c r="D119" s="136">
        <f>IF($U119="Open Sale", IF(MAX($D$4:D118)+1=0, "", MAX($D$4:D118)+1), "")</f>
        <v/>
      </c>
      <c r="E119" s="136">
        <f>IF($U119="Pending Allocation", IF(MAX($E$4:E118)+1=0, "", MAX($E$4:E118)+1), "")</f>
        <v/>
      </c>
      <c r="F119" s="136" t="n"/>
      <c r="G119" s="136" t="n"/>
      <c r="H119" s="150" t="n"/>
      <c r="I119" s="150" t="n"/>
      <c r="J119" s="67">
        <f>IF(OpenPendingCases[[#This Row],[Timepiece Reference ]]="", "", IF(_xlfn.XLOOKUP(OpenPendingCases[[#This Row],[Timepiece Reference ]], Table1[[Timepiece Reference ]], Table1[CRC STOCK], "Not Found")="YES", "CRC Stock", "Boutique Stock"))</f>
        <v/>
      </c>
      <c r="K119" s="136">
        <f>IF(OpenPendingCases[[#This Row],[Timepiece Reference ]]="", "", IF(_xlfn.XLOOKUP(OpenPendingCases[[#This Row],[Timepiece Reference ]], Table1[[Timepiece Reference ]], Table1[CRC STOCK], "Not Found")="YES", "CRC Stock", "Boutique Stock"))</f>
        <v/>
      </c>
      <c r="L119" s="139" t="n"/>
      <c r="M119" s="140" t="n"/>
      <c r="N119" s="136" t="n"/>
      <c r="O119" s="133" t="n"/>
      <c r="P119" s="93">
        <f>IFERROR(VLOOKUP(TRIM(O119), Collection!$B$2:$D$1001, 2, FALSE), "")</f>
        <v/>
      </c>
      <c r="Q119" s="190">
        <f>IFERROR(VLOOKUP(TRIM(O119), Collection!$B$2:$D$1001, 3, FALSE), "")</f>
        <v/>
      </c>
      <c r="R119" s="153">
        <f>IFERROR(VALUE(SUBSTITUTE(SUBSTITUTE(Q119, "Price", ""), "AED", "")), "")</f>
        <v/>
      </c>
      <c r="S119" s="151" t="n"/>
      <c r="T119" s="158" t="n"/>
      <c r="U119" s="136" t="n"/>
      <c r="V119" s="136" t="n"/>
      <c r="W119" s="156">
        <f>IF(Z119 = "",
"",
TEXT(Z119, "mmmm"))</f>
        <v/>
      </c>
      <c r="X119" s="157" t="n"/>
      <c r="Y119" s="158" t="n"/>
      <c r="Z119" s="158" t="n"/>
      <c r="AA119" s="136">
        <f>IF(H119="", "", IF(U119="Open Sale", IF(TODAY()-H119=0, "0 Days", TEXT(TODAY()-H119, "0") &amp; " Days"), IF(U119="Closed Sale", AA119, "")))</f>
        <v/>
      </c>
      <c r="AB119" s="136">
        <f>IF(H119="", "", IF(OR(U119="Pending", U119="Pending Allocation"), CONCATENATE(TODAY()-H119, " Days"), IF(U119="Closed", "", "")))</f>
        <v/>
      </c>
      <c r="AC119" s="160">
        <f>IF(U119="Pending Allocation", IF(I119="", "", TODAY()-I119), "")</f>
        <v/>
      </c>
      <c r="AD119" s="159">
        <f>IF(U119="Open Sale", TEXT(TODAY()-I119, "0"),
IF(U119="Pending", "",
IF(U119="Closed Sale", "", "")))</f>
        <v/>
      </c>
      <c r="AE119" s="161" t="n"/>
      <c r="AF119" s="161" t="n"/>
      <c r="AG119" s="161" t="n"/>
      <c r="AH119" s="136" t="n"/>
      <c r="AI119" s="164">
        <f>IF(I119="","",TEXT(I119, "mmmm yyyy"))</f>
        <v/>
      </c>
      <c r="AJ119" s="164">
        <f>IF(AND(OpenPendingCases[[#This Row],[Sale Status	]]="Open Sale",OpenPendingCases[[#This Row],[Potential Same Month]]="High"),TEXT(OpenPendingCases[[#This Row],[Request Entry Date]], "[$-en-us]mmmm"),"")</f>
        <v/>
      </c>
      <c r="AK119" s="165">
        <f>IFERROR(VALUE(SUBSTITUTE(OpenPendingCases[[#This Row],[Price]]," AED","")),"")</f>
        <v/>
      </c>
      <c r="AL119" s="165">
        <f>IFERROR(VALUE(LEFT(OpenPendingCases[[#This Row],[Price]],FIND(" ",OpenPendingCases[[#This Row],[Price]])-1)),"")</f>
        <v/>
      </c>
      <c r="AM119" s="165">
        <f>IFERROR(VALUE(_xlfn.TEXTBEFORE(OpenPendingCases[[#This Row],[Price]]," AED")),"")</f>
        <v/>
      </c>
      <c r="AN119" s="165" t="n"/>
    </row>
    <row r="120" hidden="1" ht="18" customHeight="1" s="287">
      <c r="C120" s="133" t="n"/>
      <c r="D120" s="136">
        <f>IF($U120="Open Sale", IF(MAX($D$4:D119)+1=0, "", MAX($D$4:D119)+1), "")</f>
        <v/>
      </c>
      <c r="E120" s="136">
        <f>IF($U120="Pending Allocation", IF(MAX($E$4:E119)+1=0, "", MAX($E$4:E119)+1), "")</f>
        <v/>
      </c>
      <c r="F120" s="136" t="n"/>
      <c r="G120" s="136" t="n"/>
      <c r="H120" s="150" t="n"/>
      <c r="I120" s="150" t="n"/>
      <c r="J120" s="67">
        <f>IF(OpenPendingCases[[#This Row],[Timepiece Reference ]]="", "", IF(_xlfn.XLOOKUP(OpenPendingCases[[#This Row],[Timepiece Reference ]], Table1[[Timepiece Reference ]], Table1[CRC STOCK], "Not Found")="YES", "CRC Stock", "Boutique Stock"))</f>
        <v/>
      </c>
      <c r="K120" s="136">
        <f>IF(OpenPendingCases[[#This Row],[Timepiece Reference ]]="", "", IF(_xlfn.XLOOKUP(OpenPendingCases[[#This Row],[Timepiece Reference ]], Table1[[Timepiece Reference ]], Table1[CRC STOCK], "Not Found")="YES", "CRC Stock", "Boutique Stock"))</f>
        <v/>
      </c>
      <c r="L120" s="139" t="n"/>
      <c r="M120" s="140" t="n"/>
      <c r="N120" s="136" t="n"/>
      <c r="O120" s="133" t="n"/>
      <c r="P120" s="93">
        <f>IFERROR(VLOOKUP(TRIM(O120), Collection!$B$2:$D$1001, 2, FALSE), "")</f>
        <v/>
      </c>
      <c r="Q120" s="190">
        <f>IFERROR(VLOOKUP(TRIM(O120), Collection!$B$2:$D$1001, 3, FALSE), "")</f>
        <v/>
      </c>
      <c r="R120" s="153">
        <f>IFERROR(VALUE(SUBSTITUTE(SUBSTITUTE(Q120, "Price", ""), "AED", "")), "")</f>
        <v/>
      </c>
      <c r="S120" s="151" t="n"/>
      <c r="T120" s="158" t="n"/>
      <c r="U120" s="136" t="n"/>
      <c r="V120" s="136" t="n"/>
      <c r="W120" s="156">
        <f>IF(Z120 = "",
"",
TEXT(Z120, "mmmm"))</f>
        <v/>
      </c>
      <c r="X120" s="157" t="n"/>
      <c r="Y120" s="158" t="n"/>
      <c r="Z120" s="158" t="n"/>
      <c r="AA120" s="136">
        <f>IF(H120="", "", IF(U120="Open Sale", IF(TODAY()-H120=0, "0 Days", TEXT(TODAY()-H120, "0") &amp; " Days"), IF(U120="Closed Sale", AA120, "")))</f>
        <v/>
      </c>
      <c r="AB120" s="136">
        <f>IF(H120="", "", IF(OR(U120="Pending", U120="Pending Allocation"), CONCATENATE(TODAY()-H120, " Days"), IF(U120="Closed", "", "")))</f>
        <v/>
      </c>
      <c r="AC120" s="160">
        <f>IF(U120="Pending Allocation", IF(I120="", "", TODAY()-I120), "")</f>
        <v/>
      </c>
      <c r="AD120" s="159">
        <f>IF(U120="Open Sale", TEXT(TODAY()-I120, "0"),
IF(U120="Pending", "",
IF(U120="Closed Sale", "", "")))</f>
        <v/>
      </c>
      <c r="AE120" s="161" t="n"/>
      <c r="AF120" s="161" t="n"/>
      <c r="AG120" s="161" t="n"/>
      <c r="AH120" s="136" t="n"/>
      <c r="AI120" s="164">
        <f>IF(I120="","",TEXT(I120, "mmmm yyyy"))</f>
        <v/>
      </c>
      <c r="AJ120" s="164">
        <f>IF(AND(OpenPendingCases[[#This Row],[Sale Status	]]="Open Sale",OpenPendingCases[[#This Row],[Potential Same Month]]="High"),TEXT(OpenPendingCases[[#This Row],[Request Entry Date]], "[$-en-us]mmmm"),"")</f>
        <v/>
      </c>
      <c r="AK120" s="165">
        <f>IFERROR(VALUE(SUBSTITUTE(OpenPendingCases[[#This Row],[Price]]," AED","")),"")</f>
        <v/>
      </c>
      <c r="AL120" s="165">
        <f>IFERROR(VALUE(LEFT(OpenPendingCases[[#This Row],[Price]],FIND(" ",OpenPendingCases[[#This Row],[Price]])-1)),"")</f>
        <v/>
      </c>
      <c r="AM120" s="165">
        <f>IFERROR(VALUE(_xlfn.TEXTBEFORE(OpenPendingCases[[#This Row],[Price]]," AED")),"")</f>
        <v/>
      </c>
      <c r="AN120" s="165" t="n"/>
    </row>
    <row r="121" hidden="1" ht="18" customHeight="1" s="287">
      <c r="C121" s="133" t="n"/>
      <c r="D121" s="136">
        <f>IF($U121="Open Sale", IF(MAX($D$4:D120)+1=0, "", MAX($D$4:D120)+1), "")</f>
        <v/>
      </c>
      <c r="E121" s="136">
        <f>IF($U121="Pending Allocation", IF(MAX($E$4:E120)+1=0, "", MAX($E$4:E120)+1), "")</f>
        <v/>
      </c>
      <c r="F121" s="136" t="n"/>
      <c r="G121" s="136" t="n"/>
      <c r="H121" s="150" t="n"/>
      <c r="I121" s="150" t="n"/>
      <c r="J121" s="67">
        <f>IF(OpenPendingCases[[#This Row],[Timepiece Reference ]]="", "", IF(_xlfn.XLOOKUP(OpenPendingCases[[#This Row],[Timepiece Reference ]], Table1[[Timepiece Reference ]], Table1[CRC STOCK], "Not Found")="YES", "CRC Stock", "Boutique Stock"))</f>
        <v/>
      </c>
      <c r="K121" s="136">
        <f>IF(OpenPendingCases[[#This Row],[Timepiece Reference ]]="", "", IF(_xlfn.XLOOKUP(OpenPendingCases[[#This Row],[Timepiece Reference ]], Table1[[Timepiece Reference ]], Table1[CRC STOCK], "Not Found")="YES", "CRC Stock", "Boutique Stock"))</f>
        <v/>
      </c>
      <c r="L121" s="139" t="n"/>
      <c r="M121" s="140" t="n"/>
      <c r="N121" s="136" t="n"/>
      <c r="O121" s="133" t="n"/>
      <c r="P121" s="93">
        <f>IFERROR(VLOOKUP(TRIM(O121), Collection!$B$2:$D$1001, 2, FALSE), "")</f>
        <v/>
      </c>
      <c r="Q121" s="190">
        <f>IFERROR(VLOOKUP(TRIM(O121), Collection!$B$2:$D$1001, 3, FALSE), "")</f>
        <v/>
      </c>
      <c r="R121" s="153">
        <f>IFERROR(VALUE(SUBSTITUTE(SUBSTITUTE(Q121, "Price", ""), "AED", "")), "")</f>
        <v/>
      </c>
      <c r="S121" s="151" t="n"/>
      <c r="T121" s="158" t="n"/>
      <c r="U121" s="136" t="n"/>
      <c r="V121" s="136" t="n"/>
      <c r="W121" s="156">
        <f>IF(Z121 = "",
"",
TEXT(Z121, "mmmm"))</f>
        <v/>
      </c>
      <c r="X121" s="157" t="n"/>
      <c r="Y121" s="158" t="n"/>
      <c r="Z121" s="158" t="n"/>
      <c r="AA121" s="136">
        <f>IF(H121="", "", IF(U121="Open Sale", IF(TODAY()-H121=0, "0 Days", TEXT(TODAY()-H121, "0") &amp; " Days"), IF(U121="Closed Sale", AA121, "")))</f>
        <v/>
      </c>
      <c r="AB121" s="136">
        <f>IF(H121="", "", IF(OR(U121="Pending", U121="Pending Allocation"), CONCATENATE(TODAY()-H121, " Days"), IF(U121="Closed", "", "")))</f>
        <v/>
      </c>
      <c r="AC121" s="160">
        <f>IF(U121="Pending Allocation", IF(I121="", "", TODAY()-I121), "")</f>
        <v/>
      </c>
      <c r="AD121" s="159">
        <f>IF(U121="Open Sale", TEXT(TODAY()-I121, "0"),
IF(U121="Pending", "",
IF(U121="Closed Sale", "", "")))</f>
        <v/>
      </c>
      <c r="AE121" s="161" t="n"/>
      <c r="AF121" s="161" t="n"/>
      <c r="AG121" s="161" t="n"/>
      <c r="AH121" s="136" t="n"/>
      <c r="AI121" s="164">
        <f>IF(I121="","",TEXT(I121, "mmmm yyyy"))</f>
        <v/>
      </c>
      <c r="AJ121" s="164">
        <f>IF(AND(OpenPendingCases[[#This Row],[Sale Status	]]="Open Sale",OpenPendingCases[[#This Row],[Potential Same Month]]="High"),TEXT(OpenPendingCases[[#This Row],[Request Entry Date]], "[$-en-us]mmmm"),"")</f>
        <v/>
      </c>
      <c r="AK121" s="165">
        <f>IFERROR(VALUE(SUBSTITUTE(OpenPendingCases[[#This Row],[Price]]," AED","")),"")</f>
        <v/>
      </c>
      <c r="AL121" s="165">
        <f>IFERROR(VALUE(LEFT(OpenPendingCases[[#This Row],[Price]],FIND(" ",OpenPendingCases[[#This Row],[Price]])-1)),"")</f>
        <v/>
      </c>
      <c r="AM121" s="165">
        <f>IFERROR(VALUE(_xlfn.TEXTBEFORE(OpenPendingCases[[#This Row],[Price]]," AED")),"")</f>
        <v/>
      </c>
      <c r="AN121" s="165" t="n"/>
    </row>
    <row r="122" hidden="1" ht="18" customHeight="1" s="287">
      <c r="C122" s="133" t="n"/>
      <c r="D122" s="136">
        <f>IF($U122="Open Sale", IF(MAX($D$4:D121)+1=0, "", MAX($D$4:D121)+1), "")</f>
        <v/>
      </c>
      <c r="E122" s="136">
        <f>IF($U122="Pending Allocation", IF(MAX($E$4:E121)+1=0, "", MAX($E$4:E121)+1), "")</f>
        <v/>
      </c>
      <c r="F122" s="136" t="n"/>
      <c r="G122" s="136" t="n"/>
      <c r="H122" s="150" t="n"/>
      <c r="I122" s="150" t="n"/>
      <c r="J122" s="67">
        <f>IF(OpenPendingCases[[#This Row],[Timepiece Reference ]]="", "", IF(_xlfn.XLOOKUP(OpenPendingCases[[#This Row],[Timepiece Reference ]], Table1[[Timepiece Reference ]], Table1[CRC STOCK], "Not Found")="YES", "CRC Stock", "Boutique Stock"))</f>
        <v/>
      </c>
      <c r="K122" s="136">
        <f>IF(OpenPendingCases[[#This Row],[Timepiece Reference ]]="", "", IF(_xlfn.XLOOKUP(OpenPendingCases[[#This Row],[Timepiece Reference ]], Table1[[Timepiece Reference ]], Table1[CRC STOCK], "Not Found")="YES", "CRC Stock", "Boutique Stock"))</f>
        <v/>
      </c>
      <c r="L122" s="139" t="n"/>
      <c r="M122" s="140" t="n"/>
      <c r="N122" s="136" t="n"/>
      <c r="O122" s="133" t="n"/>
      <c r="P122" s="93">
        <f>IFERROR(VLOOKUP(TRIM(O122), Collection!$B$2:$D$1001, 2, FALSE), "")</f>
        <v/>
      </c>
      <c r="Q122" s="190">
        <f>IFERROR(VLOOKUP(TRIM(O122), Collection!$B$2:$D$1001, 3, FALSE), "")</f>
        <v/>
      </c>
      <c r="R122" s="153">
        <f>IFERROR(VALUE(SUBSTITUTE(SUBSTITUTE(Q122, "Price", ""), "AED", "")), "")</f>
        <v/>
      </c>
      <c r="S122" s="151" t="n"/>
      <c r="T122" s="158" t="n"/>
      <c r="U122" s="136" t="n"/>
      <c r="V122" s="136" t="n"/>
      <c r="W122" s="156">
        <f>IF(Z122 = "",
"",
TEXT(Z122, "mmmm"))</f>
        <v/>
      </c>
      <c r="X122" s="157" t="n"/>
      <c r="Y122" s="158" t="n"/>
      <c r="Z122" s="158" t="n"/>
      <c r="AA122" s="136">
        <f>IF(H122="", "", IF(U122="Open Sale", IF(TODAY()-H122=0, "0 Days", TEXT(TODAY()-H122, "0") &amp; " Days"), IF(U122="Closed Sale", AA122, "")))</f>
        <v/>
      </c>
      <c r="AB122" s="136">
        <f>IF(H122="", "", IF(OR(U122="Pending", U122="Pending Allocation"), CONCATENATE(TODAY()-H122, " Days"), IF(U122="Closed", "", "")))</f>
        <v/>
      </c>
      <c r="AC122" s="160">
        <f>IF(U122="Pending Allocation", IF(I122="", "", TODAY()-I122), "")</f>
        <v/>
      </c>
      <c r="AD122" s="159">
        <f>IF(U122="Open Sale", TEXT(TODAY()-I122, "0"),
IF(U122="Pending", "",
IF(U122="Closed Sale", "", "")))</f>
        <v/>
      </c>
      <c r="AE122" s="161" t="n"/>
      <c r="AF122" s="161" t="n"/>
      <c r="AG122" s="161" t="n"/>
      <c r="AH122" s="136" t="n"/>
      <c r="AI122" s="164">
        <f>IF(I122="","",TEXT(I122, "mmmm yyyy"))</f>
        <v/>
      </c>
      <c r="AJ122" s="164">
        <f>IF(AND(OpenPendingCases[[#This Row],[Sale Status	]]="Open Sale",OpenPendingCases[[#This Row],[Potential Same Month]]="High"),TEXT(OpenPendingCases[[#This Row],[Request Entry Date]], "[$-en-us]mmmm"),"")</f>
        <v/>
      </c>
      <c r="AK122" s="165">
        <f>IFERROR(VALUE(SUBSTITUTE(OpenPendingCases[[#This Row],[Price]]," AED","")),"")</f>
        <v/>
      </c>
      <c r="AL122" s="165">
        <f>IFERROR(VALUE(LEFT(OpenPendingCases[[#This Row],[Price]],FIND(" ",OpenPendingCases[[#This Row],[Price]])-1)),"")</f>
        <v/>
      </c>
      <c r="AM122" s="165">
        <f>IFERROR(VALUE(_xlfn.TEXTBEFORE(OpenPendingCases[[#This Row],[Price]]," AED")),"")</f>
        <v/>
      </c>
      <c r="AN122" s="165" t="n"/>
    </row>
    <row r="123" hidden="1" ht="18" customHeight="1" s="287">
      <c r="C123" s="133" t="n"/>
      <c r="D123" s="136">
        <f>IF($U123="Open Sale", IF(MAX($D$4:D122)+1=0, "", MAX($D$4:D122)+1), "")</f>
        <v/>
      </c>
      <c r="E123" s="136">
        <f>IF($U123="Pending Allocation", IF(MAX($E$4:E122)+1=0, "", MAX($E$4:E122)+1), "")</f>
        <v/>
      </c>
      <c r="F123" s="136" t="n"/>
      <c r="G123" s="136" t="n"/>
      <c r="H123" s="150" t="n"/>
      <c r="I123" s="150" t="n"/>
      <c r="J123" s="67">
        <f>IF(OpenPendingCases[[#This Row],[Timepiece Reference ]]="", "", IF(_xlfn.XLOOKUP(OpenPendingCases[[#This Row],[Timepiece Reference ]], Table1[[Timepiece Reference ]], Table1[CRC STOCK], "Not Found")="YES", "CRC Stock", "Boutique Stock"))</f>
        <v/>
      </c>
      <c r="K123" s="136">
        <f>IF(OpenPendingCases[[#This Row],[Timepiece Reference ]]="", "", IF(_xlfn.XLOOKUP(OpenPendingCases[[#This Row],[Timepiece Reference ]], Table1[[Timepiece Reference ]], Table1[CRC STOCK], "Not Found")="YES", "CRC Stock", "Boutique Stock"))</f>
        <v/>
      </c>
      <c r="L123" s="139" t="n"/>
      <c r="M123" s="140" t="n"/>
      <c r="N123" s="136" t="n"/>
      <c r="O123" s="133" t="n"/>
      <c r="P123" s="93">
        <f>IFERROR(VLOOKUP(TRIM(O123), Collection!$B$2:$D$1001, 2, FALSE), "")</f>
        <v/>
      </c>
      <c r="Q123" s="190">
        <f>IFERROR(VLOOKUP(TRIM(O123), Collection!$B$2:$D$1001, 3, FALSE), "")</f>
        <v/>
      </c>
      <c r="R123" s="153">
        <f>IFERROR(VALUE(SUBSTITUTE(SUBSTITUTE(Q123, "Price", ""), "AED", "")), "")</f>
        <v/>
      </c>
      <c r="S123" s="151" t="n"/>
      <c r="T123" s="158" t="n"/>
      <c r="U123" s="136" t="n"/>
      <c r="V123" s="136" t="n"/>
      <c r="W123" s="156">
        <f>IF(Z123 = "",
"",
TEXT(Z123, "mmmm"))</f>
        <v/>
      </c>
      <c r="X123" s="157" t="n"/>
      <c r="Y123" s="158" t="n"/>
      <c r="Z123" s="158" t="n"/>
      <c r="AA123" s="136">
        <f>IF(H123="", "", IF(U123="Open Sale", IF(TODAY()-H123=0, "0 Days", TEXT(TODAY()-H123, "0") &amp; " Days"), IF(U123="Closed Sale", AA123, "")))</f>
        <v/>
      </c>
      <c r="AB123" s="136">
        <f>IF(H123="", "", IF(OR(U123="Pending", U123="Pending Allocation"), CONCATENATE(TODAY()-H123, " Days"), IF(U123="Closed", "", "")))</f>
        <v/>
      </c>
      <c r="AC123" s="160">
        <f>IF(U123="Pending Allocation", IF(I123="", "", TODAY()-I123), "")</f>
        <v/>
      </c>
      <c r="AD123" s="159">
        <f>IF(U123="Open Sale", TEXT(TODAY()-I123, "0"),
IF(U123="Pending", "",
IF(U123="Closed Sale", "", "")))</f>
        <v/>
      </c>
      <c r="AE123" s="161" t="n"/>
      <c r="AF123" s="161" t="n"/>
      <c r="AG123" s="161" t="n"/>
      <c r="AH123" s="136" t="n"/>
      <c r="AI123" s="164">
        <f>IF(I123="","",TEXT(I123, "mmmm yyyy"))</f>
        <v/>
      </c>
      <c r="AJ123" s="164">
        <f>IF(AND(OpenPendingCases[[#This Row],[Sale Status	]]="Open Sale",OpenPendingCases[[#This Row],[Potential Same Month]]="High"),TEXT(OpenPendingCases[[#This Row],[Request Entry Date]], "[$-en-us]mmmm"),"")</f>
        <v/>
      </c>
      <c r="AK123" s="165">
        <f>IFERROR(VALUE(SUBSTITUTE(OpenPendingCases[[#This Row],[Price]]," AED","")),"")</f>
        <v/>
      </c>
      <c r="AL123" s="165">
        <f>IFERROR(VALUE(LEFT(OpenPendingCases[[#This Row],[Price]],FIND(" ",OpenPendingCases[[#This Row],[Price]])-1)),"")</f>
        <v/>
      </c>
      <c r="AM123" s="165">
        <f>IFERROR(VALUE(_xlfn.TEXTBEFORE(OpenPendingCases[[#This Row],[Price]]," AED")),"")</f>
        <v/>
      </c>
      <c r="AN123" s="165" t="n"/>
    </row>
    <row r="124" hidden="1" ht="18" customHeight="1" s="287">
      <c r="C124" s="133" t="n"/>
      <c r="D124" s="136">
        <f>IF($U124="Open Sale", IF(MAX($D$4:D123)+1=0, "", MAX($D$4:D123)+1), "")</f>
        <v/>
      </c>
      <c r="E124" s="136">
        <f>IF($U124="Pending Allocation", IF(MAX($E$4:E123)+1=0, "", MAX($E$4:E123)+1), "")</f>
        <v/>
      </c>
      <c r="F124" s="136" t="n"/>
      <c r="G124" s="136" t="n"/>
      <c r="H124" s="150" t="n"/>
      <c r="I124" s="150" t="n"/>
      <c r="J124" s="67">
        <f>IF(OpenPendingCases[[#This Row],[Timepiece Reference ]]="", "", IF(_xlfn.XLOOKUP(OpenPendingCases[[#This Row],[Timepiece Reference ]], Table1[[Timepiece Reference ]], Table1[CRC STOCK], "Not Found")="YES", "CRC Stock", "Boutique Stock"))</f>
        <v/>
      </c>
      <c r="K124" s="136">
        <f>IF(OpenPendingCases[[#This Row],[Timepiece Reference ]]="", "", IF(_xlfn.XLOOKUP(OpenPendingCases[[#This Row],[Timepiece Reference ]], Table1[[Timepiece Reference ]], Table1[CRC STOCK], "Not Found")="YES", "CRC Stock", "Boutique Stock"))</f>
        <v/>
      </c>
      <c r="L124" s="139" t="n"/>
      <c r="M124" s="140" t="n"/>
      <c r="N124" s="136" t="n"/>
      <c r="O124" s="133" t="n"/>
      <c r="P124" s="93">
        <f>IFERROR(VLOOKUP(TRIM(O124), Collection!$B$2:$D$1001, 2, FALSE), "")</f>
        <v/>
      </c>
      <c r="Q124" s="190">
        <f>IFERROR(VLOOKUP(TRIM(O124), Collection!$B$2:$D$1001, 3, FALSE), "")</f>
        <v/>
      </c>
      <c r="R124" s="153">
        <f>IFERROR(VALUE(SUBSTITUTE(SUBSTITUTE(Q124, "Price", ""), "AED", "")), "")</f>
        <v/>
      </c>
      <c r="S124" s="151" t="n"/>
      <c r="T124" s="158" t="n"/>
      <c r="U124" s="136" t="n"/>
      <c r="V124" s="136" t="n"/>
      <c r="W124" s="156">
        <f>IF(Z124 = "",
"",
TEXT(Z124, "mmmm"))</f>
        <v/>
      </c>
      <c r="X124" s="157" t="n"/>
      <c r="Y124" s="158" t="n"/>
      <c r="Z124" s="158" t="n"/>
      <c r="AA124" s="136">
        <f>IF(H124="", "", IF(U124="Open Sale", IF(TODAY()-H124=0, "0 Days", TEXT(TODAY()-H124, "0") &amp; " Days"), IF(U124="Closed Sale", AA124, "")))</f>
        <v/>
      </c>
      <c r="AB124" s="136">
        <f>IF(H124="", "", IF(OR(U124="Pending", U124="Pending Allocation"), CONCATENATE(TODAY()-H124, " Days"), IF(U124="Closed", "", "")))</f>
        <v/>
      </c>
      <c r="AC124" s="160">
        <f>IF(U124="Pending Allocation", IF(I124="", "", TODAY()-I124), "")</f>
        <v/>
      </c>
      <c r="AD124" s="159">
        <f>IF(U124="Open Sale", TEXT(TODAY()-I124, "0"),
IF(U124="Pending", "",
IF(U124="Closed Sale", "", "")))</f>
        <v/>
      </c>
      <c r="AE124" s="161" t="n"/>
      <c r="AF124" s="161" t="n"/>
      <c r="AG124" s="161" t="n"/>
      <c r="AH124" s="136" t="n"/>
      <c r="AI124" s="164">
        <f>IF(I124="","",TEXT(I124, "mmmm yyyy"))</f>
        <v/>
      </c>
      <c r="AJ124" s="164">
        <f>IF(AND(OpenPendingCases[[#This Row],[Sale Status	]]="Open Sale",OpenPendingCases[[#This Row],[Potential Same Month]]="High"),TEXT(OpenPendingCases[[#This Row],[Request Entry Date]], "[$-en-us]mmmm"),"")</f>
        <v/>
      </c>
      <c r="AK124" s="165">
        <f>IFERROR(VALUE(SUBSTITUTE(OpenPendingCases[[#This Row],[Price]]," AED","")),"")</f>
        <v/>
      </c>
      <c r="AL124" s="165">
        <f>IFERROR(VALUE(LEFT(OpenPendingCases[[#This Row],[Price]],FIND(" ",OpenPendingCases[[#This Row],[Price]])-1)),"")</f>
        <v/>
      </c>
      <c r="AM124" s="165">
        <f>IFERROR(VALUE(_xlfn.TEXTBEFORE(OpenPendingCases[[#This Row],[Price]]," AED")),"")</f>
        <v/>
      </c>
      <c r="AN124" s="165" t="n"/>
    </row>
    <row r="125" hidden="1" ht="18" customHeight="1" s="287">
      <c r="C125" s="133" t="n"/>
      <c r="D125" s="136">
        <f>IF($U125="Open Sale", IF(MAX($D$4:D124)+1=0, "", MAX($D$4:D124)+1), "")</f>
        <v/>
      </c>
      <c r="E125" s="136">
        <f>IF($U125="Pending Allocation", IF(MAX($E$4:E124)+1=0, "", MAX($E$4:E124)+1), "")</f>
        <v/>
      </c>
      <c r="F125" s="136" t="n"/>
      <c r="G125" s="136" t="n"/>
      <c r="H125" s="150" t="n"/>
      <c r="I125" s="150" t="n"/>
      <c r="J125" s="67">
        <f>IF(OpenPendingCases[[#This Row],[Timepiece Reference ]]="", "", IF(_xlfn.XLOOKUP(OpenPendingCases[[#This Row],[Timepiece Reference ]], Table1[[Timepiece Reference ]], Table1[CRC STOCK], "Not Found")="YES", "CRC Stock", "Boutique Stock"))</f>
        <v/>
      </c>
      <c r="K125" s="136">
        <f>IF(OpenPendingCases[[#This Row],[Timepiece Reference ]]="", "", IF(_xlfn.XLOOKUP(OpenPendingCases[[#This Row],[Timepiece Reference ]], Table1[[Timepiece Reference ]], Table1[CRC STOCK], "Not Found")="YES", "CRC Stock", "Boutique Stock"))</f>
        <v/>
      </c>
      <c r="L125" s="139" t="n"/>
      <c r="M125" s="140" t="n"/>
      <c r="N125" s="136" t="n"/>
      <c r="O125" s="133" t="n"/>
      <c r="P125" s="93">
        <f>IFERROR(VLOOKUP(TRIM(O125), Collection!$B$2:$D$1001, 2, FALSE), "")</f>
        <v/>
      </c>
      <c r="Q125" s="190">
        <f>IFERROR(VLOOKUP(TRIM(O125), Collection!$B$2:$D$1001, 3, FALSE), "")</f>
        <v/>
      </c>
      <c r="R125" s="153">
        <f>IFERROR(VALUE(SUBSTITUTE(SUBSTITUTE(Q125, "Price", ""), "AED", "")), "")</f>
        <v/>
      </c>
      <c r="S125" s="151" t="n"/>
      <c r="T125" s="158" t="n"/>
      <c r="U125" s="136" t="n"/>
      <c r="V125" s="136" t="n"/>
      <c r="W125" s="156">
        <f>IF(Z125 = "",
"",
TEXT(Z125, "mmmm"))</f>
        <v/>
      </c>
      <c r="X125" s="157" t="n"/>
      <c r="Y125" s="158" t="n"/>
      <c r="Z125" s="158" t="n"/>
      <c r="AA125" s="136">
        <f>IF(H125="", "", IF(U125="Open Sale", IF(TODAY()-H125=0, "0 Days", TEXT(TODAY()-H125, "0") &amp; " Days"), IF(U125="Closed Sale", AA125, "")))</f>
        <v/>
      </c>
      <c r="AB125" s="136">
        <f>IF(H125="", "", IF(OR(U125="Pending", U125="Pending Allocation"), CONCATENATE(TODAY()-H125, " Days"), IF(U125="Closed", "", "")))</f>
        <v/>
      </c>
      <c r="AC125" s="160">
        <f>IF(U125="Pending Allocation", IF(I125="", "", TODAY()-I125), "")</f>
        <v/>
      </c>
      <c r="AD125" s="159">
        <f>IF(U125="Open Sale", TEXT(TODAY()-I125, "0"),
IF(U125="Pending", "",
IF(U125="Closed Sale", "", "")))</f>
        <v/>
      </c>
      <c r="AE125" s="161" t="n"/>
      <c r="AF125" s="161" t="n"/>
      <c r="AG125" s="161" t="n"/>
      <c r="AH125" s="136" t="n"/>
      <c r="AI125" s="164">
        <f>IF(I125="","",TEXT(I125, "mmmm yyyy"))</f>
        <v/>
      </c>
      <c r="AJ125" s="164">
        <f>IF(AND(OpenPendingCases[[#This Row],[Sale Status	]]="Open Sale",OpenPendingCases[[#This Row],[Potential Same Month]]="High"),TEXT(OpenPendingCases[[#This Row],[Request Entry Date]], "[$-en-us]mmmm"),"")</f>
        <v/>
      </c>
      <c r="AK125" s="165">
        <f>IFERROR(VALUE(SUBSTITUTE(OpenPendingCases[[#This Row],[Price]]," AED","")),"")</f>
        <v/>
      </c>
      <c r="AL125" s="165">
        <f>IFERROR(VALUE(LEFT(OpenPendingCases[[#This Row],[Price]],FIND(" ",OpenPendingCases[[#This Row],[Price]])-1)),"")</f>
        <v/>
      </c>
      <c r="AM125" s="165">
        <f>IFERROR(VALUE(_xlfn.TEXTBEFORE(OpenPendingCases[[#This Row],[Price]]," AED")),"")</f>
        <v/>
      </c>
      <c r="AN125" s="165" t="n"/>
    </row>
    <row r="126" hidden="1" ht="18" customHeight="1" s="287">
      <c r="C126" s="133" t="n"/>
      <c r="D126" s="136">
        <f>IF($U126="Open Sale", IF(MAX($D$4:D125)+1=0, "", MAX($D$4:D125)+1), "")</f>
        <v/>
      </c>
      <c r="E126" s="136">
        <f>IF($U126="Pending Allocation", IF(MAX($E$4:E125)+1=0, "", MAX($E$4:E125)+1), "")</f>
        <v/>
      </c>
      <c r="F126" s="136" t="n"/>
      <c r="G126" s="136" t="n"/>
      <c r="H126" s="150" t="n"/>
      <c r="I126" s="150" t="n"/>
      <c r="J126" s="67">
        <f>IF(OpenPendingCases[[#This Row],[Timepiece Reference ]]="", "", IF(_xlfn.XLOOKUP(OpenPendingCases[[#This Row],[Timepiece Reference ]], Table1[[Timepiece Reference ]], Table1[CRC STOCK], "Not Found")="YES", "CRC Stock", "Boutique Stock"))</f>
        <v/>
      </c>
      <c r="K126" s="136">
        <f>IF(OpenPendingCases[[#This Row],[Timepiece Reference ]]="", "", IF(_xlfn.XLOOKUP(OpenPendingCases[[#This Row],[Timepiece Reference ]], Table1[[Timepiece Reference ]], Table1[CRC STOCK], "Not Found")="YES", "CRC Stock", "Boutique Stock"))</f>
        <v/>
      </c>
      <c r="L126" s="139" t="n"/>
      <c r="M126" s="140" t="n"/>
      <c r="N126" s="136" t="n"/>
      <c r="O126" s="133" t="n"/>
      <c r="P126" s="93">
        <f>IFERROR(VLOOKUP(TRIM(O126), Collection!$B$2:$D$1001, 2, FALSE), "")</f>
        <v/>
      </c>
      <c r="Q126" s="190">
        <f>IFERROR(VLOOKUP(TRIM(O126), Collection!$B$2:$D$1001, 3, FALSE), "")</f>
        <v/>
      </c>
      <c r="R126" s="153">
        <f>IFERROR(VALUE(SUBSTITUTE(SUBSTITUTE(Q126, "Price", ""), "AED", "")), "")</f>
        <v/>
      </c>
      <c r="S126" s="151" t="n"/>
      <c r="T126" s="158" t="n"/>
      <c r="U126" s="136" t="n"/>
      <c r="V126" s="136" t="n"/>
      <c r="W126" s="156">
        <f>IF(Z126 = "",
"",
TEXT(Z126, "mmmm"))</f>
        <v/>
      </c>
      <c r="X126" s="157" t="n"/>
      <c r="Y126" s="158" t="n"/>
      <c r="Z126" s="158" t="n"/>
      <c r="AA126" s="136">
        <f>IF(H126="", "", IF(U126="Open Sale", IF(TODAY()-H126=0, "0 Days", TEXT(TODAY()-H126, "0") &amp; " Days"), IF(U126="Closed Sale", AA126, "")))</f>
        <v/>
      </c>
      <c r="AB126" s="136">
        <f>IF(H126="", "", IF(OR(U126="Pending", U126="Pending Allocation"), CONCATENATE(TODAY()-H126, " Days"), IF(U126="Closed", "", "")))</f>
        <v/>
      </c>
      <c r="AC126" s="160">
        <f>IF(U126="Pending Allocation", IF(I126="", "", TODAY()-I126), "")</f>
        <v/>
      </c>
      <c r="AD126" s="159">
        <f>IF(U126="Open Sale", TEXT(TODAY()-I126, "0"),
IF(U126="Pending", "",
IF(U126="Closed Sale", "", "")))</f>
        <v/>
      </c>
      <c r="AE126" s="161" t="n"/>
      <c r="AF126" s="161" t="n"/>
      <c r="AG126" s="161" t="n"/>
      <c r="AH126" s="136" t="n"/>
      <c r="AI126" s="164">
        <f>IF(I126="","",TEXT(I126, "mmmm yyyy"))</f>
        <v/>
      </c>
      <c r="AJ126" s="164">
        <f>IF(AND(OpenPendingCases[[#This Row],[Sale Status	]]="Open Sale",OpenPendingCases[[#This Row],[Potential Same Month]]="High"),TEXT(OpenPendingCases[[#This Row],[Request Entry Date]], "[$-en-us]mmmm"),"")</f>
        <v/>
      </c>
      <c r="AK126" s="165">
        <f>IFERROR(VALUE(SUBSTITUTE(OpenPendingCases[[#This Row],[Price]]," AED","")),"")</f>
        <v/>
      </c>
      <c r="AL126" s="165">
        <f>IFERROR(VALUE(LEFT(OpenPendingCases[[#This Row],[Price]],FIND(" ",OpenPendingCases[[#This Row],[Price]])-1)),"")</f>
        <v/>
      </c>
      <c r="AM126" s="165">
        <f>IFERROR(VALUE(_xlfn.TEXTBEFORE(OpenPendingCases[[#This Row],[Price]]," AED")),"")</f>
        <v/>
      </c>
      <c r="AN126" s="165" t="n"/>
    </row>
    <row r="127" hidden="1" ht="18" customHeight="1" s="287">
      <c r="C127" s="133" t="n"/>
      <c r="D127" s="136">
        <f>IF($U127="Open Sale", IF(MAX($D$4:D126)+1=0, "", MAX($D$4:D126)+1), "")</f>
        <v/>
      </c>
      <c r="E127" s="136">
        <f>IF($U127="Pending Allocation", IF(MAX($E$4:E126)+1=0, "", MAX($E$4:E126)+1), "")</f>
        <v/>
      </c>
      <c r="F127" s="136" t="n"/>
      <c r="G127" s="136" t="n"/>
      <c r="H127" s="150" t="n"/>
      <c r="I127" s="150" t="n"/>
      <c r="J127" s="67">
        <f>IF(OpenPendingCases[[#This Row],[Timepiece Reference ]]="", "", IF(_xlfn.XLOOKUP(OpenPendingCases[[#This Row],[Timepiece Reference ]], Table1[[Timepiece Reference ]], Table1[CRC STOCK], "Not Found")="YES", "CRC Stock", "Boutique Stock"))</f>
        <v/>
      </c>
      <c r="K127" s="136">
        <f>IF(OpenPendingCases[[#This Row],[Timepiece Reference ]]="", "", IF(_xlfn.XLOOKUP(OpenPendingCases[[#This Row],[Timepiece Reference ]], Table1[[Timepiece Reference ]], Table1[CRC STOCK], "Not Found")="YES", "CRC Stock", "Boutique Stock"))</f>
        <v/>
      </c>
      <c r="L127" s="139" t="n"/>
      <c r="M127" s="140" t="n"/>
      <c r="N127" s="136" t="n"/>
      <c r="O127" s="133" t="n"/>
      <c r="P127" s="93">
        <f>IFERROR(VLOOKUP(TRIM(O127), Collection!$B$2:$D$1001, 2, FALSE), "")</f>
        <v/>
      </c>
      <c r="Q127" s="190">
        <f>IFERROR(VLOOKUP(TRIM(O127), Collection!$B$2:$D$1001, 3, FALSE), "")</f>
        <v/>
      </c>
      <c r="R127" s="153">
        <f>IFERROR(VALUE(SUBSTITUTE(SUBSTITUTE(Q127, "Price", ""), "AED", "")), "")</f>
        <v/>
      </c>
      <c r="S127" s="151" t="n"/>
      <c r="T127" s="158" t="n"/>
      <c r="U127" s="136" t="n"/>
      <c r="V127" s="136" t="n"/>
      <c r="W127" s="156">
        <f>IF(Z127 = "",
"",
TEXT(Z127, "mmmm"))</f>
        <v/>
      </c>
      <c r="X127" s="157" t="n"/>
      <c r="Y127" s="158" t="n"/>
      <c r="Z127" s="158" t="n"/>
      <c r="AA127" s="136">
        <f>IF(H127="", "", IF(U127="Open Sale", IF(TODAY()-H127=0, "0 Days", TEXT(TODAY()-H127, "0") &amp; " Days"), IF(U127="Closed Sale", AA127, "")))</f>
        <v/>
      </c>
      <c r="AB127" s="136">
        <f>IF(H127="", "", IF(OR(U127="Pending", U127="Pending Allocation"), CONCATENATE(TODAY()-H127, " Days"), IF(U127="Closed", "", "")))</f>
        <v/>
      </c>
      <c r="AC127" s="160">
        <f>IF(U127="Pending Allocation", IF(I127="", "", TODAY()-I127), "")</f>
        <v/>
      </c>
      <c r="AD127" s="159">
        <f>IF(U127="Open Sale", TEXT(TODAY()-I127, "0"),
IF(U127="Pending", "",
IF(U127="Closed Sale", "", "")))</f>
        <v/>
      </c>
      <c r="AE127" s="161" t="n"/>
      <c r="AF127" s="161" t="n"/>
      <c r="AG127" s="161" t="n"/>
      <c r="AH127" s="136" t="n"/>
      <c r="AI127" s="164">
        <f>IF(I127="","",TEXT(I127, "mmmm yyyy"))</f>
        <v/>
      </c>
      <c r="AJ127" s="164">
        <f>IF(AND(OpenPendingCases[[#This Row],[Sale Status	]]="Open Sale",OpenPendingCases[[#This Row],[Potential Same Month]]="High"),TEXT(OpenPendingCases[[#This Row],[Request Entry Date]], "[$-en-us]mmmm"),"")</f>
        <v/>
      </c>
      <c r="AK127" s="165">
        <f>IFERROR(VALUE(SUBSTITUTE(OpenPendingCases[[#This Row],[Price]]," AED","")),"")</f>
        <v/>
      </c>
      <c r="AL127" s="165">
        <f>IFERROR(VALUE(LEFT(OpenPendingCases[[#This Row],[Price]],FIND(" ",OpenPendingCases[[#This Row],[Price]])-1)),"")</f>
        <v/>
      </c>
      <c r="AM127" s="165">
        <f>IFERROR(VALUE(_xlfn.TEXTBEFORE(OpenPendingCases[[#This Row],[Price]]," AED")),"")</f>
        <v/>
      </c>
      <c r="AN127" s="165" t="n"/>
    </row>
    <row r="128" hidden="1" ht="18" customHeight="1" s="287">
      <c r="C128" s="133" t="n"/>
      <c r="D128" s="136">
        <f>IF($U128="Open Sale", IF(MAX($D$4:D127)+1=0, "", MAX($D$4:D127)+1), "")</f>
        <v/>
      </c>
      <c r="E128" s="136">
        <f>IF($U128="Pending Allocation", IF(MAX($E$4:E127)+1=0, "", MAX($E$4:E127)+1), "")</f>
        <v/>
      </c>
      <c r="F128" s="136" t="n"/>
      <c r="G128" s="136" t="n"/>
      <c r="H128" s="150" t="n"/>
      <c r="I128" s="150" t="n"/>
      <c r="J128" s="67">
        <f>IF(OpenPendingCases[[#This Row],[Timepiece Reference ]]="", "", IF(_xlfn.XLOOKUP(OpenPendingCases[[#This Row],[Timepiece Reference ]], Table1[[Timepiece Reference ]], Table1[CRC STOCK], "Not Found")="YES", "CRC Stock", "Boutique Stock"))</f>
        <v/>
      </c>
      <c r="K128" s="136">
        <f>IF(OpenPendingCases[[#This Row],[Timepiece Reference ]]="", "", IF(_xlfn.XLOOKUP(OpenPendingCases[[#This Row],[Timepiece Reference ]], Table1[[Timepiece Reference ]], Table1[CRC STOCK], "Not Found")="YES", "CRC Stock", "Boutique Stock"))</f>
        <v/>
      </c>
      <c r="L128" s="139" t="n"/>
      <c r="M128" s="140" t="n"/>
      <c r="N128" s="136" t="n"/>
      <c r="O128" s="133" t="n"/>
      <c r="P128" s="93">
        <f>IFERROR(VLOOKUP(TRIM(O128), Collection!$B$2:$D$1001, 2, FALSE), "")</f>
        <v/>
      </c>
      <c r="Q128" s="190">
        <f>IFERROR(VLOOKUP(TRIM(O128), Collection!$B$2:$D$1001, 3, FALSE), "")</f>
        <v/>
      </c>
      <c r="R128" s="153">
        <f>IFERROR(VALUE(SUBSTITUTE(SUBSTITUTE(Q128, "Price", ""), "AED", "")), "")</f>
        <v/>
      </c>
      <c r="S128" s="151" t="n"/>
      <c r="T128" s="158" t="n"/>
      <c r="U128" s="136" t="n"/>
      <c r="V128" s="136" t="n"/>
      <c r="W128" s="156">
        <f>IF(Z128 = "",
"",
TEXT(Z128, "mmmm"))</f>
        <v/>
      </c>
      <c r="X128" s="157" t="n"/>
      <c r="Y128" s="158" t="n"/>
      <c r="Z128" s="158" t="n"/>
      <c r="AA128" s="136">
        <f>IF(H128="", "", IF(U128="Open Sale", IF(TODAY()-H128=0, "0 Days", TEXT(TODAY()-H128, "0") &amp; " Days"), IF(U128="Closed Sale", AA128, "")))</f>
        <v/>
      </c>
      <c r="AB128" s="136">
        <f>IF(H128="", "", IF(OR(U128="Pending", U128="Pending Allocation"), CONCATENATE(TODAY()-H128, " Days"), IF(U128="Closed", "", "")))</f>
        <v/>
      </c>
      <c r="AC128" s="160">
        <f>IF(U128="Pending Allocation", IF(I128="", "", TODAY()-I128), "")</f>
        <v/>
      </c>
      <c r="AD128" s="159">
        <f>IF(U128="Open Sale", TEXT(TODAY()-I128, "0"),
IF(U128="Pending", "",
IF(U128="Closed Sale", "", "")))</f>
        <v/>
      </c>
      <c r="AE128" s="161" t="n"/>
      <c r="AF128" s="161" t="n"/>
      <c r="AG128" s="161" t="n"/>
      <c r="AH128" s="136" t="n"/>
      <c r="AI128" s="164">
        <f>IF(I128="","",TEXT(I128, "mmmm yyyy"))</f>
        <v/>
      </c>
      <c r="AJ128" s="164">
        <f>IF(AND(OpenPendingCases[[#This Row],[Sale Status	]]="Open Sale",OpenPendingCases[[#This Row],[Potential Same Month]]="High"),TEXT(OpenPendingCases[[#This Row],[Request Entry Date]], "[$-en-us]mmmm"),"")</f>
        <v/>
      </c>
      <c r="AK128" s="165">
        <f>IFERROR(VALUE(SUBSTITUTE(OpenPendingCases[[#This Row],[Price]]," AED","")),"")</f>
        <v/>
      </c>
      <c r="AL128" s="165">
        <f>IFERROR(VALUE(LEFT(OpenPendingCases[[#This Row],[Price]],FIND(" ",OpenPendingCases[[#This Row],[Price]])-1)),"")</f>
        <v/>
      </c>
      <c r="AM128" s="165">
        <f>IFERROR(VALUE(_xlfn.TEXTBEFORE(OpenPendingCases[[#This Row],[Price]]," AED")),"")</f>
        <v/>
      </c>
      <c r="AN128" s="165" t="n"/>
    </row>
    <row r="129" hidden="1" ht="18" customHeight="1" s="287">
      <c r="C129" s="133" t="n"/>
      <c r="D129" s="136">
        <f>IF($U129="Open Sale", IF(MAX($D$4:D128)+1=0, "", MAX($D$4:D128)+1), "")</f>
        <v/>
      </c>
      <c r="E129" s="136">
        <f>IF($U129="Pending Allocation", IF(MAX($E$4:E128)+1=0, "", MAX($E$4:E128)+1), "")</f>
        <v/>
      </c>
      <c r="F129" s="136" t="n"/>
      <c r="G129" s="136" t="n"/>
      <c r="H129" s="150" t="n"/>
      <c r="I129" s="150" t="n"/>
      <c r="J129" s="67">
        <f>IF(OpenPendingCases[[#This Row],[Timepiece Reference ]]="", "", IF(_xlfn.XLOOKUP(OpenPendingCases[[#This Row],[Timepiece Reference ]], Table1[[Timepiece Reference ]], Table1[CRC STOCK], "Not Found")="YES", "CRC Stock", "Boutique Stock"))</f>
        <v/>
      </c>
      <c r="K129" s="136">
        <f>IF(OpenPendingCases[[#This Row],[Timepiece Reference ]]="", "", IF(_xlfn.XLOOKUP(OpenPendingCases[[#This Row],[Timepiece Reference ]], Table1[[Timepiece Reference ]], Table1[CRC STOCK], "Not Found")="YES", "CRC Stock", "Boutique Stock"))</f>
        <v/>
      </c>
      <c r="L129" s="139" t="n"/>
      <c r="M129" s="140" t="n"/>
      <c r="N129" s="136" t="n"/>
      <c r="O129" s="133" t="n"/>
      <c r="P129" s="93">
        <f>IFERROR(VLOOKUP(TRIM(O129), Collection!$B$2:$D$1001, 2, FALSE), "")</f>
        <v/>
      </c>
      <c r="Q129" s="190">
        <f>IFERROR(VLOOKUP(TRIM(O129), Collection!$B$2:$D$1001, 3, FALSE), "")</f>
        <v/>
      </c>
      <c r="R129" s="153">
        <f>IFERROR(VALUE(SUBSTITUTE(SUBSTITUTE(Q129, "Price", ""), "AED", "")), "")</f>
        <v/>
      </c>
      <c r="S129" s="151" t="n"/>
      <c r="T129" s="158" t="n"/>
      <c r="U129" s="136" t="n"/>
      <c r="V129" s="136" t="n"/>
      <c r="W129" s="156">
        <f>IF(Z129 = "",
"",
TEXT(Z129, "mmmm"))</f>
        <v/>
      </c>
      <c r="X129" s="157" t="n"/>
      <c r="Y129" s="158" t="n"/>
      <c r="Z129" s="158" t="n"/>
      <c r="AA129" s="136">
        <f>IF(H129="", "", IF(U129="Open Sale", IF(TODAY()-H129=0, "0 Days", TEXT(TODAY()-H129, "0") &amp; " Days"), IF(U129="Closed Sale", AA129, "")))</f>
        <v/>
      </c>
      <c r="AB129" s="136">
        <f>IF(H129="", "", IF(OR(U129="Pending", U129="Pending Allocation"), CONCATENATE(TODAY()-H129, " Days"), IF(U129="Closed", "", "")))</f>
        <v/>
      </c>
      <c r="AC129" s="160">
        <f>IF(U129="Pending Allocation", IF(I129="", "", TODAY()-I129), "")</f>
        <v/>
      </c>
      <c r="AD129" s="159">
        <f>IF(U129="Open Sale", TEXT(TODAY()-I129, "0"),
IF(U129="Pending", "",
IF(U129="Closed Sale", "", "")))</f>
        <v/>
      </c>
      <c r="AE129" s="161" t="n"/>
      <c r="AF129" s="161" t="n"/>
      <c r="AG129" s="161" t="n"/>
      <c r="AH129" s="136" t="n"/>
      <c r="AI129" s="164">
        <f>IF(I129="","",TEXT(I129, "mmmm yyyy"))</f>
        <v/>
      </c>
      <c r="AJ129" s="164">
        <f>IF(AND(OpenPendingCases[[#This Row],[Sale Status	]]="Open Sale",OpenPendingCases[[#This Row],[Potential Same Month]]="High"),TEXT(OpenPendingCases[[#This Row],[Request Entry Date]], "[$-en-us]mmmm"),"")</f>
        <v/>
      </c>
      <c r="AK129" s="165">
        <f>IFERROR(VALUE(SUBSTITUTE(OpenPendingCases[[#This Row],[Price]]," AED","")),"")</f>
        <v/>
      </c>
      <c r="AL129" s="165">
        <f>IFERROR(VALUE(LEFT(OpenPendingCases[[#This Row],[Price]],FIND(" ",OpenPendingCases[[#This Row],[Price]])-1)),"")</f>
        <v/>
      </c>
      <c r="AM129" s="165">
        <f>IFERROR(VALUE(_xlfn.TEXTBEFORE(OpenPendingCases[[#This Row],[Price]]," AED")),"")</f>
        <v/>
      </c>
      <c r="AN129" s="165" t="n"/>
    </row>
    <row r="130" hidden="1" ht="18" customHeight="1" s="287">
      <c r="C130" s="133" t="n"/>
      <c r="D130" s="136">
        <f>IF($U130="Open Sale", IF(MAX($D$4:D129)+1=0, "", MAX($D$4:D129)+1), "")</f>
        <v/>
      </c>
      <c r="E130" s="136">
        <f>IF($U130="Pending Allocation", IF(MAX($E$4:E129)+1=0, "", MAX($E$4:E129)+1), "")</f>
        <v/>
      </c>
      <c r="F130" s="136" t="n"/>
      <c r="G130" s="136" t="n"/>
      <c r="H130" s="150" t="n"/>
      <c r="I130" s="150" t="n"/>
      <c r="J130" s="67">
        <f>IF(OpenPendingCases[[#This Row],[Timepiece Reference ]]="", "", IF(_xlfn.XLOOKUP(OpenPendingCases[[#This Row],[Timepiece Reference ]], Table1[[Timepiece Reference ]], Table1[CRC STOCK], "Not Found")="YES", "CRC Stock", "Boutique Stock"))</f>
        <v/>
      </c>
      <c r="K130" s="136">
        <f>IF(OpenPendingCases[[#This Row],[Timepiece Reference ]]="", "", IF(_xlfn.XLOOKUP(OpenPendingCases[[#This Row],[Timepiece Reference ]], Table1[[Timepiece Reference ]], Table1[CRC STOCK], "Not Found")="YES", "CRC Stock", "Boutique Stock"))</f>
        <v/>
      </c>
      <c r="L130" s="139" t="n"/>
      <c r="M130" s="140" t="n"/>
      <c r="N130" s="136" t="n"/>
      <c r="O130" s="133" t="n"/>
      <c r="P130" s="93">
        <f>IFERROR(VLOOKUP(TRIM(O130), Collection!$B$2:$D$1001, 2, FALSE), "")</f>
        <v/>
      </c>
      <c r="Q130" s="190">
        <f>IFERROR(VLOOKUP(TRIM(O130), Collection!$B$2:$D$1001, 3, FALSE), "")</f>
        <v/>
      </c>
      <c r="R130" s="153">
        <f>IFERROR(VALUE(SUBSTITUTE(SUBSTITUTE(Q130, "Price", ""), "AED", "")), "")</f>
        <v/>
      </c>
      <c r="S130" s="151" t="n"/>
      <c r="T130" s="158" t="n"/>
      <c r="U130" s="136" t="n"/>
      <c r="V130" s="136" t="n"/>
      <c r="W130" s="156">
        <f>IF(Z130 = "",
"",
TEXT(Z130, "mmmm"))</f>
        <v/>
      </c>
      <c r="X130" s="157" t="n"/>
      <c r="Y130" s="158" t="n"/>
      <c r="Z130" s="158" t="n"/>
      <c r="AA130" s="136">
        <f>IF(H130="", "", IF(U130="Open Sale", IF(TODAY()-H130=0, "0 Days", TEXT(TODAY()-H130, "0") &amp; " Days"), IF(U130="Closed Sale", AA130, "")))</f>
        <v/>
      </c>
      <c r="AB130" s="136">
        <f>IF(H130="", "", IF(OR(U130="Pending", U130="Pending Allocation"), CONCATENATE(TODAY()-H130, " Days"), IF(U130="Closed", "", "")))</f>
        <v/>
      </c>
      <c r="AC130" s="160">
        <f>IF(U130="Pending Allocation", IF(I130="", "", TODAY()-I130), "")</f>
        <v/>
      </c>
      <c r="AD130" s="159">
        <f>IF(U130="Open Sale", TEXT(TODAY()-I130, "0"),
IF(U130="Pending", "",
IF(U130="Closed Sale", "", "")))</f>
        <v/>
      </c>
      <c r="AE130" s="180" t="n"/>
      <c r="AF130" s="161" t="n"/>
      <c r="AG130" s="161" t="n"/>
      <c r="AH130" s="136" t="n"/>
      <c r="AI130" s="164">
        <f>IF(I130="","",TEXT(I130, "mmmm yyyy"))</f>
        <v/>
      </c>
      <c r="AJ130" s="164">
        <f>IF(AND(OpenPendingCases[[#This Row],[Sale Status	]]="Open Sale",OpenPendingCases[[#This Row],[Potential Same Month]]="High"),TEXT(OpenPendingCases[[#This Row],[Request Entry Date]], "[$-en-us]mmmm"),"")</f>
        <v/>
      </c>
      <c r="AK130" s="165">
        <f>IFERROR(VALUE(SUBSTITUTE(OpenPendingCases[[#This Row],[Price]]," AED","")),"")</f>
        <v/>
      </c>
      <c r="AL130" s="165">
        <f>IFERROR(VALUE(LEFT(OpenPendingCases[[#This Row],[Price]],FIND(" ",OpenPendingCases[[#This Row],[Price]])-1)),"")</f>
        <v/>
      </c>
      <c r="AM130" s="165">
        <f>IFERROR(VALUE(_xlfn.TEXTBEFORE(OpenPendingCases[[#This Row],[Price]]," AED")),"")</f>
        <v/>
      </c>
      <c r="AN130" s="165" t="n"/>
    </row>
    <row r="131" hidden="1" ht="18" customHeight="1" s="287">
      <c r="C131" s="133" t="n"/>
      <c r="D131" s="136">
        <f>IF($U131="Open Sale", IF(MAX($D$4:D130)+1=0, "", MAX($D$4:D130)+1), "")</f>
        <v/>
      </c>
      <c r="E131" s="136">
        <f>IF($U131="Pending Allocation", IF(MAX($E$4:E130)+1=0, "", MAX($E$4:E130)+1), "")</f>
        <v/>
      </c>
      <c r="F131" s="136" t="n"/>
      <c r="G131" s="136" t="n"/>
      <c r="H131" s="150" t="n"/>
      <c r="I131" s="150" t="n"/>
      <c r="J131" s="67">
        <f>IF(OpenPendingCases[[#This Row],[Timepiece Reference ]]="", "", IF(_xlfn.XLOOKUP(OpenPendingCases[[#This Row],[Timepiece Reference ]], Table1[[Timepiece Reference ]], Table1[CRC STOCK], "Not Found")="YES", "CRC Stock", "Boutique Stock"))</f>
        <v/>
      </c>
      <c r="K131" s="136">
        <f>IF(OpenPendingCases[[#This Row],[Timepiece Reference ]]="", "", IF(_xlfn.XLOOKUP(OpenPendingCases[[#This Row],[Timepiece Reference ]], Table1[[Timepiece Reference ]], Table1[CRC STOCK], "Not Found")="YES", "CRC Stock", "Boutique Stock"))</f>
        <v/>
      </c>
      <c r="L131" s="139" t="n"/>
      <c r="M131" s="140" t="n"/>
      <c r="N131" s="136" t="n"/>
      <c r="O131" s="133" t="n"/>
      <c r="P131" s="93">
        <f>IFERROR(VLOOKUP(TRIM(O131), Collection!$B$2:$D$1001, 2, FALSE), "")</f>
        <v/>
      </c>
      <c r="Q131" s="190">
        <f>IFERROR(VLOOKUP(TRIM(O131), Collection!$B$2:$D$1001, 3, FALSE), "")</f>
        <v/>
      </c>
      <c r="R131" s="153">
        <f>IFERROR(VALUE(SUBSTITUTE(SUBSTITUTE(Q131, "Price", ""), "AED", "")), "")</f>
        <v/>
      </c>
      <c r="S131" s="151" t="n"/>
      <c r="T131" s="158" t="n"/>
      <c r="U131" s="136" t="n"/>
      <c r="V131" s="136" t="n"/>
      <c r="W131" s="156">
        <f>IF(Z131 = "",
"",
TEXT(Z131, "mmmm"))</f>
        <v/>
      </c>
      <c r="X131" s="157" t="n"/>
      <c r="Y131" s="158" t="n"/>
      <c r="Z131" s="158" t="n"/>
      <c r="AA131" s="136">
        <f>IF(H131="", "", IF(U131="Open Sale", IF(TODAY()-H131=0, "0 Days", TEXT(TODAY()-H131, "0") &amp; " Days"), IF(U131="Closed Sale", AA131, "")))</f>
        <v/>
      </c>
      <c r="AB131" s="136">
        <f>IF(H131="", "", IF(OR(U131="Pending", U131="Pending Allocation"), CONCATENATE(TODAY()-H131, " Days"), IF(U131="Closed", "", "")))</f>
        <v/>
      </c>
      <c r="AC131" s="160">
        <f>IF(U131="Pending Allocation", IF(I131="", "", TODAY()-I131), "")</f>
        <v/>
      </c>
      <c r="AD131" s="159">
        <f>IF(U131="Open Sale", TEXT(TODAY()-I131, "0"),
   IF(U131="Pending", "",
      IF(U131="Closed Sale", "", "")))</f>
        <v/>
      </c>
      <c r="AE131" s="161" t="n"/>
      <c r="AF131" s="161" t="n"/>
      <c r="AG131" s="161" t="n"/>
      <c r="AH131" s="136" t="n"/>
      <c r="AI131" s="164">
        <f>IF(I131="","",TEXT(I131, "mmmm yyyy"))</f>
        <v/>
      </c>
      <c r="AJ131" s="164">
        <f>IF(AND(OpenPendingCases[[#This Row],[Sale Status	]]="Open Sale",OpenPendingCases[[#This Row],[Potential Same Month]]="High"),TEXT(OpenPendingCases[[#This Row],[Request Entry Date]], "[$-en-us]mmmm"),"")</f>
        <v/>
      </c>
      <c r="AK131" s="165">
        <f>IFERROR(VALUE(SUBSTITUTE(OpenPendingCases[[#This Row],[Price]]," AED","")),"")</f>
        <v/>
      </c>
      <c r="AL131" s="165">
        <f>IFERROR(VALUE(LEFT(OpenPendingCases[[#This Row],[Price]],FIND(" ",OpenPendingCases[[#This Row],[Price]])-1)),"")</f>
        <v/>
      </c>
      <c r="AM131" s="165">
        <f>IFERROR(VALUE(_xlfn.TEXTBEFORE(OpenPendingCases[[#This Row],[Price]]," AED")),"")</f>
        <v/>
      </c>
      <c r="AN131" s="165" t="n"/>
    </row>
    <row r="132" hidden="1" ht="18" customHeight="1" s="287">
      <c r="C132" s="133" t="n"/>
      <c r="D132" s="136">
        <f>IF($U132="Open Sale", IF(MAX($D$4:D131)+1=0, "", MAX($D$4:D131)+1), "")</f>
        <v/>
      </c>
      <c r="E132" s="136">
        <f>IF($U132="Pending Allocation", IF(MAX($E$4:E131)+1=0, "", MAX($E$4:E131)+1), "")</f>
        <v/>
      </c>
      <c r="F132" s="136" t="n"/>
      <c r="G132" s="136" t="n"/>
      <c r="H132" s="150" t="n"/>
      <c r="I132" s="150" t="n"/>
      <c r="J132" s="67">
        <f>IF(OpenPendingCases[[#This Row],[Timepiece Reference ]]="", "", IF(_xlfn.XLOOKUP(OpenPendingCases[[#This Row],[Timepiece Reference ]], Table1[[Timepiece Reference ]], Table1[CRC STOCK], "Not Found")="YES", "CRC Stock", "Boutique Stock"))</f>
        <v/>
      </c>
      <c r="K132" s="136">
        <f>IF(OpenPendingCases[[#This Row],[Timepiece Reference ]]="", "", IF(_xlfn.XLOOKUP(OpenPendingCases[[#This Row],[Timepiece Reference ]], Table1[[Timepiece Reference ]], Table1[CRC STOCK], "Not Found")="YES", "CRC Stock", "Boutique Stock"))</f>
        <v/>
      </c>
      <c r="L132" s="139" t="n"/>
      <c r="M132" s="140" t="n"/>
      <c r="N132" s="136" t="n"/>
      <c r="O132" s="133" t="n"/>
      <c r="P132" s="93">
        <f>IFERROR(VLOOKUP(TRIM(O132), Collection!$B$2:$D$1001, 2, FALSE), "")</f>
        <v/>
      </c>
      <c r="Q132" s="190">
        <f>IFERROR(VLOOKUP(TRIM(O132), Collection!$B$2:$D$1001, 3, FALSE), "")</f>
        <v/>
      </c>
      <c r="R132" s="153">
        <f>IFERROR(VALUE(SUBSTITUTE(SUBSTITUTE(Q132, "Price", ""), "AED", "")), "")</f>
        <v/>
      </c>
      <c r="S132" s="151" t="n"/>
      <c r="T132" s="158" t="n"/>
      <c r="U132" s="136" t="n"/>
      <c r="V132" s="136" t="n"/>
      <c r="W132" s="156">
        <f>IF(Z132 = "",
     "",
     TEXT(Z132, "mmmm"))</f>
        <v/>
      </c>
      <c r="X132" s="157" t="n"/>
      <c r="Y132" s="158" t="n"/>
      <c r="Z132" s="158" t="n"/>
      <c r="AA132" s="136">
        <f>IF(H132="", "", IF(U132="Open Sale", IF(TODAY()-H132=0, "0 Days", TEXT(TODAY()-H132, "0") &amp; " Days"), IF(U132="Closed Sale", AA132, "")))</f>
        <v/>
      </c>
      <c r="AB132" s="136">
        <f>IF(H132="", "", IF(OR(U132="Pending", U132="Pending Allocation"), CONCATENATE(TODAY()-H132, " Days"), IF(U132="Closed", "", "")))</f>
        <v/>
      </c>
      <c r="AC132" s="160">
        <f>IF(U132="Pending Allocation", IF(I132="", "", TODAY()-I132), "")</f>
        <v/>
      </c>
      <c r="AD132" s="159">
        <f>IF(U132="Open Sale", TEXT(TODAY()-I132, "0"),
IF(U132="Pending", "",
IF(U132="Closed Sale", "", "")))</f>
        <v/>
      </c>
      <c r="AE132" s="161" t="n"/>
      <c r="AF132" s="161" t="n"/>
      <c r="AG132" s="161" t="n"/>
      <c r="AH132" s="136" t="n"/>
      <c r="AI132" s="164">
        <f>IF(I132="","",TEXT(I132, "mmmm yyyy"))</f>
        <v/>
      </c>
      <c r="AJ132" s="164">
        <f>IF(AND(OpenPendingCases[[#This Row],[Sale Status	]]="Open Sale",OpenPendingCases[[#This Row],[Potential Same Month]]="High"),TEXT(OpenPendingCases[[#This Row],[Request Entry Date]], "[$-en-us]mmmm"),"")</f>
        <v/>
      </c>
      <c r="AK132" s="165">
        <f>IFERROR(VALUE(SUBSTITUTE(OpenPendingCases[[#This Row],[Price]]," AED","")),"")</f>
        <v/>
      </c>
      <c r="AL132" s="165">
        <f>IFERROR(VALUE(LEFT(OpenPendingCases[[#This Row],[Price]],FIND(" ",OpenPendingCases[[#This Row],[Price]])-1)),"")</f>
        <v/>
      </c>
      <c r="AM132" s="165">
        <f>IFERROR(VALUE(_xlfn.TEXTBEFORE(OpenPendingCases[[#This Row],[Price]]," AED")),"")</f>
        <v/>
      </c>
      <c r="AN132" s="165" t="n"/>
    </row>
    <row r="133" hidden="1" ht="18" customHeight="1" s="287">
      <c r="C133" s="133" t="n"/>
      <c r="D133" s="136">
        <f>IF($U133="Open Sale", IF(MAX($D$4:D132)+1=0, "", MAX($D$4:D132)+1), "")</f>
        <v/>
      </c>
      <c r="E133" s="136">
        <f>IF($U133="Pending Allocation", IF(MAX($E$4:E132)+1=0, "", MAX($E$4:E132)+1), "")</f>
        <v/>
      </c>
      <c r="F133" s="136" t="n"/>
      <c r="G133" s="136" t="n"/>
      <c r="H133" s="150" t="n"/>
      <c r="I133" s="150" t="n"/>
      <c r="J133" s="67">
        <f>IF(OpenPendingCases[[#This Row],[Timepiece Reference ]]="", "", IF(_xlfn.XLOOKUP(OpenPendingCases[[#This Row],[Timepiece Reference ]], Table1[[Timepiece Reference ]], Table1[CRC STOCK], "Not Found")="YES", "CRC Stock", "Boutique Stock"))</f>
        <v/>
      </c>
      <c r="K133" s="136">
        <f>IF(OpenPendingCases[[#This Row],[Timepiece Reference ]]="", "", IF(_xlfn.XLOOKUP(OpenPendingCases[[#This Row],[Timepiece Reference ]], Table1[[Timepiece Reference ]], Table1[CRC STOCK], "Not Found")="YES", "CRC Stock", "Boutique Stock"))</f>
        <v/>
      </c>
      <c r="L133" s="139" t="n"/>
      <c r="M133" s="140" t="n"/>
      <c r="N133" s="136" t="n"/>
      <c r="O133" s="133" t="n"/>
      <c r="P133" s="93">
        <f>IFERROR(VLOOKUP(TRIM(O133), Collection!$B$2:$D$1001, 2, FALSE), "")</f>
        <v/>
      </c>
      <c r="Q133" s="190">
        <f>IFERROR(VLOOKUP(TRIM(O133), Collection!$B$2:$D$1001, 3, FALSE), "")</f>
        <v/>
      </c>
      <c r="R133" s="153">
        <f>IFERROR(VALUE(SUBSTITUTE(SUBSTITUTE(Q133, "Price", ""), "AED", "")), "")</f>
        <v/>
      </c>
      <c r="S133" s="151" t="n"/>
      <c r="T133" s="158" t="n"/>
      <c r="U133" s="136" t="n"/>
      <c r="V133" s="136" t="n"/>
      <c r="W133" s="156">
        <f>IF(Z133 = "",
"",
TEXT(Z133, "mmmm"))</f>
        <v/>
      </c>
      <c r="X133" s="157" t="n"/>
      <c r="Y133" s="158" t="n"/>
      <c r="Z133" s="158" t="n"/>
      <c r="AA133" s="136">
        <f>IF(H133="", "", IF(U133="Open Sale", IF(TODAY()-H133=0, "0 Days", TEXT(TODAY()-H133, "0") &amp; " Days"), IF(U133="Closed Sale", AA133, "")))</f>
        <v/>
      </c>
      <c r="AB133" s="136">
        <f>IF(H133="", "", IF(OR(U133="Pending", U133="Pending Allocation"), CONCATENATE(TODAY()-H133, " Days"), IF(U133="Closed", "", "")))</f>
        <v/>
      </c>
      <c r="AC133" s="160">
        <f>IF(U133="Pending Allocation", IF(I133="", "", TODAY()-I133), "")</f>
        <v/>
      </c>
      <c r="AD133" s="159">
        <f>IF(U133="Open Sale", TEXT(TODAY()-I133, "0"),
IF(U133="Pending", "",
IF(U133="Closed Sale", "", "")))</f>
        <v/>
      </c>
      <c r="AE133" s="161" t="n"/>
      <c r="AF133" s="161" t="n"/>
      <c r="AG133" s="161" t="n"/>
      <c r="AH133" s="136" t="n"/>
      <c r="AI133" s="164">
        <f>IF(I133="","",TEXT(I133, "mmmm yyyy"))</f>
        <v/>
      </c>
      <c r="AJ133" s="164">
        <f>IF(AND(OpenPendingCases[[#This Row],[Sale Status	]]="Open Sale",OpenPendingCases[[#This Row],[Potential Same Month]]="High"),TEXT(OpenPendingCases[[#This Row],[Request Entry Date]], "[$-en-us]mmmm"),"")</f>
        <v/>
      </c>
      <c r="AK133" s="165">
        <f>IFERROR(VALUE(SUBSTITUTE(OpenPendingCases[[#This Row],[Price]]," AED","")),"")</f>
        <v/>
      </c>
      <c r="AL133" s="165">
        <f>IFERROR(VALUE(LEFT(OpenPendingCases[[#This Row],[Price]],FIND(" ",OpenPendingCases[[#This Row],[Price]])-1)),"")</f>
        <v/>
      </c>
      <c r="AM133" s="165">
        <f>IFERROR(VALUE(_xlfn.TEXTBEFORE(OpenPendingCases[[#This Row],[Price]]," AED")),"")</f>
        <v/>
      </c>
      <c r="AN133" s="165" t="n"/>
    </row>
    <row r="134" hidden="1" ht="18" customHeight="1" s="287">
      <c r="C134" s="181" t="n"/>
      <c r="D134" s="136">
        <f>IF($U134="Open Sale", IF(MAX($D$4:D133)+1=0, "", MAX($D$4:D133)+1), "")</f>
        <v/>
      </c>
      <c r="E134" s="136">
        <f>IF($U134="Pending Allocation", IF(MAX($E$4:E133)+1=0, "", MAX($E$4:E133)+1), "")</f>
        <v/>
      </c>
      <c r="F134" s="182" t="n"/>
      <c r="G134" s="182" t="n"/>
      <c r="H134" s="150" t="n"/>
      <c r="I134" s="150" t="n"/>
      <c r="J134" s="67">
        <f>IF(OpenPendingCases[[#This Row],[Timepiece Reference ]]="", "", IF(_xlfn.XLOOKUP(OpenPendingCases[[#This Row],[Timepiece Reference ]], Table1[[Timepiece Reference ]], Table1[CRC STOCK], "Not Found")="YES", "CRC Stock", "Boutique Stock"))</f>
        <v/>
      </c>
      <c r="K134" s="136">
        <f>IF(OpenPendingCases[[#This Row],[Timepiece Reference ]]="", "", IF(_xlfn.XLOOKUP(OpenPendingCases[[#This Row],[Timepiece Reference ]], Table1[[Timepiece Reference ]], Table1[CRC STOCK], "Not Found")="YES", "CRC Stock", "Boutique Stock"))</f>
        <v/>
      </c>
      <c r="L134" s="139" t="n"/>
      <c r="M134" s="140" t="n"/>
      <c r="N134" s="136" t="n"/>
      <c r="O134" s="133" t="n"/>
      <c r="P134" s="93">
        <f>IFERROR(VLOOKUP(TRIM(O134), Collection!$B$2:$D$1001, 2, FALSE), "")</f>
        <v/>
      </c>
      <c r="Q134" s="190">
        <f>IFERROR(VLOOKUP(TRIM(O134), Collection!$B$2:$D$1001, 3, FALSE), "")</f>
        <v/>
      </c>
      <c r="R134" s="153">
        <f>IFERROR(VALUE(SUBSTITUTE(SUBSTITUTE(Q134, "Price", ""), "AED", "")), "")</f>
        <v/>
      </c>
      <c r="S134" s="151" t="n"/>
      <c r="T134" s="158" t="n"/>
      <c r="U134" s="136" t="n"/>
      <c r="V134" s="136" t="n"/>
      <c r="W134" s="156">
        <f>IF(Z134 = "",
"",
TEXT(Z134, "mmmm"))</f>
        <v/>
      </c>
      <c r="X134" s="157" t="n"/>
      <c r="Y134" s="158" t="n"/>
      <c r="Z134" s="158" t="n"/>
      <c r="AA134" s="136">
        <f>IF(H134="", "", IF(U134="Open Sale", IF(TODAY()-H134=0, "0 Days", TEXT(TODAY()-H134, "0") &amp; " Days"), IF(U134="Closed Sale", AA134, "")))</f>
        <v/>
      </c>
      <c r="AB134" s="136">
        <f>IF(H134="", "", IF(OR(U134="Pending", U134="Pending Allocation"), CONCATENATE(TODAY()-H134, " Days"), IF(U134="Closed", "", "")))</f>
        <v/>
      </c>
      <c r="AC134" s="160">
        <f>IF(U134="Pending Allocation", IF(I134="", "", TODAY()-I134), "")</f>
        <v/>
      </c>
      <c r="AD134" s="159">
        <f>IF(U134="Open Sale", TEXT(TODAY()-I134, "0"),
IF(U134="Pending", "",
IF(U134="Closed Sale", "", "")))</f>
        <v/>
      </c>
      <c r="AE134" s="161" t="n"/>
      <c r="AF134" s="161" t="n"/>
      <c r="AG134" s="161" t="n"/>
      <c r="AH134" s="136" t="n"/>
      <c r="AI134" s="164">
        <f>IF(I134="","",TEXT(I134, "mmmm yyyy"))</f>
        <v/>
      </c>
      <c r="AJ134" s="164">
        <f>IF(AND(OpenPendingCases[[#This Row],[Sale Status	]]="Open Sale",OpenPendingCases[[#This Row],[Potential Same Month]]="High"),TEXT(OpenPendingCases[[#This Row],[Request Entry Date]], "[$-en-us]mmmm"),"")</f>
        <v/>
      </c>
      <c r="AK134" s="165">
        <f>IFERROR(VALUE(SUBSTITUTE(OpenPendingCases[[#This Row],[Price]]," AED","")),"")</f>
        <v/>
      </c>
      <c r="AL134" s="165">
        <f>IFERROR(VALUE(LEFT(OpenPendingCases[[#This Row],[Price]],FIND(" ",OpenPendingCases[[#This Row],[Price]])-1)),"")</f>
        <v/>
      </c>
      <c r="AM134" s="165">
        <f>IFERROR(VALUE(_xlfn.TEXTBEFORE(OpenPendingCases[[#This Row],[Price]]," AED")),"")</f>
        <v/>
      </c>
      <c r="AN134" s="165" t="n"/>
    </row>
    <row r="135" hidden="1" ht="18" customHeight="1" s="287">
      <c r="C135" s="133" t="n"/>
      <c r="D135" s="136">
        <f>IF($U135="Open Sale", IF(MAX($D$4:D134)+1=0, "", MAX($D$4:D134)+1), "")</f>
        <v/>
      </c>
      <c r="E135" s="136">
        <f>IF($U135="Pending Allocation", IF(MAX($E$4:E134)+1=0, "", MAX($E$4:E134)+1), "")</f>
        <v/>
      </c>
      <c r="F135" s="136" t="n"/>
      <c r="G135" s="136" t="n"/>
      <c r="H135" s="150" t="n"/>
      <c r="I135" s="150" t="n"/>
      <c r="J135" s="67">
        <f>IF(OpenPendingCases[[#This Row],[Timepiece Reference ]]="", "", IF(_xlfn.XLOOKUP(OpenPendingCases[[#This Row],[Timepiece Reference ]], Table1[[Timepiece Reference ]], Table1[CRC STOCK], "Not Found")="YES", "CRC Stock", "Boutique Stock"))</f>
        <v/>
      </c>
      <c r="K135" s="136">
        <f>IF(OpenPendingCases[[#This Row],[Timepiece Reference ]]="", "", IF(_xlfn.XLOOKUP(OpenPendingCases[[#This Row],[Timepiece Reference ]], Table1[[Timepiece Reference ]], Table1[CRC STOCK], "Not Found")="YES", "CRC Stock", "Boutique Stock"))</f>
        <v/>
      </c>
      <c r="L135" s="139" t="n"/>
      <c r="M135" s="140" t="n"/>
      <c r="N135" s="136" t="n"/>
      <c r="O135" s="133" t="n"/>
      <c r="P135" s="93">
        <f>IFERROR(VLOOKUP(TRIM(O135), Collection!$B$2:$D$1001, 2, FALSE), "")</f>
        <v/>
      </c>
      <c r="Q135" s="190">
        <f>IFERROR(VLOOKUP(TRIM(O135), Collection!$B$2:$D$1001, 3, FALSE), "")</f>
        <v/>
      </c>
      <c r="R135" s="153">
        <f>IFERROR(VALUE(SUBSTITUTE(SUBSTITUTE(Q135, "Price", ""), "AED", "")), "")</f>
        <v/>
      </c>
      <c r="S135" s="151" t="n"/>
      <c r="T135" s="158" t="n"/>
      <c r="U135" s="136" t="n"/>
      <c r="V135" s="136" t="n"/>
      <c r="W135" s="156">
        <f>IF(Z135 = "",
"",
TEXT(Z135, "mmmm"))</f>
        <v/>
      </c>
      <c r="X135" s="157" t="n"/>
      <c r="Y135" s="158" t="n"/>
      <c r="Z135" s="158" t="n"/>
      <c r="AA135" s="136">
        <f>IF(H135="", "", IF(U135="Open Sale", IF(TODAY()-H135=0, "0 Days", TEXT(TODAY()-H135, "0") &amp; " Days"), IF(U135="Closed Sale", AA135, "")))</f>
        <v/>
      </c>
      <c r="AB135" s="136">
        <f>IF(H135="", "", IF(OR(U135="Pending", U135="Pending Allocation"), CONCATENATE(TODAY()-H135, " Days"), IF(U135="Closed", "", "")))</f>
        <v/>
      </c>
      <c r="AC135" s="160">
        <f>IF(U135="Pending Allocation", IF(I135="", "", TODAY()-I135), "")</f>
        <v/>
      </c>
      <c r="AD135" s="159">
        <f>IF(U135="Open Sale", TEXT(TODAY()-I135, "0"),
IF(U135="Pending", "",
IF(U135="Closed Sale", "", "")))</f>
        <v/>
      </c>
      <c r="AE135" s="161" t="n"/>
      <c r="AF135" s="161" t="n"/>
      <c r="AG135" s="161" t="n"/>
      <c r="AH135" s="136" t="n"/>
      <c r="AI135" s="164">
        <f>IF(I135="","",TEXT(I135, "mmmm yyyy"))</f>
        <v/>
      </c>
      <c r="AJ135" s="164">
        <f>IF(AND(OpenPendingCases[[#This Row],[Sale Status	]]="Open Sale",OpenPendingCases[[#This Row],[Potential Same Month]]="High"),TEXT(OpenPendingCases[[#This Row],[Request Entry Date]], "[$-en-us]mmmm"),"")</f>
        <v/>
      </c>
      <c r="AK135" s="165">
        <f>IFERROR(VALUE(SUBSTITUTE(OpenPendingCases[[#This Row],[Price]]," AED","")),"")</f>
        <v/>
      </c>
      <c r="AL135" s="165">
        <f>IFERROR(VALUE(LEFT(OpenPendingCases[[#This Row],[Price]],FIND(" ",OpenPendingCases[[#This Row],[Price]])-1)),"")</f>
        <v/>
      </c>
      <c r="AM135" s="165">
        <f>IFERROR(VALUE(_xlfn.TEXTBEFORE(OpenPendingCases[[#This Row],[Price]]," AED")),"")</f>
        <v/>
      </c>
      <c r="AN135" s="165" t="n"/>
    </row>
    <row r="136" hidden="1" ht="18" customHeight="1" s="287">
      <c r="C136" s="133" t="n"/>
      <c r="D136" s="136">
        <f>IF($U136="Open Sale", IF(MAX($D$4:D135)+1=0, "", MAX($D$4:D135)+1), "")</f>
        <v/>
      </c>
      <c r="E136" s="136">
        <f>IF($U136="Pending Allocation", IF(MAX($E$4:E135)+1=0, "", MAX($E$4:E135)+1), "")</f>
        <v/>
      </c>
      <c r="F136" s="136" t="n"/>
      <c r="G136" s="136" t="n"/>
      <c r="H136" s="150" t="n"/>
      <c r="I136" s="150" t="n"/>
      <c r="J136" s="67">
        <f>IF(OpenPendingCases[[#This Row],[Timepiece Reference ]]="", "", IF(_xlfn.XLOOKUP(OpenPendingCases[[#This Row],[Timepiece Reference ]], Table1[[Timepiece Reference ]], Table1[CRC STOCK], "Not Found")="YES", "CRC Stock", "Boutique Stock"))</f>
        <v/>
      </c>
      <c r="K136" s="136">
        <f>IF(OpenPendingCases[[#This Row],[Timepiece Reference ]]="", "", IF(_xlfn.XLOOKUP(OpenPendingCases[[#This Row],[Timepiece Reference ]], Table1[[Timepiece Reference ]], Table1[CRC STOCK], "Not Found")="YES", "CRC Stock", "Boutique Stock"))</f>
        <v/>
      </c>
      <c r="L136" s="139" t="n"/>
      <c r="M136" s="140" t="n"/>
      <c r="N136" s="136" t="n"/>
      <c r="O136" s="133" t="n"/>
      <c r="P136" s="93">
        <f>IFERROR(VLOOKUP(TRIM(O136), Collection!$B$2:$D$1001, 2, FALSE), "")</f>
        <v/>
      </c>
      <c r="Q136" s="190">
        <f>IFERROR(VLOOKUP(TRIM(O136), Collection!$B$2:$D$1001, 3, FALSE), "")</f>
        <v/>
      </c>
      <c r="R136" s="153">
        <f>IFERROR(VALUE(SUBSTITUTE(SUBSTITUTE(Q136, "Price", ""), "AED", "")), "")</f>
        <v/>
      </c>
      <c r="S136" s="151" t="n"/>
      <c r="T136" s="158" t="n"/>
      <c r="U136" s="136" t="n"/>
      <c r="V136" s="136" t="n"/>
      <c r="W136" s="156">
        <f>IF(Z136 = "",
"",
TEXT(Z136, "mmmm"))</f>
        <v/>
      </c>
      <c r="X136" s="157" t="n"/>
      <c r="Y136" s="158" t="n"/>
      <c r="Z136" s="158" t="n"/>
      <c r="AA136" s="136">
        <f>IF(H136="", "", IF(U136="Open Sale", IF(TODAY()-H136=0, "0 Days", TEXT(TODAY()-H136, "0") &amp; " Days"), IF(U136="Closed Sale", AA136, "")))</f>
        <v/>
      </c>
      <c r="AB136" s="136">
        <f>IF(H136="", "", IF(OR(U136="Pending", U136="Pending Allocation"), CONCATENATE(TODAY()-H136, " Days"), IF(U136="Closed", "", "")))</f>
        <v/>
      </c>
      <c r="AC136" s="160">
        <f>IF(U136="Pending Allocation", IF(I136="", "", TODAY()-I136), "")</f>
        <v/>
      </c>
      <c r="AD136" s="159">
        <f>IF(U136="Open Sale", TEXT(TODAY()-I136, "0"),
IF(U136="Pending", "",
IF(U136="Closed Sale", "", "")))</f>
        <v/>
      </c>
      <c r="AE136" s="161" t="n"/>
      <c r="AF136" s="161" t="n"/>
      <c r="AG136" s="161" t="n"/>
      <c r="AH136" s="136" t="n"/>
      <c r="AI136" s="164">
        <f>IF(I136="","",TEXT(I136, "mmmm yyyy"))</f>
        <v/>
      </c>
      <c r="AJ136" s="164">
        <f>IF(AND(OpenPendingCases[[#This Row],[Sale Status	]]="Open Sale",OpenPendingCases[[#This Row],[Potential Same Month]]="High"),TEXT(OpenPendingCases[[#This Row],[Request Entry Date]], "[$-en-us]mmmm"),"")</f>
        <v/>
      </c>
      <c r="AK136" s="165">
        <f>IFERROR(VALUE(SUBSTITUTE(OpenPendingCases[[#This Row],[Price]]," AED","")),"")</f>
        <v/>
      </c>
      <c r="AL136" s="165">
        <f>IFERROR(VALUE(LEFT(OpenPendingCases[[#This Row],[Price]],FIND(" ",OpenPendingCases[[#This Row],[Price]])-1)),"")</f>
        <v/>
      </c>
      <c r="AM136" s="165">
        <f>IFERROR(VALUE(_xlfn.TEXTBEFORE(OpenPendingCases[[#This Row],[Price]]," AED")),"")</f>
        <v/>
      </c>
      <c r="AN136" s="165" t="n"/>
    </row>
    <row r="137" hidden="1" ht="18" customHeight="1" s="287">
      <c r="C137" s="133" t="n"/>
      <c r="D137" s="136">
        <f>IF($U137="Open Sale", IF(MAX($D$4:D136)+1=0, "", MAX($D$4:D136)+1), "")</f>
        <v/>
      </c>
      <c r="E137" s="136">
        <f>IF($U137="Pending Allocation", IF(MAX($E$4:E136)+1=0, "", MAX($E$4:E136)+1), "")</f>
        <v/>
      </c>
      <c r="F137" s="136" t="n"/>
      <c r="G137" s="136" t="n"/>
      <c r="H137" s="150" t="n"/>
      <c r="I137" s="150" t="n"/>
      <c r="J137" s="67">
        <f>IF(OpenPendingCases[[#This Row],[Timepiece Reference ]]="", "", IF(_xlfn.XLOOKUP(OpenPendingCases[[#This Row],[Timepiece Reference ]], Table1[[Timepiece Reference ]], Table1[CRC STOCK], "Not Found")="YES", "CRC Stock", "Boutique Stock"))</f>
        <v/>
      </c>
      <c r="K137" s="136">
        <f>IF(OpenPendingCases[[#This Row],[Timepiece Reference ]]="", "", IF(_xlfn.XLOOKUP(OpenPendingCases[[#This Row],[Timepiece Reference ]], Table1[[Timepiece Reference ]], Table1[CRC STOCK], "Not Found")="YES", "CRC Stock", "Boutique Stock"))</f>
        <v/>
      </c>
      <c r="L137" s="139" t="n"/>
      <c r="M137" s="140" t="n"/>
      <c r="N137" s="136" t="n"/>
      <c r="O137" s="133" t="n"/>
      <c r="P137" s="93">
        <f>IFERROR(VLOOKUP(TRIM(O137), Collection!$B$2:$D$1001, 2, FALSE), "")</f>
        <v/>
      </c>
      <c r="Q137" s="190">
        <f>IFERROR(VLOOKUP(TRIM(O137), Collection!$B$2:$D$1001, 3, FALSE), "")</f>
        <v/>
      </c>
      <c r="R137" s="153">
        <f>IFERROR(VALUE(SUBSTITUTE(SUBSTITUTE(Q137, "Price", ""), "AED", "")), "")</f>
        <v/>
      </c>
      <c r="S137" s="151" t="n"/>
      <c r="T137" s="158" t="n"/>
      <c r="U137" s="136" t="n"/>
      <c r="V137" s="136" t="n"/>
      <c r="W137" s="156">
        <f>IF(Z137 = "",
"",
TEXT(Z137, "mmmm"))</f>
        <v/>
      </c>
      <c r="X137" s="157" t="n"/>
      <c r="Y137" s="158" t="n"/>
      <c r="Z137" s="158" t="n"/>
      <c r="AA137" s="136">
        <f>IF(H137="", "", IF(U137="Open Sale", IF(TODAY()-H137=0, "0 Days", TEXT(TODAY()-H137, "0") &amp; " Days"), IF(U137="Closed Sale", AA137, "")))</f>
        <v/>
      </c>
      <c r="AB137" s="136">
        <f>IF(H137="", "", IF(OR(U137="Pending", U137="Pending Allocation"), CONCATENATE(TODAY()-H137, " Days"), IF(U137="Closed", "", "")))</f>
        <v/>
      </c>
      <c r="AC137" s="160">
        <f>IF(U137="Pending Allocation", IF(I137="", "", TODAY()-I137), "")</f>
        <v/>
      </c>
      <c r="AD137" s="159">
        <f>IF(U137="Open Sale", TEXT(TODAY()-I137, "0"),
IF(U137="Pending", "",
IF(U137="Closed Sale", "", "")))</f>
        <v/>
      </c>
      <c r="AE137" s="161" t="n"/>
      <c r="AF137" s="161" t="n"/>
      <c r="AG137" s="161" t="n"/>
      <c r="AH137" s="136" t="n"/>
      <c r="AI137" s="164">
        <f>IF(I137="","",TEXT(I137, "mmmm yyyy"))</f>
        <v/>
      </c>
      <c r="AJ137" s="164">
        <f>IF(AND(OpenPendingCases[[#This Row],[Sale Status	]]="Open Sale",OpenPendingCases[[#This Row],[Potential Same Month]]="High"),TEXT(OpenPendingCases[[#This Row],[Request Entry Date]], "[$-en-us]mmmm"),"")</f>
        <v/>
      </c>
      <c r="AK137" s="165">
        <f>IFERROR(VALUE(SUBSTITUTE(OpenPendingCases[[#This Row],[Price]]," AED","")),"")</f>
        <v/>
      </c>
      <c r="AL137" s="165">
        <f>IFERROR(VALUE(LEFT(OpenPendingCases[[#This Row],[Price]],FIND(" ",OpenPendingCases[[#This Row],[Price]])-1)),"")</f>
        <v/>
      </c>
      <c r="AM137" s="165">
        <f>IFERROR(VALUE(_xlfn.TEXTBEFORE(OpenPendingCases[[#This Row],[Price]]," AED")),"")</f>
        <v/>
      </c>
      <c r="AN137" s="165" t="n"/>
    </row>
    <row r="138" hidden="1" ht="18" customHeight="1" s="287">
      <c r="C138" s="133" t="n"/>
      <c r="D138" s="136">
        <f>IF($U138="Open Sale", IF(MAX($D$4:D137)+1=0, "", MAX($D$4:D137)+1), "")</f>
        <v/>
      </c>
      <c r="E138" s="136">
        <f>IF($U138="Pending Allocation", IF(MAX($E$4:E137)+1=0, "", MAX($E$4:E137)+1), "")</f>
        <v/>
      </c>
      <c r="F138" s="136" t="n"/>
      <c r="G138" s="136" t="n"/>
      <c r="H138" s="150" t="n"/>
      <c r="I138" s="150" t="n"/>
      <c r="J138" s="67">
        <f>IF(OpenPendingCases[[#This Row],[Timepiece Reference ]]="", "", IF(_xlfn.XLOOKUP(OpenPendingCases[[#This Row],[Timepiece Reference ]], Table1[[Timepiece Reference ]], Table1[CRC STOCK], "Not Found")="YES", "CRC Stock", "Boutique Stock"))</f>
        <v/>
      </c>
      <c r="K138" s="136">
        <f>IF(OpenPendingCases[[#This Row],[Timepiece Reference ]]="", "", IF(_xlfn.XLOOKUP(OpenPendingCases[[#This Row],[Timepiece Reference ]], Table1[[Timepiece Reference ]], Table1[CRC STOCK], "Not Found")="YES", "CRC Stock", "Boutique Stock"))</f>
        <v/>
      </c>
      <c r="L138" s="139" t="n"/>
      <c r="M138" s="140" t="n"/>
      <c r="N138" s="136" t="n"/>
      <c r="O138" s="133" t="n"/>
      <c r="P138" s="93">
        <f>IFERROR(VLOOKUP(TRIM(O138), Collection!$B$2:$D$1001, 2, FALSE), "")</f>
        <v/>
      </c>
      <c r="Q138" s="190">
        <f>IFERROR(VLOOKUP(TRIM(O138), Collection!$B$2:$D$1001, 3, FALSE), "")</f>
        <v/>
      </c>
      <c r="R138" s="153">
        <f>IFERROR(VALUE(SUBSTITUTE(SUBSTITUTE(Q138, "Price", ""), "AED", "")), "")</f>
        <v/>
      </c>
      <c r="S138" s="151" t="n"/>
      <c r="T138" s="158" t="n"/>
      <c r="U138" s="136" t="n"/>
      <c r="V138" s="136" t="n"/>
      <c r="W138" s="156">
        <f>IF(Z138 = "",
"",
TEXT(Z138, "mmmm"))</f>
        <v/>
      </c>
      <c r="X138" s="157" t="n"/>
      <c r="Y138" s="158" t="n"/>
      <c r="Z138" s="158" t="n"/>
      <c r="AA138" s="136">
        <f>IF(H138="", "", IF(U138="Open Sale", IF(TODAY()-H138=0, "0 Days", TEXT(TODAY()-H138, "0") &amp; " Days"), IF(U138="Closed Sale", AA138, "")))</f>
        <v/>
      </c>
      <c r="AB138" s="136">
        <f>IF(H138="", "", IF(OR(U138="Pending", U138="Pending Allocation"), CONCATENATE(TODAY()-H138, " Days"), IF(U138="Closed", "", "")))</f>
        <v/>
      </c>
      <c r="AC138" s="160">
        <f>IF(U138="Pending Allocation", IF(I138="", "", TODAY()-I138), "")</f>
        <v/>
      </c>
      <c r="AD138" s="159">
        <f>IF(U138="Open Sale", TEXT(TODAY()-I138, "0"),
IF(U138="Pending", "",
IF(U138="Closed Sale", "", "")))</f>
        <v/>
      </c>
      <c r="AE138" s="161" t="n"/>
      <c r="AF138" s="161" t="n"/>
      <c r="AG138" s="161" t="n"/>
      <c r="AH138" s="136" t="n"/>
      <c r="AI138" s="164">
        <f>IF(I138="","",TEXT(I138, "mmmm yyyy"))</f>
        <v/>
      </c>
      <c r="AJ138" s="164">
        <f>IF(AND(OpenPendingCases[[#This Row],[Sale Status	]]="Open Sale",OpenPendingCases[[#This Row],[Potential Same Month]]="High"),TEXT(OpenPendingCases[[#This Row],[Request Entry Date]], "[$-en-us]mmmm"),"")</f>
        <v/>
      </c>
      <c r="AK138" s="165">
        <f>IFERROR(VALUE(SUBSTITUTE(OpenPendingCases[[#This Row],[Price]]," AED","")),"")</f>
        <v/>
      </c>
      <c r="AL138" s="165">
        <f>IFERROR(VALUE(LEFT(OpenPendingCases[[#This Row],[Price]],FIND(" ",OpenPendingCases[[#This Row],[Price]])-1)),"")</f>
        <v/>
      </c>
      <c r="AM138" s="165">
        <f>IFERROR(VALUE(_xlfn.TEXTBEFORE(OpenPendingCases[[#This Row],[Price]]," AED")),"")</f>
        <v/>
      </c>
      <c r="AN138" s="165" t="n"/>
    </row>
    <row r="139" hidden="1" ht="18" customHeight="1" s="287">
      <c r="C139" s="133" t="n"/>
      <c r="D139" s="136">
        <f>IF($U139="Open Sale", IF(MAX($D$4:D138)+1=0, "", MAX($D$4:D138)+1), "")</f>
        <v/>
      </c>
      <c r="E139" s="136">
        <f>IF($U139="Pending Allocation", IF(MAX($E$4:E138)+1=0, "", MAX($E$4:E138)+1), "")</f>
        <v/>
      </c>
      <c r="F139" s="136" t="n"/>
      <c r="G139" s="136" t="n"/>
      <c r="H139" s="150" t="n"/>
      <c r="I139" s="150" t="n"/>
      <c r="J139" s="67">
        <f>IF(OpenPendingCases[[#This Row],[Timepiece Reference ]]="", "", IF(_xlfn.XLOOKUP(OpenPendingCases[[#This Row],[Timepiece Reference ]], Table1[[Timepiece Reference ]], Table1[CRC STOCK], "Not Found")="YES", "CRC Stock", "Boutique Stock"))</f>
        <v/>
      </c>
      <c r="K139" s="136">
        <f>IF(OpenPendingCases[[#This Row],[Timepiece Reference ]]="", "", IF(_xlfn.XLOOKUP(OpenPendingCases[[#This Row],[Timepiece Reference ]], Table1[[Timepiece Reference ]], Table1[CRC STOCK], "Not Found")="YES", "CRC Stock", "Boutique Stock"))</f>
        <v/>
      </c>
      <c r="L139" s="139" t="n"/>
      <c r="M139" s="140" t="n"/>
      <c r="N139" s="136" t="n"/>
      <c r="O139" s="133" t="n"/>
      <c r="P139" s="93">
        <f>IFERROR(VLOOKUP(TRIM(O139), Collection!$B$2:$D$1001, 2, FALSE), "")</f>
        <v/>
      </c>
      <c r="Q139" s="190">
        <f>IFERROR(VLOOKUP(TRIM(O139), Collection!$B$2:$D$1001, 3, FALSE), "")</f>
        <v/>
      </c>
      <c r="R139" s="153">
        <f>IFERROR(VALUE(SUBSTITUTE(SUBSTITUTE(Q139, "Price", ""), "AED", "")), "")</f>
        <v/>
      </c>
      <c r="S139" s="151" t="n"/>
      <c r="T139" s="158" t="n"/>
      <c r="U139" s="136" t="n"/>
      <c r="V139" s="136" t="n"/>
      <c r="W139" s="156">
        <f>IF(Z139 = "",
"",
TEXT(Z139, "mmmm"))</f>
        <v/>
      </c>
      <c r="X139" s="157" t="n"/>
      <c r="Y139" s="158" t="n"/>
      <c r="Z139" s="158" t="n"/>
      <c r="AA139" s="136">
        <f>IF(H139="", "", IF(U139="Open Sale", IF(TODAY()-H139=0, "0 Days", TEXT(TODAY()-H139, "0") &amp; " Days"), IF(U139="Closed Sale", AA139, "")))</f>
        <v/>
      </c>
      <c r="AB139" s="136">
        <f>IF(H139="", "", IF(OR(U139="Pending", U139="Pending Allocation"), CONCATENATE(TODAY()-H139, " Days"), IF(U139="Closed", "", "")))</f>
        <v/>
      </c>
      <c r="AC139" s="160">
        <f>IF(U139="Pending Allocation", IF(I139="", "", TODAY()-I139), "")</f>
        <v/>
      </c>
      <c r="AD139" s="159">
        <f>IF(U139="Open Sale", TEXT(TODAY()-I139, "0"),
IF(U139="Pending", "",
IF(U139="Closed Sale", "", "")))</f>
        <v/>
      </c>
      <c r="AE139" s="161" t="n"/>
      <c r="AF139" s="161" t="n"/>
      <c r="AG139" s="161" t="n"/>
      <c r="AH139" s="136" t="n"/>
      <c r="AI139" s="164">
        <f>IF(I139="","",TEXT(I139, "mmmm yyyy"))</f>
        <v/>
      </c>
      <c r="AJ139" s="164">
        <f>IF(AND(OpenPendingCases[[#This Row],[Sale Status	]]="Open Sale",OpenPendingCases[[#This Row],[Potential Same Month]]="High"),TEXT(OpenPendingCases[[#This Row],[Request Entry Date]], "[$-en-us]mmmm"),"")</f>
        <v/>
      </c>
      <c r="AK139" s="165">
        <f>IFERROR(VALUE(SUBSTITUTE(OpenPendingCases[[#This Row],[Price]]," AED","")),"")</f>
        <v/>
      </c>
      <c r="AL139" s="165">
        <f>IFERROR(VALUE(LEFT(OpenPendingCases[[#This Row],[Price]],FIND(" ",OpenPendingCases[[#This Row],[Price]])-1)),"")</f>
        <v/>
      </c>
      <c r="AM139" s="165">
        <f>IFERROR(VALUE(_xlfn.TEXTBEFORE(OpenPendingCases[[#This Row],[Price]]," AED")),"")</f>
        <v/>
      </c>
      <c r="AN139" s="165" t="n"/>
    </row>
    <row r="140" hidden="1" ht="18" customHeight="1" s="287">
      <c r="C140" s="133" t="n"/>
      <c r="D140" s="136">
        <f>IF($U140="Open Sale", IF(MAX($D$4:D139)+1=0, "", MAX($D$4:D139)+1), "")</f>
        <v/>
      </c>
      <c r="E140" s="136">
        <f>IF($U140="Pending Allocation", IF(MAX($E$4:E139)+1=0, "", MAX($E$4:E139)+1), "")</f>
        <v/>
      </c>
      <c r="F140" s="136" t="n"/>
      <c r="G140" s="136" t="n"/>
      <c r="H140" s="150" t="n"/>
      <c r="I140" s="150" t="n"/>
      <c r="J140" s="67">
        <f>IF(OpenPendingCases[[#This Row],[Timepiece Reference ]]="", "", IF(_xlfn.XLOOKUP(OpenPendingCases[[#This Row],[Timepiece Reference ]], Table1[[Timepiece Reference ]], Table1[CRC STOCK], "Not Found")="YES", "CRC Stock", "Boutique Stock"))</f>
        <v/>
      </c>
      <c r="K140" s="136">
        <f>IF(OpenPendingCases[[#This Row],[Timepiece Reference ]]="", "", IF(_xlfn.XLOOKUP(OpenPendingCases[[#This Row],[Timepiece Reference ]], Table1[[Timepiece Reference ]], Table1[CRC STOCK], "Not Found")="YES", "CRC Stock", "Boutique Stock"))</f>
        <v/>
      </c>
      <c r="L140" s="139" t="n"/>
      <c r="M140" s="140" t="n"/>
      <c r="N140" s="136" t="n"/>
      <c r="O140" s="133" t="n"/>
      <c r="P140" s="93">
        <f>IFERROR(VLOOKUP(TRIM(O140), Collection!$B$2:$D$1001, 2, FALSE), "")</f>
        <v/>
      </c>
      <c r="Q140" s="190">
        <f>IFERROR(VLOOKUP(TRIM(O140), Collection!$B$2:$D$1001, 3, FALSE), "")</f>
        <v/>
      </c>
      <c r="R140" s="153">
        <f>IFERROR(VALUE(SUBSTITUTE(SUBSTITUTE(Q140, "Price", ""), "AED", "")), "")</f>
        <v/>
      </c>
      <c r="S140" s="151" t="n"/>
      <c r="T140" s="158" t="n"/>
      <c r="U140" s="136" t="n"/>
      <c r="V140" s="136" t="n"/>
      <c r="W140" s="156">
        <f>IF(Z140 = "",
"",
TEXT(Z140, "mmmm"))</f>
        <v/>
      </c>
      <c r="X140" s="157" t="n"/>
      <c r="Y140" s="158" t="n"/>
      <c r="Z140" s="158" t="n"/>
      <c r="AA140" s="136">
        <f>IF(H140="", "", IF(U140="Open Sale", IF(TODAY()-H140=0, "0 Days", TEXT(TODAY()-H140, "0") &amp; " Days"), IF(U140="Closed Sale", AA140, "")))</f>
        <v/>
      </c>
      <c r="AB140" s="136">
        <f>IF(H140="", "", IF(OR(U140="Pending", U140="Pending Allocation"), CONCATENATE(TODAY()-H140, " Days"), IF(U140="Closed", "", "")))</f>
        <v/>
      </c>
      <c r="AC140" s="160">
        <f>IF(U140="Pending Allocation", IF(I140="", "", TODAY()-I140), "")</f>
        <v/>
      </c>
      <c r="AD140" s="159">
        <f>IF(U140="Open Sale", TEXT(TODAY()-I140, "0"),
IF(U140="Pending", "",
IF(U140="Closed Sale", "", "")))</f>
        <v/>
      </c>
      <c r="AE140" s="161" t="n"/>
      <c r="AF140" s="161" t="n"/>
      <c r="AG140" s="161" t="n"/>
      <c r="AH140" s="136" t="n"/>
      <c r="AI140" s="164">
        <f>IF(I140="","",TEXT(I140, "mmmm yyyy"))</f>
        <v/>
      </c>
      <c r="AJ140" s="164">
        <f>IF(AND(OpenPendingCases[[#This Row],[Sale Status	]]="Open Sale",OpenPendingCases[[#This Row],[Potential Same Month]]="High"),TEXT(OpenPendingCases[[#This Row],[Request Entry Date]], "[$-en-us]mmmm"),"")</f>
        <v/>
      </c>
      <c r="AK140" s="165">
        <f>IFERROR(VALUE(SUBSTITUTE(OpenPendingCases[[#This Row],[Price]]," AED","")),"")</f>
        <v/>
      </c>
      <c r="AL140" s="165">
        <f>IFERROR(VALUE(LEFT(OpenPendingCases[[#This Row],[Price]],FIND(" ",OpenPendingCases[[#This Row],[Price]])-1)),"")</f>
        <v/>
      </c>
      <c r="AM140" s="165">
        <f>IFERROR(VALUE(_xlfn.TEXTBEFORE(OpenPendingCases[[#This Row],[Price]]," AED")),"")</f>
        <v/>
      </c>
      <c r="AN140" s="165" t="n"/>
    </row>
    <row r="141" hidden="1" ht="18" customHeight="1" s="287">
      <c r="C141" s="133" t="n"/>
      <c r="D141" s="136">
        <f>IF($U141="Open Sale", IF(MAX($D$4:D140)+1=0, "", MAX($D$4:D140)+1), "")</f>
        <v/>
      </c>
      <c r="E141" s="136">
        <f>IF($U141="Pending Allocation", IF(MAX($E$4:E140)+1=0, "", MAX($E$4:E140)+1), "")</f>
        <v/>
      </c>
      <c r="F141" s="136" t="n"/>
      <c r="G141" s="136" t="n"/>
      <c r="H141" s="150" t="n"/>
      <c r="I141" s="150" t="n"/>
      <c r="J141" s="67">
        <f>IF(OpenPendingCases[[#This Row],[Timepiece Reference ]]="", "", IF(_xlfn.XLOOKUP(OpenPendingCases[[#This Row],[Timepiece Reference ]], Table1[[Timepiece Reference ]], Table1[CRC STOCK], "Not Found")="YES", "CRC Stock", "Boutique Stock"))</f>
        <v/>
      </c>
      <c r="K141" s="136">
        <f>IF(OpenPendingCases[[#This Row],[Timepiece Reference ]]="", "", IF(_xlfn.XLOOKUP(OpenPendingCases[[#This Row],[Timepiece Reference ]], Table1[[Timepiece Reference ]], Table1[CRC STOCK], "Not Found")="YES", "CRC Stock", "Boutique Stock"))</f>
        <v/>
      </c>
      <c r="L141" s="139" t="n"/>
      <c r="M141" s="140" t="n"/>
      <c r="N141" s="136" t="n"/>
      <c r="O141" s="133" t="n"/>
      <c r="P141" s="93">
        <f>IFERROR(VLOOKUP(TRIM(O141), Collection!$B$2:$D$1001, 2, FALSE), "")</f>
        <v/>
      </c>
      <c r="Q141" s="190">
        <f>IFERROR(VLOOKUP(TRIM(O141), Collection!$B$2:$D$1001, 3, FALSE), "")</f>
        <v/>
      </c>
      <c r="R141" s="153">
        <f>IFERROR(VALUE(SUBSTITUTE(SUBSTITUTE(Q141, "Price", ""), "AED", "")), "")</f>
        <v/>
      </c>
      <c r="S141" s="151" t="n"/>
      <c r="T141" s="158" t="n"/>
      <c r="U141" s="136" t="n"/>
      <c r="V141" s="136" t="n"/>
      <c r="W141" s="156">
        <f>IF(Z141 = "",
"",
TEXT(Z141, "mmmm"))</f>
        <v/>
      </c>
      <c r="X141" s="157" t="n"/>
      <c r="Y141" s="158" t="n"/>
      <c r="Z141" s="158" t="n"/>
      <c r="AA141" s="136">
        <f>IF(H141="", "", IF(U141="Open Sale", IF(TODAY()-H141=0, "0 Days", TEXT(TODAY()-H141, "0") &amp; " Days"), IF(U141="Closed Sale", AA141, "")))</f>
        <v/>
      </c>
      <c r="AB141" s="136">
        <f>IF(H141="", "", IF(OR(U141="Pending", U141="Pending Allocation"), CONCATENATE(TODAY()-H141, " Days"), IF(U141="Closed", "", "")))</f>
        <v/>
      </c>
      <c r="AC141" s="160">
        <f>IF(U141="Pending Allocation", IF(I141="", "", TODAY()-I141), "")</f>
        <v/>
      </c>
      <c r="AD141" s="159">
        <f>IF(U141="Open Sale", TEXT(TODAY()-I141, "0"),
IF(U141="Pending", "",
IF(U141="Closed Sale", "", "")))</f>
        <v/>
      </c>
      <c r="AE141" s="161" t="n"/>
      <c r="AF141" s="161" t="n"/>
      <c r="AG141" s="161" t="n"/>
      <c r="AH141" s="136" t="n"/>
      <c r="AI141" s="164">
        <f>IF(I141="","",TEXT(I141, "mmmm yyyy"))</f>
        <v/>
      </c>
      <c r="AJ141" s="164">
        <f>IF(AND(OpenPendingCases[[#This Row],[Sale Status	]]="Open Sale",OpenPendingCases[[#This Row],[Potential Same Month]]="High"),TEXT(OpenPendingCases[[#This Row],[Request Entry Date]], "[$-en-us]mmmm"),"")</f>
        <v/>
      </c>
      <c r="AK141" s="165">
        <f>IFERROR(VALUE(SUBSTITUTE(OpenPendingCases[[#This Row],[Price]]," AED","")),"")</f>
        <v/>
      </c>
      <c r="AL141" s="165">
        <f>IFERROR(VALUE(LEFT(OpenPendingCases[[#This Row],[Price]],FIND(" ",OpenPendingCases[[#This Row],[Price]])-1)),"")</f>
        <v/>
      </c>
      <c r="AM141" s="165">
        <f>IFERROR(VALUE(_xlfn.TEXTBEFORE(OpenPendingCases[[#This Row],[Price]]," AED")),"")</f>
        <v/>
      </c>
      <c r="AN141" s="165" t="n"/>
    </row>
    <row r="142" hidden="1" ht="18" customHeight="1" s="287">
      <c r="C142" s="133" t="n"/>
      <c r="D142" s="136">
        <f>IF($U142="Open Sale", IF(MAX($D$4:D141)+1=0, "", MAX($D$4:D141)+1), "")</f>
        <v/>
      </c>
      <c r="E142" s="136">
        <f>IF($U142="Pending Allocation", IF(MAX($E$4:E141)+1=0, "", MAX($E$4:E141)+1), "")</f>
        <v/>
      </c>
      <c r="F142" s="136" t="n"/>
      <c r="G142" s="136" t="n"/>
      <c r="H142" s="150" t="n"/>
      <c r="I142" s="150" t="n"/>
      <c r="J142" s="67">
        <f>IF(OpenPendingCases[[#This Row],[Timepiece Reference ]]="", "", IF(_xlfn.XLOOKUP(OpenPendingCases[[#This Row],[Timepiece Reference ]], Table1[[Timepiece Reference ]], Table1[CRC STOCK], "Not Found")="YES", "CRC Stock", "Boutique Stock"))</f>
        <v/>
      </c>
      <c r="K142" s="136">
        <f>IF(OpenPendingCases[[#This Row],[Timepiece Reference ]]="", "", IF(_xlfn.XLOOKUP(OpenPendingCases[[#This Row],[Timepiece Reference ]], Table1[[Timepiece Reference ]], Table1[CRC STOCK], "Not Found")="YES", "CRC Stock", "Boutique Stock"))</f>
        <v/>
      </c>
      <c r="L142" s="139" t="n"/>
      <c r="M142" s="140" t="n"/>
      <c r="N142" s="136" t="n"/>
      <c r="O142" s="133" t="n"/>
      <c r="P142" s="93">
        <f>IFERROR(VLOOKUP(TRIM(O142), Collection!$B$2:$D$1001, 2, FALSE), "")</f>
        <v/>
      </c>
      <c r="Q142" s="190">
        <f>IFERROR(VLOOKUP(TRIM(O142), Collection!$B$2:$D$1001, 3, FALSE), "")</f>
        <v/>
      </c>
      <c r="R142" s="153">
        <f>IFERROR(VALUE(SUBSTITUTE(SUBSTITUTE(Q142, "Price", ""), "AED", "")), "")</f>
        <v/>
      </c>
      <c r="S142" s="151" t="n"/>
      <c r="T142" s="158" t="n"/>
      <c r="U142" s="136" t="n"/>
      <c r="V142" s="136" t="n"/>
      <c r="W142" s="156">
        <f>IF(Z142 = "",
"",
TEXT(Z142, "mmmm"))</f>
        <v/>
      </c>
      <c r="X142" s="157" t="n"/>
      <c r="Y142" s="158" t="n"/>
      <c r="Z142" s="158" t="n"/>
      <c r="AA142" s="136">
        <f>IF(H142="", "", IF(U142="Open Sale", IF(TODAY()-H142=0, "0 Days", TEXT(TODAY()-H142, "0") &amp; " Days"), IF(U142="Closed Sale", AA142, "")))</f>
        <v/>
      </c>
      <c r="AB142" s="136">
        <f>IF(H142="", "", IF(OR(U142="Pending", U142="Pending Allocation"), CONCATENATE(TODAY()-H142, " Days"), IF(U142="Closed", "", "")))</f>
        <v/>
      </c>
      <c r="AC142" s="160">
        <f>IF(U142="Pending Allocation", IF(I142="", "", TODAY()-I142), "")</f>
        <v/>
      </c>
      <c r="AD142" s="159">
        <f>IF(U142="Open Sale", TEXT(TODAY()-I142, "0"),
IF(U142="Pending", "",
IF(U142="Closed Sale", "", "")))</f>
        <v/>
      </c>
      <c r="AE142" s="161" t="n"/>
      <c r="AF142" s="161" t="n"/>
      <c r="AG142" s="161" t="n"/>
      <c r="AH142" s="136" t="n"/>
      <c r="AI142" s="164">
        <f>IF(I142="","",TEXT(I142, "mmmm yyyy"))</f>
        <v/>
      </c>
      <c r="AJ142" s="164">
        <f>IF(AND(OpenPendingCases[[#This Row],[Sale Status	]]="Open Sale",OpenPendingCases[[#This Row],[Potential Same Month]]="High"),TEXT(OpenPendingCases[[#This Row],[Request Entry Date]], "[$-en-us]mmmm"),"")</f>
        <v/>
      </c>
      <c r="AK142" s="165">
        <f>IFERROR(VALUE(SUBSTITUTE(OpenPendingCases[[#This Row],[Price]]," AED","")),"")</f>
        <v/>
      </c>
      <c r="AL142" s="165">
        <f>IFERROR(VALUE(LEFT(OpenPendingCases[[#This Row],[Price]],FIND(" ",OpenPendingCases[[#This Row],[Price]])-1)),"")</f>
        <v/>
      </c>
      <c r="AM142" s="165">
        <f>IFERROR(VALUE(_xlfn.TEXTBEFORE(OpenPendingCases[[#This Row],[Price]]," AED")),"")</f>
        <v/>
      </c>
      <c r="AN142" s="165" t="n"/>
    </row>
    <row r="143" hidden="1" ht="18" customHeight="1" s="287">
      <c r="C143" s="133" t="n"/>
      <c r="D143" s="136">
        <f>IF($U143="Open Sale", IF(MAX($D$4:D142)+1=0, "", MAX($D$4:D142)+1), "")</f>
        <v/>
      </c>
      <c r="E143" s="136">
        <f>IF($U143="Pending Allocation", IF(MAX($E$4:E142)+1=0, "", MAX($E$4:E142)+1), "")</f>
        <v/>
      </c>
      <c r="F143" s="136" t="n"/>
      <c r="G143" s="136" t="n"/>
      <c r="H143" s="150" t="n"/>
      <c r="I143" s="150" t="n"/>
      <c r="J143" s="67">
        <f>IF(OpenPendingCases[[#This Row],[Timepiece Reference ]]="", "", IF(_xlfn.XLOOKUP(OpenPendingCases[[#This Row],[Timepiece Reference ]], Table1[[Timepiece Reference ]], Table1[CRC STOCK], "Not Found")="YES", "CRC Stock", "Boutique Stock"))</f>
        <v/>
      </c>
      <c r="K143" s="136">
        <f>IF(OpenPendingCases[[#This Row],[Timepiece Reference ]]="", "", IF(_xlfn.XLOOKUP(OpenPendingCases[[#This Row],[Timepiece Reference ]], Table1[[Timepiece Reference ]], Table1[CRC STOCK], "Not Found")="YES", "CRC Stock", "Boutique Stock"))</f>
        <v/>
      </c>
      <c r="L143" s="139" t="n"/>
      <c r="M143" s="140" t="n"/>
      <c r="N143" s="136" t="n"/>
      <c r="O143" s="133" t="n"/>
      <c r="P143" s="93">
        <f>IFERROR(VLOOKUP(TRIM(O143), Collection!$B$2:$D$1001, 2, FALSE), "")</f>
        <v/>
      </c>
      <c r="Q143" s="190">
        <f>IFERROR(VLOOKUP(TRIM(O143), Collection!$B$2:$D$1001, 3, FALSE), "")</f>
        <v/>
      </c>
      <c r="R143" s="153">
        <f>IFERROR(VALUE(SUBSTITUTE(SUBSTITUTE(Q143, "Price", ""), "AED", "")), "")</f>
        <v/>
      </c>
      <c r="S143" s="151" t="n"/>
      <c r="T143" s="158" t="n"/>
      <c r="U143" s="136" t="n"/>
      <c r="V143" s="136" t="n"/>
      <c r="W143" s="156">
        <f>IF(Z143 = "",
"",
TEXT(Z143, "mmmm"))</f>
        <v/>
      </c>
      <c r="X143" s="157" t="n"/>
      <c r="Y143" s="158" t="n"/>
      <c r="Z143" s="158" t="n"/>
      <c r="AA143" s="136">
        <f>IF(H143="", "", IF(U143="Open Sale", IF(TODAY()-H143=0, "0 Days", TEXT(TODAY()-H143, "0") &amp; " Days"), IF(U143="Closed Sale", AA143, "")))</f>
        <v/>
      </c>
      <c r="AB143" s="136">
        <f>IF(H143="", "", IF(OR(U143="Pending", U143="Pending Allocation"), CONCATENATE(TODAY()-H143, " Days"), IF(U143="Closed", "", "")))</f>
        <v/>
      </c>
      <c r="AC143" s="160">
        <f>IF(U143="Pending Allocation", IF(I143="", "", TODAY()-I143), "")</f>
        <v/>
      </c>
      <c r="AD143" s="159">
        <f>IF(U143="Open Sale", TEXT(TODAY()-I143, "0"),
IF(U143="Pending", "",
IF(U143="Closed Sale", "", "")))</f>
        <v/>
      </c>
      <c r="AE143" s="161" t="n"/>
      <c r="AF143" s="161" t="n"/>
      <c r="AG143" s="161" t="n"/>
      <c r="AH143" s="136" t="n"/>
      <c r="AI143" s="164">
        <f>IF(I143="","",TEXT(I143, "mmmm yyyy"))</f>
        <v/>
      </c>
      <c r="AJ143" s="164">
        <f>IF(AND(OpenPendingCases[[#This Row],[Sale Status	]]="Open Sale",OpenPendingCases[[#This Row],[Potential Same Month]]="High"),TEXT(OpenPendingCases[[#This Row],[Request Entry Date]], "[$-en-us]mmmm"),"")</f>
        <v/>
      </c>
      <c r="AK143" s="165">
        <f>IFERROR(VALUE(SUBSTITUTE(OpenPendingCases[[#This Row],[Price]]," AED","")),"")</f>
        <v/>
      </c>
      <c r="AL143" s="165">
        <f>IFERROR(VALUE(LEFT(OpenPendingCases[[#This Row],[Price]],FIND(" ",OpenPendingCases[[#This Row],[Price]])-1)),"")</f>
        <v/>
      </c>
      <c r="AM143" s="165">
        <f>IFERROR(VALUE(_xlfn.TEXTBEFORE(OpenPendingCases[[#This Row],[Price]]," AED")),"")</f>
        <v/>
      </c>
      <c r="AN143" s="165" t="n"/>
    </row>
    <row r="144" hidden="1" ht="18" customHeight="1" s="287">
      <c r="C144" s="133" t="n"/>
      <c r="D144" s="136">
        <f>IF($U144="Open Sale", IF(MAX($D$4:D143)+1=0, "", MAX($D$4:D143)+1), "")</f>
        <v/>
      </c>
      <c r="E144" s="136">
        <f>IF($U144="Pending Allocation", IF(MAX($E$4:E143)+1=0, "", MAX($E$4:E143)+1), "")</f>
        <v/>
      </c>
      <c r="F144" s="136" t="n"/>
      <c r="G144" s="136" t="n"/>
      <c r="H144" s="150" t="n"/>
      <c r="I144" s="150" t="n"/>
      <c r="J144" s="67">
        <f>IF(OpenPendingCases[[#This Row],[Timepiece Reference ]]="", "", IF(_xlfn.XLOOKUP(OpenPendingCases[[#This Row],[Timepiece Reference ]], Table1[[Timepiece Reference ]], Table1[CRC STOCK], "Not Found")="YES", "CRC Stock", "Boutique Stock"))</f>
        <v/>
      </c>
      <c r="K144" s="136">
        <f>IF(OpenPendingCases[[#This Row],[Timepiece Reference ]]="", "", IF(_xlfn.XLOOKUP(OpenPendingCases[[#This Row],[Timepiece Reference ]], Table1[[Timepiece Reference ]], Table1[CRC STOCK], "Not Found")="YES", "CRC Stock", "Boutique Stock"))</f>
        <v/>
      </c>
      <c r="L144" s="139" t="n"/>
      <c r="M144" s="140" t="n"/>
      <c r="N144" s="136" t="n"/>
      <c r="O144" s="133" t="n"/>
      <c r="P144" s="93">
        <f>IFERROR(VLOOKUP(TRIM(O144), Collection!$B$2:$D$1001, 2, FALSE), "")</f>
        <v/>
      </c>
      <c r="Q144" s="190">
        <f>IFERROR(VLOOKUP(TRIM(O144), Collection!$B$2:$D$1001, 3, FALSE), "")</f>
        <v/>
      </c>
      <c r="R144" s="153">
        <f>IFERROR(VALUE(SUBSTITUTE(SUBSTITUTE(Q144, "Price", ""), "AED", "")), "")</f>
        <v/>
      </c>
      <c r="S144" s="151" t="n"/>
      <c r="T144" s="158" t="n"/>
      <c r="U144" s="136" t="n"/>
      <c r="V144" s="136" t="n"/>
      <c r="W144" s="156">
        <f>IF(Z144 = "",
"",
TEXT(Z144, "mmmm"))</f>
        <v/>
      </c>
      <c r="X144" s="157" t="n"/>
      <c r="Y144" s="158" t="n"/>
      <c r="Z144" s="158" t="n"/>
      <c r="AA144" s="136">
        <f>IF(H144="", "", IF(U144="Open Sale", IF(TODAY()-H144=0, "0 Days", TEXT(TODAY()-H144, "0") &amp; " Days"), IF(U144="Closed Sale", AA144, "")))</f>
        <v/>
      </c>
      <c r="AB144" s="136">
        <f>IF(H144="", "", IF(OR(U144="Pending", U144="Pending Allocation"), CONCATENATE(TODAY()-H144, " Days"), IF(U144="Closed", "", "")))</f>
        <v/>
      </c>
      <c r="AC144" s="160">
        <f>IF(U144="Pending Allocation", IF(I144="", "", TODAY()-I144), "")</f>
        <v/>
      </c>
      <c r="AD144" s="159">
        <f>IF(U144="Open Sale", TEXT(TODAY()-I144, "0"),
IF(U144="Pending", "",
IF(U144="Closed Sale", "", "")))</f>
        <v/>
      </c>
      <c r="AE144" s="161" t="n"/>
      <c r="AF144" s="161" t="n"/>
      <c r="AG144" s="161" t="n"/>
      <c r="AH144" s="136" t="n"/>
      <c r="AI144" s="164">
        <f>IF(I144="","",TEXT(I144, "mmmm yyyy"))</f>
        <v/>
      </c>
      <c r="AJ144" s="164">
        <f>IF(AND(OpenPendingCases[[#This Row],[Sale Status	]]="Open Sale",OpenPendingCases[[#This Row],[Potential Same Month]]="High"),TEXT(OpenPendingCases[[#This Row],[Request Entry Date]], "[$-en-us]mmmm"),"")</f>
        <v/>
      </c>
      <c r="AK144" s="165">
        <f>IFERROR(VALUE(SUBSTITUTE(OpenPendingCases[[#This Row],[Price]]," AED","")),"")</f>
        <v/>
      </c>
      <c r="AL144" s="165">
        <f>IFERROR(VALUE(LEFT(OpenPendingCases[[#This Row],[Price]],FIND(" ",OpenPendingCases[[#This Row],[Price]])-1)),"")</f>
        <v/>
      </c>
      <c r="AM144" s="165">
        <f>IFERROR(VALUE(_xlfn.TEXTBEFORE(OpenPendingCases[[#This Row],[Price]]," AED")),"")</f>
        <v/>
      </c>
      <c r="AN144" s="165" t="n"/>
    </row>
    <row r="145" hidden="1" ht="18" customHeight="1" s="287">
      <c r="C145" s="133" t="n"/>
      <c r="D145" s="136">
        <f>IF($U145="Open Sale", IF(MAX($D$4:D144)+1=0, "", MAX($D$4:D144)+1), "")</f>
        <v/>
      </c>
      <c r="E145" s="136">
        <f>IF($U145="Pending Allocation", IF(MAX($E$4:E144)+1=0, "", MAX($E$4:E144)+1), "")</f>
        <v/>
      </c>
      <c r="F145" s="136" t="n"/>
      <c r="G145" s="136" t="n"/>
      <c r="H145" s="150" t="n"/>
      <c r="I145" s="150" t="n"/>
      <c r="J145" s="67">
        <f>IF(OpenPendingCases[[#This Row],[Timepiece Reference ]]="", "", IF(_xlfn.XLOOKUP(OpenPendingCases[[#This Row],[Timepiece Reference ]], Table1[[Timepiece Reference ]], Table1[CRC STOCK], "Not Found")="YES", "CRC Stock", "Boutique Stock"))</f>
        <v/>
      </c>
      <c r="K145" s="136">
        <f>IF(OpenPendingCases[[#This Row],[Timepiece Reference ]]="", "", IF(_xlfn.XLOOKUP(OpenPendingCases[[#This Row],[Timepiece Reference ]], Table1[[Timepiece Reference ]], Table1[CRC STOCK], "Not Found")="YES", "CRC Stock", "Boutique Stock"))</f>
        <v/>
      </c>
      <c r="L145" s="139" t="n"/>
      <c r="M145" s="140" t="n"/>
      <c r="N145" s="136" t="n"/>
      <c r="O145" s="133" t="n"/>
      <c r="P145" s="93">
        <f>IFERROR(VLOOKUP(TRIM(O145), Collection!$B$2:$D$1001, 2, FALSE), "")</f>
        <v/>
      </c>
      <c r="Q145" s="190">
        <f>IFERROR(VLOOKUP(TRIM(O145), Collection!$B$2:$D$1001, 3, FALSE), "")</f>
        <v/>
      </c>
      <c r="R145" s="153">
        <f>IFERROR(VALUE(SUBSTITUTE(SUBSTITUTE(Q145, "Price", ""), "AED", "")), "")</f>
        <v/>
      </c>
      <c r="S145" s="151" t="n"/>
      <c r="T145" s="158" t="n"/>
      <c r="U145" s="136" t="n"/>
      <c r="V145" s="136" t="n"/>
      <c r="W145" s="156">
        <f>IF(Z145 = "",
"",
TEXT(Z145, "mmmm"))</f>
        <v/>
      </c>
      <c r="X145" s="157" t="n"/>
      <c r="Y145" s="158" t="n"/>
      <c r="Z145" s="158" t="n"/>
      <c r="AA145" s="136">
        <f>IF(H145="", "", IF(U145="Open Sale", IF(TODAY()-H145=0, "0 Days", TEXT(TODAY()-H145, "0") &amp; " Days"), IF(U145="Closed Sale", AA145, "")))</f>
        <v/>
      </c>
      <c r="AB145" s="136">
        <f>IF(H145="", "", IF(OR(U145="Pending", U145="Pending Allocation"), CONCATENATE(TODAY()-H145, " Days"), IF(U145="Closed", "", "")))</f>
        <v/>
      </c>
      <c r="AC145" s="160">
        <f>IF(U145="Pending Allocation", IF(I145="", "", TODAY()-I145), "")</f>
        <v/>
      </c>
      <c r="AD145" s="159">
        <f>IF(U145="Open Sale", TEXT(TODAY()-I145, "0"),
IF(U145="Pending", "",
IF(U145="Closed Sale", "", "")))</f>
        <v/>
      </c>
      <c r="AE145" s="161" t="n"/>
      <c r="AF145" s="161" t="n"/>
      <c r="AG145" s="161" t="n"/>
      <c r="AH145" s="136" t="n"/>
      <c r="AI145" s="164">
        <f>IF(I145="","",TEXT(I145, "mmmm yyyy"))</f>
        <v/>
      </c>
      <c r="AJ145" s="164">
        <f>IF(AND(OpenPendingCases[[#This Row],[Sale Status	]]="Open Sale",OpenPendingCases[[#This Row],[Potential Same Month]]="High"),TEXT(OpenPendingCases[[#This Row],[Request Entry Date]], "[$-en-us]mmmm"),"")</f>
        <v/>
      </c>
      <c r="AK145" s="165">
        <f>IFERROR(VALUE(SUBSTITUTE(OpenPendingCases[[#This Row],[Price]]," AED","")),"")</f>
        <v/>
      </c>
      <c r="AL145" s="165">
        <f>IFERROR(VALUE(LEFT(OpenPendingCases[[#This Row],[Price]],FIND(" ",OpenPendingCases[[#This Row],[Price]])-1)),"")</f>
        <v/>
      </c>
      <c r="AM145" s="165">
        <f>IFERROR(VALUE(_xlfn.TEXTBEFORE(OpenPendingCases[[#This Row],[Price]]," AED")),"")</f>
        <v/>
      </c>
      <c r="AN145" s="165" t="n"/>
    </row>
    <row r="146" hidden="1" ht="18" customHeight="1" s="287">
      <c r="C146" s="133" t="n"/>
      <c r="D146" s="136">
        <f>IF($U146="Open Sale", IF(MAX($D$4:D145)+1=0, "", MAX($D$4:D145)+1), "")</f>
        <v/>
      </c>
      <c r="E146" s="136">
        <f>IF($U146="Pending Allocation", IF(MAX($E$4:E145)+1=0, "", MAX($E$4:E145)+1), "")</f>
        <v/>
      </c>
      <c r="F146" s="136" t="n"/>
      <c r="G146" s="136" t="n"/>
      <c r="H146" s="150" t="n"/>
      <c r="I146" s="150" t="n"/>
      <c r="J146" s="67">
        <f>IF(OpenPendingCases[[#This Row],[Timepiece Reference ]]="", "", IF(_xlfn.XLOOKUP(OpenPendingCases[[#This Row],[Timepiece Reference ]], Table1[[Timepiece Reference ]], Table1[CRC STOCK], "Not Found")="YES", "CRC Stock", "Boutique Stock"))</f>
        <v/>
      </c>
      <c r="K146" s="136">
        <f>IF(OpenPendingCases[[#This Row],[Timepiece Reference ]]="", "", IF(_xlfn.XLOOKUP(OpenPendingCases[[#This Row],[Timepiece Reference ]], Table1[[Timepiece Reference ]], Table1[CRC STOCK], "Not Found")="YES", "CRC Stock", "Boutique Stock"))</f>
        <v/>
      </c>
      <c r="L146" s="139" t="n"/>
      <c r="M146" s="140" t="n"/>
      <c r="N146" s="136" t="n"/>
      <c r="O146" s="133" t="n"/>
      <c r="P146" s="93">
        <f>IFERROR(VLOOKUP(TRIM(O146), Collection!$B$2:$D$1001, 2, FALSE), "")</f>
        <v/>
      </c>
      <c r="Q146" s="190">
        <f>IFERROR(VLOOKUP(TRIM(O146), Collection!$B$2:$D$1001, 3, FALSE), "")</f>
        <v/>
      </c>
      <c r="R146" s="153">
        <f>IFERROR(VALUE(SUBSTITUTE(SUBSTITUTE(Q146, "Price", ""), "AED", "")), "")</f>
        <v/>
      </c>
      <c r="S146" s="151" t="n"/>
      <c r="T146" s="158" t="n"/>
      <c r="U146" s="136" t="n"/>
      <c r="V146" s="136" t="n"/>
      <c r="W146" s="156">
        <f>IF(Z146 = "",
"",
TEXT(Z146, "mmmm"))</f>
        <v/>
      </c>
      <c r="X146" s="157" t="n"/>
      <c r="Y146" s="158" t="n"/>
      <c r="Z146" s="158" t="n"/>
      <c r="AA146" s="136">
        <f>IF(H146="", "", IF(U146="Open Sale", IF(TODAY()-H146=0, "0 Days", TEXT(TODAY()-H146, "0") &amp; " Days"), IF(U146="Closed Sale", AA146, "")))</f>
        <v/>
      </c>
      <c r="AB146" s="136">
        <f>IF(H146="", "", IF(OR(U146="Pending", U146="Pending Allocation"), CONCATENATE(TODAY()-H146, " Days"), IF(U146="Closed", "", "")))</f>
        <v/>
      </c>
      <c r="AC146" s="160">
        <f>IF(U146="Pending Allocation", IF(I146="", "", TODAY()-I146), "")</f>
        <v/>
      </c>
      <c r="AD146" s="159">
        <f>IF(U146="Open Sale", TEXT(TODAY()-I146, "0"),
IF(U146="Pending", "",
IF(U146="Closed Sale", "", "")))</f>
        <v/>
      </c>
      <c r="AE146" s="161" t="n"/>
      <c r="AF146" s="161" t="n"/>
      <c r="AG146" s="161" t="n"/>
      <c r="AH146" s="136" t="n"/>
      <c r="AI146" s="164">
        <f>IF(I146="","",TEXT(I146, "mmmm yyyy"))</f>
        <v/>
      </c>
      <c r="AJ146" s="164">
        <f>IF(AND(OpenPendingCases[[#This Row],[Sale Status	]]="Open Sale",OpenPendingCases[[#This Row],[Potential Same Month]]="High"),TEXT(OpenPendingCases[[#This Row],[Request Entry Date]], "[$-en-us]mmmm"),"")</f>
        <v/>
      </c>
      <c r="AK146" s="165">
        <f>IFERROR(VALUE(SUBSTITUTE(OpenPendingCases[[#This Row],[Price]]," AED","")),"")</f>
        <v/>
      </c>
      <c r="AL146" s="165">
        <f>IFERROR(VALUE(LEFT(OpenPendingCases[[#This Row],[Price]],FIND(" ",OpenPendingCases[[#This Row],[Price]])-1)),"")</f>
        <v/>
      </c>
      <c r="AM146" s="165">
        <f>IFERROR(VALUE(_xlfn.TEXTBEFORE(OpenPendingCases[[#This Row],[Price]]," AED")),"")</f>
        <v/>
      </c>
      <c r="AN146" s="165" t="n"/>
    </row>
    <row r="147" hidden="1" ht="18" customHeight="1" s="287">
      <c r="C147" s="133" t="n"/>
      <c r="D147" s="136">
        <f>IF($U147="Open Sale", IF(MAX($D$4:D146)+1=0, "", MAX($D$4:D146)+1), "")</f>
        <v/>
      </c>
      <c r="E147" s="136">
        <f>IF($U147="Pending Allocation", IF(MAX($E$4:E146)+1=0, "", MAX($E$4:E146)+1), "")</f>
        <v/>
      </c>
      <c r="F147" s="136" t="n"/>
      <c r="G147" s="136" t="n"/>
      <c r="H147" s="150" t="n"/>
      <c r="I147" s="150" t="n"/>
      <c r="J147" s="67">
        <f>IF(OpenPendingCases[[#This Row],[Timepiece Reference ]]="", "", IF(_xlfn.XLOOKUP(OpenPendingCases[[#This Row],[Timepiece Reference ]], Table1[[Timepiece Reference ]], Table1[CRC STOCK], "Not Found")="YES", "CRC Stock", "Boutique Stock"))</f>
        <v/>
      </c>
      <c r="K147" s="136">
        <f>IF(OpenPendingCases[[#This Row],[Timepiece Reference ]]="", "", IF(_xlfn.XLOOKUP(OpenPendingCases[[#This Row],[Timepiece Reference ]], Table1[[Timepiece Reference ]], Table1[CRC STOCK], "Not Found")="YES", "CRC Stock", "Boutique Stock"))</f>
        <v/>
      </c>
      <c r="L147" s="139" t="n"/>
      <c r="M147" s="140" t="n"/>
      <c r="N147" s="136" t="n"/>
      <c r="O147" s="133" t="n"/>
      <c r="P147" s="93">
        <f>IFERROR(VLOOKUP(TRIM(O147), Collection!$B$2:$D$1001, 2, FALSE), "")</f>
        <v/>
      </c>
      <c r="Q147" s="190">
        <f>IFERROR(VLOOKUP(TRIM(O147), Collection!$B$2:$D$1001, 3, FALSE), "")</f>
        <v/>
      </c>
      <c r="R147" s="153">
        <f>IFERROR(VALUE(SUBSTITUTE(SUBSTITUTE(Q147, "Price", ""), "AED", "")), "")</f>
        <v/>
      </c>
      <c r="S147" s="151" t="n"/>
      <c r="T147" s="158" t="n"/>
      <c r="U147" s="136" t="n"/>
      <c r="V147" s="136" t="n"/>
      <c r="W147" s="156">
        <f>IF(Z147 = "",
"",
TEXT(Z147, "mmmm"))</f>
        <v/>
      </c>
      <c r="X147" s="157" t="n"/>
      <c r="Y147" s="158" t="n"/>
      <c r="Z147" s="158" t="n"/>
      <c r="AA147" s="136">
        <f>IF(H147="", "", IF(U147="Open Sale", IF(TODAY()-H147=0, "0 Days", TEXT(TODAY()-H147, "0") &amp; " Days"), IF(U147="Closed Sale", AA147, "")))</f>
        <v/>
      </c>
      <c r="AB147" s="136">
        <f>IF(H147="", "", IF(OR(U147="Pending", U147="Pending Allocation"), CONCATENATE(TODAY()-H147, " Days"), IF(U147="Closed", "", "")))</f>
        <v/>
      </c>
      <c r="AC147" s="160">
        <f>IF(U147="Pending Allocation", IF(I147="", "", TODAY()-I147), "")</f>
        <v/>
      </c>
      <c r="AD147" s="159">
        <f>IF(U147="Open Sale", TEXT(TODAY()-I147, "0"),
IF(U147="Pending", "",
IF(U147="Closed Sale", "", "")))</f>
        <v/>
      </c>
      <c r="AE147" s="161" t="n"/>
      <c r="AF147" s="161" t="n"/>
      <c r="AG147" s="161" t="n"/>
      <c r="AH147" s="136" t="n"/>
      <c r="AI147" s="164">
        <f>IF(I147="","",TEXT(I147, "mmmm yyyy"))</f>
        <v/>
      </c>
      <c r="AJ147" s="164">
        <f>IF(AND(OpenPendingCases[[#This Row],[Sale Status	]]="Open Sale",OpenPendingCases[[#This Row],[Potential Same Month]]="High"),TEXT(OpenPendingCases[[#This Row],[Request Entry Date]], "[$-en-us]mmmm"),"")</f>
        <v/>
      </c>
      <c r="AK147" s="165">
        <f>IFERROR(VALUE(SUBSTITUTE(OpenPendingCases[[#This Row],[Price]]," AED","")),"")</f>
        <v/>
      </c>
      <c r="AL147" s="165">
        <f>IFERROR(VALUE(LEFT(OpenPendingCases[[#This Row],[Price]],FIND(" ",OpenPendingCases[[#This Row],[Price]])-1)),"")</f>
        <v/>
      </c>
      <c r="AM147" s="165">
        <f>IFERROR(VALUE(_xlfn.TEXTBEFORE(OpenPendingCases[[#This Row],[Price]]," AED")),"")</f>
        <v/>
      </c>
      <c r="AN147" s="165" t="n"/>
    </row>
    <row r="148" hidden="1" ht="18" customHeight="1" s="287">
      <c r="C148" s="133" t="n"/>
      <c r="D148" s="136">
        <f>IF($U148="Open Sale", IF(MAX($D$4:D147)+1=0, "", MAX($D$4:D147)+1), "")</f>
        <v/>
      </c>
      <c r="E148" s="136">
        <f>IF($U148="Pending Allocation", IF(MAX($E$4:E147)+1=0, "", MAX($E$4:E147)+1), "")</f>
        <v/>
      </c>
      <c r="F148" s="136" t="n"/>
      <c r="G148" s="136" t="n"/>
      <c r="H148" s="150" t="n"/>
      <c r="I148" s="150" t="n"/>
      <c r="J148" s="67">
        <f>IF(OpenPendingCases[[#This Row],[Timepiece Reference ]]="", "", IF(_xlfn.XLOOKUP(OpenPendingCases[[#This Row],[Timepiece Reference ]], Table1[[Timepiece Reference ]], Table1[CRC STOCK], "Not Found")="YES", "CRC Stock", "Boutique Stock"))</f>
        <v/>
      </c>
      <c r="K148" s="136">
        <f>IF(OpenPendingCases[[#This Row],[Timepiece Reference ]]="", "", IF(_xlfn.XLOOKUP(OpenPendingCases[[#This Row],[Timepiece Reference ]], Table1[[Timepiece Reference ]], Table1[CRC STOCK], "Not Found")="YES", "CRC Stock", "Boutique Stock"))</f>
        <v/>
      </c>
      <c r="L148" s="139" t="n"/>
      <c r="M148" s="140" t="n"/>
      <c r="N148" s="136" t="n"/>
      <c r="O148" s="133" t="n"/>
      <c r="P148" s="93">
        <f>IFERROR(VLOOKUP(TRIM(O148), Collection!$B$2:$D$1001, 2, FALSE), "")</f>
        <v/>
      </c>
      <c r="Q148" s="190">
        <f>IFERROR(VLOOKUP(TRIM(O148), Collection!$B$2:$D$1001, 3, FALSE), "")</f>
        <v/>
      </c>
      <c r="R148" s="153">
        <f>IFERROR(VALUE(SUBSTITUTE(SUBSTITUTE(Q148, "Price", ""), "AED", "")), "")</f>
        <v/>
      </c>
      <c r="S148" s="151" t="n"/>
      <c r="T148" s="158" t="n"/>
      <c r="U148" s="136" t="n"/>
      <c r="V148" s="136" t="n"/>
      <c r="W148" s="156">
        <f>IF(Z148 = "",
"",
TEXT(Z148, "mmmm"))</f>
        <v/>
      </c>
      <c r="X148" s="157" t="n"/>
      <c r="Y148" s="158" t="n"/>
      <c r="Z148" s="158" t="n"/>
      <c r="AA148" s="136">
        <f>IF(H148="", "", IF(U148="Open Sale", IF(TODAY()-H148=0, "0 Days", TEXT(TODAY()-H148, "0") &amp; " Days"), IF(U148="Closed Sale", AA148, "")))</f>
        <v/>
      </c>
      <c r="AB148" s="136">
        <f>IF(H148="", "", IF(OR(U148="Pending", U148="Pending Allocation"), CONCATENATE(TODAY()-H148, " Days"), IF(U148="Closed", "", "")))</f>
        <v/>
      </c>
      <c r="AC148" s="160">
        <f>IF(U148="Pending Allocation", IF(I148="", "", TODAY()-I148), "")</f>
        <v/>
      </c>
      <c r="AD148" s="159">
        <f>IF(U148="Open Sale", TEXT(TODAY()-I148, "0"),
IF(U148="Pending", "",
IF(U148="Closed Sale", "", "")))</f>
        <v/>
      </c>
      <c r="AE148" s="161" t="n"/>
      <c r="AF148" s="161" t="n"/>
      <c r="AG148" s="161" t="n"/>
      <c r="AH148" s="136" t="n"/>
      <c r="AI148" s="164">
        <f>IF(I148="","",TEXT(I148, "mmmm yyyy"))</f>
        <v/>
      </c>
      <c r="AJ148" s="164">
        <f>IF(AND(OpenPendingCases[[#This Row],[Sale Status	]]="Open Sale",OpenPendingCases[[#This Row],[Potential Same Month]]="High"),TEXT(OpenPendingCases[[#This Row],[Request Entry Date]], "[$-en-us]mmmm"),"")</f>
        <v/>
      </c>
      <c r="AK148" s="165">
        <f>IFERROR(VALUE(SUBSTITUTE(OpenPendingCases[[#This Row],[Price]]," AED","")),"")</f>
        <v/>
      </c>
      <c r="AL148" s="165">
        <f>IFERROR(VALUE(LEFT(OpenPendingCases[[#This Row],[Price]],FIND(" ",OpenPendingCases[[#This Row],[Price]])-1)),"")</f>
        <v/>
      </c>
      <c r="AM148" s="165">
        <f>IFERROR(VALUE(_xlfn.TEXTBEFORE(OpenPendingCases[[#This Row],[Price]]," AED")),"")</f>
        <v/>
      </c>
      <c r="AN148" s="165" t="n"/>
    </row>
    <row r="149" hidden="1" ht="18" customHeight="1" s="287">
      <c r="C149" s="133" t="n"/>
      <c r="D149" s="136">
        <f>IF($U149="Open Sale", IF(MAX($D$4:D148)+1=0, "", MAX($D$4:D148)+1), "")</f>
        <v/>
      </c>
      <c r="E149" s="136">
        <f>IF($U149="Pending Allocation", IF(MAX($E$4:E148)+1=0, "", MAX($E$4:E148)+1), "")</f>
        <v/>
      </c>
      <c r="F149" s="136" t="n"/>
      <c r="G149" s="136" t="n"/>
      <c r="H149" s="150" t="n"/>
      <c r="I149" s="150" t="n"/>
      <c r="J149" s="67">
        <f>IF(OpenPendingCases[[#This Row],[Timepiece Reference ]]="", "", IF(_xlfn.XLOOKUP(OpenPendingCases[[#This Row],[Timepiece Reference ]], Table1[[Timepiece Reference ]], Table1[CRC STOCK], "Not Found")="YES", "CRC Stock", "Boutique Stock"))</f>
        <v/>
      </c>
      <c r="K149" s="136">
        <f>IF(OpenPendingCases[[#This Row],[Timepiece Reference ]]="", "", IF(_xlfn.XLOOKUP(OpenPendingCases[[#This Row],[Timepiece Reference ]], Table1[[Timepiece Reference ]], Table1[CRC STOCK], "Not Found")="YES", "CRC Stock", "Boutique Stock"))</f>
        <v/>
      </c>
      <c r="L149" s="139" t="n"/>
      <c r="M149" s="140" t="n"/>
      <c r="N149" s="136" t="n"/>
      <c r="O149" s="133" t="n"/>
      <c r="P149" s="93">
        <f>IFERROR(VLOOKUP(TRIM(O149), Collection!$B$2:$D$1001, 2, FALSE), "")</f>
        <v/>
      </c>
      <c r="Q149" s="190">
        <f>IFERROR(VLOOKUP(TRIM(O149), Collection!$B$2:$D$1001, 3, FALSE), "")</f>
        <v/>
      </c>
      <c r="R149" s="153">
        <f>IFERROR(VALUE(SUBSTITUTE(SUBSTITUTE(Q149, "Price", ""), "AED", "")), "")</f>
        <v/>
      </c>
      <c r="S149" s="151" t="n"/>
      <c r="T149" s="158" t="n"/>
      <c r="U149" s="136" t="n"/>
      <c r="V149" s="136" t="n"/>
      <c r="W149" s="156">
        <f>IF(Z149 = "",
"",
TEXT(Z149, "mmmm"))</f>
        <v/>
      </c>
      <c r="X149" s="157" t="n"/>
      <c r="Y149" s="158" t="n"/>
      <c r="Z149" s="158" t="n"/>
      <c r="AA149" s="136">
        <f>IF(H149="", "", IF(U149="Open Sale", IF(TODAY()-H149=0, "0 Days", TEXT(TODAY()-H149, "0") &amp; " Days"), IF(U149="Closed Sale", AA149, "")))</f>
        <v/>
      </c>
      <c r="AB149" s="136">
        <f>IF(H149="", "", IF(OR(U149="Pending", U149="Pending Allocation"), CONCATENATE(TODAY()-H149, " Days"), IF(U149="Closed", "", "")))</f>
        <v/>
      </c>
      <c r="AC149" s="160">
        <f>IF(U149="Pending Allocation", IF(I149="", "", TODAY()-I149), "")</f>
        <v/>
      </c>
      <c r="AD149" s="159">
        <f>IF(U149="Open Sale", TEXT(TODAY()-I149, "0"),
IF(U149="Pending", "",
IF(U149="Closed Sale", "", "")))</f>
        <v/>
      </c>
      <c r="AE149" s="161" t="n"/>
      <c r="AF149" s="161" t="n"/>
      <c r="AG149" s="161" t="n"/>
      <c r="AH149" s="136" t="n"/>
      <c r="AI149" s="164">
        <f>IF(I149="","",TEXT(I149, "mmmm yyyy"))</f>
        <v/>
      </c>
      <c r="AJ149" s="164">
        <f>IF(AND(OpenPendingCases[[#This Row],[Sale Status	]]="Open Sale",OpenPendingCases[[#This Row],[Potential Same Month]]="High"),TEXT(OpenPendingCases[[#This Row],[Request Entry Date]], "[$-en-us]mmmm"),"")</f>
        <v/>
      </c>
      <c r="AK149" s="165">
        <f>IFERROR(VALUE(SUBSTITUTE(OpenPendingCases[[#This Row],[Price]]," AED","")),"")</f>
        <v/>
      </c>
      <c r="AL149" s="165">
        <f>IFERROR(VALUE(LEFT(OpenPendingCases[[#This Row],[Price]],FIND(" ",OpenPendingCases[[#This Row],[Price]])-1)),"")</f>
        <v/>
      </c>
      <c r="AM149" s="165">
        <f>IFERROR(VALUE(_xlfn.TEXTBEFORE(OpenPendingCases[[#This Row],[Price]]," AED")),"")</f>
        <v/>
      </c>
      <c r="AN149" s="165" t="n"/>
    </row>
    <row r="150" hidden="1" ht="18" customHeight="1" s="287">
      <c r="C150" s="133" t="n"/>
      <c r="D150" s="136">
        <f>IF($U150="Open Sale", IF(MAX($D$4:D149)+1=0, "", MAX($D$4:D149)+1), "")</f>
        <v/>
      </c>
      <c r="E150" s="136">
        <f>IF($U150="Pending Allocation", IF(MAX($E$4:E149)+1=0, "", MAX($E$4:E149)+1), "")</f>
        <v/>
      </c>
      <c r="F150" s="136" t="n"/>
      <c r="G150" s="136" t="n"/>
      <c r="H150" s="150" t="n"/>
      <c r="I150" s="150" t="n"/>
      <c r="J150" s="67">
        <f>IF(OpenPendingCases[[#This Row],[Timepiece Reference ]]="", "", IF(_xlfn.XLOOKUP(OpenPendingCases[[#This Row],[Timepiece Reference ]], Table1[[Timepiece Reference ]], Table1[CRC STOCK], "Not Found")="YES", "CRC Stock", "Boutique Stock"))</f>
        <v/>
      </c>
      <c r="K150" s="136">
        <f>IF(OpenPendingCases[[#This Row],[Timepiece Reference ]]="", "", IF(_xlfn.XLOOKUP(OpenPendingCases[[#This Row],[Timepiece Reference ]], Table1[[Timepiece Reference ]], Table1[CRC STOCK], "Not Found")="YES", "CRC Stock", "Boutique Stock"))</f>
        <v/>
      </c>
      <c r="L150" s="139" t="n"/>
      <c r="M150" s="140" t="n"/>
      <c r="N150" s="136" t="n"/>
      <c r="O150" s="133" t="n"/>
      <c r="P150" s="93">
        <f>IFERROR(VLOOKUP(TRIM(O150), Collection!$B$2:$D$1001, 2, FALSE), "")</f>
        <v/>
      </c>
      <c r="Q150" s="190">
        <f>IFERROR(VLOOKUP(TRIM(O150), Collection!$B$2:$D$1001, 3, FALSE), "")</f>
        <v/>
      </c>
      <c r="R150" s="153">
        <f>IFERROR(VALUE(SUBSTITUTE(SUBSTITUTE(Q150, "Price", ""), "AED", "")), "")</f>
        <v/>
      </c>
      <c r="S150" s="151" t="n"/>
      <c r="T150" s="158" t="n"/>
      <c r="U150" s="136" t="n"/>
      <c r="V150" s="136" t="n"/>
      <c r="W150" s="156">
        <f>IF(Z150 = "",
"",
TEXT(Z150, "mmmm"))</f>
        <v/>
      </c>
      <c r="X150" s="157" t="n"/>
      <c r="Y150" s="158" t="n"/>
      <c r="Z150" s="158" t="n"/>
      <c r="AA150" s="136">
        <f>IF(H150="", "", IF(U150="Open Sale", IF(TODAY()-H150=0, "0 Days", TEXT(TODAY()-H150, "0") &amp; " Days"), IF(U150="Closed Sale", AA150, "")))</f>
        <v/>
      </c>
      <c r="AB150" s="136">
        <f>IF(H150="", "", IF(OR(U150="Pending", U150="Pending Allocation"), CONCATENATE(TODAY()-H150, " Days"), IF(U150="Closed", "", "")))</f>
        <v/>
      </c>
      <c r="AC150" s="160">
        <f>IF(U150="Pending Allocation", IF(I150="", "", TODAY()-I150), "")</f>
        <v/>
      </c>
      <c r="AD150" s="159">
        <f>IF(U150="Open Sale", TEXT(TODAY()-I150, "0"),
IF(U150="Pending", "",
IF(U150="Closed Sale", "", "")))</f>
        <v/>
      </c>
      <c r="AE150" s="161" t="n"/>
      <c r="AF150" s="161" t="n"/>
      <c r="AG150" s="161" t="n"/>
      <c r="AH150" s="136" t="n"/>
      <c r="AI150" s="164">
        <f>IF(I150="","",TEXT(I150, "mmmm yyyy"))</f>
        <v/>
      </c>
      <c r="AJ150" s="164">
        <f>IF(AND(OpenPendingCases[[#This Row],[Sale Status	]]="Open Sale",OpenPendingCases[[#This Row],[Potential Same Month]]="High"),TEXT(OpenPendingCases[[#This Row],[Request Entry Date]], "[$-en-us]mmmm"),"")</f>
        <v/>
      </c>
      <c r="AK150" s="165">
        <f>IFERROR(VALUE(SUBSTITUTE(OpenPendingCases[[#This Row],[Price]]," AED","")),"")</f>
        <v/>
      </c>
      <c r="AL150" s="165">
        <f>IFERROR(VALUE(LEFT(OpenPendingCases[[#This Row],[Price]],FIND(" ",OpenPendingCases[[#This Row],[Price]])-1)),"")</f>
        <v/>
      </c>
      <c r="AM150" s="165">
        <f>IFERROR(VALUE(_xlfn.TEXTBEFORE(OpenPendingCases[[#This Row],[Price]]," AED")),"")</f>
        <v/>
      </c>
      <c r="AN150" s="165" t="n"/>
    </row>
    <row r="151" hidden="1" ht="18" customHeight="1" s="287">
      <c r="C151" s="133" t="n"/>
      <c r="D151" s="136">
        <f>IF($U151="Open Sale", IF(MAX($D$4:D150)+1=0, "", MAX($D$4:D150)+1), "")</f>
        <v/>
      </c>
      <c r="E151" s="136">
        <f>IF($U151="Pending Allocation", IF(MAX($E$4:E150)+1=0, "", MAX($E$4:E150)+1), "")</f>
        <v/>
      </c>
      <c r="F151" s="136" t="n"/>
      <c r="G151" s="136" t="n"/>
      <c r="H151" s="150" t="n"/>
      <c r="I151" s="150" t="n"/>
      <c r="J151" s="67">
        <f>IF(OpenPendingCases[[#This Row],[Timepiece Reference ]]="", "", IF(_xlfn.XLOOKUP(OpenPendingCases[[#This Row],[Timepiece Reference ]], Table1[[Timepiece Reference ]], Table1[CRC STOCK], "Not Found")="YES", "CRC Stock", "Boutique Stock"))</f>
        <v/>
      </c>
      <c r="K151" s="136">
        <f>IF(OpenPendingCases[[#This Row],[Timepiece Reference ]]="", "", IF(_xlfn.XLOOKUP(OpenPendingCases[[#This Row],[Timepiece Reference ]], Table1[[Timepiece Reference ]], Table1[CRC STOCK], "Not Found")="YES", "CRC Stock", "Boutique Stock"))</f>
        <v/>
      </c>
      <c r="L151" s="139" t="n"/>
      <c r="M151" s="140" t="n"/>
      <c r="N151" s="136" t="n"/>
      <c r="O151" s="133" t="n"/>
      <c r="P151" s="93">
        <f>IFERROR(VLOOKUP(TRIM(O151), Collection!$B$2:$D$1001, 2, FALSE), "")</f>
        <v/>
      </c>
      <c r="Q151" s="190">
        <f>IFERROR(VLOOKUP(TRIM(O151), Collection!$B$2:$D$1001, 3, FALSE), "")</f>
        <v/>
      </c>
      <c r="R151" s="153">
        <f>IFERROR(VALUE(SUBSTITUTE(SUBSTITUTE(Q151, "Price", ""), "AED", "")), "")</f>
        <v/>
      </c>
      <c r="S151" s="151" t="n"/>
      <c r="T151" s="158" t="n"/>
      <c r="U151" s="136" t="n"/>
      <c r="V151" s="136" t="n"/>
      <c r="W151" s="156">
        <f>IF(Z151 = "",
"",
TEXT(Z151, "mmmm"))</f>
        <v/>
      </c>
      <c r="X151" s="157" t="n"/>
      <c r="Y151" s="158" t="n"/>
      <c r="Z151" s="158" t="n"/>
      <c r="AA151" s="136">
        <f>IF(H151="", "", IF(U151="Open Sale", IF(TODAY()-H151=0, "0 Days", TEXT(TODAY()-H151, "0") &amp; " Days"), IF(U151="Closed Sale", AA151, "")))</f>
        <v/>
      </c>
      <c r="AB151" s="136">
        <f>IF(H151="", "", IF(OR(U151="Pending", U151="Pending Allocation"), CONCATENATE(TODAY()-H151, " Days"), IF(U151="Closed", "", "")))</f>
        <v/>
      </c>
      <c r="AC151" s="160">
        <f>IF(U151="Pending Allocation", IF(I151="", "", TODAY()-I151), "")</f>
        <v/>
      </c>
      <c r="AD151" s="159">
        <f>IF(U151="Open Sale", TEXT(TODAY()-I151, "0"),
IF(U151="Pending", "",
IF(U151="Closed Sale", "", "")))</f>
        <v/>
      </c>
      <c r="AE151" s="161" t="n"/>
      <c r="AF151" s="161" t="n"/>
      <c r="AG151" s="161" t="n"/>
      <c r="AH151" s="136" t="n"/>
      <c r="AI151" s="164">
        <f>IF(I151="","",TEXT(I151, "mmmm yyyy"))</f>
        <v/>
      </c>
      <c r="AJ151" s="164">
        <f>IF(AND(OpenPendingCases[[#This Row],[Sale Status	]]="Open Sale",OpenPendingCases[[#This Row],[Potential Same Month]]="High"),TEXT(OpenPendingCases[[#This Row],[Request Entry Date]], "[$-en-us]mmmm"),"")</f>
        <v/>
      </c>
      <c r="AK151" s="165">
        <f>IFERROR(VALUE(SUBSTITUTE(OpenPendingCases[[#This Row],[Price]]," AED","")),"")</f>
        <v/>
      </c>
      <c r="AL151" s="165">
        <f>IFERROR(VALUE(LEFT(OpenPendingCases[[#This Row],[Price]],FIND(" ",OpenPendingCases[[#This Row],[Price]])-1)),"")</f>
        <v/>
      </c>
      <c r="AM151" s="165">
        <f>IFERROR(VALUE(_xlfn.TEXTBEFORE(OpenPendingCases[[#This Row],[Price]]," AED")),"")</f>
        <v/>
      </c>
      <c r="AN151" s="165" t="n"/>
    </row>
    <row r="152" hidden="1" ht="18" customHeight="1" s="287">
      <c r="C152" s="133" t="n"/>
      <c r="D152" s="136">
        <f>IF($U152="Open Sale", IF(MAX($D$4:D151)+1=0, "", MAX($D$4:D151)+1), "")</f>
        <v/>
      </c>
      <c r="E152" s="136">
        <f>IF($U152="Pending Allocation", IF(MAX($E$4:E151)+1=0, "", MAX($E$4:E151)+1), "")</f>
        <v/>
      </c>
      <c r="F152" s="136" t="n"/>
      <c r="G152" s="136" t="n"/>
      <c r="H152" s="150" t="n"/>
      <c r="I152" s="150" t="n"/>
      <c r="J152" s="67">
        <f>IF(OpenPendingCases[[#This Row],[Timepiece Reference ]]="", "", IF(_xlfn.XLOOKUP(OpenPendingCases[[#This Row],[Timepiece Reference ]], Table1[[Timepiece Reference ]], Table1[CRC STOCK], "Not Found")="YES", "CRC Stock", "Boutique Stock"))</f>
        <v/>
      </c>
      <c r="K152" s="136">
        <f>IF(OpenPendingCases[[#This Row],[Timepiece Reference ]]="", "", IF(_xlfn.XLOOKUP(OpenPendingCases[[#This Row],[Timepiece Reference ]], Table1[[Timepiece Reference ]], Table1[CRC STOCK], "Not Found")="YES", "CRC Stock", "Boutique Stock"))</f>
        <v/>
      </c>
      <c r="L152" s="139" t="n"/>
      <c r="M152" s="140" t="n"/>
      <c r="N152" s="136" t="n"/>
      <c r="O152" s="133" t="n"/>
      <c r="P152" s="93">
        <f>IFERROR(VLOOKUP(TRIM(O152), Collection!$B$2:$D$1001, 2, FALSE), "")</f>
        <v/>
      </c>
      <c r="Q152" s="190">
        <f>IFERROR(VLOOKUP(TRIM(O152), Collection!$B$2:$D$1001, 3, FALSE), "")</f>
        <v/>
      </c>
      <c r="R152" s="153">
        <f>IFERROR(VALUE(SUBSTITUTE(SUBSTITUTE(Q152, "Price", ""), "AED", "")), "")</f>
        <v/>
      </c>
      <c r="S152" s="151" t="n"/>
      <c r="T152" s="158" t="n"/>
      <c r="U152" s="136" t="n"/>
      <c r="V152" s="136" t="n"/>
      <c r="W152" s="156">
        <f>IF(Z152 = "",
"",
TEXT(Z152, "mmmm"))</f>
        <v/>
      </c>
      <c r="X152" s="157" t="n"/>
      <c r="Y152" s="158" t="n"/>
      <c r="Z152" s="158" t="n"/>
      <c r="AA152" s="136">
        <f>IF(H152="", "", IF(U152="Open Sale", IF(TODAY()-H152=0, "0 Days", TEXT(TODAY()-H152, "0") &amp; " Days"), IF(U152="Closed Sale", AA152, "")))</f>
        <v/>
      </c>
      <c r="AB152" s="136">
        <f>IF(H152="", "", IF(OR(U152="Pending", U152="Pending Allocation"), CONCATENATE(TODAY()-H152, " Days"), IF(U152="Closed", "", "")))</f>
        <v/>
      </c>
      <c r="AC152" s="160">
        <f>IF(U152="Pending Allocation", IF(I152="", "", TODAY()-I152), "")</f>
        <v/>
      </c>
      <c r="AD152" s="159">
        <f>IF(U152="Open Sale", TEXT(TODAY()-I152, "0"),
IF(U152="Pending", "",
IF(U152="Closed Sale", "", "")))</f>
        <v/>
      </c>
      <c r="AE152" s="161" t="n"/>
      <c r="AF152" s="161" t="n"/>
      <c r="AG152" s="161" t="n"/>
      <c r="AH152" s="136" t="n"/>
      <c r="AI152" s="164">
        <f>IF(I152="","",TEXT(I152, "mmmm yyyy"))</f>
        <v/>
      </c>
      <c r="AJ152" s="164">
        <f>IF(AND(OpenPendingCases[[#This Row],[Sale Status	]]="Open Sale",OpenPendingCases[[#This Row],[Potential Same Month]]="High"),TEXT(OpenPendingCases[[#This Row],[Request Entry Date]], "[$-en-us]mmmm"),"")</f>
        <v/>
      </c>
      <c r="AK152" s="165">
        <f>IFERROR(VALUE(SUBSTITUTE(OpenPendingCases[[#This Row],[Price]]," AED","")),"")</f>
        <v/>
      </c>
      <c r="AL152" s="165">
        <f>IFERROR(VALUE(LEFT(OpenPendingCases[[#This Row],[Price]],FIND(" ",OpenPendingCases[[#This Row],[Price]])-1)),"")</f>
        <v/>
      </c>
      <c r="AM152" s="165">
        <f>IFERROR(VALUE(_xlfn.TEXTBEFORE(OpenPendingCases[[#This Row],[Price]]," AED")),"")</f>
        <v/>
      </c>
      <c r="AN152" s="165" t="n"/>
    </row>
    <row r="153" hidden="1" ht="18" customHeight="1" s="287">
      <c r="C153" s="133" t="n"/>
      <c r="D153" s="136">
        <f>IF($U153="Open Sale", IF(MAX($D$4:D152)+1=0, "", MAX($D$4:D152)+1), "")</f>
        <v/>
      </c>
      <c r="E153" s="136">
        <f>IF($U153="Pending Allocation", IF(MAX($E$4:E152)+1=0, "", MAX($E$4:E152)+1), "")</f>
        <v/>
      </c>
      <c r="F153" s="136" t="n"/>
      <c r="G153" s="136" t="n"/>
      <c r="H153" s="150" t="n"/>
      <c r="I153" s="150" t="n"/>
      <c r="J153" s="67">
        <f>IF(OpenPendingCases[[#This Row],[Timepiece Reference ]]="", "", IF(_xlfn.XLOOKUP(OpenPendingCases[[#This Row],[Timepiece Reference ]], Table1[[Timepiece Reference ]], Table1[CRC STOCK], "Not Found")="YES", "CRC Stock", "Boutique Stock"))</f>
        <v/>
      </c>
      <c r="K153" s="136">
        <f>IF(OpenPendingCases[[#This Row],[Timepiece Reference ]]="", "", IF(_xlfn.XLOOKUP(OpenPendingCases[[#This Row],[Timepiece Reference ]], Table1[[Timepiece Reference ]], Table1[CRC STOCK], "Not Found")="YES", "CRC Stock", "Boutique Stock"))</f>
        <v/>
      </c>
      <c r="L153" s="139" t="n"/>
      <c r="M153" s="140" t="n"/>
      <c r="N153" s="136" t="n"/>
      <c r="O153" s="133" t="n"/>
      <c r="P153" s="93">
        <f>IFERROR(VLOOKUP(TRIM(O153), Collection!$B$2:$D$1001, 2, FALSE), "")</f>
        <v/>
      </c>
      <c r="Q153" s="190">
        <f>IFERROR(VLOOKUP(TRIM(O153), Collection!$B$2:$D$1001, 3, FALSE), "")</f>
        <v/>
      </c>
      <c r="R153" s="153">
        <f>IFERROR(VALUE(SUBSTITUTE(SUBSTITUTE(Q153, "Price", ""), "AED", "")), "")</f>
        <v/>
      </c>
      <c r="S153" s="151" t="n"/>
      <c r="T153" s="158" t="n"/>
      <c r="U153" s="136" t="n"/>
      <c r="V153" s="136" t="n"/>
      <c r="W153" s="156">
        <f>IF(Z153 = "",
"",
TEXT(Z153, "mmmm"))</f>
        <v/>
      </c>
      <c r="X153" s="157" t="n"/>
      <c r="Y153" s="158" t="n"/>
      <c r="Z153" s="158" t="n"/>
      <c r="AA153" s="136">
        <f>IF(H153="", "", IF(U153="Open Sale", IF(TODAY()-H153=0, "0 Days", TEXT(TODAY()-H153, "0") &amp; " Days"), IF(U153="Closed Sale", AA153, "")))</f>
        <v/>
      </c>
      <c r="AB153" s="136">
        <f>IF(H153="", "", IF(OR(U153="Pending", U153="Pending Allocation"), CONCATENATE(TODAY()-H153, " Days"), IF(U153="Closed", "", "")))</f>
        <v/>
      </c>
      <c r="AC153" s="160">
        <f>IF(U153="Pending Allocation", IF(I153="", "", TODAY()-I153), "")</f>
        <v/>
      </c>
      <c r="AD153" s="159">
        <f>IF(U153="Open Sale", TEXT(TODAY()-I153, "0"),
IF(U153="Pending", "",
IF(U153="Closed Sale", "", "")))</f>
        <v/>
      </c>
      <c r="AE153" s="161" t="n"/>
      <c r="AF153" s="161" t="n"/>
      <c r="AG153" s="161" t="n"/>
      <c r="AH153" s="136" t="n"/>
      <c r="AI153" s="164">
        <f>IF(I153="","",TEXT(I153, "mmmm yyyy"))</f>
        <v/>
      </c>
      <c r="AJ153" s="164">
        <f>IF(AND(OpenPendingCases[[#This Row],[Sale Status	]]="Open Sale",OpenPendingCases[[#This Row],[Potential Same Month]]="High"),TEXT(OpenPendingCases[[#This Row],[Request Entry Date]], "[$-en-us]mmmm"),"")</f>
        <v/>
      </c>
      <c r="AK153" s="165">
        <f>IFERROR(VALUE(SUBSTITUTE(OpenPendingCases[[#This Row],[Price]]," AED","")),"")</f>
        <v/>
      </c>
      <c r="AL153" s="165">
        <f>IFERROR(VALUE(LEFT(OpenPendingCases[[#This Row],[Price]],FIND(" ",OpenPendingCases[[#This Row],[Price]])-1)),"")</f>
        <v/>
      </c>
      <c r="AM153" s="165">
        <f>IFERROR(VALUE(_xlfn.TEXTBEFORE(OpenPendingCases[[#This Row],[Price]]," AED")),"")</f>
        <v/>
      </c>
      <c r="AN153" s="165" t="n"/>
    </row>
    <row r="154" hidden="1" ht="18" customHeight="1" s="287">
      <c r="C154" s="133" t="n"/>
      <c r="D154" s="136">
        <f>IF($U154="Open Sale", IF(MAX($D$4:D153)+1=0, "", MAX($D$4:D153)+1), "")</f>
        <v/>
      </c>
      <c r="E154" s="136">
        <f>IF($U154="Pending Allocation", IF(MAX($E$4:E153)+1=0, "", MAX($E$4:E153)+1), "")</f>
        <v/>
      </c>
      <c r="F154" s="136" t="n"/>
      <c r="G154" s="136" t="n"/>
      <c r="H154" s="150" t="n"/>
      <c r="I154" s="150" t="n"/>
      <c r="J154" s="67">
        <f>IF(OpenPendingCases[[#This Row],[Timepiece Reference ]]="", "", IF(_xlfn.XLOOKUP(OpenPendingCases[[#This Row],[Timepiece Reference ]], Table1[[Timepiece Reference ]], Table1[CRC STOCK], "Not Found")="YES", "CRC Stock", "Boutique Stock"))</f>
        <v/>
      </c>
      <c r="K154" s="136">
        <f>IF(OpenPendingCases[[#This Row],[Timepiece Reference ]]="", "", IF(_xlfn.XLOOKUP(OpenPendingCases[[#This Row],[Timepiece Reference ]], Table1[[Timepiece Reference ]], Table1[CRC STOCK], "Not Found")="YES", "CRC Stock", "Boutique Stock"))</f>
        <v/>
      </c>
      <c r="L154" s="139" t="n"/>
      <c r="M154" s="140" t="n"/>
      <c r="N154" s="136" t="n"/>
      <c r="O154" s="133" t="n"/>
      <c r="P154" s="93">
        <f>IFERROR(VLOOKUP(TRIM(O154), Collection!$B$2:$D$1001, 2, FALSE), "")</f>
        <v/>
      </c>
      <c r="Q154" s="190">
        <f>IFERROR(VLOOKUP(TRIM(O154), Collection!$B$2:$D$1001, 3, FALSE), "")</f>
        <v/>
      </c>
      <c r="R154" s="153">
        <f>IFERROR(VALUE(SUBSTITUTE(SUBSTITUTE(Q154, "Price", ""), "AED", "")), "")</f>
        <v/>
      </c>
      <c r="S154" s="151" t="n"/>
      <c r="T154" s="158" t="n"/>
      <c r="U154" s="136" t="n"/>
      <c r="V154" s="136" t="n"/>
      <c r="W154" s="156">
        <f>IF(Z154 = "",
"",
TEXT(Z154, "mmmm"))</f>
        <v/>
      </c>
      <c r="X154" s="157" t="n"/>
      <c r="Y154" s="158" t="n"/>
      <c r="Z154" s="158" t="n"/>
      <c r="AA154" s="136">
        <f>IF(H154="", "", IF(U154="Open Sale", IF(TODAY()-H154=0, "0 Days", TEXT(TODAY()-H154, "0") &amp; " Days"), IF(U154="Closed Sale", AA154, "")))</f>
        <v/>
      </c>
      <c r="AB154" s="136">
        <f>IF(H154="", "", IF(OR(U154="Pending", U154="Pending Allocation"), CONCATENATE(TODAY()-H154, " Days"), IF(U154="Closed", "", "")))</f>
        <v/>
      </c>
      <c r="AC154" s="160">
        <f>IF(U154="Pending Allocation", IF(I154="", "", TODAY()-I154), "")</f>
        <v/>
      </c>
      <c r="AD154" s="159">
        <f>IF(U154="Open Sale", TEXT(TODAY()-I154, "0"),
IF(U154="Pending", "",
IF(U154="Closed Sale", "", "")))</f>
        <v/>
      </c>
      <c r="AE154" s="161" t="n"/>
      <c r="AF154" s="161" t="n"/>
      <c r="AG154" s="161" t="n"/>
      <c r="AH154" s="136" t="n"/>
      <c r="AI154" s="164">
        <f>IF(I154="","",TEXT(I154, "mmmm yyyy"))</f>
        <v/>
      </c>
      <c r="AJ154" s="164">
        <f>IF(AND(OpenPendingCases[[#This Row],[Sale Status	]]="Open Sale",OpenPendingCases[[#This Row],[Potential Same Month]]="High"),TEXT(OpenPendingCases[[#This Row],[Request Entry Date]], "[$-en-us]mmmm"),"")</f>
        <v/>
      </c>
      <c r="AK154" s="165">
        <f>IFERROR(VALUE(SUBSTITUTE(OpenPendingCases[[#This Row],[Price]]," AED","")),"")</f>
        <v/>
      </c>
      <c r="AL154" s="165">
        <f>IFERROR(VALUE(LEFT(OpenPendingCases[[#This Row],[Price]],FIND(" ",OpenPendingCases[[#This Row],[Price]])-1)),"")</f>
        <v/>
      </c>
      <c r="AM154" s="165">
        <f>IFERROR(VALUE(_xlfn.TEXTBEFORE(OpenPendingCases[[#This Row],[Price]]," AED")),"")</f>
        <v/>
      </c>
      <c r="AN154" s="165" t="n"/>
    </row>
    <row r="155" hidden="1" ht="18" customHeight="1" s="287">
      <c r="C155" s="133" t="n"/>
      <c r="D155" s="136">
        <f>IF($U155="Open Sale", IF(MAX($D$4:D154)+1=0, "", MAX($D$4:D154)+1), "")</f>
        <v/>
      </c>
      <c r="E155" s="136">
        <f>IF($U155="Pending Allocation", IF(MAX($E$4:E154)+1=0, "", MAX($E$4:E154)+1), "")</f>
        <v/>
      </c>
      <c r="F155" s="136" t="n"/>
      <c r="G155" s="136" t="n"/>
      <c r="H155" s="150" t="n"/>
      <c r="I155" s="150" t="n"/>
      <c r="J155" s="67">
        <f>IF(OpenPendingCases[[#This Row],[Timepiece Reference ]]="", "", IF(_xlfn.XLOOKUP(OpenPendingCases[[#This Row],[Timepiece Reference ]], Table1[[Timepiece Reference ]], Table1[CRC STOCK], "Not Found")="YES", "CRC Stock", "Boutique Stock"))</f>
        <v/>
      </c>
      <c r="K155" s="136">
        <f>IF(OpenPendingCases[[#This Row],[Timepiece Reference ]]="", "", IF(_xlfn.XLOOKUP(OpenPendingCases[[#This Row],[Timepiece Reference ]], Table1[[Timepiece Reference ]], Table1[CRC STOCK], "Not Found")="YES", "CRC Stock", "Boutique Stock"))</f>
        <v/>
      </c>
      <c r="L155" s="139" t="n"/>
      <c r="M155" s="140" t="n"/>
      <c r="N155" s="136" t="n"/>
      <c r="O155" s="133" t="n"/>
      <c r="P155" s="93">
        <f>IFERROR(VLOOKUP(TRIM(O155), Collection!$B$2:$D$1001, 2, FALSE), "")</f>
        <v/>
      </c>
      <c r="Q155" s="190">
        <f>IFERROR(VLOOKUP(TRIM(O155), Collection!$B$2:$D$1001, 3, FALSE), "")</f>
        <v/>
      </c>
      <c r="R155" s="153">
        <f>IFERROR(VALUE(SUBSTITUTE(SUBSTITUTE(Q155, "Price", ""), "AED", "")), "")</f>
        <v/>
      </c>
      <c r="S155" s="151" t="n"/>
      <c r="T155" s="158" t="n"/>
      <c r="U155" s="136" t="n"/>
      <c r="V155" s="136" t="n"/>
      <c r="W155" s="156">
        <f>IF(Z155 = "",
"",
TEXT(Z155, "mmmm"))</f>
        <v/>
      </c>
      <c r="X155" s="157" t="n"/>
      <c r="Y155" s="158" t="n"/>
      <c r="Z155" s="158" t="n"/>
      <c r="AA155" s="136">
        <f>IF(H155="", "", IF(U155="Open Sale", IF(TODAY()-H155=0, "0 Days", TEXT(TODAY()-H155, "0") &amp; " Days"), IF(U155="Closed Sale", AA155, "")))</f>
        <v/>
      </c>
      <c r="AB155" s="136">
        <f>IF(H155="", "", IF(OR(U155="Pending", U155="Pending Allocation"), CONCATENATE(TODAY()-H155, " Days"), IF(U155="Closed", "", "")))</f>
        <v/>
      </c>
      <c r="AC155" s="160">
        <f>IF(U155="Pending Allocation", IF(I155="", "", TODAY()-I155), "")</f>
        <v/>
      </c>
      <c r="AD155" s="159">
        <f>IF(U155="Open Sale", TEXT(TODAY()-I155, "0"),
IF(U155="Pending", "",
IF(U155="Closed Sale", "", "")))</f>
        <v/>
      </c>
      <c r="AE155" s="161" t="n"/>
      <c r="AF155" s="161" t="n"/>
      <c r="AG155" s="161" t="n"/>
      <c r="AH155" s="136" t="n"/>
      <c r="AI155" s="164">
        <f>IF(I155="","",TEXT(I155, "mmmm yyyy"))</f>
        <v/>
      </c>
      <c r="AJ155" s="164">
        <f>IF(AND(OpenPendingCases[[#This Row],[Sale Status	]]="Open Sale",OpenPendingCases[[#This Row],[Potential Same Month]]="High"),TEXT(OpenPendingCases[[#This Row],[Request Entry Date]], "[$-en-us]mmmm"),"")</f>
        <v/>
      </c>
      <c r="AK155" s="165">
        <f>IFERROR(VALUE(SUBSTITUTE(OpenPendingCases[[#This Row],[Price]]," AED","")),"")</f>
        <v/>
      </c>
      <c r="AL155" s="165">
        <f>IFERROR(VALUE(LEFT(OpenPendingCases[[#This Row],[Price]],FIND(" ",OpenPendingCases[[#This Row],[Price]])-1)),"")</f>
        <v/>
      </c>
      <c r="AM155" s="165">
        <f>IFERROR(VALUE(_xlfn.TEXTBEFORE(OpenPendingCases[[#This Row],[Price]]," AED")),"")</f>
        <v/>
      </c>
      <c r="AN155" s="165" t="n"/>
    </row>
    <row r="156" hidden="1" ht="18" customHeight="1" s="287">
      <c r="C156" s="133" t="n"/>
      <c r="D156" s="136">
        <f>IF($U156="Open Sale", IF(MAX($D$4:D155)+1=0, "", MAX($D$4:D155)+1), "")</f>
        <v/>
      </c>
      <c r="E156" s="136">
        <f>IF($U156="Pending Allocation", IF(MAX($E$4:E155)+1=0, "", MAX($E$4:E155)+1), "")</f>
        <v/>
      </c>
      <c r="F156" s="136" t="n"/>
      <c r="G156" s="136" t="n"/>
      <c r="H156" s="150" t="n"/>
      <c r="I156" s="150" t="n"/>
      <c r="J156" s="67">
        <f>IF(OpenPendingCases[[#This Row],[Timepiece Reference ]]="", "", IF(_xlfn.XLOOKUP(OpenPendingCases[[#This Row],[Timepiece Reference ]], Table1[[Timepiece Reference ]], Table1[CRC STOCK], "Not Found")="YES", "CRC Stock", "Boutique Stock"))</f>
        <v/>
      </c>
      <c r="K156" s="136">
        <f>IF(OpenPendingCases[[#This Row],[Timepiece Reference ]]="", "", IF(_xlfn.XLOOKUP(OpenPendingCases[[#This Row],[Timepiece Reference ]], Table1[[Timepiece Reference ]], Table1[CRC STOCK], "Not Found")="YES", "CRC Stock", "Boutique Stock"))</f>
        <v/>
      </c>
      <c r="L156" s="139" t="n"/>
      <c r="M156" s="140" t="n"/>
      <c r="N156" s="136" t="n"/>
      <c r="O156" s="133" t="n"/>
      <c r="P156" s="93">
        <f>IFERROR(VLOOKUP(TRIM(O156), Collection!$B$2:$D$1001, 2, FALSE), "")</f>
        <v/>
      </c>
      <c r="Q156" s="190">
        <f>IFERROR(VLOOKUP(TRIM(O156), Collection!$B$2:$D$1001, 3, FALSE), "")</f>
        <v/>
      </c>
      <c r="R156" s="153">
        <f>IFERROR(VALUE(SUBSTITUTE(SUBSTITUTE(Q156, "Price", ""), "AED", "")), "")</f>
        <v/>
      </c>
      <c r="S156" s="151" t="n"/>
      <c r="T156" s="158" t="n"/>
      <c r="U156" s="136" t="n"/>
      <c r="V156" s="136" t="n"/>
      <c r="W156" s="156">
        <f>IF(Z156 = "",
"",
TEXT(Z156, "mmmm"))</f>
        <v/>
      </c>
      <c r="X156" s="157" t="n"/>
      <c r="Y156" s="158" t="n"/>
      <c r="Z156" s="158" t="n"/>
      <c r="AA156" s="136">
        <f>IF(H156="", "", IF(U156="Open Sale", IF(TODAY()-H156=0, "0 Days", TEXT(TODAY()-H156, "0") &amp; " Days"), IF(U156="Closed Sale", AA156, "")))</f>
        <v/>
      </c>
      <c r="AB156" s="136">
        <f>IF(H156="", "", IF(OR(U156="Pending", U156="Pending Allocation"), CONCATENATE(TODAY()-H156, " Days"), IF(U156="Closed", "", "")))</f>
        <v/>
      </c>
      <c r="AC156" s="160">
        <f>IF(U156="Pending Allocation", IF(I156="", "", TODAY()-I156), "")</f>
        <v/>
      </c>
      <c r="AD156" s="159">
        <f>IF(U156="Open Sale", TEXT(TODAY()-I156, "0"),
IF(U156="Pending", "",
IF(U156="Closed Sale", "", "")))</f>
        <v/>
      </c>
      <c r="AE156" s="161" t="n"/>
      <c r="AF156" s="161" t="n"/>
      <c r="AG156" s="161" t="n"/>
      <c r="AH156" s="136" t="n"/>
      <c r="AI156" s="164">
        <f>IF(I156="","",TEXT(I156, "mmmm yyyy"))</f>
        <v/>
      </c>
      <c r="AJ156" s="164">
        <f>IF(AND(OpenPendingCases[[#This Row],[Sale Status	]]="Open Sale",OpenPendingCases[[#This Row],[Potential Same Month]]="High"),TEXT(OpenPendingCases[[#This Row],[Request Entry Date]], "[$-en-us]mmmm"),"")</f>
        <v/>
      </c>
      <c r="AK156" s="165">
        <f>IFERROR(VALUE(SUBSTITUTE(OpenPendingCases[[#This Row],[Price]]," AED","")),"")</f>
        <v/>
      </c>
      <c r="AL156" s="165">
        <f>IFERROR(VALUE(LEFT(OpenPendingCases[[#This Row],[Price]],FIND(" ",OpenPendingCases[[#This Row],[Price]])-1)),"")</f>
        <v/>
      </c>
      <c r="AM156" s="165">
        <f>IFERROR(VALUE(_xlfn.TEXTBEFORE(OpenPendingCases[[#This Row],[Price]]," AED")),"")</f>
        <v/>
      </c>
      <c r="AN156" s="165" t="n"/>
    </row>
    <row r="157" hidden="1" ht="18" customHeight="1" s="287">
      <c r="C157" s="133" t="n"/>
      <c r="D157" s="136">
        <f>IF($U157="Open Sale", IF(MAX($D$4:D156)+1=0, "", MAX($D$4:D156)+1), "")</f>
        <v/>
      </c>
      <c r="E157" s="136">
        <f>IF($U157="Pending Allocation", IF(MAX($E$4:E156)+1=0, "", MAX($E$4:E156)+1), "")</f>
        <v/>
      </c>
      <c r="F157" s="136" t="n"/>
      <c r="G157" s="136" t="n"/>
      <c r="H157" s="150" t="n"/>
      <c r="I157" s="150" t="n"/>
      <c r="J157" s="67">
        <f>IF(OpenPendingCases[[#This Row],[Timepiece Reference ]]="", "", IF(_xlfn.XLOOKUP(OpenPendingCases[[#This Row],[Timepiece Reference ]], Table1[[Timepiece Reference ]], Table1[CRC STOCK], "Not Found")="YES", "CRC Stock", "Boutique Stock"))</f>
        <v/>
      </c>
      <c r="K157" s="136">
        <f>IF(OpenPendingCases[[#This Row],[Timepiece Reference ]]="", "", IF(_xlfn.XLOOKUP(OpenPendingCases[[#This Row],[Timepiece Reference ]], Table1[[Timepiece Reference ]], Table1[CRC STOCK], "Not Found")="YES", "CRC Stock", "Boutique Stock"))</f>
        <v/>
      </c>
      <c r="L157" s="139" t="n"/>
      <c r="M157" s="140" t="n"/>
      <c r="N157" s="136" t="n"/>
      <c r="O157" s="133" t="n"/>
      <c r="P157" s="93">
        <f>IFERROR(VLOOKUP(TRIM(O157), Collection!$B$2:$D$1001, 2, FALSE), "")</f>
        <v/>
      </c>
      <c r="Q157" s="190">
        <f>IFERROR(VLOOKUP(TRIM(O157), Collection!$B$2:$D$1001, 3, FALSE), "")</f>
        <v/>
      </c>
      <c r="R157" s="153">
        <f>IFERROR(VALUE(SUBSTITUTE(SUBSTITUTE(Q157, "Price", ""), "AED", "")), "")</f>
        <v/>
      </c>
      <c r="S157" s="151" t="n"/>
      <c r="T157" s="158" t="n"/>
      <c r="U157" s="136" t="n"/>
      <c r="V157" s="136" t="n"/>
      <c r="W157" s="156">
        <f>IF(Z157 = "",
"",
TEXT(Z157, "mmmm"))</f>
        <v/>
      </c>
      <c r="X157" s="157" t="n"/>
      <c r="Y157" s="158" t="n"/>
      <c r="Z157" s="158" t="n"/>
      <c r="AA157" s="136">
        <f>IF(H157="", "", IF(U157="Open Sale", IF(TODAY()-H157=0, "0 Days", TEXT(TODAY()-H157, "0") &amp; " Days"), IF(U157="Closed Sale", AA157, "")))</f>
        <v/>
      </c>
      <c r="AB157" s="136">
        <f>IF(H157="", "", IF(OR(U157="Pending", U157="Pending Allocation"), CONCATENATE(TODAY()-H157, " Days"), IF(U157="Closed", "", "")))</f>
        <v/>
      </c>
      <c r="AC157" s="160">
        <f>IF(U157="Pending Allocation", IF(I157="", "", TODAY()-I157), "")</f>
        <v/>
      </c>
      <c r="AD157" s="159">
        <f>IF(U157="Open Sale", TEXT(TODAY()-I157, "0"),
IF(U157="Pending", "",
IF(U157="Closed Sale", "", "")))</f>
        <v/>
      </c>
      <c r="AE157" s="161" t="n"/>
      <c r="AF157" s="161" t="n"/>
      <c r="AG157" s="161" t="n"/>
      <c r="AH157" s="136" t="n"/>
      <c r="AI157" s="164">
        <f>IF(I157="","",TEXT(I157, "mmmm yyyy"))</f>
        <v/>
      </c>
      <c r="AJ157" s="164">
        <f>IF(AND(OpenPendingCases[[#This Row],[Sale Status	]]="Open Sale",OpenPendingCases[[#This Row],[Potential Same Month]]="High"),TEXT(OpenPendingCases[[#This Row],[Request Entry Date]], "[$-en-us]mmmm"),"")</f>
        <v/>
      </c>
      <c r="AK157" s="165">
        <f>IFERROR(VALUE(SUBSTITUTE(OpenPendingCases[[#This Row],[Price]]," AED","")),"")</f>
        <v/>
      </c>
      <c r="AL157" s="165">
        <f>IFERROR(VALUE(LEFT(OpenPendingCases[[#This Row],[Price]],FIND(" ",OpenPendingCases[[#This Row],[Price]])-1)),"")</f>
        <v/>
      </c>
      <c r="AM157" s="165">
        <f>IFERROR(VALUE(_xlfn.TEXTBEFORE(OpenPendingCases[[#This Row],[Price]]," AED")),"")</f>
        <v/>
      </c>
      <c r="AN157" s="165" t="n"/>
    </row>
    <row r="158" hidden="1" ht="18" customHeight="1" s="287">
      <c r="C158" s="133" t="n"/>
      <c r="D158" s="136">
        <f>IF($U158="Open Sale", IF(MAX($D$4:D157)+1=0, "", MAX($D$4:D157)+1), "")</f>
        <v/>
      </c>
      <c r="E158" s="136">
        <f>IF($U158="Pending Allocation", IF(MAX($E$4:E157)+1=0, "", MAX($E$4:E157)+1), "")</f>
        <v/>
      </c>
      <c r="F158" s="136" t="n"/>
      <c r="G158" s="136" t="n"/>
      <c r="H158" s="150" t="n"/>
      <c r="I158" s="150" t="n"/>
      <c r="J158" s="67">
        <f>IF(OpenPendingCases[[#This Row],[Timepiece Reference ]]="", "", IF(_xlfn.XLOOKUP(OpenPendingCases[[#This Row],[Timepiece Reference ]], Table1[[Timepiece Reference ]], Table1[CRC STOCK], "Not Found")="YES", "CRC Stock", "Boutique Stock"))</f>
        <v/>
      </c>
      <c r="K158" s="136">
        <f>IF(OpenPendingCases[[#This Row],[Timepiece Reference ]]="", "", IF(_xlfn.XLOOKUP(OpenPendingCases[[#This Row],[Timepiece Reference ]], Table1[[Timepiece Reference ]], Table1[CRC STOCK], "Not Found")="YES", "CRC Stock", "Boutique Stock"))</f>
        <v/>
      </c>
      <c r="L158" s="139" t="n"/>
      <c r="M158" s="140" t="n"/>
      <c r="N158" s="136" t="n"/>
      <c r="O158" s="133" t="n"/>
      <c r="P158" s="93">
        <f>IFERROR(VLOOKUP(TRIM(O158), Collection!$B$2:$D$1001, 2, FALSE), "")</f>
        <v/>
      </c>
      <c r="Q158" s="190">
        <f>IFERROR(VLOOKUP(TRIM(O158), Collection!$B$2:$D$1001, 3, FALSE), "")</f>
        <v/>
      </c>
      <c r="R158" s="153">
        <f>IFERROR(VALUE(SUBSTITUTE(SUBSTITUTE(Q158, "Price", ""), "AED", "")), "")</f>
        <v/>
      </c>
      <c r="S158" s="151" t="n"/>
      <c r="T158" s="158" t="n"/>
      <c r="U158" s="136" t="n"/>
      <c r="V158" s="136" t="n"/>
      <c r="W158" s="156">
        <f>IF(Z158 = "",
"",
TEXT(Z158, "mmmm"))</f>
        <v/>
      </c>
      <c r="X158" s="157" t="n"/>
      <c r="Y158" s="158" t="n"/>
      <c r="Z158" s="158" t="n"/>
      <c r="AA158" s="136">
        <f>IF(H158="", "", IF(U158="Open Sale", IF(TODAY()-H158=0, "0 Days", TEXT(TODAY()-H158, "0") &amp; " Days"), IF(U158="Closed Sale", AA158, "")))</f>
        <v/>
      </c>
      <c r="AB158" s="136">
        <f>IF(H158="", "", IF(OR(U158="Pending", U158="Pending Allocation"), CONCATENATE(TODAY()-H158, " Days"), IF(U158="Closed", "", "")))</f>
        <v/>
      </c>
      <c r="AC158" s="160">
        <f>IF(U158="Pending Allocation", IF(I158="", "", TODAY()-I158), "")</f>
        <v/>
      </c>
      <c r="AD158" s="159">
        <f>IF(U158="Open Sale", TEXT(TODAY()-I158, "0"),
IF(U158="Pending", "",
IF(U158="Closed Sale", "", "")))</f>
        <v/>
      </c>
      <c r="AE158" s="161" t="n"/>
      <c r="AF158" s="161" t="n"/>
      <c r="AG158" s="161" t="n"/>
      <c r="AH158" s="136" t="n"/>
      <c r="AI158" s="164">
        <f>IF(I158="","",TEXT(I158, "mmmm yyyy"))</f>
        <v/>
      </c>
      <c r="AJ158" s="164">
        <f>IF(AND(OpenPendingCases[[#This Row],[Sale Status	]]="Open Sale",OpenPendingCases[[#This Row],[Potential Same Month]]="High"),TEXT(OpenPendingCases[[#This Row],[Request Entry Date]], "[$-en-us]mmmm"),"")</f>
        <v/>
      </c>
      <c r="AK158" s="165">
        <f>IFERROR(VALUE(SUBSTITUTE(OpenPendingCases[[#This Row],[Price]]," AED","")),"")</f>
        <v/>
      </c>
      <c r="AL158" s="165">
        <f>IFERROR(VALUE(LEFT(OpenPendingCases[[#This Row],[Price]],FIND(" ",OpenPendingCases[[#This Row],[Price]])-1)),"")</f>
        <v/>
      </c>
      <c r="AM158" s="165">
        <f>IFERROR(VALUE(_xlfn.TEXTBEFORE(OpenPendingCases[[#This Row],[Price]]," AED")),"")</f>
        <v/>
      </c>
      <c r="AN158" s="165" t="n"/>
    </row>
    <row r="159" hidden="1" ht="18" customHeight="1" s="287">
      <c r="C159" s="133" t="n"/>
      <c r="D159" s="136">
        <f>IF($U159="Open Sale", IF(MAX($D$4:D158)+1=0, "", MAX($D$4:D158)+1), "")</f>
        <v/>
      </c>
      <c r="E159" s="136">
        <f>IF($U159="Pending Allocation", IF(MAX($E$4:E158)+1=0, "", MAX($E$4:E158)+1), "")</f>
        <v/>
      </c>
      <c r="F159" s="136" t="n"/>
      <c r="G159" s="136" t="n"/>
      <c r="H159" s="150" t="n"/>
      <c r="I159" s="150" t="n"/>
      <c r="J159" s="67">
        <f>IF(OpenPendingCases[[#This Row],[Timepiece Reference ]]="", "", IF(_xlfn.XLOOKUP(OpenPendingCases[[#This Row],[Timepiece Reference ]], Table1[[Timepiece Reference ]], Table1[CRC STOCK], "Not Found")="YES", "CRC Stock", "Boutique Stock"))</f>
        <v/>
      </c>
      <c r="K159" s="136">
        <f>IF(OpenPendingCases[[#This Row],[Timepiece Reference ]]="", "", IF(_xlfn.XLOOKUP(OpenPendingCases[[#This Row],[Timepiece Reference ]], Table1[[Timepiece Reference ]], Table1[CRC STOCK], "Not Found")="YES", "CRC Stock", "Boutique Stock"))</f>
        <v/>
      </c>
      <c r="L159" s="139" t="n"/>
      <c r="M159" s="140" t="n"/>
      <c r="N159" s="136" t="n"/>
      <c r="O159" s="133" t="n"/>
      <c r="P159" s="93">
        <f>IFERROR(VLOOKUP(TRIM(O159), Collection!$B$2:$D$1001, 2, FALSE), "")</f>
        <v/>
      </c>
      <c r="Q159" s="190">
        <f>IFERROR(VLOOKUP(TRIM(O159), Collection!$B$2:$D$1001, 3, FALSE), "")</f>
        <v/>
      </c>
      <c r="R159" s="153">
        <f>IFERROR(VALUE(SUBSTITUTE(SUBSTITUTE(Q159, "Price", ""), "AED", "")), "")</f>
        <v/>
      </c>
      <c r="S159" s="151" t="n"/>
      <c r="T159" s="158" t="n"/>
      <c r="U159" s="136" t="n"/>
      <c r="V159" s="136" t="n"/>
      <c r="W159" s="156">
        <f>IF(Z159 = "",
"",
TEXT(Z159, "mmmm"))</f>
        <v/>
      </c>
      <c r="X159" s="157" t="n"/>
      <c r="Y159" s="158" t="n"/>
      <c r="Z159" s="158" t="n"/>
      <c r="AA159" s="136">
        <f>IF(H159="", "", IF(U159="Open Sale", IF(TODAY()-H159=0, "0 Days", TEXT(TODAY()-H159, "0") &amp; " Days"), IF(U159="Closed Sale", AA159, "")))</f>
        <v/>
      </c>
      <c r="AB159" s="136">
        <f>IF(H159="", "", IF(OR(U159="Pending", U159="Pending Allocation"), CONCATENATE(TODAY()-H159, " Days"), IF(U159="Closed", "", "")))</f>
        <v/>
      </c>
      <c r="AC159" s="160">
        <f>IF(U159="Pending Allocation", IF(I159="", "", TODAY()-I159), "")</f>
        <v/>
      </c>
      <c r="AD159" s="159">
        <f>IF(U159="Open Sale", TEXT(TODAY()-I159, "0"),
IF(U159="Pending", "",
IF(U159="Closed Sale", "", "")))</f>
        <v/>
      </c>
      <c r="AE159" s="161" t="n"/>
      <c r="AF159" s="161" t="n"/>
      <c r="AG159" s="161" t="n"/>
      <c r="AH159" s="136" t="n"/>
      <c r="AI159" s="164">
        <f>IF(I159="","",TEXT(I159, "mmmm yyyy"))</f>
        <v/>
      </c>
      <c r="AJ159" s="164">
        <f>IF(AND(OpenPendingCases[[#This Row],[Sale Status	]]="Open Sale",OpenPendingCases[[#This Row],[Potential Same Month]]="High"),TEXT(OpenPendingCases[[#This Row],[Request Entry Date]], "[$-en-us]mmmm"),"")</f>
        <v/>
      </c>
      <c r="AK159" s="165">
        <f>IFERROR(VALUE(SUBSTITUTE(OpenPendingCases[[#This Row],[Price]]," AED","")),"")</f>
        <v/>
      </c>
      <c r="AL159" s="165">
        <f>IFERROR(VALUE(LEFT(OpenPendingCases[[#This Row],[Price]],FIND(" ",OpenPendingCases[[#This Row],[Price]])-1)),"")</f>
        <v/>
      </c>
      <c r="AM159" s="165">
        <f>IFERROR(VALUE(_xlfn.TEXTBEFORE(OpenPendingCases[[#This Row],[Price]]," AED")),"")</f>
        <v/>
      </c>
      <c r="AN159" s="165" t="n"/>
    </row>
    <row r="160" hidden="1" ht="18" customHeight="1" s="287">
      <c r="C160" s="133" t="n"/>
      <c r="D160" s="136">
        <f>IF($U160="Open Sale", IF(MAX($D$4:D159)+1=0, "", MAX($D$4:D159)+1), "")</f>
        <v/>
      </c>
      <c r="E160" s="136">
        <f>IF($U160="Pending Allocation", IF(MAX($E$4:E159)+1=0, "", MAX($E$4:E159)+1), "")</f>
        <v/>
      </c>
      <c r="F160" s="136" t="n"/>
      <c r="G160" s="136" t="n"/>
      <c r="H160" s="150" t="n"/>
      <c r="I160" s="150" t="n"/>
      <c r="J160" s="67">
        <f>IF(OpenPendingCases[[#This Row],[Timepiece Reference ]]="", "", IF(_xlfn.XLOOKUP(OpenPendingCases[[#This Row],[Timepiece Reference ]], Table1[[Timepiece Reference ]], Table1[CRC STOCK], "Not Found")="YES", "CRC Stock", "Boutique Stock"))</f>
        <v/>
      </c>
      <c r="K160" s="136">
        <f>IF(OpenPendingCases[[#This Row],[Timepiece Reference ]]="", "", IF(_xlfn.XLOOKUP(OpenPendingCases[[#This Row],[Timepiece Reference ]], Table1[[Timepiece Reference ]], Table1[CRC STOCK], "Not Found")="YES", "CRC Stock", "Boutique Stock"))</f>
        <v/>
      </c>
      <c r="L160" s="139" t="n"/>
      <c r="M160" s="140" t="n"/>
      <c r="N160" s="136" t="n"/>
      <c r="O160" s="133" t="n"/>
      <c r="P160" s="93">
        <f>IFERROR(VLOOKUP(TRIM(O160), Collection!$B$2:$D$1001, 2, FALSE), "")</f>
        <v/>
      </c>
      <c r="Q160" s="190">
        <f>IFERROR(VLOOKUP(TRIM(O160), Collection!$B$2:$D$1001, 3, FALSE), "")</f>
        <v/>
      </c>
      <c r="R160" s="153">
        <f>IFERROR(VALUE(SUBSTITUTE(SUBSTITUTE(Q160, "Price", ""), "AED", "")), "")</f>
        <v/>
      </c>
      <c r="S160" s="151" t="n"/>
      <c r="T160" s="158" t="n"/>
      <c r="U160" s="136" t="n"/>
      <c r="V160" s="136" t="n"/>
      <c r="W160" s="156">
        <f>IF(Z160 = "",
"",
TEXT(Z160, "mmmm"))</f>
        <v/>
      </c>
      <c r="X160" s="157" t="n"/>
      <c r="Y160" s="158" t="n"/>
      <c r="Z160" s="158" t="n"/>
      <c r="AA160" s="136">
        <f>IF(H160="", "", IF(U160="Open Sale", IF(TODAY()-H160=0, "0 Days", TEXT(TODAY()-H160, "0") &amp; " Days"), IF(U160="Closed Sale", AA160, "")))</f>
        <v/>
      </c>
      <c r="AB160" s="136">
        <f>IF(H160="", "", IF(OR(U160="Pending", U160="Pending Allocation"), CONCATENATE(TODAY()-H160, " Days"), IF(U160="Closed", "", "")))</f>
        <v/>
      </c>
      <c r="AC160" s="160">
        <f>IF(U160="Pending Allocation", IF(I160="", "", TODAY()-I160), "")</f>
        <v/>
      </c>
      <c r="AD160" s="159">
        <f>IF(U160="Open Sale", TEXT(TODAY()-I160, "0"),
IF(U160="Pending", "",
IF(U160="Closed Sale", "", "")))</f>
        <v/>
      </c>
      <c r="AE160" s="161" t="n"/>
      <c r="AF160" s="161" t="n"/>
      <c r="AG160" s="161" t="n"/>
      <c r="AH160" s="136" t="n"/>
      <c r="AI160" s="164">
        <f>IF(I160="","",TEXT(I160, "mmmm yyyy"))</f>
        <v/>
      </c>
      <c r="AJ160" s="164">
        <f>IF(AND(OpenPendingCases[[#This Row],[Sale Status	]]="Open Sale",OpenPendingCases[[#This Row],[Potential Same Month]]="High"),TEXT(OpenPendingCases[[#This Row],[Request Entry Date]], "[$-en-us]mmmm"),"")</f>
        <v/>
      </c>
      <c r="AK160" s="165">
        <f>IFERROR(VALUE(SUBSTITUTE(OpenPendingCases[[#This Row],[Price]]," AED","")),"")</f>
        <v/>
      </c>
      <c r="AL160" s="165">
        <f>IFERROR(VALUE(LEFT(OpenPendingCases[[#This Row],[Price]],FIND(" ",OpenPendingCases[[#This Row],[Price]])-1)),"")</f>
        <v/>
      </c>
      <c r="AM160" s="165">
        <f>IFERROR(VALUE(_xlfn.TEXTBEFORE(OpenPendingCases[[#This Row],[Price]]," AED")),"")</f>
        <v/>
      </c>
      <c r="AN160" s="165" t="n"/>
    </row>
    <row r="161" hidden="1" ht="18" customHeight="1" s="287">
      <c r="C161" s="133" t="n"/>
      <c r="D161" s="136">
        <f>IF($U161="Open Sale", IF(MAX($D$4:D160)+1=0, "", MAX($D$4:D160)+1), "")</f>
        <v/>
      </c>
      <c r="E161" s="136">
        <f>IF($U161="Pending Allocation", IF(MAX($E$4:E160)+1=0, "", MAX($E$4:E160)+1), "")</f>
        <v/>
      </c>
      <c r="F161" s="136" t="n"/>
      <c r="G161" s="136" t="n"/>
      <c r="H161" s="150" t="n"/>
      <c r="I161" s="150" t="n"/>
      <c r="J161" s="67">
        <f>IF(OpenPendingCases[[#This Row],[Timepiece Reference ]]="", "", IF(_xlfn.XLOOKUP(OpenPendingCases[[#This Row],[Timepiece Reference ]], Table1[[Timepiece Reference ]], Table1[CRC STOCK], "Not Found")="YES", "CRC Stock", "Boutique Stock"))</f>
        <v/>
      </c>
      <c r="K161" s="136">
        <f>IF(OpenPendingCases[[#This Row],[Timepiece Reference ]]="", "", IF(_xlfn.XLOOKUP(OpenPendingCases[[#This Row],[Timepiece Reference ]], Table1[[Timepiece Reference ]], Table1[CRC STOCK], "Not Found")="YES", "CRC Stock", "Boutique Stock"))</f>
        <v/>
      </c>
      <c r="L161" s="139" t="n"/>
      <c r="M161" s="140" t="n"/>
      <c r="N161" s="136" t="n"/>
      <c r="O161" s="133" t="n"/>
      <c r="P161" s="93">
        <f>IFERROR(VLOOKUP(TRIM(O161), Collection!$B$2:$D$1001, 2, FALSE), "")</f>
        <v/>
      </c>
      <c r="Q161" s="190">
        <f>IFERROR(VLOOKUP(TRIM(O161), Collection!$B$2:$D$1001, 3, FALSE), "")</f>
        <v/>
      </c>
      <c r="R161" s="153">
        <f>IFERROR(VALUE(SUBSTITUTE(SUBSTITUTE(Q161, "Price", ""), "AED", "")), "")</f>
        <v/>
      </c>
      <c r="S161" s="151" t="n"/>
      <c r="T161" s="158" t="n"/>
      <c r="U161" s="136" t="n"/>
      <c r="V161" s="136" t="n"/>
      <c r="W161" s="156">
        <f>IF(Z161 = "",
"",
TEXT(Z161, "mmmm"))</f>
        <v/>
      </c>
      <c r="X161" s="157" t="n"/>
      <c r="Y161" s="158" t="n"/>
      <c r="Z161" s="158" t="n"/>
      <c r="AA161" s="136">
        <f>IF(H161="", "", IF(U161="Open Sale", IF(TODAY()-H161=0, "0 Days", TEXT(TODAY()-H161, "0") &amp; " Days"), IF(U161="Closed Sale", AA161, "")))</f>
        <v/>
      </c>
      <c r="AB161" s="136">
        <f>IF(H161="", "", IF(OR(U161="Pending", U161="Pending Allocation"), CONCATENATE(TODAY()-H161, " Days"), IF(U161="Closed", "", "")))</f>
        <v/>
      </c>
      <c r="AC161" s="160">
        <f>IF(U161="Pending Allocation", IF(I161="", "", TODAY()-I161), "")</f>
        <v/>
      </c>
      <c r="AD161" s="159">
        <f>IF(U161="Open Sale", TEXT(TODAY()-I161, "0"),
IF(U161="Pending", "",
IF(U161="Closed Sale", "", "")))</f>
        <v/>
      </c>
      <c r="AE161" s="161" t="n"/>
      <c r="AF161" s="161" t="n"/>
      <c r="AG161" s="161" t="n"/>
      <c r="AH161" s="136" t="n"/>
      <c r="AI161" s="164">
        <f>IF(I161="","",TEXT(I161, "mmmm yyyy"))</f>
        <v/>
      </c>
      <c r="AJ161" s="164">
        <f>IF(AND(OpenPendingCases[[#This Row],[Sale Status	]]="Open Sale",OpenPendingCases[[#This Row],[Potential Same Month]]="High"),TEXT(OpenPendingCases[[#This Row],[Request Entry Date]], "[$-en-us]mmmm"),"")</f>
        <v/>
      </c>
      <c r="AK161" s="165">
        <f>IFERROR(VALUE(SUBSTITUTE(OpenPendingCases[[#This Row],[Price]]," AED","")),"")</f>
        <v/>
      </c>
      <c r="AL161" s="165">
        <f>IFERROR(VALUE(LEFT(OpenPendingCases[[#This Row],[Price]],FIND(" ",OpenPendingCases[[#This Row],[Price]])-1)),"")</f>
        <v/>
      </c>
      <c r="AM161" s="165">
        <f>IFERROR(VALUE(_xlfn.TEXTBEFORE(OpenPendingCases[[#This Row],[Price]]," AED")),"")</f>
        <v/>
      </c>
      <c r="AN161" s="165" t="n"/>
    </row>
    <row r="162" hidden="1" ht="18" customHeight="1" s="287">
      <c r="C162" s="133" t="n"/>
      <c r="D162" s="136">
        <f>IF($U162="Open Sale", IF(MAX($D$4:D161)+1=0, "", MAX($D$4:D161)+1), "")</f>
        <v/>
      </c>
      <c r="E162" s="136">
        <f>IF($U162="Pending Allocation", IF(MAX($E$4:E161)+1=0, "", MAX($E$4:E161)+1), "")</f>
        <v/>
      </c>
      <c r="F162" s="136" t="n"/>
      <c r="G162" s="136" t="n"/>
      <c r="H162" s="150" t="n"/>
      <c r="I162" s="150" t="n"/>
      <c r="J162" s="67">
        <f>IF(OpenPendingCases[[#This Row],[Timepiece Reference ]]="", "", IF(_xlfn.XLOOKUP(OpenPendingCases[[#This Row],[Timepiece Reference ]], Table1[[Timepiece Reference ]], Table1[CRC STOCK], "Not Found")="YES", "CRC Stock", "Boutique Stock"))</f>
        <v/>
      </c>
      <c r="K162" s="136">
        <f>IF(OpenPendingCases[[#This Row],[Timepiece Reference ]]="", "", IF(_xlfn.XLOOKUP(OpenPendingCases[[#This Row],[Timepiece Reference ]], Table1[[Timepiece Reference ]], Table1[CRC STOCK], "Not Found")="YES", "CRC Stock", "Boutique Stock"))</f>
        <v/>
      </c>
      <c r="L162" s="139" t="n"/>
      <c r="M162" s="140" t="n"/>
      <c r="N162" s="136" t="n"/>
      <c r="O162" s="133" t="n"/>
      <c r="P162" s="93">
        <f>IFERROR(VLOOKUP(TRIM(O162), Collection!$B$2:$D$1001, 2, FALSE), "")</f>
        <v/>
      </c>
      <c r="Q162" s="190">
        <f>IFERROR(VLOOKUP(TRIM(O162), Collection!$B$2:$D$1001, 3, FALSE), "")</f>
        <v/>
      </c>
      <c r="R162" s="153">
        <f>IFERROR(VALUE(SUBSTITUTE(SUBSTITUTE(Q162, "Price", ""), "AED", "")), "")</f>
        <v/>
      </c>
      <c r="S162" s="151" t="n"/>
      <c r="T162" s="158" t="n"/>
      <c r="U162" s="136" t="n"/>
      <c r="V162" s="136" t="n"/>
      <c r="W162" s="156">
        <f>IF(Z162 = "",
"",
TEXT(Z162, "mmmm"))</f>
        <v/>
      </c>
      <c r="X162" s="157" t="n"/>
      <c r="Y162" s="158" t="n"/>
      <c r="Z162" s="158" t="n"/>
      <c r="AA162" s="136">
        <f>IF(H162="", "", IF(U162="Open Sale", IF(TODAY()-H162=0, "0 Days", TEXT(TODAY()-H162, "0") &amp; " Days"), IF(U162="Closed Sale", AA162, "")))</f>
        <v/>
      </c>
      <c r="AB162" s="136">
        <f>IF(H162="", "", IF(OR(U162="Pending", U162="Pending Allocation"), CONCATENATE(TODAY()-H162, " Days"), IF(U162="Closed", "", "")))</f>
        <v/>
      </c>
      <c r="AC162" s="160">
        <f>IF(U162="Pending Allocation", IF(I162="", "", TODAY()-I162), "")</f>
        <v/>
      </c>
      <c r="AD162" s="159">
        <f>IF(U162="Open Sale", TEXT(TODAY()-I162, "0"),
IF(U162="Pending", "",
IF(U162="Closed Sale", "", "")))</f>
        <v/>
      </c>
      <c r="AE162" s="161" t="n"/>
      <c r="AF162" s="161" t="n"/>
      <c r="AG162" s="161" t="n"/>
      <c r="AH162" s="136" t="n"/>
      <c r="AI162" s="164">
        <f>IF(I162="","",TEXT(I162, "mmmm yyyy"))</f>
        <v/>
      </c>
      <c r="AJ162" s="164">
        <f>IF(AND(OpenPendingCases[[#This Row],[Sale Status	]]="Open Sale",OpenPendingCases[[#This Row],[Potential Same Month]]="High"),TEXT(OpenPendingCases[[#This Row],[Request Entry Date]], "[$-en-us]mmmm"),"")</f>
        <v/>
      </c>
      <c r="AK162" s="165">
        <f>IFERROR(VALUE(SUBSTITUTE(OpenPendingCases[[#This Row],[Price]]," AED","")),"")</f>
        <v/>
      </c>
      <c r="AL162" s="165">
        <f>IFERROR(VALUE(LEFT(OpenPendingCases[[#This Row],[Price]],FIND(" ",OpenPendingCases[[#This Row],[Price]])-1)),"")</f>
        <v/>
      </c>
      <c r="AM162" s="165">
        <f>IFERROR(VALUE(_xlfn.TEXTBEFORE(OpenPendingCases[[#This Row],[Price]]," AED")),"")</f>
        <v/>
      </c>
      <c r="AN162" s="165" t="n"/>
    </row>
    <row r="163" hidden="1" ht="18" customHeight="1" s="287">
      <c r="C163" s="133" t="n"/>
      <c r="D163" s="136">
        <f>IF($U163="Open Sale", IF(MAX($D$4:D162)+1=0, "", MAX($D$4:D162)+1), "")</f>
        <v/>
      </c>
      <c r="E163" s="136">
        <f>IF($U163="Pending Allocation", IF(MAX($E$4:E162)+1=0, "", MAX($E$4:E162)+1), "")</f>
        <v/>
      </c>
      <c r="F163" s="136" t="n"/>
      <c r="G163" s="136" t="n"/>
      <c r="H163" s="150" t="n"/>
      <c r="I163" s="150" t="n"/>
      <c r="J163" s="67">
        <f>IF(OpenPendingCases[[#This Row],[Timepiece Reference ]]="", "", IF(_xlfn.XLOOKUP(OpenPendingCases[[#This Row],[Timepiece Reference ]], Table1[[Timepiece Reference ]], Table1[CRC STOCK], "Not Found")="YES", "CRC Stock", "Boutique Stock"))</f>
        <v/>
      </c>
      <c r="K163" s="136">
        <f>IF(OpenPendingCases[[#This Row],[Timepiece Reference ]]="", "", IF(_xlfn.XLOOKUP(OpenPendingCases[[#This Row],[Timepiece Reference ]], Table1[[Timepiece Reference ]], Table1[CRC STOCK], "Not Found")="YES", "CRC Stock", "Boutique Stock"))</f>
        <v/>
      </c>
      <c r="L163" s="139" t="n"/>
      <c r="M163" s="140" t="n"/>
      <c r="N163" s="136" t="n"/>
      <c r="O163" s="133" t="n"/>
      <c r="P163" s="93">
        <f>IFERROR(VLOOKUP(TRIM(O163), Collection!$B$2:$D$1001, 2, FALSE), "")</f>
        <v/>
      </c>
      <c r="Q163" s="190">
        <f>IFERROR(VLOOKUP(TRIM(O163), Collection!$B$2:$D$1001, 3, FALSE), "")</f>
        <v/>
      </c>
      <c r="R163" s="153">
        <f>IFERROR(VALUE(SUBSTITUTE(SUBSTITUTE(Q163, "Price", ""), "AED", "")), "")</f>
        <v/>
      </c>
      <c r="S163" s="151" t="n"/>
      <c r="T163" s="158" t="n"/>
      <c r="U163" s="136" t="n"/>
      <c r="V163" s="136" t="n"/>
      <c r="W163" s="156">
        <f>IF(Z163 = "",
"",
TEXT(Z163, "mmmm"))</f>
        <v/>
      </c>
      <c r="X163" s="157" t="n"/>
      <c r="Y163" s="158" t="n"/>
      <c r="Z163" s="158" t="n"/>
      <c r="AA163" s="136">
        <f>IF(H163="", "", IF(U163="Open Sale", IF(TODAY()-H163=0, "0 Days", TEXT(TODAY()-H163, "0") &amp; " Days"), IF(U163="Closed Sale", AA163, "")))</f>
        <v/>
      </c>
      <c r="AB163" s="136">
        <f>IF(H163="", "", IF(OR(U163="Pending", U163="Pending Allocation"), CONCATENATE(TODAY()-H163, " Days"), IF(U163="Closed", "", "")))</f>
        <v/>
      </c>
      <c r="AC163" s="160">
        <f>IF(U163="Pending Allocation", IF(I163="", "", TODAY()-I163), "")</f>
        <v/>
      </c>
      <c r="AD163" s="159">
        <f>IF(U163="Open Sale", TEXT(TODAY()-I163, "0"),
IF(U163="Pending", "",
IF(U163="Closed Sale", "", "")))</f>
        <v/>
      </c>
      <c r="AE163" s="161" t="n"/>
      <c r="AF163" s="161" t="n"/>
      <c r="AG163" s="161" t="n"/>
      <c r="AH163" s="136" t="n"/>
      <c r="AI163" s="164">
        <f>IF(I163="","",TEXT(I163, "mmmm yyyy"))</f>
        <v/>
      </c>
      <c r="AJ163" s="164">
        <f>IF(AND(OpenPendingCases[[#This Row],[Sale Status	]]="Open Sale",OpenPendingCases[[#This Row],[Potential Same Month]]="High"),TEXT(OpenPendingCases[[#This Row],[Request Entry Date]], "[$-en-us]mmmm"),"")</f>
        <v/>
      </c>
      <c r="AK163" s="165">
        <f>IFERROR(VALUE(SUBSTITUTE(OpenPendingCases[[#This Row],[Price]]," AED","")),"")</f>
        <v/>
      </c>
      <c r="AL163" s="165">
        <f>IFERROR(VALUE(LEFT(OpenPendingCases[[#This Row],[Price]],FIND(" ",OpenPendingCases[[#This Row],[Price]])-1)),"")</f>
        <v/>
      </c>
      <c r="AM163" s="165">
        <f>IFERROR(VALUE(_xlfn.TEXTBEFORE(OpenPendingCases[[#This Row],[Price]]," AED")),"")</f>
        <v/>
      </c>
      <c r="AN163" s="165" t="n"/>
    </row>
    <row r="164" hidden="1" ht="18" customHeight="1" s="287">
      <c r="C164" s="133" t="n"/>
      <c r="D164" s="136">
        <f>IF($U164="Open Sale", IF(MAX($D$4:D163)+1=0, "", MAX($D$4:D163)+1), "")</f>
        <v/>
      </c>
      <c r="E164" s="136">
        <f>IF($U164="Pending Allocation", IF(MAX($E$4:E163)+1=0, "", MAX($E$4:E163)+1), "")</f>
        <v/>
      </c>
      <c r="F164" s="136" t="n"/>
      <c r="G164" s="136" t="n"/>
      <c r="H164" s="150" t="n"/>
      <c r="I164" s="150" t="n"/>
      <c r="J164" s="67">
        <f>IF(OpenPendingCases[[#This Row],[Timepiece Reference ]]="", "", IF(_xlfn.XLOOKUP(OpenPendingCases[[#This Row],[Timepiece Reference ]], Table1[[Timepiece Reference ]], Table1[CRC STOCK], "Not Found")="YES", "CRC Stock", "Boutique Stock"))</f>
        <v/>
      </c>
      <c r="K164" s="136">
        <f>IF(OpenPendingCases[[#This Row],[Timepiece Reference ]]="", "", IF(_xlfn.XLOOKUP(OpenPendingCases[[#This Row],[Timepiece Reference ]], Table1[[Timepiece Reference ]], Table1[CRC STOCK], "Not Found")="YES", "CRC Stock", "Boutique Stock"))</f>
        <v/>
      </c>
      <c r="L164" s="139" t="n"/>
      <c r="M164" s="143" t="n"/>
      <c r="N164" s="136" t="n"/>
      <c r="O164" s="133" t="n"/>
      <c r="P164" s="93">
        <f>IFERROR(VLOOKUP(TRIM(O164), Collection!$B$2:$D$1001, 2, FALSE), "")</f>
        <v/>
      </c>
      <c r="Q164" s="190">
        <f>IFERROR(VLOOKUP(TRIM(O164), Collection!$B$2:$D$1001, 3, FALSE), "")</f>
        <v/>
      </c>
      <c r="R164" s="153">
        <f>IFERROR(VALUE(SUBSTITUTE(SUBSTITUTE(Q164, "Price", ""), "AED", "")), "")</f>
        <v/>
      </c>
      <c r="S164" s="151" t="n"/>
      <c r="T164" s="158" t="n"/>
      <c r="U164" s="136" t="n"/>
      <c r="V164" s="136" t="n"/>
      <c r="W164" s="156">
        <f>IF(Z164 = "",
"",
TEXT(Z164, "mmmm"))</f>
        <v/>
      </c>
      <c r="X164" s="157" t="n"/>
      <c r="Y164" s="158" t="n"/>
      <c r="Z164" s="158" t="n"/>
      <c r="AA164" s="136">
        <f>IF(H164="", "", IF(U164="Open Sale", IF(TODAY()-H164=0, "0 Days", TEXT(TODAY()-H164, "0") &amp; " Days"), IF(U164="Closed Sale", AA164, "")))</f>
        <v/>
      </c>
      <c r="AB164" s="136">
        <f>IF(H164="", "", IF(OR(U164="Pending", U164="Pending Allocation"), CONCATENATE(TODAY()-H164, " Days"), IF(U164="Closed", "", "")))</f>
        <v/>
      </c>
      <c r="AC164" s="160">
        <f>IF(U164="Pending Allocation", IF(I164="", "", TODAY()-I164), "")</f>
        <v/>
      </c>
      <c r="AD164" s="159">
        <f>IF(U164="Open Sale", TEXT(TODAY()-I164, "0"),
IF(U164="Pending", "",
IF(U164="Closed Sale", "", "")))</f>
        <v/>
      </c>
      <c r="AE164" s="161" t="n"/>
      <c r="AF164" s="161" t="n"/>
      <c r="AG164" s="161" t="n"/>
      <c r="AH164" s="136" t="n"/>
      <c r="AI164" s="164">
        <f>IF(I164="","",TEXT(I164, "mmmm yyyy"))</f>
        <v/>
      </c>
      <c r="AJ164" s="164">
        <f>IF(AND(OpenPendingCases[[#This Row],[Sale Status	]]="Open Sale",OpenPendingCases[[#This Row],[Potential Same Month]]="High"),TEXT(OpenPendingCases[[#This Row],[Request Entry Date]], "[$-en-us]mmmm"),"")</f>
        <v/>
      </c>
      <c r="AK164" s="165">
        <f>IFERROR(VALUE(SUBSTITUTE(OpenPendingCases[[#This Row],[Price]]," AED","")),"")</f>
        <v/>
      </c>
      <c r="AL164" s="165">
        <f>IFERROR(VALUE(LEFT(OpenPendingCases[[#This Row],[Price]],FIND(" ",OpenPendingCases[[#This Row],[Price]])-1)),"")</f>
        <v/>
      </c>
      <c r="AM164" s="165">
        <f>IFERROR(VALUE(_xlfn.TEXTBEFORE(OpenPendingCases[[#This Row],[Price]]," AED")),"")</f>
        <v/>
      </c>
      <c r="AN164" s="165" t="n"/>
    </row>
    <row r="165" hidden="1" ht="18" customHeight="1" s="287">
      <c r="C165" s="133" t="n"/>
      <c r="D165" s="136">
        <f>IF($U165="Open Sale", IF(MAX($D$4:D164)+1=0, "", MAX($D$4:D164)+1), "")</f>
        <v/>
      </c>
      <c r="E165" s="136">
        <f>IF($U165="Pending Allocation", IF(MAX($E$4:E164)+1=0, "", MAX($E$4:E164)+1), "")</f>
        <v/>
      </c>
      <c r="F165" s="136" t="n"/>
      <c r="G165" s="136" t="n"/>
      <c r="H165" s="150" t="n"/>
      <c r="I165" s="150" t="n"/>
      <c r="J165" s="67">
        <f>IF(OpenPendingCases[[#This Row],[Timepiece Reference ]]="", "", IF(_xlfn.XLOOKUP(OpenPendingCases[[#This Row],[Timepiece Reference ]], Table1[[Timepiece Reference ]], Table1[CRC STOCK], "Not Found")="YES", "CRC Stock", "Boutique Stock"))</f>
        <v/>
      </c>
      <c r="K165" s="136">
        <f>IF(OpenPendingCases[[#This Row],[Timepiece Reference ]]="", "", IF(_xlfn.XLOOKUP(OpenPendingCases[[#This Row],[Timepiece Reference ]], Table1[[Timepiece Reference ]], Table1[CRC STOCK], "Not Found")="YES", "CRC Stock", "Boutique Stock"))</f>
        <v/>
      </c>
      <c r="L165" s="139" t="n"/>
      <c r="M165" s="140" t="n"/>
      <c r="N165" s="136" t="n"/>
      <c r="O165" s="133" t="n"/>
      <c r="P165" s="93">
        <f>IFERROR(VLOOKUP(TRIM(O165), Collection!$B$2:$D$1001, 2, FALSE), "")</f>
        <v/>
      </c>
      <c r="Q165" s="190">
        <f>IFERROR(VLOOKUP(TRIM(O165), Collection!$B$2:$D$1001, 3, FALSE), "")</f>
        <v/>
      </c>
      <c r="R165" s="153">
        <f>IFERROR(VALUE(SUBSTITUTE(SUBSTITUTE(Q165, "Price", ""), "AED", "")), "")</f>
        <v/>
      </c>
      <c r="S165" s="151" t="n"/>
      <c r="T165" s="158" t="n"/>
      <c r="U165" s="136" t="n"/>
      <c r="V165" s="136" t="n"/>
      <c r="W165" s="156">
        <f>IF(Z165 = "",
"",
TEXT(Z165, "mmmm"))</f>
        <v/>
      </c>
      <c r="X165" s="157" t="n"/>
      <c r="Y165" s="158" t="n"/>
      <c r="Z165" s="158" t="n"/>
      <c r="AA165" s="136">
        <f>IF(H165="", "", IF(U165="Open Sale", IF(TODAY()-H165=0, "0 Days", TEXT(TODAY()-H165, "0") &amp; " Days"), IF(U165="Closed Sale", AA165, "")))</f>
        <v/>
      </c>
      <c r="AB165" s="136">
        <f>IF(H165="", "", IF(OR(U165="Pending", U165="Pending Allocation"), CONCATENATE(TODAY()-H165, " Days"), IF(U165="Closed", "", "")))</f>
        <v/>
      </c>
      <c r="AC165" s="160">
        <f>IF(U165="Pending Allocation", IF(I165="", "", TODAY()-I165), "")</f>
        <v/>
      </c>
      <c r="AD165" s="159">
        <f>IF(U165="Open Sale", TEXT(TODAY()-I165, "0"),
IF(U165="Pending", "",
IF(U165="Closed Sale", "", "")))</f>
        <v/>
      </c>
      <c r="AE165" s="161" t="n"/>
      <c r="AF165" s="161" t="n"/>
      <c r="AG165" s="161" t="n"/>
      <c r="AH165" s="136" t="n"/>
      <c r="AI165" s="164">
        <f>IF(I165="","",TEXT(I165, "mmmm yyyy"))</f>
        <v/>
      </c>
      <c r="AJ165" s="164">
        <f>IF(AND(OpenPendingCases[[#This Row],[Sale Status	]]="Open Sale",OpenPendingCases[[#This Row],[Potential Same Month]]="High"),TEXT(OpenPendingCases[[#This Row],[Request Entry Date]], "[$-en-us]mmmm"),"")</f>
        <v/>
      </c>
      <c r="AK165" s="165">
        <f>IFERROR(VALUE(SUBSTITUTE(OpenPendingCases[[#This Row],[Price]]," AED","")),"")</f>
        <v/>
      </c>
      <c r="AL165" s="165">
        <f>IFERROR(VALUE(LEFT(OpenPendingCases[[#This Row],[Price]],FIND(" ",OpenPendingCases[[#This Row],[Price]])-1)),"")</f>
        <v/>
      </c>
      <c r="AM165" s="165">
        <f>IFERROR(VALUE(_xlfn.TEXTBEFORE(OpenPendingCases[[#This Row],[Price]]," AED")),"")</f>
        <v/>
      </c>
      <c r="AN165" s="165" t="n"/>
    </row>
    <row r="166" hidden="1" ht="18" customHeight="1" s="287">
      <c r="C166" s="133" t="n"/>
      <c r="D166" s="136">
        <f>IF($U166="Open Sale", IF(MAX($D$4:D165)+1=0, "", MAX($D$4:D165)+1), "")</f>
        <v/>
      </c>
      <c r="E166" s="136">
        <f>IF($U166="Pending Allocation", IF(MAX($E$4:E165)+1=0, "", MAX($E$4:E165)+1), "")</f>
        <v/>
      </c>
      <c r="F166" s="136" t="n"/>
      <c r="G166" s="136" t="n"/>
      <c r="H166" s="150" t="n"/>
      <c r="I166" s="150" t="n"/>
      <c r="J166" s="67">
        <f>IF(OpenPendingCases[[#This Row],[Timepiece Reference ]]="", "", IF(_xlfn.XLOOKUP(OpenPendingCases[[#This Row],[Timepiece Reference ]], Table1[[Timepiece Reference ]], Table1[CRC STOCK], "Not Found")="YES", "CRC Stock", "Boutique Stock"))</f>
        <v/>
      </c>
      <c r="K166" s="136">
        <f>IF(OpenPendingCases[[#This Row],[Timepiece Reference ]]="", "", IF(_xlfn.XLOOKUP(OpenPendingCases[[#This Row],[Timepiece Reference ]], Table1[[Timepiece Reference ]], Table1[CRC STOCK], "Not Found")="YES", "CRC Stock", "Boutique Stock"))</f>
        <v/>
      </c>
      <c r="L166" s="139" t="n"/>
      <c r="M166" s="143" t="n"/>
      <c r="N166" s="136" t="n"/>
      <c r="O166" s="133" t="n"/>
      <c r="P166" s="93">
        <f>IFERROR(VLOOKUP(TRIM(O166), Collection!$B$2:$D$1001, 2, FALSE), "")</f>
        <v/>
      </c>
      <c r="Q166" s="190">
        <f>IFERROR(VLOOKUP(TRIM(O166), Collection!$B$2:$D$1001, 3, FALSE), "")</f>
        <v/>
      </c>
      <c r="R166" s="153">
        <f>IFERROR(VALUE(SUBSTITUTE(SUBSTITUTE(Q166, "Price", ""), "AED", "")), "")</f>
        <v/>
      </c>
      <c r="S166" s="151" t="n"/>
      <c r="T166" s="158" t="n"/>
      <c r="U166" s="136" t="n"/>
      <c r="V166" s="136" t="n"/>
      <c r="W166" s="156">
        <f>IF(Z166 = "",
"",
TEXT(Z166, "mmmm"))</f>
        <v/>
      </c>
      <c r="X166" s="157" t="n"/>
      <c r="Y166" s="158" t="n"/>
      <c r="Z166" s="158" t="n"/>
      <c r="AA166" s="136">
        <f>IF(H166="", "", IF(U166="Open Sale", IF(TODAY()-H166=0, "0 Days", TEXT(TODAY()-H166, "0") &amp; " Days"), IF(U166="Closed Sale", AA166, "")))</f>
        <v/>
      </c>
      <c r="AB166" s="136">
        <f>IF(H166="", "", IF(OR(U166="Pending", U166="Pending Allocation"), CONCATENATE(TODAY()-H166, " Days"), IF(U166="Closed", "", "")))</f>
        <v/>
      </c>
      <c r="AC166" s="160">
        <f>IF(U166="Pending Allocation", IF(I166="", "", TODAY()-I166), "")</f>
        <v/>
      </c>
      <c r="AD166" s="159">
        <f>IF(U166="Open Sale", TEXT(TODAY()-I166, "0"),
IF(U166="Pending", "",
IF(U166="Closed Sale", "", "")))</f>
        <v/>
      </c>
      <c r="AE166" s="161" t="n"/>
      <c r="AF166" s="161" t="n"/>
      <c r="AG166" s="161" t="n"/>
      <c r="AH166" s="136" t="n"/>
      <c r="AI166" s="164">
        <f>IF(I166="","",TEXT(I166, "mmmm yyyy"))</f>
        <v/>
      </c>
      <c r="AJ166" s="164">
        <f>IF(AND(OpenPendingCases[[#This Row],[Sale Status	]]="Open Sale",OpenPendingCases[[#This Row],[Potential Same Month]]="High"),TEXT(OpenPendingCases[[#This Row],[Request Entry Date]], "[$-en-us]mmmm"),"")</f>
        <v/>
      </c>
      <c r="AK166" s="165">
        <f>IFERROR(VALUE(SUBSTITUTE(OpenPendingCases[[#This Row],[Price]]," AED","")),"")</f>
        <v/>
      </c>
      <c r="AL166" s="165">
        <f>IFERROR(VALUE(LEFT(OpenPendingCases[[#This Row],[Price]],FIND(" ",OpenPendingCases[[#This Row],[Price]])-1)),"")</f>
        <v/>
      </c>
      <c r="AM166" s="165">
        <f>IFERROR(VALUE(_xlfn.TEXTBEFORE(OpenPendingCases[[#This Row],[Price]]," AED")),"")</f>
        <v/>
      </c>
      <c r="AN166" s="165" t="n"/>
    </row>
    <row r="167" hidden="1" ht="18" customHeight="1" s="287">
      <c r="C167" s="133" t="n"/>
      <c r="D167" s="136">
        <f>IF($U167="Open Sale", IF(MAX($D$4:D166)+1=0, "", MAX($D$4:D166)+1), "")</f>
        <v/>
      </c>
      <c r="E167" s="136">
        <f>IF($U167="Pending Allocation", IF(MAX($E$4:E166)+1=0, "", MAX($E$4:E166)+1), "")</f>
        <v/>
      </c>
      <c r="F167" s="136" t="n"/>
      <c r="G167" s="136" t="n"/>
      <c r="H167" s="150" t="n"/>
      <c r="I167" s="150" t="n"/>
      <c r="J167" s="67">
        <f>IF(OpenPendingCases[[#This Row],[Timepiece Reference ]]="", "", IF(_xlfn.XLOOKUP(OpenPendingCases[[#This Row],[Timepiece Reference ]], Table1[[Timepiece Reference ]], Table1[CRC STOCK], "Not Found")="YES", "CRC Stock", "Boutique Stock"))</f>
        <v/>
      </c>
      <c r="K167" s="136">
        <f>IF(OpenPendingCases[[#This Row],[Timepiece Reference ]]="", "", IF(_xlfn.XLOOKUP(OpenPendingCases[[#This Row],[Timepiece Reference ]], Table1[[Timepiece Reference ]], Table1[CRC STOCK], "Not Found")="YES", "CRC Stock", "Boutique Stock"))</f>
        <v/>
      </c>
      <c r="L167" s="139" t="n"/>
      <c r="M167" s="140" t="n"/>
      <c r="N167" s="136" t="n"/>
      <c r="O167" s="133" t="n"/>
      <c r="P167" s="93">
        <f>IFERROR(VLOOKUP(TRIM(O167), Collection!$B$2:$D$1001, 2, FALSE), "")</f>
        <v/>
      </c>
      <c r="Q167" s="190">
        <f>IFERROR(VLOOKUP(TRIM(O167), Collection!$B$2:$D$1001, 3, FALSE), "")</f>
        <v/>
      </c>
      <c r="R167" s="153">
        <f>IFERROR(VALUE(SUBSTITUTE(SUBSTITUTE(Q167, "Price", ""), "AED", "")), "")</f>
        <v/>
      </c>
      <c r="S167" s="151" t="n"/>
      <c r="T167" s="158" t="n"/>
      <c r="U167" s="136" t="n"/>
      <c r="V167" s="136" t="n"/>
      <c r="W167" s="156">
        <f>IF(Z167 = "",
"",
TEXT(Z167, "mmmm"))</f>
        <v/>
      </c>
      <c r="X167" s="157" t="n"/>
      <c r="Y167" s="158" t="n"/>
      <c r="Z167" s="158" t="n"/>
      <c r="AA167" s="136">
        <f>IF(H167="", "", IF(U167="Open Sale", IF(TODAY()-H167=0, "0 Days", TEXT(TODAY()-H167, "0") &amp; " Days"), IF(U167="Closed Sale", AA167, "")))</f>
        <v/>
      </c>
      <c r="AB167" s="136">
        <f>IF(H167="", "", IF(OR(U167="Pending", U167="Pending Allocation"), CONCATENATE(TODAY()-H167, " Days"), IF(U167="Closed", "", "")))</f>
        <v/>
      </c>
      <c r="AC167" s="160">
        <f>IF(U167="Pending Allocation", IF(I167="", "", TODAY()-I167), "")</f>
        <v/>
      </c>
      <c r="AD167" s="159">
        <f>IF(U167="Open Sale", TEXT(TODAY()-I167, "0"),
IF(U167="Pending", "",
IF(U167="Closed Sale", "", "")))</f>
        <v/>
      </c>
      <c r="AE167" s="161" t="n"/>
      <c r="AF167" s="161" t="n"/>
      <c r="AG167" s="161" t="n"/>
      <c r="AH167" s="136" t="n"/>
      <c r="AI167" s="164">
        <f>IF(I167="","",TEXT(I167, "mmmm yyyy"))</f>
        <v/>
      </c>
      <c r="AJ167" s="164">
        <f>IF(AND(OpenPendingCases[[#This Row],[Sale Status	]]="Open Sale",OpenPendingCases[[#This Row],[Potential Same Month]]="High"),TEXT(OpenPendingCases[[#This Row],[Request Entry Date]], "[$-en-us]mmmm"),"")</f>
        <v/>
      </c>
      <c r="AK167" s="165">
        <f>IFERROR(VALUE(SUBSTITUTE(OpenPendingCases[[#This Row],[Price]]," AED","")),"")</f>
        <v/>
      </c>
      <c r="AL167" s="165">
        <f>IFERROR(VALUE(LEFT(OpenPendingCases[[#This Row],[Price]],FIND(" ",OpenPendingCases[[#This Row],[Price]])-1)),"")</f>
        <v/>
      </c>
      <c r="AM167" s="165">
        <f>IFERROR(VALUE(_xlfn.TEXTBEFORE(OpenPendingCases[[#This Row],[Price]]," AED")),"")</f>
        <v/>
      </c>
      <c r="AN167" s="165" t="n"/>
    </row>
    <row r="168" hidden="1" ht="18" customHeight="1" s="287">
      <c r="C168" s="133" t="n"/>
      <c r="D168" s="136">
        <f>IF($U168="Open Sale", IF(MAX($D$4:D167)+1=0, "", MAX($D$4:D167)+1), "")</f>
        <v/>
      </c>
      <c r="E168" s="136">
        <f>IF($U168="Pending Allocation", IF(MAX($E$4:E167)+1=0, "", MAX($E$4:E167)+1), "")</f>
        <v/>
      </c>
      <c r="F168" s="136" t="n"/>
      <c r="G168" s="136" t="n"/>
      <c r="H168" s="150" t="n"/>
      <c r="I168" s="150" t="n"/>
      <c r="J168" s="67">
        <f>IF(OpenPendingCases[[#This Row],[Timepiece Reference ]]="", "", IF(_xlfn.XLOOKUP(OpenPendingCases[[#This Row],[Timepiece Reference ]], Table1[[Timepiece Reference ]], Table1[CRC STOCK], "Not Found")="YES", "CRC Stock", "Boutique Stock"))</f>
        <v/>
      </c>
      <c r="K168" s="136">
        <f>IF(OpenPendingCases[[#This Row],[Timepiece Reference ]]="", "", IF(_xlfn.XLOOKUP(OpenPendingCases[[#This Row],[Timepiece Reference ]], Table1[[Timepiece Reference ]], Table1[CRC STOCK], "Not Found")="YES", "CRC Stock", "Boutique Stock"))</f>
        <v/>
      </c>
      <c r="L168" s="139" t="n"/>
      <c r="M168" s="140" t="n"/>
      <c r="N168" s="136" t="n"/>
      <c r="O168" s="133" t="n"/>
      <c r="P168" s="93">
        <f>IFERROR(VLOOKUP(TRIM(O168), Collection!$B$2:$D$1001, 2, FALSE), "")</f>
        <v/>
      </c>
      <c r="Q168" s="190">
        <f>IFERROR(VLOOKUP(TRIM(O168), Collection!$B$2:$D$1001, 3, FALSE), "")</f>
        <v/>
      </c>
      <c r="R168" s="153">
        <f>IFERROR(VALUE(SUBSTITUTE(SUBSTITUTE(Q168, "Price", ""), "AED", "")), "")</f>
        <v/>
      </c>
      <c r="S168" s="151" t="n"/>
      <c r="T168" s="158" t="n"/>
      <c r="U168" s="136" t="n"/>
      <c r="V168" s="136" t="n"/>
      <c r="W168" s="156">
        <f>IF(Z168 = "",
"",
TEXT(Z168, "mmmm"))</f>
        <v/>
      </c>
      <c r="X168" s="157" t="n"/>
      <c r="Y168" s="158" t="n"/>
      <c r="Z168" s="158" t="n"/>
      <c r="AA168" s="136">
        <f>IF(H168="", "", IF(U168="Open Sale", IF(TODAY()-H168=0, "0 Days", TEXT(TODAY()-H168, "0") &amp; " Days"), IF(U168="Closed Sale", AA168, "")))</f>
        <v/>
      </c>
      <c r="AB168" s="136">
        <f>IF(H168="", "", IF(OR(U168="Pending", U168="Pending Allocation"), CONCATENATE(TODAY()-H168, " Days"), IF(U168="Closed", "", "")))</f>
        <v/>
      </c>
      <c r="AC168" s="160">
        <f>IF(U168="Pending Allocation", IF(I168="", "", TODAY()-I168), "")</f>
        <v/>
      </c>
      <c r="AD168" s="159">
        <f>IF(U168="Open Sale", TEXT(TODAY()-I168, "0"),
IF(U168="Pending", "",
IF(U168="Closed Sale", "", "")))</f>
        <v/>
      </c>
      <c r="AE168" s="161" t="n"/>
      <c r="AF168" s="161" t="n"/>
      <c r="AG168" s="161" t="n"/>
      <c r="AH168" s="136" t="n"/>
      <c r="AI168" s="164">
        <f>IF(I168="","",TEXT(I168, "mmmm yyyy"))</f>
        <v/>
      </c>
      <c r="AJ168" s="164">
        <f>IF(AND(OpenPendingCases[[#This Row],[Sale Status	]]="Open Sale",OpenPendingCases[[#This Row],[Potential Same Month]]="High"),TEXT(OpenPendingCases[[#This Row],[Request Entry Date]], "[$-en-us]mmmm"),"")</f>
        <v/>
      </c>
      <c r="AK168" s="165">
        <f>IFERROR(VALUE(SUBSTITUTE(OpenPendingCases[[#This Row],[Price]]," AED","")),"")</f>
        <v/>
      </c>
      <c r="AL168" s="165">
        <f>IFERROR(VALUE(LEFT(OpenPendingCases[[#This Row],[Price]],FIND(" ",OpenPendingCases[[#This Row],[Price]])-1)),"")</f>
        <v/>
      </c>
      <c r="AM168" s="165">
        <f>IFERROR(VALUE(_xlfn.TEXTBEFORE(OpenPendingCases[[#This Row],[Price]]," AED")),"")</f>
        <v/>
      </c>
      <c r="AN168" s="165" t="n"/>
    </row>
    <row r="169" hidden="1" ht="18" customHeight="1" s="287">
      <c r="C169" s="133" t="n"/>
      <c r="D169" s="136">
        <f>IF($U169="Open Sale", IF(MAX($D$4:D168)+1=0, "", MAX($D$4:D168)+1), "")</f>
        <v/>
      </c>
      <c r="E169" s="136">
        <f>IF($U169="Pending Allocation", IF(MAX($E$4:E168)+1=0, "", MAX($E$4:E168)+1), "")</f>
        <v/>
      </c>
      <c r="F169" s="136" t="n"/>
      <c r="G169" s="136" t="n"/>
      <c r="H169" s="150" t="n"/>
      <c r="I169" s="150" t="n"/>
      <c r="J169" s="67">
        <f>IF(OpenPendingCases[[#This Row],[Timepiece Reference ]]="", "", IF(_xlfn.XLOOKUP(OpenPendingCases[[#This Row],[Timepiece Reference ]], Table1[[Timepiece Reference ]], Table1[CRC STOCK], "Not Found")="YES", "CRC Stock", "Boutique Stock"))</f>
        <v/>
      </c>
      <c r="K169" s="136">
        <f>IF(OpenPendingCases[[#This Row],[Timepiece Reference ]]="", "", IF(_xlfn.XLOOKUP(OpenPendingCases[[#This Row],[Timepiece Reference ]], Table1[[Timepiece Reference ]], Table1[CRC STOCK], "Not Found")="YES", "CRC Stock", "Boutique Stock"))</f>
        <v/>
      </c>
      <c r="L169" s="139" t="n"/>
      <c r="M169" s="140" t="n"/>
      <c r="N169" s="136" t="n"/>
      <c r="O169" s="133" t="n"/>
      <c r="P169" s="93">
        <f>IFERROR(VLOOKUP(TRIM(O169), Collection!$B$2:$D$1001, 2, FALSE), "")</f>
        <v/>
      </c>
      <c r="Q169" s="190">
        <f>IFERROR(VLOOKUP(TRIM(O169), Collection!$B$2:$D$1001, 3, FALSE), "")</f>
        <v/>
      </c>
      <c r="R169" s="153">
        <f>IFERROR(VALUE(SUBSTITUTE(SUBSTITUTE(Q169, "Price", ""), "AED", "")), "")</f>
        <v/>
      </c>
      <c r="S169" s="151" t="n"/>
      <c r="T169" s="158" t="n"/>
      <c r="U169" s="136" t="n"/>
      <c r="V169" s="136" t="n"/>
      <c r="W169" s="156">
        <f>IF(Z169 = "",
"",
TEXT(Z169, "mmmm"))</f>
        <v/>
      </c>
      <c r="X169" s="157" t="n"/>
      <c r="Y169" s="158" t="n"/>
      <c r="Z169" s="158" t="n"/>
      <c r="AA169" s="136">
        <f>IF(H169="", "", IF(U169="Open Sale", IF(TODAY()-H169=0, "0 Days", TEXT(TODAY()-H169, "0") &amp; " Days"), IF(U169="Closed Sale", AA169, "")))</f>
        <v/>
      </c>
      <c r="AB169" s="136">
        <f>IF(H169="", "", IF(OR(U169="Pending", U169="Pending Allocation"), CONCATENATE(TODAY()-H169, " Days"), IF(U169="Closed", "", "")))</f>
        <v/>
      </c>
      <c r="AC169" s="160">
        <f>IF(U169="Pending Allocation", IF(I169="", "", TODAY()-I169), "")</f>
        <v/>
      </c>
      <c r="AD169" s="159">
        <f>IF(U169="Open Sale", TEXT(TODAY()-I169, "0"),
IF(U169="Pending", "",
IF(U169="Closed Sale", "", "")))</f>
        <v/>
      </c>
      <c r="AE169" s="161" t="n"/>
      <c r="AF169" s="161" t="n"/>
      <c r="AG169" s="161" t="n"/>
      <c r="AH169" s="136" t="n"/>
      <c r="AI169" s="164">
        <f>IF(I169="","",TEXT(I169, "mmmm yyyy"))</f>
        <v/>
      </c>
      <c r="AJ169" s="164">
        <f>IF(AND(OpenPendingCases[[#This Row],[Sale Status	]]="Open Sale",OpenPendingCases[[#This Row],[Potential Same Month]]="High"),TEXT(OpenPendingCases[[#This Row],[Request Entry Date]], "[$-en-us]mmmm"),"")</f>
        <v/>
      </c>
      <c r="AK169" s="165">
        <f>IFERROR(VALUE(SUBSTITUTE(OpenPendingCases[[#This Row],[Price]]," AED","")),"")</f>
        <v/>
      </c>
      <c r="AL169" s="165">
        <f>IFERROR(VALUE(LEFT(OpenPendingCases[[#This Row],[Price]],FIND(" ",OpenPendingCases[[#This Row],[Price]])-1)),"")</f>
        <v/>
      </c>
      <c r="AM169" s="165">
        <f>IFERROR(VALUE(_xlfn.TEXTBEFORE(OpenPendingCases[[#This Row],[Price]]," AED")),"")</f>
        <v/>
      </c>
      <c r="AN169" s="165" t="n"/>
    </row>
    <row r="170" hidden="1" ht="18" customHeight="1" s="287">
      <c r="C170" s="133" t="n"/>
      <c r="D170" s="136">
        <f>IF($U170="Open Sale", IF(MAX($D$4:D169)+1=0, "", MAX($D$4:D169)+1), "")</f>
        <v/>
      </c>
      <c r="E170" s="136">
        <f>IF($U170="Pending Allocation", IF(MAX($E$4:E169)+1=0, "", MAX($E$4:E169)+1), "")</f>
        <v/>
      </c>
      <c r="F170" s="136" t="n"/>
      <c r="G170" s="136" t="n"/>
      <c r="H170" s="150" t="n"/>
      <c r="I170" s="150" t="n"/>
      <c r="J170" s="67">
        <f>IF(OpenPendingCases[[#This Row],[Timepiece Reference ]]="", "", IF(_xlfn.XLOOKUP(OpenPendingCases[[#This Row],[Timepiece Reference ]], Table1[[Timepiece Reference ]], Table1[CRC STOCK], "Not Found")="YES", "CRC Stock", "Boutique Stock"))</f>
        <v/>
      </c>
      <c r="K170" s="136">
        <f>IF(OpenPendingCases[[#This Row],[Timepiece Reference ]]="", "", IF(_xlfn.XLOOKUP(OpenPendingCases[[#This Row],[Timepiece Reference ]], Table1[[Timepiece Reference ]], Table1[CRC STOCK], "Not Found")="YES", "CRC Stock", "Boutique Stock"))</f>
        <v/>
      </c>
      <c r="L170" s="139" t="n"/>
      <c r="M170" s="140" t="n"/>
      <c r="N170" s="136" t="n"/>
      <c r="O170" s="133" t="n"/>
      <c r="P170" s="93">
        <f>IFERROR(VLOOKUP(TRIM(O170), Collection!$B$2:$D$1001, 2, FALSE), "")</f>
        <v/>
      </c>
      <c r="Q170" s="190">
        <f>IFERROR(VLOOKUP(TRIM(O170), Collection!$B$2:$D$1001, 3, FALSE), "")</f>
        <v/>
      </c>
      <c r="R170" s="153">
        <f>IFERROR(VALUE(SUBSTITUTE(SUBSTITUTE(Q170, "Price", ""), "AED", "")), "")</f>
        <v/>
      </c>
      <c r="S170" s="151" t="n"/>
      <c r="T170" s="158" t="n"/>
      <c r="U170" s="136" t="n"/>
      <c r="V170" s="136" t="n"/>
      <c r="W170" s="156">
        <f>IF(Z170 = "",
"",
TEXT(Z170, "mmmm"))</f>
        <v/>
      </c>
      <c r="X170" s="157" t="n"/>
      <c r="Y170" s="158" t="n"/>
      <c r="Z170" s="158" t="n"/>
      <c r="AA170" s="136">
        <f>IF(H170="", "", IF(U170="Open Sale", IF(TODAY()-H170=0, "0 Days", TEXT(TODAY()-H170, "0") &amp; " Days"), IF(U170="Closed Sale", AA170, "")))</f>
        <v/>
      </c>
      <c r="AB170" s="136">
        <f>IF(H170="", "", IF(OR(U170="Pending", U170="Pending Allocation"), CONCATENATE(TODAY()-H170, " Days"), IF(U170="Closed", "", "")))</f>
        <v/>
      </c>
      <c r="AC170" s="160">
        <f>IF(U170="Pending Allocation", IF(I170="", "", TODAY()-I170), "")</f>
        <v/>
      </c>
      <c r="AD170" s="159">
        <f>IF(U170="Open Sale", TEXT(TODAY()-I170, "0"),
IF(U170="Pending", "",
IF(U170="Closed Sale", "", "")))</f>
        <v/>
      </c>
      <c r="AE170" s="161" t="n"/>
      <c r="AF170" s="161" t="n"/>
      <c r="AG170" s="161" t="n"/>
      <c r="AH170" s="136" t="n"/>
      <c r="AI170" s="164">
        <f>IF(I170="","",TEXT(I170, "mmmm yyyy"))</f>
        <v/>
      </c>
      <c r="AJ170" s="164">
        <f>IF(AND(OpenPendingCases[[#This Row],[Sale Status	]]="Open Sale",OpenPendingCases[[#This Row],[Potential Same Month]]="High"),TEXT(OpenPendingCases[[#This Row],[Request Entry Date]], "[$-en-us]mmmm"),"")</f>
        <v/>
      </c>
      <c r="AK170" s="165">
        <f>IFERROR(VALUE(SUBSTITUTE(OpenPendingCases[[#This Row],[Price]]," AED","")),"")</f>
        <v/>
      </c>
      <c r="AL170" s="165">
        <f>IFERROR(VALUE(LEFT(OpenPendingCases[[#This Row],[Price]],FIND(" ",OpenPendingCases[[#This Row],[Price]])-1)),"")</f>
        <v/>
      </c>
      <c r="AM170" s="165">
        <f>IFERROR(VALUE(_xlfn.TEXTBEFORE(OpenPendingCases[[#This Row],[Price]]," AED")),"")</f>
        <v/>
      </c>
      <c r="AN170" s="165" t="n"/>
    </row>
    <row r="171" hidden="1" ht="18" customHeight="1" s="287">
      <c r="C171" s="133" t="n"/>
      <c r="D171" s="136">
        <f>IF($U171="Open Sale", IF(MAX($D$4:D170)+1=0, "", MAX($D$4:D170)+1), "")</f>
        <v/>
      </c>
      <c r="E171" s="136">
        <f>IF($U171="Pending Allocation", IF(MAX($E$4:E170)+1=0, "", MAX($E$4:E170)+1), "")</f>
        <v/>
      </c>
      <c r="F171" s="136" t="n"/>
      <c r="G171" s="136" t="n"/>
      <c r="H171" s="150" t="n"/>
      <c r="I171" s="150" t="n"/>
      <c r="J171" s="67">
        <f>IF(OpenPendingCases[[#This Row],[Timepiece Reference ]]="", "", IF(_xlfn.XLOOKUP(OpenPendingCases[[#This Row],[Timepiece Reference ]], Table1[[Timepiece Reference ]], Table1[CRC STOCK], "Not Found")="YES", "CRC Stock", "Boutique Stock"))</f>
        <v/>
      </c>
      <c r="K171" s="136">
        <f>IF(OpenPendingCases[[#This Row],[Timepiece Reference ]]="", "", IF(_xlfn.XLOOKUP(OpenPendingCases[[#This Row],[Timepiece Reference ]], Table1[[Timepiece Reference ]], Table1[CRC STOCK], "Not Found")="YES", "CRC Stock", "Boutique Stock"))</f>
        <v/>
      </c>
      <c r="L171" s="139" t="n"/>
      <c r="M171" s="140" t="n"/>
      <c r="N171" s="136" t="n"/>
      <c r="O171" s="133" t="n"/>
      <c r="P171" s="93">
        <f>IFERROR(VLOOKUP(TRIM(O171), Collection!$B$2:$D$1001, 2, FALSE), "")</f>
        <v/>
      </c>
      <c r="Q171" s="190">
        <f>IFERROR(VLOOKUP(TRIM(O171), Collection!$B$2:$D$1001, 3, FALSE), "")</f>
        <v/>
      </c>
      <c r="R171" s="153">
        <f>IFERROR(VALUE(SUBSTITUTE(SUBSTITUTE(Q171, "Price", ""), "AED", "")), "")</f>
        <v/>
      </c>
      <c r="S171" s="151" t="n"/>
      <c r="T171" s="158" t="n"/>
      <c r="U171" s="136" t="n"/>
      <c r="V171" s="136" t="n"/>
      <c r="W171" s="156">
        <f>IF(Z171 = "",
"",
TEXT(Z171, "mmmm"))</f>
        <v/>
      </c>
      <c r="X171" s="157" t="n"/>
      <c r="Y171" s="158" t="n"/>
      <c r="Z171" s="158" t="n"/>
      <c r="AA171" s="136">
        <f>IF(H171="", "", IF(U171="Open Sale", IF(TODAY()-H171=0, "0 Days", TEXT(TODAY()-H171, "0") &amp; " Days"), IF(U171="Closed Sale", AA171, "")))</f>
        <v/>
      </c>
      <c r="AB171" s="136">
        <f>IF(H171="", "", IF(OR(U171="Pending", U171="Pending Allocation"), CONCATENATE(TODAY()-H171, " Days"), IF(U171="Closed", "", "")))</f>
        <v/>
      </c>
      <c r="AC171" s="160">
        <f>IF(U171="Pending Allocation", IF(I171="", "", TODAY()-I171), "")</f>
        <v/>
      </c>
      <c r="AD171" s="159">
        <f>IF(U171="Open Sale", TEXT(TODAY()-I171, "0"),
IF(U171="Pending", "",
IF(U171="Closed Sale", "", "")))</f>
        <v/>
      </c>
      <c r="AE171" s="161" t="n"/>
      <c r="AF171" s="161" t="n"/>
      <c r="AG171" s="161" t="n"/>
      <c r="AH171" s="136" t="n"/>
      <c r="AI171" s="164">
        <f>IF(I171="","",TEXT(I171, "mmmm yyyy"))</f>
        <v/>
      </c>
      <c r="AJ171" s="164">
        <f>IF(AND(OpenPendingCases[[#This Row],[Sale Status	]]="Open Sale",OpenPendingCases[[#This Row],[Potential Same Month]]="High"),TEXT(OpenPendingCases[[#This Row],[Request Entry Date]], "[$-en-us]mmmm"),"")</f>
        <v/>
      </c>
      <c r="AK171" s="165">
        <f>IFERROR(VALUE(SUBSTITUTE(OpenPendingCases[[#This Row],[Price]]," AED","")),"")</f>
        <v/>
      </c>
      <c r="AL171" s="165">
        <f>IFERROR(VALUE(LEFT(OpenPendingCases[[#This Row],[Price]],FIND(" ",OpenPendingCases[[#This Row],[Price]])-1)),"")</f>
        <v/>
      </c>
      <c r="AM171" s="165">
        <f>IFERROR(VALUE(_xlfn.TEXTBEFORE(OpenPendingCases[[#This Row],[Price]]," AED")),"")</f>
        <v/>
      </c>
      <c r="AN171" s="165" t="n"/>
    </row>
    <row r="172" hidden="1" ht="18" customHeight="1" s="287">
      <c r="C172" s="133" t="n"/>
      <c r="D172" s="136">
        <f>IF($U172="Open Sale", IF(MAX($D$4:D171)+1=0, "", MAX($D$4:D171)+1), "")</f>
        <v/>
      </c>
      <c r="E172" s="136">
        <f>IF($U172="Pending Allocation", IF(MAX($E$4:E171)+1=0, "", MAX($E$4:E171)+1), "")</f>
        <v/>
      </c>
      <c r="F172" s="136" t="n"/>
      <c r="G172" s="136" t="n"/>
      <c r="H172" s="150" t="n"/>
      <c r="I172" s="150" t="n"/>
      <c r="J172" s="67">
        <f>IF(OpenPendingCases[[#This Row],[Timepiece Reference ]]="", "", IF(_xlfn.XLOOKUP(OpenPendingCases[[#This Row],[Timepiece Reference ]], Table1[[Timepiece Reference ]], Table1[CRC STOCK], "Not Found")="YES", "CRC Stock", "Boutique Stock"))</f>
        <v/>
      </c>
      <c r="K172" s="136">
        <f>IF(OpenPendingCases[[#This Row],[Timepiece Reference ]]="", "", IF(_xlfn.XLOOKUP(OpenPendingCases[[#This Row],[Timepiece Reference ]], Table1[[Timepiece Reference ]], Table1[CRC STOCK], "Not Found")="YES", "CRC Stock", "Boutique Stock"))</f>
        <v/>
      </c>
      <c r="L172" s="139" t="n"/>
      <c r="M172" s="140" t="n"/>
      <c r="N172" s="136" t="n"/>
      <c r="O172" s="133" t="n"/>
      <c r="P172" s="93">
        <f>IFERROR(VLOOKUP(TRIM(O172), Collection!$B$2:$D$1001, 2, FALSE), "")</f>
        <v/>
      </c>
      <c r="Q172" s="190">
        <f>IFERROR(VLOOKUP(TRIM(O172), Collection!$B$2:$D$1001, 3, FALSE), "")</f>
        <v/>
      </c>
      <c r="R172" s="153">
        <f>IFERROR(VALUE(SUBSTITUTE(SUBSTITUTE(Q172, "Price", ""), "AED", "")), "")</f>
        <v/>
      </c>
      <c r="S172" s="151" t="n"/>
      <c r="T172" s="158" t="n"/>
      <c r="U172" s="136" t="n"/>
      <c r="V172" s="136" t="n"/>
      <c r="W172" s="156">
        <f>IF(Z172 = "",
"",
TEXT(Z172, "mmmm"))</f>
        <v/>
      </c>
      <c r="X172" s="157" t="n"/>
      <c r="Y172" s="158" t="n"/>
      <c r="Z172" s="158" t="n"/>
      <c r="AA172" s="136">
        <f>IF(H172="", "", IF(U172="Open Sale", IF(TODAY()-H172=0, "0 Days", TEXT(TODAY()-H172, "0") &amp; " Days"), IF(U172="Closed Sale", AA172, "")))</f>
        <v/>
      </c>
      <c r="AB172" s="136">
        <f>IF(H172="", "", IF(OR(U172="Pending", U172="Pending Allocation"), CONCATENATE(TODAY()-H172, " Days"), IF(U172="Closed", "", "")))</f>
        <v/>
      </c>
      <c r="AC172" s="160">
        <f>IF(U172="Pending Allocation", IF(I172="", "", TODAY()-I172), "")</f>
        <v/>
      </c>
      <c r="AD172" s="159">
        <f>IF(U172="Open Sale", TEXT(TODAY()-I172, "0"),
IF(U172="Pending", "",
IF(U172="Closed Sale", "", "")))</f>
        <v/>
      </c>
      <c r="AE172" s="161" t="n"/>
      <c r="AF172" s="161" t="n"/>
      <c r="AG172" s="161" t="n"/>
      <c r="AH172" s="136" t="n"/>
      <c r="AI172" s="164">
        <f>IF(I172="","",TEXT(I172, "mmmm yyyy"))</f>
        <v/>
      </c>
      <c r="AJ172" s="164">
        <f>IF(AND(OpenPendingCases[[#This Row],[Sale Status	]]="Open Sale",OpenPendingCases[[#This Row],[Potential Same Month]]="High"),TEXT(OpenPendingCases[[#This Row],[Request Entry Date]], "[$-en-us]mmmm"),"")</f>
        <v/>
      </c>
      <c r="AK172" s="165">
        <f>IFERROR(VALUE(SUBSTITUTE(OpenPendingCases[[#This Row],[Price]]," AED","")),"")</f>
        <v/>
      </c>
      <c r="AL172" s="165">
        <f>IFERROR(VALUE(LEFT(OpenPendingCases[[#This Row],[Price]],FIND(" ",OpenPendingCases[[#This Row],[Price]])-1)),"")</f>
        <v/>
      </c>
      <c r="AM172" s="165">
        <f>IFERROR(VALUE(_xlfn.TEXTBEFORE(OpenPendingCases[[#This Row],[Price]]," AED")),"")</f>
        <v/>
      </c>
      <c r="AN172" s="165" t="n"/>
    </row>
    <row r="173" hidden="1" ht="18" customHeight="1" s="287">
      <c r="C173" s="133" t="n"/>
      <c r="D173" s="136">
        <f>IF($U173="Open Sale", IF(MAX($D$4:D172)+1=0, "", MAX($D$4:D172)+1), "")</f>
        <v/>
      </c>
      <c r="E173" s="136">
        <f>IF($U173="Pending Allocation", IF(MAX($E$4:E172)+1=0, "", MAX($E$4:E172)+1), "")</f>
        <v/>
      </c>
      <c r="F173" s="136" t="n"/>
      <c r="G173" s="136" t="n"/>
      <c r="H173" s="150" t="n"/>
      <c r="I173" s="150" t="n"/>
      <c r="J173" s="67">
        <f>IF(OpenPendingCases[[#This Row],[Timepiece Reference ]]="", "", IF(_xlfn.XLOOKUP(OpenPendingCases[[#This Row],[Timepiece Reference ]], Table1[[Timepiece Reference ]], Table1[CRC STOCK], "Not Found")="YES", "CRC Stock", "Boutique Stock"))</f>
        <v/>
      </c>
      <c r="K173" s="136">
        <f>IF(OpenPendingCases[[#This Row],[Timepiece Reference ]]="", "", IF(_xlfn.XLOOKUP(OpenPendingCases[[#This Row],[Timepiece Reference ]], Table1[[Timepiece Reference ]], Table1[CRC STOCK], "Not Found")="YES", "CRC Stock", "Boutique Stock"))</f>
        <v/>
      </c>
      <c r="L173" s="139" t="n"/>
      <c r="M173" s="140" t="n"/>
      <c r="N173" s="136" t="n"/>
      <c r="O173" s="133" t="n"/>
      <c r="P173" s="93">
        <f>IFERROR(VLOOKUP(TRIM(O173), Collection!$B$2:$D$1001, 2, FALSE), "")</f>
        <v/>
      </c>
      <c r="Q173" s="190">
        <f>IFERROR(VLOOKUP(TRIM(O173), Collection!$B$2:$D$1001, 3, FALSE), "")</f>
        <v/>
      </c>
      <c r="R173" s="153">
        <f>IFERROR(VALUE(SUBSTITUTE(SUBSTITUTE(Q173, "Price", ""), "AED", "")), "")</f>
        <v/>
      </c>
      <c r="S173" s="151" t="n"/>
      <c r="T173" s="158" t="n"/>
      <c r="U173" s="136" t="n"/>
      <c r="V173" s="136" t="n"/>
      <c r="W173" s="156">
        <f>IF(Z173 = "",
"",
TEXT(Z173, "mmmm"))</f>
        <v/>
      </c>
      <c r="X173" s="157" t="n"/>
      <c r="Y173" s="158" t="n"/>
      <c r="Z173" s="158" t="n"/>
      <c r="AA173" s="136">
        <f>IF(H173="", "", IF(U173="Open Sale", IF(TODAY()-H173=0, "0 Days", TEXT(TODAY()-H173, "0") &amp; " Days"), IF(U173="Closed Sale", AA173, "")))</f>
        <v/>
      </c>
      <c r="AB173" s="136">
        <f>IF(H173="", "", IF(OR(U173="Pending", U173="Pending Allocation"), CONCATENATE(TODAY()-H173, " Days"), IF(U173="Closed", "", "")))</f>
        <v/>
      </c>
      <c r="AC173" s="160">
        <f>IF(U173="Pending Allocation", IF(I173="", "", TODAY()-I173), "")</f>
        <v/>
      </c>
      <c r="AD173" s="159">
        <f>IF(U173="Open Sale", TEXT(TODAY()-I173, "0"),
IF(U173="Pending", "",
IF(U173="Closed Sale", "", "")))</f>
        <v/>
      </c>
      <c r="AE173" s="161" t="n"/>
      <c r="AF173" s="161" t="n"/>
      <c r="AG173" s="161" t="n"/>
      <c r="AH173" s="136" t="n"/>
      <c r="AI173" s="164">
        <f>IF(I173="","",TEXT(I173, "mmmm yyyy"))</f>
        <v/>
      </c>
      <c r="AJ173" s="164">
        <f>IF(AND(OpenPendingCases[[#This Row],[Sale Status	]]="Open Sale",OpenPendingCases[[#This Row],[Potential Same Month]]="High"),TEXT(OpenPendingCases[[#This Row],[Request Entry Date]], "[$-en-us]mmmm"),"")</f>
        <v/>
      </c>
      <c r="AK173" s="165">
        <f>IFERROR(VALUE(SUBSTITUTE(OpenPendingCases[[#This Row],[Price]]," AED","")),"")</f>
        <v/>
      </c>
      <c r="AL173" s="165">
        <f>IFERROR(VALUE(LEFT(OpenPendingCases[[#This Row],[Price]],FIND(" ",OpenPendingCases[[#This Row],[Price]])-1)),"")</f>
        <v/>
      </c>
      <c r="AM173" s="165">
        <f>IFERROR(VALUE(_xlfn.TEXTBEFORE(OpenPendingCases[[#This Row],[Price]]," AED")),"")</f>
        <v/>
      </c>
      <c r="AN173" s="165" t="n"/>
    </row>
    <row r="174" hidden="1" ht="18" customHeight="1" s="287">
      <c r="C174" s="133" t="n"/>
      <c r="D174" s="136">
        <f>IF($U174="Open Sale", IF(MAX($D$4:D173)+1=0, "", MAX($D$4:D173)+1), "")</f>
        <v/>
      </c>
      <c r="E174" s="136">
        <f>IF($U174="Pending Allocation", IF(MAX($E$4:E173)+1=0, "", MAX($E$4:E173)+1), "")</f>
        <v/>
      </c>
      <c r="F174" s="136" t="n"/>
      <c r="G174" s="136" t="n"/>
      <c r="H174" s="150" t="n"/>
      <c r="I174" s="150" t="n"/>
      <c r="J174" s="67">
        <f>IF(OpenPendingCases[[#This Row],[Timepiece Reference ]]="", "", IF(_xlfn.XLOOKUP(OpenPendingCases[[#This Row],[Timepiece Reference ]], Table1[[Timepiece Reference ]], Table1[CRC STOCK], "Not Found")="YES", "CRC Stock", "Boutique Stock"))</f>
        <v/>
      </c>
      <c r="K174" s="136">
        <f>IF(OpenPendingCases[[#This Row],[Timepiece Reference ]]="", "", IF(_xlfn.XLOOKUP(OpenPendingCases[[#This Row],[Timepiece Reference ]], Table1[[Timepiece Reference ]], Table1[CRC STOCK], "Not Found")="YES", "CRC Stock", "Boutique Stock"))</f>
        <v/>
      </c>
      <c r="L174" s="139" t="n"/>
      <c r="M174" s="140" t="n"/>
      <c r="N174" s="136" t="n"/>
      <c r="O174" s="133" t="n"/>
      <c r="P174" s="93">
        <f>IFERROR(VLOOKUP(TRIM(O174), Collection!$B$2:$D$1001, 2, FALSE), "")</f>
        <v/>
      </c>
      <c r="Q174" s="190">
        <f>IFERROR(VLOOKUP(TRIM(O174), Collection!$B$2:$D$1001, 3, FALSE), "")</f>
        <v/>
      </c>
      <c r="R174" s="153">
        <f>IFERROR(VALUE(SUBSTITUTE(SUBSTITUTE(Q174, "Price", ""), "AED", "")), "")</f>
        <v/>
      </c>
      <c r="S174" s="151" t="n"/>
      <c r="T174" s="158" t="n"/>
      <c r="U174" s="136" t="n"/>
      <c r="V174" s="136" t="n"/>
      <c r="W174" s="156">
        <f>IF(Z174 = "",
"",
TEXT(Z174, "mmmm"))</f>
        <v/>
      </c>
      <c r="X174" s="157" t="n"/>
      <c r="Y174" s="158" t="n"/>
      <c r="Z174" s="158" t="n"/>
      <c r="AA174" s="136">
        <f>IF(H174="", "", IF(U174="Open Sale", IF(TODAY()-H174=0, "0 Days", TEXT(TODAY()-H174, "0") &amp; " Days"), IF(U174="Closed Sale", AA174, "")))</f>
        <v/>
      </c>
      <c r="AB174" s="136">
        <f>IF(H174="", "", IF(OR(U174="Pending", U174="Pending Allocation"), CONCATENATE(TODAY()-H174, " Days"), IF(U174="Closed", "", "")))</f>
        <v/>
      </c>
      <c r="AC174" s="160">
        <f>IF(U174="Pending Allocation", IF(I174="", "", TODAY()-I174), "")</f>
        <v/>
      </c>
      <c r="AD174" s="159">
        <f>IF(U174="Open Sale", TEXT(TODAY()-I174, "0"),
IF(U174="Pending", "",
IF(U174="Closed Sale", "", "")))</f>
        <v/>
      </c>
      <c r="AE174" s="161" t="n"/>
      <c r="AF174" s="161" t="n"/>
      <c r="AG174" s="161" t="n"/>
      <c r="AH174" s="136" t="n"/>
      <c r="AI174" s="164">
        <f>IF(I174="","",TEXT(I174, "mmmm yyyy"))</f>
        <v/>
      </c>
      <c r="AJ174" s="164">
        <f>IF(AND(OpenPendingCases[[#This Row],[Sale Status	]]="Open Sale",OpenPendingCases[[#This Row],[Potential Same Month]]="High"),TEXT(OpenPendingCases[[#This Row],[Request Entry Date]], "[$-en-us]mmmm"),"")</f>
        <v/>
      </c>
      <c r="AK174" s="165">
        <f>IFERROR(VALUE(SUBSTITUTE(OpenPendingCases[[#This Row],[Price]]," AED","")),"")</f>
        <v/>
      </c>
      <c r="AL174" s="165">
        <f>IFERROR(VALUE(LEFT(OpenPendingCases[[#This Row],[Price]],FIND(" ",OpenPendingCases[[#This Row],[Price]])-1)),"")</f>
        <v/>
      </c>
      <c r="AM174" s="165">
        <f>IFERROR(VALUE(_xlfn.TEXTBEFORE(OpenPendingCases[[#This Row],[Price]]," AED")),"")</f>
        <v/>
      </c>
      <c r="AN174" s="165" t="n"/>
    </row>
    <row r="175" hidden="1" ht="18" customHeight="1" s="287">
      <c r="C175" s="133" t="n"/>
      <c r="D175" s="136">
        <f>IF($U175="Open Sale", IF(MAX($D$4:D174)+1=0, "", MAX($D$4:D174)+1), "")</f>
        <v/>
      </c>
      <c r="E175" s="136">
        <f>IF($U175="Pending Allocation", IF(MAX($E$4:E174)+1=0, "", MAX($E$4:E174)+1), "")</f>
        <v/>
      </c>
      <c r="F175" s="136" t="n"/>
      <c r="G175" s="136" t="n"/>
      <c r="H175" s="150" t="n"/>
      <c r="I175" s="150" t="n"/>
      <c r="J175" s="67">
        <f>IF(OpenPendingCases[[#This Row],[Timepiece Reference ]]="", "", IF(_xlfn.XLOOKUP(OpenPendingCases[[#This Row],[Timepiece Reference ]], Table1[[Timepiece Reference ]], Table1[CRC STOCK], "Not Found")="YES", "CRC Stock", "Boutique Stock"))</f>
        <v/>
      </c>
      <c r="K175" s="136">
        <f>IF(OpenPendingCases[[#This Row],[Timepiece Reference ]]="", "", IF(_xlfn.XLOOKUP(OpenPendingCases[[#This Row],[Timepiece Reference ]], Table1[[Timepiece Reference ]], Table1[CRC STOCK], "Not Found")="YES", "CRC Stock", "Boutique Stock"))</f>
        <v/>
      </c>
      <c r="L175" s="139" t="n"/>
      <c r="M175" s="140" t="n"/>
      <c r="N175" s="136" t="n"/>
      <c r="O175" s="133" t="n"/>
      <c r="P175" s="93">
        <f>IFERROR(VLOOKUP(TRIM(O175), Collection!$B$2:$D$1001, 2, FALSE), "")</f>
        <v/>
      </c>
      <c r="Q175" s="190">
        <f>IFERROR(VLOOKUP(TRIM(O175), Collection!$B$2:$D$1001, 3, FALSE), "")</f>
        <v/>
      </c>
      <c r="R175" s="153">
        <f>IFERROR(VALUE(SUBSTITUTE(SUBSTITUTE(Q175, "Price", ""), "AED", "")), "")</f>
        <v/>
      </c>
      <c r="S175" s="151" t="n"/>
      <c r="T175" s="158" t="n"/>
      <c r="U175" s="136" t="n"/>
      <c r="V175" s="136" t="n"/>
      <c r="W175" s="156">
        <f>IF(Z175 = "",
"",
TEXT(Z175, "mmmm"))</f>
        <v/>
      </c>
      <c r="X175" s="157" t="n"/>
      <c r="Y175" s="158" t="n"/>
      <c r="Z175" s="158" t="n"/>
      <c r="AA175" s="136">
        <f>IF(H175="", "", IF(U175="Open Sale", IF(TODAY()-H175=0, "0 Days", TEXT(TODAY()-H175, "0") &amp; " Days"), IF(U175="Closed Sale", AA175, "")))</f>
        <v/>
      </c>
      <c r="AB175" s="136">
        <f>IF(H175="", "", IF(OR(U175="Pending", U175="Pending Allocation"), CONCATENATE(TODAY()-H175, " Days"), IF(U175="Closed", "", "")))</f>
        <v/>
      </c>
      <c r="AC175" s="160">
        <f>IF(U175="Pending Allocation", IF(I175="", "", TODAY()-I175), "")</f>
        <v/>
      </c>
      <c r="AD175" s="159">
        <f>IF(U175="Open Sale", TEXT(TODAY()-I175, "0"),
IF(U175="Pending", "",
IF(U175="Closed Sale", "", "")))</f>
        <v/>
      </c>
      <c r="AE175" s="161" t="n"/>
      <c r="AF175" s="161" t="n"/>
      <c r="AG175" s="161" t="n"/>
      <c r="AH175" s="136" t="n"/>
      <c r="AI175" s="164">
        <f>IF(I175="","",TEXT(I175, "mmmm yyyy"))</f>
        <v/>
      </c>
      <c r="AJ175" s="164">
        <f>IF(AND(OpenPendingCases[[#This Row],[Sale Status	]]="Open Sale",OpenPendingCases[[#This Row],[Potential Same Month]]="High"),TEXT(OpenPendingCases[[#This Row],[Request Entry Date]], "[$-en-us]mmmm"),"")</f>
        <v/>
      </c>
      <c r="AK175" s="165">
        <f>IFERROR(VALUE(SUBSTITUTE(OpenPendingCases[[#This Row],[Price]]," AED","")),"")</f>
        <v/>
      </c>
      <c r="AL175" s="165">
        <f>IFERROR(VALUE(LEFT(OpenPendingCases[[#This Row],[Price]],FIND(" ",OpenPendingCases[[#This Row],[Price]])-1)),"")</f>
        <v/>
      </c>
      <c r="AM175" s="165">
        <f>IFERROR(VALUE(_xlfn.TEXTBEFORE(OpenPendingCases[[#This Row],[Price]]," AED")),"")</f>
        <v/>
      </c>
      <c r="AN175" s="165" t="n"/>
    </row>
    <row r="176" hidden="1" ht="18" customHeight="1" s="287">
      <c r="C176" s="133" t="n"/>
      <c r="D176" s="136">
        <f>IF($U176="Open Sale", IF(MAX($D$4:D175)+1=0, "", MAX($D$4:D175)+1), "")</f>
        <v/>
      </c>
      <c r="E176" s="136">
        <f>IF($U176="Pending Allocation", IF(MAX($E$4:E175)+1=0, "", MAX($E$4:E175)+1), "")</f>
        <v/>
      </c>
      <c r="F176" s="136" t="n"/>
      <c r="G176" s="136" t="n"/>
      <c r="H176" s="150" t="n"/>
      <c r="I176" s="150" t="n"/>
      <c r="J176" s="67">
        <f>IF(OpenPendingCases[[#This Row],[Timepiece Reference ]]="", "", IF(_xlfn.XLOOKUP(OpenPendingCases[[#This Row],[Timepiece Reference ]], Table1[[Timepiece Reference ]], Table1[CRC STOCK], "Not Found")="YES", "CRC Stock", "Boutique Stock"))</f>
        <v/>
      </c>
      <c r="K176" s="136">
        <f>IF(OpenPendingCases[[#This Row],[Timepiece Reference ]]="", "", IF(_xlfn.XLOOKUP(OpenPendingCases[[#This Row],[Timepiece Reference ]], Table1[[Timepiece Reference ]], Table1[CRC STOCK], "Not Found")="YES", "CRC Stock", "Boutique Stock"))</f>
        <v/>
      </c>
      <c r="L176" s="139" t="n"/>
      <c r="M176" s="140" t="n"/>
      <c r="N176" s="136" t="n"/>
      <c r="O176" s="133" t="n"/>
      <c r="P176" s="93">
        <f>IFERROR(VLOOKUP(TRIM(O176), Collection!$B$2:$D$1001, 2, FALSE), "")</f>
        <v/>
      </c>
      <c r="Q176" s="190">
        <f>IFERROR(VLOOKUP(TRIM(O176), Collection!$B$2:$D$1001, 3, FALSE), "")</f>
        <v/>
      </c>
      <c r="R176" s="153">
        <f>IFERROR(VALUE(SUBSTITUTE(SUBSTITUTE(Q176, "Price", ""), "AED", "")), "")</f>
        <v/>
      </c>
      <c r="S176" s="151" t="n"/>
      <c r="T176" s="158" t="n"/>
      <c r="U176" s="136" t="n"/>
      <c r="V176" s="136" t="n"/>
      <c r="W176" s="156">
        <f>IF(Z176 = "",
"",
TEXT(Z176, "mmmm"))</f>
        <v/>
      </c>
      <c r="X176" s="157" t="n"/>
      <c r="Y176" s="158" t="n"/>
      <c r="Z176" s="158" t="n"/>
      <c r="AA176" s="136">
        <f>IF(H176="", "", IF(U176="Open Sale", IF(TODAY()-H176=0, "0 Days", TEXT(TODAY()-H176, "0") &amp; " Days"), IF(U176="Closed Sale", AA176, "")))</f>
        <v/>
      </c>
      <c r="AB176" s="136">
        <f>IF(H176="", "", IF(OR(U176="Pending", U176="Pending Allocation"), CONCATENATE(TODAY()-H176, " Days"), IF(U176="Closed", "", "")))</f>
        <v/>
      </c>
      <c r="AC176" s="160">
        <f>IF(U176="Pending Allocation", IF(I176="", "", TODAY()-I176), "")</f>
        <v/>
      </c>
      <c r="AD176" s="159">
        <f>IF(U176="Open Sale", TEXT(TODAY()-I176, "0"),
IF(U176="Pending", "",
IF(U176="Closed Sale", "", "")))</f>
        <v/>
      </c>
      <c r="AE176" s="161" t="n"/>
      <c r="AF176" s="161" t="n"/>
      <c r="AG176" s="161" t="n"/>
      <c r="AH176" s="136" t="n"/>
      <c r="AI176" s="164">
        <f>IF(I176="","",TEXT(I176, "mmmm yyyy"))</f>
        <v/>
      </c>
      <c r="AJ176" s="164">
        <f>IF(AND(OpenPendingCases[[#This Row],[Sale Status	]]="Open Sale",OpenPendingCases[[#This Row],[Potential Same Month]]="High"),TEXT(OpenPendingCases[[#This Row],[Request Entry Date]], "[$-en-us]mmmm"),"")</f>
        <v/>
      </c>
      <c r="AK176" s="165">
        <f>IFERROR(VALUE(SUBSTITUTE(OpenPendingCases[[#This Row],[Price]]," AED","")),"")</f>
        <v/>
      </c>
      <c r="AL176" s="165">
        <f>IFERROR(VALUE(LEFT(OpenPendingCases[[#This Row],[Price]],FIND(" ",OpenPendingCases[[#This Row],[Price]])-1)),"")</f>
        <v/>
      </c>
      <c r="AM176" s="165">
        <f>IFERROR(VALUE(_xlfn.TEXTBEFORE(OpenPendingCases[[#This Row],[Price]]," AED")),"")</f>
        <v/>
      </c>
      <c r="AN176" s="165" t="n"/>
    </row>
    <row r="177" hidden="1" ht="18" customHeight="1" s="287">
      <c r="C177" s="133" t="n"/>
      <c r="D177" s="136">
        <f>IF($U177="Open Sale", IF(MAX($D$4:D176)+1=0, "", MAX($D$4:D176)+1), "")</f>
        <v/>
      </c>
      <c r="E177" s="136">
        <f>IF($U177="Pending Allocation", IF(MAX($E$4:E176)+1=0, "", MAX($E$4:E176)+1), "")</f>
        <v/>
      </c>
      <c r="F177" s="136" t="n"/>
      <c r="G177" s="136" t="n"/>
      <c r="H177" s="150" t="n"/>
      <c r="I177" s="150" t="n"/>
      <c r="J177" s="67">
        <f>IF(OpenPendingCases[[#This Row],[Timepiece Reference ]]="", "", IF(_xlfn.XLOOKUP(OpenPendingCases[[#This Row],[Timepiece Reference ]], Table1[[Timepiece Reference ]], Table1[CRC STOCK], "Not Found")="YES", "CRC Stock", "Boutique Stock"))</f>
        <v/>
      </c>
      <c r="K177" s="136">
        <f>IF(OpenPendingCases[[#This Row],[Timepiece Reference ]]="", "", IF(_xlfn.XLOOKUP(OpenPendingCases[[#This Row],[Timepiece Reference ]], Table1[[Timepiece Reference ]], Table1[CRC STOCK], "Not Found")="YES", "CRC Stock", "Boutique Stock"))</f>
        <v/>
      </c>
      <c r="L177" s="139" t="n"/>
      <c r="M177" s="140" t="n"/>
      <c r="N177" s="136" t="n"/>
      <c r="O177" s="133" t="n"/>
      <c r="P177" s="93">
        <f>IFERROR(VLOOKUP(TRIM(O177), Collection!$B$2:$D$1001, 2, FALSE), "")</f>
        <v/>
      </c>
      <c r="Q177" s="190">
        <f>IFERROR(VLOOKUP(TRIM(O177), Collection!$B$2:$D$1001, 3, FALSE), "")</f>
        <v/>
      </c>
      <c r="R177" s="153">
        <f>IFERROR(VALUE(SUBSTITUTE(SUBSTITUTE(Q177, "Price", ""), "AED", "")), "")</f>
        <v/>
      </c>
      <c r="S177" s="151" t="n"/>
      <c r="T177" s="158" t="n"/>
      <c r="U177" s="136" t="n"/>
      <c r="V177" s="136" t="n"/>
      <c r="W177" s="156">
        <f>IF(Z177 = "",
"",
TEXT(Z177, "mmmm"))</f>
        <v/>
      </c>
      <c r="X177" s="157" t="n"/>
      <c r="Y177" s="158" t="n"/>
      <c r="Z177" s="158" t="n"/>
      <c r="AA177" s="136">
        <f>IF(H177="", "", IF(U177="Open Sale", IF(TODAY()-H177=0, "0 Days", TEXT(TODAY()-H177, "0") &amp; " Days"), IF(U177="Closed Sale", AA177, "")))</f>
        <v/>
      </c>
      <c r="AB177" s="136">
        <f>IF(H177="", "", IF(OR(U177="Pending", U177="Pending Allocation"), CONCATENATE(TODAY()-H177, " Days"), IF(U177="Closed", "", "")))</f>
        <v/>
      </c>
      <c r="AC177" s="160">
        <f>IF(U177="Pending Allocation", IF(I177="", "", TODAY()-I177), "")</f>
        <v/>
      </c>
      <c r="AD177" s="159">
        <f>IF(U177="Open Sale", TEXT(TODAY()-I177, "0"),
IF(U177="Pending", "",
IF(U177="Closed Sale", "", "")))</f>
        <v/>
      </c>
      <c r="AE177" s="161" t="n"/>
      <c r="AF177" s="161" t="n"/>
      <c r="AG177" s="161" t="n"/>
      <c r="AH177" s="136" t="n"/>
      <c r="AI177" s="164">
        <f>IF(I177="","",TEXT(I177, "mmmm yyyy"))</f>
        <v/>
      </c>
      <c r="AJ177" s="164">
        <f>IF(AND(OpenPendingCases[[#This Row],[Sale Status	]]="Open Sale",OpenPendingCases[[#This Row],[Potential Same Month]]="High"),TEXT(OpenPendingCases[[#This Row],[Request Entry Date]], "[$-en-us]mmmm"),"")</f>
        <v/>
      </c>
      <c r="AK177" s="165">
        <f>IFERROR(VALUE(SUBSTITUTE(OpenPendingCases[[#This Row],[Price]]," AED","")),"")</f>
        <v/>
      </c>
      <c r="AL177" s="165">
        <f>IFERROR(VALUE(LEFT(OpenPendingCases[[#This Row],[Price]],FIND(" ",OpenPendingCases[[#This Row],[Price]])-1)),"")</f>
        <v/>
      </c>
      <c r="AM177" s="165">
        <f>IFERROR(VALUE(_xlfn.TEXTBEFORE(OpenPendingCases[[#This Row],[Price]]," AED")),"")</f>
        <v/>
      </c>
      <c r="AN177" s="165" t="n"/>
    </row>
    <row r="178" hidden="1" ht="18" customHeight="1" s="287">
      <c r="C178" s="133" t="n"/>
      <c r="D178" s="136">
        <f>IF($U178="Open Sale", IF(MAX($D$4:D177)+1=0, "", MAX($D$4:D177)+1), "")</f>
        <v/>
      </c>
      <c r="E178" s="136">
        <f>IF($U178="Pending Allocation", IF(MAX($E$4:E177)+1=0, "", MAX($E$4:E177)+1), "")</f>
        <v/>
      </c>
      <c r="F178" s="136" t="n"/>
      <c r="G178" s="136" t="n"/>
      <c r="H178" s="150" t="n"/>
      <c r="I178" s="150" t="n"/>
      <c r="J178" s="67">
        <f>IF(OpenPendingCases[[#This Row],[Timepiece Reference ]]="", "", IF(_xlfn.XLOOKUP(OpenPendingCases[[#This Row],[Timepiece Reference ]], Table1[[Timepiece Reference ]], Table1[CRC STOCK], "Not Found")="YES", "CRC Stock", "Boutique Stock"))</f>
        <v/>
      </c>
      <c r="K178" s="136">
        <f>IF(OpenPendingCases[[#This Row],[Timepiece Reference ]]="", "", IF(_xlfn.XLOOKUP(OpenPendingCases[[#This Row],[Timepiece Reference ]], Table1[[Timepiece Reference ]], Table1[CRC STOCK], "Not Found")="YES", "CRC Stock", "Boutique Stock"))</f>
        <v/>
      </c>
      <c r="L178" s="139" t="n"/>
      <c r="M178" s="140" t="n"/>
      <c r="N178" s="136" t="n"/>
      <c r="O178" s="133" t="n"/>
      <c r="P178" s="93">
        <f>IFERROR(VLOOKUP(TRIM(O178), Collection!$B$2:$D$1001, 2, FALSE), "")</f>
        <v/>
      </c>
      <c r="Q178" s="190">
        <f>IFERROR(VLOOKUP(TRIM(O178), Collection!$B$2:$D$1001, 3, FALSE), "")</f>
        <v/>
      </c>
      <c r="R178" s="153">
        <f>IFERROR(VALUE(SUBSTITUTE(SUBSTITUTE(Q178, "Price", ""), "AED", "")), "")</f>
        <v/>
      </c>
      <c r="S178" s="151" t="n"/>
      <c r="T178" s="158" t="n"/>
      <c r="U178" s="136" t="n"/>
      <c r="V178" s="136" t="n"/>
      <c r="W178" s="156">
        <f>IF(Z178 = "",
"",
TEXT(Z178, "mmmm"))</f>
        <v/>
      </c>
      <c r="X178" s="157" t="n"/>
      <c r="Y178" s="158" t="n"/>
      <c r="Z178" s="158" t="n"/>
      <c r="AA178" s="136">
        <f>IF(H178="", "", IF(U178="Open Sale", IF(TODAY()-H178=0, "0 Days", TEXT(TODAY()-H178, "0") &amp; " Days"), IF(U178="Closed Sale", AA178, "")))</f>
        <v/>
      </c>
      <c r="AB178" s="136">
        <f>IF(H178="", "", IF(OR(U178="Pending", U178="Pending Allocation"), CONCATENATE(TODAY()-H178, " Days"), IF(U178="Closed", "", "")))</f>
        <v/>
      </c>
      <c r="AC178" s="160">
        <f>IF(U178="Pending Allocation", IF(I178="", "", TODAY()-I178), "")</f>
        <v/>
      </c>
      <c r="AD178" s="159">
        <f>IF(U178="Open Sale", TEXT(TODAY()-I178, "0"),
IF(U178="Pending", "",
IF(U178="Closed Sale", "", "")))</f>
        <v/>
      </c>
      <c r="AE178" s="161" t="n"/>
      <c r="AF178" s="161" t="n"/>
      <c r="AG178" s="161" t="n"/>
      <c r="AH178" s="136" t="n"/>
      <c r="AI178" s="164">
        <f>IF(I178="","",TEXT(I178, "mmmm yyyy"))</f>
        <v/>
      </c>
      <c r="AJ178" s="164">
        <f>IF(AND(OpenPendingCases[[#This Row],[Sale Status	]]="Open Sale",OpenPendingCases[[#This Row],[Potential Same Month]]="High"),TEXT(OpenPendingCases[[#This Row],[Request Entry Date]], "[$-en-us]mmmm"),"")</f>
        <v/>
      </c>
      <c r="AK178" s="165">
        <f>IFERROR(VALUE(SUBSTITUTE(OpenPendingCases[[#This Row],[Price]]," AED","")),"")</f>
        <v/>
      </c>
      <c r="AL178" s="165">
        <f>IFERROR(VALUE(LEFT(OpenPendingCases[[#This Row],[Price]],FIND(" ",OpenPendingCases[[#This Row],[Price]])-1)),"")</f>
        <v/>
      </c>
      <c r="AM178" s="165">
        <f>IFERROR(VALUE(_xlfn.TEXTBEFORE(OpenPendingCases[[#This Row],[Price]]," AED")),"")</f>
        <v/>
      </c>
      <c r="AN178" s="165" t="n"/>
    </row>
    <row r="179" hidden="1" ht="18" customHeight="1" s="287">
      <c r="C179" s="133" t="n"/>
      <c r="D179" s="136">
        <f>IF($U179="Open Sale", IF(MAX($D$4:D178)+1=0, "", MAX($D$4:D178)+1), "")</f>
        <v/>
      </c>
      <c r="E179" s="136">
        <f>IF($U179="Pending Allocation", IF(MAX($E$4:E178)+1=0, "", MAX($E$4:E178)+1), "")</f>
        <v/>
      </c>
      <c r="F179" s="136" t="n"/>
      <c r="G179" s="136" t="n"/>
      <c r="H179" s="150" t="n"/>
      <c r="I179" s="150" t="n"/>
      <c r="J179" s="67">
        <f>IF(OpenPendingCases[[#This Row],[Timepiece Reference ]]="", "", IF(_xlfn.XLOOKUP(OpenPendingCases[[#This Row],[Timepiece Reference ]], Table1[[Timepiece Reference ]], Table1[CRC STOCK], "Not Found")="YES", "CRC Stock", "Boutique Stock"))</f>
        <v/>
      </c>
      <c r="K179" s="136">
        <f>IF(OpenPendingCases[[#This Row],[Timepiece Reference ]]="", "", IF(_xlfn.XLOOKUP(OpenPendingCases[[#This Row],[Timepiece Reference ]], Table1[[Timepiece Reference ]], Table1[CRC STOCK], "Not Found")="YES", "CRC Stock", "Boutique Stock"))</f>
        <v/>
      </c>
      <c r="L179" s="139" t="n"/>
      <c r="M179" s="140" t="n"/>
      <c r="N179" s="136" t="n"/>
      <c r="O179" s="133" t="n"/>
      <c r="P179" s="93">
        <f>IFERROR(VLOOKUP(TRIM(O179), Collection!$B$2:$D$1001, 2, FALSE), "")</f>
        <v/>
      </c>
      <c r="Q179" s="190">
        <f>IFERROR(VLOOKUP(TRIM(O179), Collection!$B$2:$D$1001, 3, FALSE), "")</f>
        <v/>
      </c>
      <c r="R179" s="153">
        <f>IFERROR(VALUE(SUBSTITUTE(SUBSTITUTE(Q179, "Price", ""), "AED", "")), "")</f>
        <v/>
      </c>
      <c r="S179" s="151" t="n"/>
      <c r="T179" s="158" t="n"/>
      <c r="U179" s="136" t="n"/>
      <c r="V179" s="136" t="n"/>
      <c r="W179" s="156">
        <f>IF(Z179 = "",
"",
TEXT(Z179, "mmmm"))</f>
        <v/>
      </c>
      <c r="X179" s="157" t="n"/>
      <c r="Y179" s="158" t="n"/>
      <c r="Z179" s="158" t="n"/>
      <c r="AA179" s="136">
        <f>IF(H179="", "", IF(U179="Open Sale", IF(TODAY()-H179=0, "0 Days", TEXT(TODAY()-H179, "0") &amp; " Days"), IF(U179="Closed Sale", AA179, "")))</f>
        <v/>
      </c>
      <c r="AB179" s="136">
        <f>IF(H179="", "", IF(OR(U179="Pending", U179="Pending Allocation"), CONCATENATE(TODAY()-H179, " Days"), IF(U179="Closed", "", "")))</f>
        <v/>
      </c>
      <c r="AC179" s="160">
        <f>IF(U179="Pending Allocation", IF(I179="", "", TODAY()-I179), "")</f>
        <v/>
      </c>
      <c r="AD179" s="159">
        <f>IF(U179="Open Sale", TEXT(TODAY()-I179, "0"),
IF(U179="Pending", "",
IF(U179="Closed Sale", "", "")))</f>
        <v/>
      </c>
      <c r="AE179" s="161" t="n"/>
      <c r="AF179" s="161" t="n"/>
      <c r="AG179" s="161" t="n"/>
      <c r="AH179" s="136" t="n"/>
      <c r="AI179" s="164">
        <f>IF(I179="","",TEXT(I179, "mmmm yyyy"))</f>
        <v/>
      </c>
      <c r="AJ179" s="164">
        <f>IF(AND(OpenPendingCases[[#This Row],[Sale Status	]]="Open Sale",OpenPendingCases[[#This Row],[Potential Same Month]]="High"),TEXT(OpenPendingCases[[#This Row],[Request Entry Date]], "[$-en-us]mmmm"),"")</f>
        <v/>
      </c>
      <c r="AK179" s="165">
        <f>IFERROR(VALUE(SUBSTITUTE(OpenPendingCases[[#This Row],[Price]]," AED","")),"")</f>
        <v/>
      </c>
      <c r="AL179" s="165">
        <f>IFERROR(VALUE(LEFT(OpenPendingCases[[#This Row],[Price]],FIND(" ",OpenPendingCases[[#This Row],[Price]])-1)),"")</f>
        <v/>
      </c>
      <c r="AM179" s="165">
        <f>IFERROR(VALUE(_xlfn.TEXTBEFORE(OpenPendingCases[[#This Row],[Price]]," AED")),"")</f>
        <v/>
      </c>
      <c r="AN179" s="165" t="n"/>
    </row>
    <row r="180" hidden="1" ht="18" customHeight="1" s="287">
      <c r="C180" s="133" t="n"/>
      <c r="D180" s="136">
        <f>IF($U180="Open Sale", IF(MAX($D$4:D179)+1=0, "", MAX($D$4:D179)+1), "")</f>
        <v/>
      </c>
      <c r="E180" s="136">
        <f>IF($U180="Pending Allocation", IF(MAX($E$4:E179)+1=0, "", MAX($E$4:E179)+1), "")</f>
        <v/>
      </c>
      <c r="F180" s="136" t="n"/>
      <c r="G180" s="136" t="n"/>
      <c r="H180" s="150" t="n"/>
      <c r="I180" s="150" t="n"/>
      <c r="J180" s="67">
        <f>IF(OpenPendingCases[[#This Row],[Timepiece Reference ]]="", "", IF(_xlfn.XLOOKUP(OpenPendingCases[[#This Row],[Timepiece Reference ]], Table1[[Timepiece Reference ]], Table1[CRC STOCK], "Not Found")="YES", "CRC Stock", "Boutique Stock"))</f>
        <v/>
      </c>
      <c r="K180" s="136">
        <f>IF(OpenPendingCases[[#This Row],[Timepiece Reference ]]="", "", IF(_xlfn.XLOOKUP(OpenPendingCases[[#This Row],[Timepiece Reference ]], Table1[[Timepiece Reference ]], Table1[CRC STOCK], "Not Found")="YES", "CRC Stock", "Boutique Stock"))</f>
        <v/>
      </c>
      <c r="L180" s="139" t="n"/>
      <c r="M180" s="140" t="n"/>
      <c r="N180" s="136" t="n"/>
      <c r="O180" s="133" t="n"/>
      <c r="P180" s="93">
        <f>IFERROR(VLOOKUP(TRIM(O180), Collection!$B$2:$D$1001, 2, FALSE), "")</f>
        <v/>
      </c>
      <c r="Q180" s="190">
        <f>IFERROR(VLOOKUP(TRIM(O180), Collection!$B$2:$D$1001, 3, FALSE), "")</f>
        <v/>
      </c>
      <c r="R180" s="153">
        <f>IFERROR(VALUE(SUBSTITUTE(SUBSTITUTE(Q180, "Price", ""), "AED", "")), "")</f>
        <v/>
      </c>
      <c r="S180" s="151" t="n"/>
      <c r="T180" s="158" t="n"/>
      <c r="U180" s="136" t="n"/>
      <c r="V180" s="136" t="n"/>
      <c r="W180" s="156">
        <f>IF(Z180 = "",
"",
TEXT(Z180, "mmmm"))</f>
        <v/>
      </c>
      <c r="X180" s="157" t="n"/>
      <c r="Y180" s="158" t="n"/>
      <c r="Z180" s="158" t="n"/>
      <c r="AA180" s="136">
        <f>IF(H180="", "", IF(U180="Open Sale", IF(TODAY()-H180=0, "0 Days", TEXT(TODAY()-H180, "0") &amp; " Days"), IF(U180="Closed Sale", AA180, "")))</f>
        <v/>
      </c>
      <c r="AB180" s="136">
        <f>IF(H180="", "", IF(OR(U180="Pending", U180="Pending Allocation"), CONCATENATE(TODAY()-H180, " Days"), IF(U180="Closed", "", "")))</f>
        <v/>
      </c>
      <c r="AC180" s="160">
        <f>IF(U180="Pending Allocation", IF(I180="", "", TODAY()-I180), "")</f>
        <v/>
      </c>
      <c r="AD180" s="159">
        <f>IF(U180="Open Sale", TEXT(TODAY()-I180, "0"),
IF(U180="Pending", "",
IF(U180="Closed Sale", "", "")))</f>
        <v/>
      </c>
      <c r="AE180" s="161" t="n"/>
      <c r="AF180" s="161" t="n"/>
      <c r="AG180" s="161" t="n"/>
      <c r="AH180" s="136" t="n"/>
      <c r="AI180" s="164">
        <f>IF(I180="","",TEXT(I180, "mmmm yyyy"))</f>
        <v/>
      </c>
      <c r="AJ180" s="164">
        <f>IF(AND(OpenPendingCases[[#This Row],[Sale Status	]]="Open Sale",OpenPendingCases[[#This Row],[Potential Same Month]]="High"),TEXT(OpenPendingCases[[#This Row],[Request Entry Date]], "[$-en-us]mmmm"),"")</f>
        <v/>
      </c>
      <c r="AK180" s="165">
        <f>IFERROR(VALUE(SUBSTITUTE(OpenPendingCases[[#This Row],[Price]]," AED","")),"")</f>
        <v/>
      </c>
      <c r="AL180" s="165">
        <f>IFERROR(VALUE(LEFT(OpenPendingCases[[#This Row],[Price]],FIND(" ",OpenPendingCases[[#This Row],[Price]])-1)),"")</f>
        <v/>
      </c>
      <c r="AM180" s="165">
        <f>IFERROR(VALUE(_xlfn.TEXTBEFORE(OpenPendingCases[[#This Row],[Price]]," AED")),"")</f>
        <v/>
      </c>
      <c r="AN180" s="165" t="n"/>
    </row>
    <row r="181" hidden="1" ht="18" customHeight="1" s="287">
      <c r="C181" s="133" t="n"/>
      <c r="D181" s="136">
        <f>IF($U181="Open Sale", IF(MAX($D$4:D180)+1=0, "", MAX($D$4:D180)+1), "")</f>
        <v/>
      </c>
      <c r="E181" s="136">
        <f>IF($U181="Pending Allocation", IF(MAX($E$4:E180)+1=0, "", MAX($E$4:E180)+1), "")</f>
        <v/>
      </c>
      <c r="F181" s="136" t="n"/>
      <c r="G181" s="136" t="n"/>
      <c r="H181" s="150" t="n"/>
      <c r="I181" s="150" t="n"/>
      <c r="J181" s="67">
        <f>IF(OpenPendingCases[[#This Row],[Timepiece Reference ]]="", "", IF(_xlfn.XLOOKUP(OpenPendingCases[[#This Row],[Timepiece Reference ]], Table1[[Timepiece Reference ]], Table1[CRC STOCK], "Not Found")="YES", "CRC Stock", "Boutique Stock"))</f>
        <v/>
      </c>
      <c r="K181" s="136">
        <f>IF(OpenPendingCases[[#This Row],[Timepiece Reference ]]="", "", IF(_xlfn.XLOOKUP(OpenPendingCases[[#This Row],[Timepiece Reference ]], Table1[[Timepiece Reference ]], Table1[CRC STOCK], "Not Found")="YES", "CRC Stock", "Boutique Stock"))</f>
        <v/>
      </c>
      <c r="L181" s="139" t="n"/>
      <c r="M181" s="140" t="n"/>
      <c r="N181" s="136" t="n"/>
      <c r="O181" s="133" t="n"/>
      <c r="P181" s="93">
        <f>IFERROR(VLOOKUP(TRIM(O181), Collection!$B$2:$D$1001, 2, FALSE), "")</f>
        <v/>
      </c>
      <c r="Q181" s="190">
        <f>IFERROR(VLOOKUP(TRIM(O181), Collection!$B$2:$D$1001, 3, FALSE), "")</f>
        <v/>
      </c>
      <c r="R181" s="153">
        <f>IFERROR(VALUE(SUBSTITUTE(SUBSTITUTE(Q181, "Price", ""), "AED", "")), "")</f>
        <v/>
      </c>
      <c r="S181" s="151" t="n"/>
      <c r="T181" s="158" t="n"/>
      <c r="U181" s="136" t="n"/>
      <c r="V181" s="136" t="n"/>
      <c r="W181" s="156">
        <f>IF(Z181 = "",
"",
TEXT(Z181, "mmmm"))</f>
        <v/>
      </c>
      <c r="X181" s="157" t="n"/>
      <c r="Y181" s="158" t="n"/>
      <c r="Z181" s="158" t="n"/>
      <c r="AA181" s="136">
        <f>IF(H181="", "", IF(U181="Open Sale", IF(TODAY()-H181=0, "0 Days", TEXT(TODAY()-H181, "0") &amp; " Days"), IF(U181="Closed Sale", AA181, "")))</f>
        <v/>
      </c>
      <c r="AB181" s="136">
        <f>IF(H181="", "", IF(OR(U181="Pending", U181="Pending Allocation"), CONCATENATE(TODAY()-H181, " Days"), IF(U181="Closed", "", "")))</f>
        <v/>
      </c>
      <c r="AC181" s="160">
        <f>IF(U181="Pending Allocation", IF(I181="", "", TODAY()-I181), "")</f>
        <v/>
      </c>
      <c r="AD181" s="159">
        <f>IF(U181="Open Sale", TEXT(TODAY()-I181, "0"),
IF(U181="Pending", "",
IF(U181="Closed Sale", "", "")))</f>
        <v/>
      </c>
      <c r="AE181" s="161" t="n"/>
      <c r="AF181" s="161" t="n"/>
      <c r="AG181" s="161" t="n"/>
      <c r="AH181" s="136" t="n"/>
      <c r="AI181" s="164">
        <f>IF(I181="","",TEXT(I181, "mmmm yyyy"))</f>
        <v/>
      </c>
      <c r="AJ181" s="164">
        <f>IF(AND(OpenPendingCases[[#This Row],[Sale Status	]]="Open Sale",OpenPendingCases[[#This Row],[Potential Same Month]]="High"),TEXT(OpenPendingCases[[#This Row],[Request Entry Date]], "[$-en-us]mmmm"),"")</f>
        <v/>
      </c>
      <c r="AK181" s="165">
        <f>IFERROR(VALUE(SUBSTITUTE(OpenPendingCases[[#This Row],[Price]]," AED","")),"")</f>
        <v/>
      </c>
      <c r="AL181" s="165">
        <f>IFERROR(VALUE(LEFT(OpenPendingCases[[#This Row],[Price]],FIND(" ",OpenPendingCases[[#This Row],[Price]])-1)),"")</f>
        <v/>
      </c>
      <c r="AM181" s="165">
        <f>IFERROR(VALUE(_xlfn.TEXTBEFORE(OpenPendingCases[[#This Row],[Price]]," AED")),"")</f>
        <v/>
      </c>
      <c r="AN181" s="165" t="n"/>
    </row>
    <row r="182" hidden="1" ht="18" customHeight="1" s="287">
      <c r="C182" s="133" t="n"/>
      <c r="D182" s="136">
        <f>IF($U182="Open Sale", IF(MAX($D$4:D181)+1=0, "", MAX($D$4:D181)+1), "")</f>
        <v/>
      </c>
      <c r="E182" s="136">
        <f>IF($U182="Pending Allocation", IF(MAX($E$4:E181)+1=0, "", MAX($E$4:E181)+1), "")</f>
        <v/>
      </c>
      <c r="F182" s="136" t="n"/>
      <c r="G182" s="136" t="n"/>
      <c r="H182" s="150" t="n"/>
      <c r="I182" s="150" t="n"/>
      <c r="J182" s="67">
        <f>IF(OpenPendingCases[[#This Row],[Timepiece Reference ]]="", "", IF(_xlfn.XLOOKUP(OpenPendingCases[[#This Row],[Timepiece Reference ]], Table1[[Timepiece Reference ]], Table1[CRC STOCK], "Not Found")="YES", "CRC Stock", "Boutique Stock"))</f>
        <v/>
      </c>
      <c r="K182" s="136">
        <f>IF(OpenPendingCases[[#This Row],[Timepiece Reference ]]="", "", IF(_xlfn.XLOOKUP(OpenPendingCases[[#This Row],[Timepiece Reference ]], Table1[[Timepiece Reference ]], Table1[CRC STOCK], "Not Found")="YES", "CRC Stock", "Boutique Stock"))</f>
        <v/>
      </c>
      <c r="L182" s="139" t="n"/>
      <c r="M182" s="140" t="n"/>
      <c r="N182" s="136" t="n"/>
      <c r="O182" s="133" t="n"/>
      <c r="P182" s="93">
        <f>IFERROR(VLOOKUP(TRIM(O182), Collection!$B$2:$D$1001, 2, FALSE), "")</f>
        <v/>
      </c>
      <c r="Q182" s="190">
        <f>IFERROR(VLOOKUP(TRIM(O182), Collection!$B$2:$D$1001, 3, FALSE), "")</f>
        <v/>
      </c>
      <c r="R182" s="153">
        <f>IFERROR(VALUE(SUBSTITUTE(SUBSTITUTE(Q182, "Price", ""), "AED", "")), "")</f>
        <v/>
      </c>
      <c r="S182" s="151" t="n"/>
      <c r="T182" s="158" t="n"/>
      <c r="U182" s="136" t="n"/>
      <c r="V182" s="136" t="n"/>
      <c r="W182" s="156">
        <f>IF(Z182 = "",
"",
TEXT(Z182, "mmmm"))</f>
        <v/>
      </c>
      <c r="X182" s="157" t="n"/>
      <c r="Y182" s="158" t="n"/>
      <c r="Z182" s="158" t="n"/>
      <c r="AA182" s="136">
        <f>IF(H182="", "", IF(U182="Open Sale", IF(TODAY()-H182=0, "0 Days", TEXT(TODAY()-H182, "0") &amp; " Days"), IF(U182="Closed Sale", AA182, "")))</f>
        <v/>
      </c>
      <c r="AB182" s="136">
        <f>IF(H182="", "", IF(OR(U182="Pending", U182="Pending Allocation"), CONCATENATE(TODAY()-H182, " Days"), IF(U182="Closed", "", "")))</f>
        <v/>
      </c>
      <c r="AC182" s="160">
        <f>IF(U182="Pending Allocation", IF(I182="", "", TODAY()-I182), "")</f>
        <v/>
      </c>
      <c r="AD182" s="159">
        <f>IF(U182="Open Sale", TEXT(TODAY()-I182, "0"),
IF(U182="Pending", "",
IF(U182="Closed Sale", "", "")))</f>
        <v/>
      </c>
      <c r="AE182" s="161" t="n"/>
      <c r="AF182" s="161" t="n"/>
      <c r="AG182" s="161" t="n"/>
      <c r="AH182" s="136" t="n"/>
      <c r="AI182" s="164">
        <f>IF(I182="","",TEXT(I182, "mmmm yyyy"))</f>
        <v/>
      </c>
      <c r="AJ182" s="164">
        <f>IF(AND(OpenPendingCases[[#This Row],[Sale Status	]]="Open Sale",OpenPendingCases[[#This Row],[Potential Same Month]]="High"),TEXT(OpenPendingCases[[#This Row],[Request Entry Date]], "[$-en-us]mmmm"),"")</f>
        <v/>
      </c>
      <c r="AK182" s="165">
        <f>IFERROR(VALUE(SUBSTITUTE(OpenPendingCases[[#This Row],[Price]]," AED","")),"")</f>
        <v/>
      </c>
      <c r="AL182" s="165">
        <f>IFERROR(VALUE(LEFT(OpenPendingCases[[#This Row],[Price]],FIND(" ",OpenPendingCases[[#This Row],[Price]])-1)),"")</f>
        <v/>
      </c>
      <c r="AM182" s="165">
        <f>IFERROR(VALUE(_xlfn.TEXTBEFORE(OpenPendingCases[[#This Row],[Price]]," AED")),"")</f>
        <v/>
      </c>
      <c r="AN182" s="165" t="n"/>
    </row>
    <row r="183" hidden="1" ht="18" customHeight="1" s="287">
      <c r="C183" s="133" t="n"/>
      <c r="D183" s="136">
        <f>IF($U183="Open Sale", IF(MAX($D$4:D182)+1=0, "", MAX($D$4:D182)+1), "")</f>
        <v/>
      </c>
      <c r="E183" s="136">
        <f>IF($U183="Pending Allocation", IF(MAX($E$4:E182)+1=0, "", MAX($E$4:E182)+1), "")</f>
        <v/>
      </c>
      <c r="F183" s="136" t="n"/>
      <c r="G183" s="136" t="n"/>
      <c r="H183" s="150" t="n"/>
      <c r="I183" s="150" t="n"/>
      <c r="J183" s="67">
        <f>IF(OpenPendingCases[[#This Row],[Timepiece Reference ]]="", "", IF(_xlfn.XLOOKUP(OpenPendingCases[[#This Row],[Timepiece Reference ]], Table1[[Timepiece Reference ]], Table1[CRC STOCK], "Not Found")="YES", "CRC Stock", "Boutique Stock"))</f>
        <v/>
      </c>
      <c r="K183" s="136">
        <f>IF(OpenPendingCases[[#This Row],[Timepiece Reference ]]="", "", IF(_xlfn.XLOOKUP(OpenPendingCases[[#This Row],[Timepiece Reference ]], Table1[[Timepiece Reference ]], Table1[CRC STOCK], "Not Found")="YES", "CRC Stock", "Boutique Stock"))</f>
        <v/>
      </c>
      <c r="L183" s="139" t="n"/>
      <c r="M183" s="140" t="n"/>
      <c r="N183" s="136" t="n"/>
      <c r="O183" s="133" t="n"/>
      <c r="P183" s="93">
        <f>IFERROR(VLOOKUP(TRIM(O183), Collection!$B$2:$D$1001, 2, FALSE), "")</f>
        <v/>
      </c>
      <c r="Q183" s="190">
        <f>IFERROR(VLOOKUP(TRIM(O183), Collection!$B$2:$D$1001, 3, FALSE), "")</f>
        <v/>
      </c>
      <c r="R183" s="153">
        <f>IFERROR(VALUE(SUBSTITUTE(SUBSTITUTE(Q183, "Price", ""), "AED", "")), "")</f>
        <v/>
      </c>
      <c r="S183" s="151" t="n"/>
      <c r="T183" s="158" t="n"/>
      <c r="U183" s="136" t="n"/>
      <c r="V183" s="136" t="n"/>
      <c r="W183" s="156">
        <f>IF(Z183 = "",
"",
TEXT(Z183, "mmmm"))</f>
        <v/>
      </c>
      <c r="X183" s="157" t="n"/>
      <c r="Y183" s="158" t="n"/>
      <c r="Z183" s="158" t="n"/>
      <c r="AA183" s="136">
        <f>IF(H183="", "", IF(U183="Open Sale", IF(TODAY()-H183=0, "0 Days", TEXT(TODAY()-H183, "0") &amp; " Days"), IF(U183="Closed Sale", AA183, "")))</f>
        <v/>
      </c>
      <c r="AB183" s="136">
        <f>IF(H183="", "", IF(OR(U183="Pending", U183="Pending Allocation"), CONCATENATE(TODAY()-H183, " Days"), IF(U183="Closed", "", "")))</f>
        <v/>
      </c>
      <c r="AC183" s="160">
        <f>IF(U183="Pending Allocation", IF(I183="", "", TODAY()-I183), "")</f>
        <v/>
      </c>
      <c r="AD183" s="159">
        <f>IF(U183="Open Sale", TEXT(TODAY()-I183, "0"),
IF(U183="Pending", "",
IF(U183="Closed Sale", "", "")))</f>
        <v/>
      </c>
      <c r="AE183" s="161" t="n"/>
      <c r="AF183" s="161" t="n"/>
      <c r="AG183" s="161" t="n"/>
      <c r="AH183" s="136" t="n"/>
      <c r="AI183" s="164">
        <f>IF(I183="","",TEXT(I183, "mmmm yyyy"))</f>
        <v/>
      </c>
      <c r="AJ183" s="164">
        <f>IF(AND(OpenPendingCases[[#This Row],[Sale Status	]]="Open Sale",OpenPendingCases[[#This Row],[Potential Same Month]]="High"),TEXT(OpenPendingCases[[#This Row],[Request Entry Date]], "[$-en-us]mmmm"),"")</f>
        <v/>
      </c>
      <c r="AK183" s="165">
        <f>IFERROR(VALUE(SUBSTITUTE(OpenPendingCases[[#This Row],[Price]]," AED","")),"")</f>
        <v/>
      </c>
      <c r="AL183" s="165">
        <f>IFERROR(VALUE(LEFT(OpenPendingCases[[#This Row],[Price]],FIND(" ",OpenPendingCases[[#This Row],[Price]])-1)),"")</f>
        <v/>
      </c>
      <c r="AM183" s="165">
        <f>IFERROR(VALUE(_xlfn.TEXTBEFORE(OpenPendingCases[[#This Row],[Price]]," AED")),"")</f>
        <v/>
      </c>
      <c r="AN183" s="165" t="n"/>
    </row>
    <row r="184" hidden="1" ht="18" customHeight="1" s="287">
      <c r="C184" s="133" t="n"/>
      <c r="D184" s="136">
        <f>IF($U184="Open Sale", IF(MAX($D$4:D183)+1=0, "", MAX($D$4:D183)+1), "")</f>
        <v/>
      </c>
      <c r="E184" s="136">
        <f>IF($U184="Pending Allocation", IF(MAX($E$4:E183)+1=0, "", MAX($E$4:E183)+1), "")</f>
        <v/>
      </c>
      <c r="F184" s="136" t="n"/>
      <c r="G184" s="136" t="n"/>
      <c r="H184" s="150" t="n"/>
      <c r="I184" s="150" t="n"/>
      <c r="J184" s="67">
        <f>IF(OpenPendingCases[[#This Row],[Timepiece Reference ]]="", "", IF(_xlfn.XLOOKUP(OpenPendingCases[[#This Row],[Timepiece Reference ]], Table1[[Timepiece Reference ]], Table1[CRC STOCK], "Not Found")="YES", "CRC Stock", "Boutique Stock"))</f>
        <v/>
      </c>
      <c r="K184" s="136">
        <f>IF(OpenPendingCases[[#This Row],[Timepiece Reference ]]="", "", IF(_xlfn.XLOOKUP(OpenPendingCases[[#This Row],[Timepiece Reference ]], Table1[[Timepiece Reference ]], Table1[CRC STOCK], "Not Found")="YES", "CRC Stock", "Boutique Stock"))</f>
        <v/>
      </c>
      <c r="L184" s="139" t="n"/>
      <c r="M184" s="140" t="n"/>
      <c r="N184" s="136" t="n"/>
      <c r="O184" s="133" t="n"/>
      <c r="P184" s="93">
        <f>IFERROR(VLOOKUP(TRIM(O184), Collection!$B$2:$D$1001, 2, FALSE), "")</f>
        <v/>
      </c>
      <c r="Q184" s="190">
        <f>IFERROR(VLOOKUP(TRIM(O184), Collection!$B$2:$D$1001, 3, FALSE), "")</f>
        <v/>
      </c>
      <c r="R184" s="153">
        <f>IFERROR(VALUE(SUBSTITUTE(SUBSTITUTE(Q184, "Price", ""), "AED", "")), "")</f>
        <v/>
      </c>
      <c r="S184" s="151" t="n"/>
      <c r="T184" s="158" t="n"/>
      <c r="U184" s="136" t="n"/>
      <c r="V184" s="136" t="n"/>
      <c r="W184" s="156">
        <f>IF(Z184 = "",
"",
TEXT(Z184, "mmmm"))</f>
        <v/>
      </c>
      <c r="X184" s="157" t="n"/>
      <c r="Y184" s="158" t="n"/>
      <c r="Z184" s="158" t="n"/>
      <c r="AA184" s="136">
        <f>IF(H184="", "", IF(U184="Open Sale", IF(TODAY()-H184=0, "0 Days", TEXT(TODAY()-H184, "0") &amp; " Days"), IF(U184="Closed Sale", AA184, "")))</f>
        <v/>
      </c>
      <c r="AB184" s="136">
        <f>IF(H184="", "", IF(OR(U184="Pending", U184="Pending Allocation"), CONCATENATE(TODAY()-H184, " Days"), IF(U184="Closed", "", "")))</f>
        <v/>
      </c>
      <c r="AC184" s="160">
        <f>IF(U184="Pending Allocation", IF(I184="", "", TODAY()-I184), "")</f>
        <v/>
      </c>
      <c r="AD184" s="159">
        <f>IF(U184="Open Sale", TEXT(TODAY()-I184, "0"),
IF(U184="Pending", "",
IF(U184="Closed Sale", "", "")))</f>
        <v/>
      </c>
      <c r="AE184" s="161" t="n"/>
      <c r="AF184" s="161" t="n"/>
      <c r="AG184" s="161" t="n"/>
      <c r="AH184" s="136" t="n"/>
      <c r="AI184" s="164">
        <f>IF(I184="","",TEXT(I184, "mmmm yyyy"))</f>
        <v/>
      </c>
      <c r="AJ184" s="164">
        <f>IF(AND(OpenPendingCases[[#This Row],[Sale Status	]]="Open Sale",OpenPendingCases[[#This Row],[Potential Same Month]]="High"),TEXT(OpenPendingCases[[#This Row],[Request Entry Date]], "[$-en-us]mmmm"),"")</f>
        <v/>
      </c>
      <c r="AK184" s="165">
        <f>IFERROR(VALUE(SUBSTITUTE(OpenPendingCases[[#This Row],[Price]]," AED","")),"")</f>
        <v/>
      </c>
      <c r="AL184" s="165">
        <f>IFERROR(VALUE(LEFT(OpenPendingCases[[#This Row],[Price]],FIND(" ",OpenPendingCases[[#This Row],[Price]])-1)),"")</f>
        <v/>
      </c>
      <c r="AM184" s="165">
        <f>IFERROR(VALUE(_xlfn.TEXTBEFORE(OpenPendingCases[[#This Row],[Price]]," AED")),"")</f>
        <v/>
      </c>
      <c r="AN184" s="165" t="n"/>
    </row>
    <row r="185" hidden="1" ht="18" customHeight="1" s="287">
      <c r="C185" s="133" t="n"/>
      <c r="D185" s="136">
        <f>IF($U185="Open Sale", IF(MAX($D$4:D184)+1=0, "", MAX($D$4:D184)+1), "")</f>
        <v/>
      </c>
      <c r="E185" s="136">
        <f>IF($U185="Pending Allocation", IF(MAX($E$4:E184)+1=0, "", MAX($E$4:E184)+1), "")</f>
        <v/>
      </c>
      <c r="F185" s="136" t="n"/>
      <c r="G185" s="136" t="n"/>
      <c r="H185" s="150" t="n"/>
      <c r="I185" s="150" t="n"/>
      <c r="J185" s="67">
        <f>IF(OpenPendingCases[[#This Row],[Timepiece Reference ]]="", "", IF(_xlfn.XLOOKUP(OpenPendingCases[[#This Row],[Timepiece Reference ]], Table1[[Timepiece Reference ]], Table1[CRC STOCK], "Not Found")="YES", "CRC Stock", "Boutique Stock"))</f>
        <v/>
      </c>
      <c r="K185" s="136">
        <f>IF(OpenPendingCases[[#This Row],[Timepiece Reference ]]="", "", IF(_xlfn.XLOOKUP(OpenPendingCases[[#This Row],[Timepiece Reference ]], Table1[[Timepiece Reference ]], Table1[CRC STOCK], "Not Found")="YES", "CRC Stock", "Boutique Stock"))</f>
        <v/>
      </c>
      <c r="L185" s="139" t="n"/>
      <c r="M185" s="140" t="n"/>
      <c r="N185" s="136" t="n"/>
      <c r="O185" s="133" t="n"/>
      <c r="P185" s="93">
        <f>IFERROR(VLOOKUP(TRIM(O185), Collection!$B$2:$D$1001, 2, FALSE), "")</f>
        <v/>
      </c>
      <c r="Q185" s="190">
        <f>IFERROR(VLOOKUP(TRIM(O185), Collection!$B$2:$D$1001, 3, FALSE), "")</f>
        <v/>
      </c>
      <c r="R185" s="153">
        <f>IFERROR(VALUE(SUBSTITUTE(SUBSTITUTE(Q185, "Price", ""), "AED", "")), "")</f>
        <v/>
      </c>
      <c r="S185" s="151" t="n"/>
      <c r="T185" s="158" t="n"/>
      <c r="U185" s="136" t="n"/>
      <c r="V185" s="136" t="n"/>
      <c r="W185" s="156">
        <f>IF(Z185 = "",
"",
TEXT(Z185, "mmmm"))</f>
        <v/>
      </c>
      <c r="X185" s="157" t="n"/>
      <c r="Y185" s="158" t="n"/>
      <c r="Z185" s="158" t="n"/>
      <c r="AA185" s="136">
        <f>IF(H185="", "", IF(U185="Open Sale", IF(TODAY()-H185=0, "0 Days", TEXT(TODAY()-H185, "0") &amp; " Days"), IF(U185="Closed Sale", AA185, "")))</f>
        <v/>
      </c>
      <c r="AB185" s="136">
        <f>IF(H185="", "", IF(OR(U185="Pending", U185="Pending Allocation"), CONCATENATE(TODAY()-H185, " Days"), IF(U185="Closed", "", "")))</f>
        <v/>
      </c>
      <c r="AC185" s="160">
        <f>IF(U185="Pending Allocation", IF(I185="", "", TODAY()-I185), "")</f>
        <v/>
      </c>
      <c r="AD185" s="159">
        <f>IF(U185="Open Sale", TEXT(TODAY()-I185, "0"),
IF(U185="Pending", "",
IF(U185="Closed Sale", "", "")))</f>
        <v/>
      </c>
      <c r="AE185" s="161" t="n"/>
      <c r="AF185" s="161" t="n"/>
      <c r="AG185" s="161" t="n"/>
      <c r="AH185" s="136" t="n"/>
      <c r="AI185" s="164">
        <f>IF(I185="","",TEXT(I185, "mmmm yyyy"))</f>
        <v/>
      </c>
      <c r="AJ185" s="164">
        <f>IF(AND(OpenPendingCases[[#This Row],[Sale Status	]]="Open Sale",OpenPendingCases[[#This Row],[Potential Same Month]]="High"),TEXT(OpenPendingCases[[#This Row],[Request Entry Date]], "[$-en-us]mmmm"),"")</f>
        <v/>
      </c>
      <c r="AK185" s="165">
        <f>IFERROR(VALUE(SUBSTITUTE(OpenPendingCases[[#This Row],[Price]]," AED","")),"")</f>
        <v/>
      </c>
      <c r="AL185" s="165">
        <f>IFERROR(VALUE(LEFT(OpenPendingCases[[#This Row],[Price]],FIND(" ",OpenPendingCases[[#This Row],[Price]])-1)),"")</f>
        <v/>
      </c>
      <c r="AM185" s="165">
        <f>IFERROR(VALUE(_xlfn.TEXTBEFORE(OpenPendingCases[[#This Row],[Price]]," AED")),"")</f>
        <v/>
      </c>
      <c r="AN185" s="165" t="n"/>
    </row>
    <row r="186" hidden="1" ht="18" customHeight="1" s="287">
      <c r="C186" s="133" t="n"/>
      <c r="D186" s="136">
        <f>IF($U186="Open Sale", IF(MAX($D$4:D185)+1=0, "", MAX($D$4:D185)+1), "")</f>
        <v/>
      </c>
      <c r="E186" s="136">
        <f>IF($U186="Pending Allocation", IF(MAX($E$4:E185)+1=0, "", MAX($E$4:E185)+1), "")</f>
        <v/>
      </c>
      <c r="F186" s="136" t="n"/>
      <c r="G186" s="136" t="n"/>
      <c r="H186" s="150" t="n"/>
      <c r="I186" s="150" t="n"/>
      <c r="J186" s="67">
        <f>IF(OpenPendingCases[[#This Row],[Timepiece Reference ]]="", "", IF(_xlfn.XLOOKUP(OpenPendingCases[[#This Row],[Timepiece Reference ]], Table1[[Timepiece Reference ]], Table1[CRC STOCK], "Not Found")="YES", "CRC Stock", "Boutique Stock"))</f>
        <v/>
      </c>
      <c r="K186" s="136">
        <f>IF(OpenPendingCases[[#This Row],[Timepiece Reference ]]="", "", IF(_xlfn.XLOOKUP(OpenPendingCases[[#This Row],[Timepiece Reference ]], Table1[[Timepiece Reference ]], Table1[CRC STOCK], "Not Found")="YES", "CRC Stock", "Boutique Stock"))</f>
        <v/>
      </c>
      <c r="L186" s="139" t="n"/>
      <c r="M186" s="140" t="n"/>
      <c r="N186" s="136" t="n"/>
      <c r="O186" s="133" t="n"/>
      <c r="P186" s="93">
        <f>IFERROR(VLOOKUP(TRIM(O186), Collection!$B$2:$D$1001, 2, FALSE), "")</f>
        <v/>
      </c>
      <c r="Q186" s="190">
        <f>IFERROR(VLOOKUP(TRIM(O186), Collection!$B$2:$D$1001, 3, FALSE), "")</f>
        <v/>
      </c>
      <c r="R186" s="153">
        <f>IFERROR(VALUE(SUBSTITUTE(SUBSTITUTE(Q186, "Price", ""), "AED", "")), "")</f>
        <v/>
      </c>
      <c r="S186" s="151" t="n"/>
      <c r="T186" s="158" t="n"/>
      <c r="U186" s="136" t="n"/>
      <c r="V186" s="136" t="n"/>
      <c r="W186" s="156">
        <f>IF(Z186 = "",
"",
TEXT(Z186, "mmmm"))</f>
        <v/>
      </c>
      <c r="X186" s="157" t="n"/>
      <c r="Y186" s="158" t="n"/>
      <c r="Z186" s="158" t="n"/>
      <c r="AA186" s="136">
        <f>IF(H186="", "", IF(U186="Open Sale", IF(TODAY()-H186=0, "0 Days", TEXT(TODAY()-H186, "0") &amp; " Days"), IF(U186="Closed Sale", AA186, "")))</f>
        <v/>
      </c>
      <c r="AB186" s="136">
        <f>IF(H186="", "", IF(OR(U186="Pending", U186="Pending Allocation"), CONCATENATE(TODAY()-H186, " Days"), IF(U186="Closed", "", "")))</f>
        <v/>
      </c>
      <c r="AC186" s="160">
        <f>IF(U186="Pending Allocation", IF(I186="", "", TODAY()-I186), "")</f>
        <v/>
      </c>
      <c r="AD186" s="159">
        <f>IF(U186="Open Sale", TEXT(TODAY()-I186, "0"),
IF(U186="Pending", "",
IF(U186="Closed Sale", "", "")))</f>
        <v/>
      </c>
      <c r="AE186" s="161" t="n"/>
      <c r="AF186" s="161" t="n"/>
      <c r="AG186" s="161" t="n"/>
      <c r="AH186" s="136" t="n"/>
      <c r="AI186" s="164">
        <f>IF(I186="","",TEXT(I186, "mmmm yyyy"))</f>
        <v/>
      </c>
      <c r="AJ186" s="164">
        <f>IF(AND(OpenPendingCases[[#This Row],[Sale Status	]]="Open Sale",OpenPendingCases[[#This Row],[Potential Same Month]]="High"),TEXT(OpenPendingCases[[#This Row],[Request Entry Date]], "[$-en-us]mmmm"),"")</f>
        <v/>
      </c>
      <c r="AK186" s="165">
        <f>IFERROR(VALUE(SUBSTITUTE(OpenPendingCases[[#This Row],[Price]]," AED","")),"")</f>
        <v/>
      </c>
      <c r="AL186" s="165">
        <f>IFERROR(VALUE(LEFT(OpenPendingCases[[#This Row],[Price]],FIND(" ",OpenPendingCases[[#This Row],[Price]])-1)),"")</f>
        <v/>
      </c>
      <c r="AM186" s="165">
        <f>IFERROR(VALUE(_xlfn.TEXTBEFORE(OpenPendingCases[[#This Row],[Price]]," AED")),"")</f>
        <v/>
      </c>
      <c r="AN186" s="165" t="n"/>
    </row>
    <row r="187" hidden="1" ht="18" customHeight="1" s="287">
      <c r="C187" s="133" t="n"/>
      <c r="D187" s="136">
        <f>IF($U187="Open Sale", IF(MAX($D$4:D186)+1=0, "", MAX($D$4:D186)+1), "")</f>
        <v/>
      </c>
      <c r="E187" s="136">
        <f>IF($U187="Pending Allocation", IF(MAX($E$4:E186)+1=0, "", MAX($E$4:E186)+1), "")</f>
        <v/>
      </c>
      <c r="F187" s="136" t="n"/>
      <c r="G187" s="136" t="n"/>
      <c r="H187" s="150" t="n"/>
      <c r="I187" s="150" t="n"/>
      <c r="J187" s="67">
        <f>IF(OpenPendingCases[[#This Row],[Timepiece Reference ]]="", "", IF(_xlfn.XLOOKUP(OpenPendingCases[[#This Row],[Timepiece Reference ]], Table1[[Timepiece Reference ]], Table1[CRC STOCK], "Not Found")="YES", "CRC Stock", "Boutique Stock"))</f>
        <v/>
      </c>
      <c r="K187" s="136">
        <f>IF(OpenPendingCases[[#This Row],[Timepiece Reference ]]="", "", IF(_xlfn.XLOOKUP(OpenPendingCases[[#This Row],[Timepiece Reference ]], Table1[[Timepiece Reference ]], Table1[CRC STOCK], "Not Found")="YES", "CRC Stock", "Boutique Stock"))</f>
        <v/>
      </c>
      <c r="L187" s="139" t="n"/>
      <c r="M187" s="140" t="n"/>
      <c r="N187" s="136" t="n"/>
      <c r="O187" s="133" t="n"/>
      <c r="P187" s="93">
        <f>IFERROR(VLOOKUP(TRIM(O187), Collection!$B$2:$D$1001, 2, FALSE), "")</f>
        <v/>
      </c>
      <c r="Q187" s="190">
        <f>IFERROR(VLOOKUP(TRIM(O187), Collection!$B$2:$D$1001, 3, FALSE), "")</f>
        <v/>
      </c>
      <c r="R187" s="153">
        <f>IFERROR(VALUE(SUBSTITUTE(SUBSTITUTE(Q187, "Price", ""), "AED", "")), "")</f>
        <v/>
      </c>
      <c r="S187" s="151" t="n"/>
      <c r="T187" s="158" t="n"/>
      <c r="U187" s="136" t="n"/>
      <c r="V187" s="136" t="n"/>
      <c r="W187" s="156">
        <f>IF(Z187 = "",
"",
TEXT(Z187, "mmmm"))</f>
        <v/>
      </c>
      <c r="X187" s="157" t="n"/>
      <c r="Y187" s="158" t="n"/>
      <c r="Z187" s="158" t="n"/>
      <c r="AA187" s="136">
        <f>IF(H187="", "", IF(U187="Open Sale", IF(TODAY()-H187=0, "0 Days", TEXT(TODAY()-H187, "0") &amp; " Days"), IF(U187="Closed Sale", AA187, "")))</f>
        <v/>
      </c>
      <c r="AB187" s="136">
        <f>IF(H187="", "", IF(OR(U187="Pending", U187="Pending Allocation"), CONCATENATE(TODAY()-H187, " Days"), IF(U187="Closed", "", "")))</f>
        <v/>
      </c>
      <c r="AC187" s="160">
        <f>IF(U187="Pending Allocation", IF(I187="", "", TODAY()-I187), "")</f>
        <v/>
      </c>
      <c r="AD187" s="159">
        <f>IF(U187="Open Sale", TEXT(TODAY()-I187, "0"),
IF(U187="Pending", "",
IF(U187="Closed Sale", "", "")))</f>
        <v/>
      </c>
      <c r="AE187" s="161" t="n"/>
      <c r="AF187" s="161" t="n"/>
      <c r="AG187" s="161" t="n"/>
      <c r="AH187" s="136" t="n"/>
      <c r="AI187" s="164">
        <f>IF(I187="","",TEXT(I187, "mmmm yyyy"))</f>
        <v/>
      </c>
      <c r="AJ187" s="164">
        <f>IF(AND(OpenPendingCases[[#This Row],[Sale Status	]]="Open Sale",OpenPendingCases[[#This Row],[Potential Same Month]]="High"),TEXT(OpenPendingCases[[#This Row],[Request Entry Date]], "[$-en-us]mmmm"),"")</f>
        <v/>
      </c>
      <c r="AK187" s="165">
        <f>IFERROR(VALUE(SUBSTITUTE(OpenPendingCases[[#This Row],[Price]]," AED","")),"")</f>
        <v/>
      </c>
      <c r="AL187" s="165">
        <f>IFERROR(VALUE(LEFT(OpenPendingCases[[#This Row],[Price]],FIND(" ",OpenPendingCases[[#This Row],[Price]])-1)),"")</f>
        <v/>
      </c>
      <c r="AM187" s="165">
        <f>IFERROR(VALUE(_xlfn.TEXTBEFORE(OpenPendingCases[[#This Row],[Price]]," AED")),"")</f>
        <v/>
      </c>
      <c r="AN187" s="165" t="n"/>
    </row>
    <row r="188" hidden="1" ht="18" customHeight="1" s="287">
      <c r="C188" s="133" t="n"/>
      <c r="D188" s="136">
        <f>IF($U188="Open Sale", IF(MAX($D$4:D187)+1=0, "", MAX($D$4:D187)+1), "")</f>
        <v/>
      </c>
      <c r="E188" s="136">
        <f>IF($U188="Pending Allocation", IF(MAX($E$4:E187)+1=0, "", MAX($E$4:E187)+1), "")</f>
        <v/>
      </c>
      <c r="F188" s="136" t="n"/>
      <c r="G188" s="136" t="n"/>
      <c r="H188" s="150" t="n"/>
      <c r="I188" s="150" t="n"/>
      <c r="J188" s="67">
        <f>IF(OpenPendingCases[[#This Row],[Timepiece Reference ]]="", "", IF(_xlfn.XLOOKUP(OpenPendingCases[[#This Row],[Timepiece Reference ]], Table1[[Timepiece Reference ]], Table1[CRC STOCK], "Not Found")="YES", "CRC Stock", "Boutique Stock"))</f>
        <v/>
      </c>
      <c r="K188" s="136">
        <f>IF(OpenPendingCases[[#This Row],[Timepiece Reference ]]="", "", IF(_xlfn.XLOOKUP(OpenPendingCases[[#This Row],[Timepiece Reference ]], Table1[[Timepiece Reference ]], Table1[CRC STOCK], "Not Found")="YES", "CRC Stock", "Boutique Stock"))</f>
        <v/>
      </c>
      <c r="L188" s="139" t="n"/>
      <c r="M188" s="140" t="n"/>
      <c r="N188" s="136" t="n"/>
      <c r="O188" s="133" t="n"/>
      <c r="P188" s="93">
        <f>IFERROR(VLOOKUP(TRIM(O188), Collection!$B$2:$D$1001, 2, FALSE), "")</f>
        <v/>
      </c>
      <c r="Q188" s="190">
        <f>IFERROR(VLOOKUP(TRIM(O188), Collection!$B$2:$D$1001, 3, FALSE), "")</f>
        <v/>
      </c>
      <c r="R188" s="153">
        <f>IFERROR(VALUE(SUBSTITUTE(SUBSTITUTE(Q188, "Price", ""), "AED", "")), "")</f>
        <v/>
      </c>
      <c r="S188" s="151" t="n"/>
      <c r="T188" s="158" t="n"/>
      <c r="U188" s="136" t="n"/>
      <c r="V188" s="136" t="n"/>
      <c r="W188" s="156">
        <f>IF(Z188 = "",
"",
TEXT(Z188, "mmmm"))</f>
        <v/>
      </c>
      <c r="X188" s="157" t="n"/>
      <c r="Y188" s="158" t="n"/>
      <c r="Z188" s="158" t="n"/>
      <c r="AA188" s="136">
        <f>IF(H188="", "", IF(U188="Open Sale", IF(TODAY()-H188=0, "0 Days", TEXT(TODAY()-H188, "0") &amp; " Days"), IF(U188="Closed Sale", AA188, "")))</f>
        <v/>
      </c>
      <c r="AB188" s="136">
        <f>IF(H188="", "", IF(OR(U188="Pending", U188="Pending Allocation"), CONCATENATE(TODAY()-H188, " Days"), IF(U188="Closed", "", "")))</f>
        <v/>
      </c>
      <c r="AC188" s="160">
        <f>IF(U188="Pending Allocation", IF(I188="", "", TODAY()-I188), "")</f>
        <v/>
      </c>
      <c r="AD188" s="159">
        <f>IF(U188="Open Sale", TEXT(TODAY()-I188, "0"),
IF(U188="Pending", "",
IF(U188="Closed Sale", "", "")))</f>
        <v/>
      </c>
      <c r="AE188" s="161" t="n"/>
      <c r="AF188" s="161" t="n"/>
      <c r="AG188" s="161" t="n"/>
      <c r="AH188" s="136" t="n"/>
      <c r="AI188" s="164">
        <f>IF(I188="","",TEXT(I188, "mmmm yyyy"))</f>
        <v/>
      </c>
      <c r="AJ188" s="164">
        <f>IF(AND(OpenPendingCases[[#This Row],[Sale Status	]]="Open Sale",OpenPendingCases[[#This Row],[Potential Same Month]]="High"),TEXT(OpenPendingCases[[#This Row],[Request Entry Date]], "[$-en-us]mmmm"),"")</f>
        <v/>
      </c>
      <c r="AK188" s="165">
        <f>IFERROR(VALUE(SUBSTITUTE(OpenPendingCases[[#This Row],[Price]]," AED","")),"")</f>
        <v/>
      </c>
      <c r="AL188" s="165">
        <f>IFERROR(VALUE(LEFT(OpenPendingCases[[#This Row],[Price]],FIND(" ",OpenPendingCases[[#This Row],[Price]])-1)),"")</f>
        <v/>
      </c>
      <c r="AM188" s="165">
        <f>IFERROR(VALUE(_xlfn.TEXTBEFORE(OpenPendingCases[[#This Row],[Price]]," AED")),"")</f>
        <v/>
      </c>
      <c r="AN188" s="165" t="n"/>
    </row>
    <row r="189" hidden="1" ht="18" customHeight="1" s="287">
      <c r="C189" s="133" t="n"/>
      <c r="D189" s="136">
        <f>IF($U189="Open Sale", IF(MAX($D$4:D188)+1=0, "", MAX($D$4:D188)+1), "")</f>
        <v/>
      </c>
      <c r="E189" s="136">
        <f>IF($U189="Pending Allocation", IF(MAX($E$4:E188)+1=0, "", MAX($E$4:E188)+1), "")</f>
        <v/>
      </c>
      <c r="F189" s="136" t="n"/>
      <c r="G189" s="136" t="n"/>
      <c r="H189" s="150" t="n"/>
      <c r="I189" s="150" t="n"/>
      <c r="J189" s="67">
        <f>IF(OpenPendingCases[[#This Row],[Timepiece Reference ]]="", "", IF(_xlfn.XLOOKUP(OpenPendingCases[[#This Row],[Timepiece Reference ]], Table1[[Timepiece Reference ]], Table1[CRC STOCK], "Not Found")="YES", "CRC Stock", "Boutique Stock"))</f>
        <v/>
      </c>
      <c r="K189" s="136">
        <f>IF(OpenPendingCases[[#This Row],[Timepiece Reference ]]="", "", IF(_xlfn.XLOOKUP(OpenPendingCases[[#This Row],[Timepiece Reference ]], Table1[[Timepiece Reference ]], Table1[CRC STOCK], "Not Found")="YES", "CRC Stock", "Boutique Stock"))</f>
        <v/>
      </c>
      <c r="L189" s="139" t="n"/>
      <c r="M189" s="140" t="n"/>
      <c r="N189" s="136" t="n"/>
      <c r="O189" s="133" t="n"/>
      <c r="P189" s="93">
        <f>IFERROR(VLOOKUP(TRIM(O189), Collection!$B$2:$D$1001, 2, FALSE), "")</f>
        <v/>
      </c>
      <c r="Q189" s="190">
        <f>IFERROR(VLOOKUP(TRIM(O189), Collection!$B$2:$D$1001, 3, FALSE), "")</f>
        <v/>
      </c>
      <c r="R189" s="153">
        <f>IFERROR(VALUE(SUBSTITUTE(SUBSTITUTE(Q189, "Price", ""), "AED", "")), "")</f>
        <v/>
      </c>
      <c r="S189" s="151" t="n"/>
      <c r="T189" s="158" t="n"/>
      <c r="U189" s="136" t="n"/>
      <c r="V189" s="136" t="n"/>
      <c r="W189" s="156">
        <f>IF(Z189 = "",
"",
TEXT(Z189, "mmmm"))</f>
        <v/>
      </c>
      <c r="X189" s="157" t="n"/>
      <c r="Y189" s="158" t="n"/>
      <c r="Z189" s="158" t="n"/>
      <c r="AA189" s="136">
        <f>IF(H189="", "", IF(U189="Open Sale", IF(TODAY()-H189=0, "0 Days", TEXT(TODAY()-H189, "0") &amp; " Days"), IF(U189="Closed Sale", AA189, "")))</f>
        <v/>
      </c>
      <c r="AB189" s="136">
        <f>IF(H189="", "", IF(OR(U189="Pending", U189="Pending Allocation"), CONCATENATE(TODAY()-H189, " Days"), IF(U189="Closed", "", "")))</f>
        <v/>
      </c>
      <c r="AC189" s="160">
        <f>IF(U189="Pending Allocation", IF(I189="", "", TODAY()-I189), "")</f>
        <v/>
      </c>
      <c r="AD189" s="159">
        <f>IF(U189="Open Sale", TEXT(TODAY()-I189, "0"),
IF(U189="Pending", "",
IF(U189="Closed Sale", "", "")))</f>
        <v/>
      </c>
      <c r="AE189" s="161" t="n"/>
      <c r="AF189" s="161" t="n"/>
      <c r="AG189" s="161" t="n"/>
      <c r="AH189" s="136" t="n"/>
      <c r="AI189" s="164">
        <f>IF(I189="","",TEXT(I189, "mmmm yyyy"))</f>
        <v/>
      </c>
      <c r="AJ189" s="164">
        <f>IF(AND(OpenPendingCases[[#This Row],[Sale Status	]]="Open Sale",OpenPendingCases[[#This Row],[Potential Same Month]]="High"),TEXT(OpenPendingCases[[#This Row],[Request Entry Date]], "[$-en-us]mmmm"),"")</f>
        <v/>
      </c>
      <c r="AK189" s="165">
        <f>IFERROR(VALUE(SUBSTITUTE(OpenPendingCases[[#This Row],[Price]]," AED","")),"")</f>
        <v/>
      </c>
      <c r="AL189" s="165">
        <f>IFERROR(VALUE(LEFT(OpenPendingCases[[#This Row],[Price]],FIND(" ",OpenPendingCases[[#This Row],[Price]])-1)),"")</f>
        <v/>
      </c>
      <c r="AM189" s="165">
        <f>IFERROR(VALUE(_xlfn.TEXTBEFORE(OpenPendingCases[[#This Row],[Price]]," AED")),"")</f>
        <v/>
      </c>
      <c r="AN189" s="165" t="n"/>
    </row>
    <row r="190" hidden="1" ht="18" customHeight="1" s="287">
      <c r="C190" s="133" t="n"/>
      <c r="D190" s="136">
        <f>IF($U190="Open Sale", IF(MAX($D$4:D189)+1=0, "", MAX($D$4:D189)+1), "")</f>
        <v/>
      </c>
      <c r="E190" s="136">
        <f>IF($U190="Pending Allocation", IF(MAX($E$4:E189)+1=0, "", MAX($E$4:E189)+1), "")</f>
        <v/>
      </c>
      <c r="F190" s="136" t="n"/>
      <c r="G190" s="136" t="n"/>
      <c r="H190" s="150" t="n"/>
      <c r="I190" s="150" t="n"/>
      <c r="J190" s="67">
        <f>IF(OpenPendingCases[[#This Row],[Timepiece Reference ]]="", "", IF(_xlfn.XLOOKUP(OpenPendingCases[[#This Row],[Timepiece Reference ]], Table1[[Timepiece Reference ]], Table1[CRC STOCK], "Not Found")="YES", "CRC Stock", "Boutique Stock"))</f>
        <v/>
      </c>
      <c r="K190" s="136">
        <f>IF(OpenPendingCases[[#This Row],[Timepiece Reference ]]="", "", IF(_xlfn.XLOOKUP(OpenPendingCases[[#This Row],[Timepiece Reference ]], Table1[[Timepiece Reference ]], Table1[CRC STOCK], "Not Found")="YES", "CRC Stock", "Boutique Stock"))</f>
        <v/>
      </c>
      <c r="L190" s="139" t="n"/>
      <c r="M190" s="140" t="n"/>
      <c r="N190" s="136" t="n"/>
      <c r="O190" s="133" t="n"/>
      <c r="P190" s="93">
        <f>IFERROR(VLOOKUP(TRIM(O190), Collection!$B$2:$D$1001, 2, FALSE), "")</f>
        <v/>
      </c>
      <c r="Q190" s="190">
        <f>IFERROR(VLOOKUP(TRIM(O190), Collection!$B$2:$D$1001, 3, FALSE), "")</f>
        <v/>
      </c>
      <c r="R190" s="153">
        <f>IFERROR(VALUE(SUBSTITUTE(SUBSTITUTE(Q190, "Price", ""), "AED", "")), "")</f>
        <v/>
      </c>
      <c r="S190" s="151" t="n"/>
      <c r="T190" s="158" t="n"/>
      <c r="U190" s="136" t="n"/>
      <c r="V190" s="136" t="n"/>
      <c r="W190" s="156">
        <f>IF(Z190 = "",
"",
TEXT(Z190, "mmmm"))</f>
        <v/>
      </c>
      <c r="X190" s="157" t="n"/>
      <c r="Y190" s="158" t="n"/>
      <c r="Z190" s="158" t="n"/>
      <c r="AA190" s="136">
        <f>IF(H190="", "", IF(U190="Open Sale", IF(TODAY()-H190=0, "0 Days", TEXT(TODAY()-H190, "0") &amp; " Days"), IF(U190="Closed Sale", AA190, "")))</f>
        <v/>
      </c>
      <c r="AB190" s="136">
        <f>IF(H190="", "", IF(OR(U190="Pending", U190="Pending Allocation"), CONCATENATE(TODAY()-H190, " Days"), IF(U190="Closed", "", "")))</f>
        <v/>
      </c>
      <c r="AC190" s="160">
        <f>IF(U190="Pending Allocation", IF(I190="", "", TODAY()-I190), "")</f>
        <v/>
      </c>
      <c r="AD190" s="159">
        <f>IF(U190="Open Sale", TEXT(TODAY()-I190, "0"),
IF(U190="Pending", "",
IF(U190="Closed Sale", "", "")))</f>
        <v/>
      </c>
      <c r="AE190" s="161" t="n"/>
      <c r="AF190" s="161" t="n"/>
      <c r="AG190" s="161" t="n"/>
      <c r="AH190" s="136" t="n"/>
      <c r="AI190" s="164">
        <f>IF(I190="","",TEXT(I190, "mmmm yyyy"))</f>
        <v/>
      </c>
      <c r="AJ190" s="164">
        <f>IF(AND(OpenPendingCases[[#This Row],[Sale Status	]]="Open Sale",OpenPendingCases[[#This Row],[Potential Same Month]]="High"),TEXT(OpenPendingCases[[#This Row],[Request Entry Date]], "[$-en-us]mmmm"),"")</f>
        <v/>
      </c>
      <c r="AK190" s="165">
        <f>IFERROR(VALUE(SUBSTITUTE(OpenPendingCases[[#This Row],[Price]]," AED","")),"")</f>
        <v/>
      </c>
      <c r="AL190" s="165">
        <f>IFERROR(VALUE(LEFT(OpenPendingCases[[#This Row],[Price]],FIND(" ",OpenPendingCases[[#This Row],[Price]])-1)),"")</f>
        <v/>
      </c>
      <c r="AM190" s="165">
        <f>IFERROR(VALUE(_xlfn.TEXTBEFORE(OpenPendingCases[[#This Row],[Price]]," AED")),"")</f>
        <v/>
      </c>
      <c r="AN190" s="165" t="n"/>
    </row>
    <row r="191" hidden="1" ht="18" customHeight="1" s="287">
      <c r="C191" s="133" t="n"/>
      <c r="D191" s="136">
        <f>IF($U191="Open Sale", IF(MAX($D$4:D190)+1=0, "", MAX($D$4:D190)+1), "")</f>
        <v/>
      </c>
      <c r="E191" s="136">
        <f>IF($U191="Pending Allocation", IF(MAX($E$4:E190)+1=0, "", MAX($E$4:E190)+1), "")</f>
        <v/>
      </c>
      <c r="F191" s="136" t="n"/>
      <c r="G191" s="136" t="n"/>
      <c r="H191" s="150" t="n"/>
      <c r="I191" s="150" t="n"/>
      <c r="J191" s="67">
        <f>IF(OpenPendingCases[[#This Row],[Timepiece Reference ]]="", "", IF(_xlfn.XLOOKUP(OpenPendingCases[[#This Row],[Timepiece Reference ]], Table1[[Timepiece Reference ]], Table1[CRC STOCK], "Not Found")="YES", "CRC Stock", "Boutique Stock"))</f>
        <v/>
      </c>
      <c r="K191" s="136">
        <f>IF(OpenPendingCases[[#This Row],[Timepiece Reference ]]="", "", IF(_xlfn.XLOOKUP(OpenPendingCases[[#This Row],[Timepiece Reference ]], Table1[[Timepiece Reference ]], Table1[CRC STOCK], "Not Found")="YES", "CRC Stock", "Boutique Stock"))</f>
        <v/>
      </c>
      <c r="L191" s="139" t="n"/>
      <c r="M191" s="140" t="n"/>
      <c r="N191" s="136" t="n"/>
      <c r="O191" s="133" t="n"/>
      <c r="P191" s="93">
        <f>IFERROR(VLOOKUP(TRIM(O191), Collection!$B$2:$D$1001, 2, FALSE), "")</f>
        <v/>
      </c>
      <c r="Q191" s="190">
        <f>IFERROR(VLOOKUP(TRIM(O191), Collection!$B$2:$D$1001, 3, FALSE), "")</f>
        <v/>
      </c>
      <c r="R191" s="153">
        <f>IFERROR(VALUE(SUBSTITUTE(SUBSTITUTE(Q191, "Price", ""), "AED", "")), "")</f>
        <v/>
      </c>
      <c r="S191" s="151" t="n"/>
      <c r="T191" s="158" t="n"/>
      <c r="U191" s="136" t="n"/>
      <c r="V191" s="136" t="n"/>
      <c r="W191" s="156">
        <f>IF(Z191 = "",
"",
TEXT(Z191, "mmmm"))</f>
        <v/>
      </c>
      <c r="X191" s="157" t="n"/>
      <c r="Y191" s="158" t="n"/>
      <c r="Z191" s="158" t="n"/>
      <c r="AA191" s="136">
        <f>IF(H191="", "", IF(U191="Open Sale", IF(TODAY()-H191=0, "0 Days", TEXT(TODAY()-H191, "0") &amp; " Days"), IF(U191="Closed Sale", AA191, "")))</f>
        <v/>
      </c>
      <c r="AB191" s="136">
        <f>IF(H191="", "", IF(OR(U191="Pending", U191="Pending Allocation"), CONCATENATE(TODAY()-H191, " Days"), IF(U191="Closed", "", "")))</f>
        <v/>
      </c>
      <c r="AC191" s="160">
        <f>IF(U191="Pending Allocation", IF(I191="", "", TODAY()-I191), "")</f>
        <v/>
      </c>
      <c r="AD191" s="159">
        <f>IF(U191="Open Sale", TEXT(TODAY()-I191, "0"),
IF(U191="Pending", "",
IF(U191="Closed Sale", "", "")))</f>
        <v/>
      </c>
      <c r="AE191" s="161" t="n"/>
      <c r="AF191" s="161" t="n"/>
      <c r="AG191" s="161" t="n"/>
      <c r="AH191" s="136" t="n"/>
      <c r="AI191" s="164">
        <f>IF(I191="","",TEXT(I191, "mmmm yyyy"))</f>
        <v/>
      </c>
      <c r="AJ191" s="164">
        <f>IF(AND(OpenPendingCases[[#This Row],[Sale Status	]]="Open Sale",OpenPendingCases[[#This Row],[Potential Same Month]]="High"),TEXT(OpenPendingCases[[#This Row],[Request Entry Date]], "[$-en-us]mmmm"),"")</f>
        <v/>
      </c>
      <c r="AK191" s="165">
        <f>IFERROR(VALUE(SUBSTITUTE(OpenPendingCases[[#This Row],[Price]]," AED","")),"")</f>
        <v/>
      </c>
      <c r="AL191" s="165">
        <f>IFERROR(VALUE(LEFT(OpenPendingCases[[#This Row],[Price]],FIND(" ",OpenPendingCases[[#This Row],[Price]])-1)),"")</f>
        <v/>
      </c>
      <c r="AM191" s="165">
        <f>IFERROR(VALUE(_xlfn.TEXTBEFORE(OpenPendingCases[[#This Row],[Price]]," AED")),"")</f>
        <v/>
      </c>
      <c r="AN191" s="165" t="n"/>
    </row>
    <row r="192" hidden="1" ht="18" customHeight="1" s="287">
      <c r="C192" s="133" t="n"/>
      <c r="D192" s="136">
        <f>IF($U192="Open Sale", IF(MAX($D$4:D191)+1=0, "", MAX($D$4:D191)+1), "")</f>
        <v/>
      </c>
      <c r="E192" s="136">
        <f>IF($U192="Pending Allocation", IF(MAX($E$4:E191)+1=0, "", MAX($E$4:E191)+1), "")</f>
        <v/>
      </c>
      <c r="F192" s="136" t="n"/>
      <c r="G192" s="136" t="n"/>
      <c r="H192" s="150" t="n"/>
      <c r="I192" s="150" t="n"/>
      <c r="J192" s="67">
        <f>IF(OpenPendingCases[[#This Row],[Timepiece Reference ]]="", "", IF(_xlfn.XLOOKUP(OpenPendingCases[[#This Row],[Timepiece Reference ]], Table1[[Timepiece Reference ]], Table1[CRC STOCK], "Not Found")="YES", "CRC Stock", "Boutique Stock"))</f>
        <v/>
      </c>
      <c r="K192" s="136">
        <f>IF(OpenPendingCases[[#This Row],[Timepiece Reference ]]="", "", IF(_xlfn.XLOOKUP(OpenPendingCases[[#This Row],[Timepiece Reference ]], Table1[[Timepiece Reference ]], Table1[CRC STOCK], "Not Found")="YES", "CRC Stock", "Boutique Stock"))</f>
        <v/>
      </c>
      <c r="L192" s="139" t="n"/>
      <c r="M192" s="140" t="n"/>
      <c r="N192" s="136" t="n"/>
      <c r="O192" s="133" t="n"/>
      <c r="P192" s="93">
        <f>IFERROR(VLOOKUP(TRIM(O192), Collection!$B$2:$D$1001, 2, FALSE), "")</f>
        <v/>
      </c>
      <c r="Q192" s="190">
        <f>IFERROR(VLOOKUP(TRIM(O192), Collection!$B$2:$D$1001, 3, FALSE), "")</f>
        <v/>
      </c>
      <c r="R192" s="153">
        <f>IFERROR(VALUE(SUBSTITUTE(SUBSTITUTE(Q192, "Price", ""), "AED", "")), "")</f>
        <v/>
      </c>
      <c r="S192" s="151" t="n"/>
      <c r="T192" s="158" t="n"/>
      <c r="U192" s="136" t="n"/>
      <c r="V192" s="136" t="n"/>
      <c r="W192" s="156">
        <f>IF(Z192 = "",
"",
TEXT(Z192, "mmmm"))</f>
        <v/>
      </c>
      <c r="X192" s="157" t="n"/>
      <c r="Y192" s="158" t="n"/>
      <c r="Z192" s="158" t="n"/>
      <c r="AA192" s="136">
        <f>IF(H192="", "", IF(U192="Open Sale", IF(TODAY()-H192=0, "0 Days", TEXT(TODAY()-H192, "0") &amp; " Days"), IF(U192="Closed Sale", AA192, "")))</f>
        <v/>
      </c>
      <c r="AB192" s="136">
        <f>IF(H192="", "", IF(OR(U192="Pending", U192="Pending Allocation"), CONCATENATE(TODAY()-H192, " Days"), IF(U192="Closed", "", "")))</f>
        <v/>
      </c>
      <c r="AC192" s="160">
        <f>IF(U192="Pending Allocation", IF(I192="", "", TODAY()-I192), "")</f>
        <v/>
      </c>
      <c r="AD192" s="159">
        <f>IF(U192="Open Sale", TEXT(TODAY()-I192, "0"),
IF(U192="Pending", "",
IF(U192="Closed Sale", "", "")))</f>
        <v/>
      </c>
      <c r="AE192" s="161" t="n"/>
      <c r="AF192" s="161" t="n"/>
      <c r="AG192" s="161" t="n"/>
      <c r="AH192" s="136" t="n"/>
      <c r="AI192" s="164">
        <f>IF(I192="","",TEXT(I192, "mmmm yyyy"))</f>
        <v/>
      </c>
      <c r="AJ192" s="164">
        <f>IF(AND(OpenPendingCases[[#This Row],[Sale Status	]]="Open Sale",OpenPendingCases[[#This Row],[Potential Same Month]]="High"),TEXT(OpenPendingCases[[#This Row],[Request Entry Date]], "[$-en-us]mmmm"),"")</f>
        <v/>
      </c>
      <c r="AK192" s="165">
        <f>IFERROR(VALUE(SUBSTITUTE(OpenPendingCases[[#This Row],[Price]]," AED","")),"")</f>
        <v/>
      </c>
      <c r="AL192" s="165">
        <f>IFERROR(VALUE(LEFT(OpenPendingCases[[#This Row],[Price]],FIND(" ",OpenPendingCases[[#This Row],[Price]])-1)),"")</f>
        <v/>
      </c>
      <c r="AM192" s="165">
        <f>IFERROR(VALUE(_xlfn.TEXTBEFORE(OpenPendingCases[[#This Row],[Price]]," AED")),"")</f>
        <v/>
      </c>
      <c r="AN192" s="165" t="n"/>
    </row>
    <row r="193" hidden="1" ht="18" customHeight="1" s="287">
      <c r="C193" s="133" t="n"/>
      <c r="D193" s="136">
        <f>IF($U193="Open Sale", IF(MAX($D$4:D192)+1=0, "", MAX($D$4:D192)+1), "")</f>
        <v/>
      </c>
      <c r="E193" s="136">
        <f>IF($U193="Pending Allocation", IF(MAX($E$4:E192)+1=0, "", MAX($E$4:E192)+1), "")</f>
        <v/>
      </c>
      <c r="F193" s="136" t="n"/>
      <c r="G193" s="136" t="n"/>
      <c r="H193" s="150" t="n"/>
      <c r="I193" s="150" t="n"/>
      <c r="J193" s="67">
        <f>IF(OpenPendingCases[[#This Row],[Timepiece Reference ]]="", "", IF(_xlfn.XLOOKUP(OpenPendingCases[[#This Row],[Timepiece Reference ]], Table1[[Timepiece Reference ]], Table1[CRC STOCK], "Not Found")="YES", "CRC Stock", "Boutique Stock"))</f>
        <v/>
      </c>
      <c r="K193" s="136">
        <f>IF(OpenPendingCases[[#This Row],[Timepiece Reference ]]="", "", IF(_xlfn.XLOOKUP(OpenPendingCases[[#This Row],[Timepiece Reference ]], Table1[[Timepiece Reference ]], Table1[CRC STOCK], "Not Found")="YES", "CRC Stock", "Boutique Stock"))</f>
        <v/>
      </c>
      <c r="L193" s="139" t="n"/>
      <c r="M193" s="140" t="n"/>
      <c r="N193" s="136" t="n"/>
      <c r="O193" s="133" t="n"/>
      <c r="P193" s="93">
        <f>IFERROR(VLOOKUP(TRIM(O193), Collection!$B$2:$D$1001, 2, FALSE), "")</f>
        <v/>
      </c>
      <c r="Q193" s="190">
        <f>IFERROR(VLOOKUP(TRIM(O193), Collection!$B$2:$D$1001, 3, FALSE), "")</f>
        <v/>
      </c>
      <c r="R193" s="153">
        <f>IFERROR(VALUE(SUBSTITUTE(SUBSTITUTE(Q193, "Price", ""), "AED", "")), "")</f>
        <v/>
      </c>
      <c r="S193" s="151" t="n"/>
      <c r="T193" s="158" t="n"/>
      <c r="U193" s="136" t="n"/>
      <c r="V193" s="136" t="n"/>
      <c r="W193" s="156">
        <f>IF(Z193 = "",
"",
TEXT(Z193, "mmmm"))</f>
        <v/>
      </c>
      <c r="X193" s="157" t="n"/>
      <c r="Y193" s="158" t="n"/>
      <c r="Z193" s="158" t="n"/>
      <c r="AA193" s="136">
        <f>IF(H193="", "", IF(U193="Open Sale", IF(TODAY()-H193=0, "0 Days", TEXT(TODAY()-H193, "0") &amp; " Days"), IF(U193="Closed Sale", AA193, "")))</f>
        <v/>
      </c>
      <c r="AB193" s="136">
        <f>IF(H193="", "", IF(OR(U193="Pending", U193="Pending Allocation"), CONCATENATE(TODAY()-H193, " Days"), IF(U193="Closed", "", "")))</f>
        <v/>
      </c>
      <c r="AC193" s="160">
        <f>IF(U193="Pending Allocation", IF(I193="", "", TODAY()-I193), "")</f>
        <v/>
      </c>
      <c r="AD193" s="159">
        <f>IF(U193="Open Sale", TEXT(TODAY()-I193, "0"),
IF(U193="Pending", "",
IF(U193="Closed Sale", "", "")))</f>
        <v/>
      </c>
      <c r="AE193" s="161" t="n"/>
      <c r="AF193" s="161" t="n"/>
      <c r="AG193" s="161" t="n"/>
      <c r="AH193" s="136" t="n"/>
      <c r="AI193" s="164">
        <f>IF(I193="","",TEXT(I193, "mmmm yyyy"))</f>
        <v/>
      </c>
      <c r="AJ193" s="164">
        <f>IF(AND(OpenPendingCases[[#This Row],[Sale Status	]]="Open Sale",OpenPendingCases[[#This Row],[Potential Same Month]]="High"),TEXT(OpenPendingCases[[#This Row],[Request Entry Date]], "[$-en-us]mmmm"),"")</f>
        <v/>
      </c>
      <c r="AK193" s="165">
        <f>IFERROR(VALUE(SUBSTITUTE(OpenPendingCases[[#This Row],[Price]]," AED","")),"")</f>
        <v/>
      </c>
      <c r="AL193" s="165">
        <f>IFERROR(VALUE(LEFT(OpenPendingCases[[#This Row],[Price]],FIND(" ",OpenPendingCases[[#This Row],[Price]])-1)),"")</f>
        <v/>
      </c>
      <c r="AM193" s="165">
        <f>IFERROR(VALUE(_xlfn.TEXTBEFORE(OpenPendingCases[[#This Row],[Price]]," AED")),"")</f>
        <v/>
      </c>
      <c r="AN193" s="165" t="n"/>
    </row>
    <row r="194" hidden="1" ht="18" customHeight="1" s="287">
      <c r="C194" s="133" t="n"/>
      <c r="D194" s="136">
        <f>IF($U194="Open Sale", IF(MAX($D$4:D193)+1=0, "", MAX($D$4:D193)+1), "")</f>
        <v/>
      </c>
      <c r="E194" s="136">
        <f>IF($U194="Pending Allocation", IF(MAX($E$4:E193)+1=0, "", MAX($E$4:E193)+1), "")</f>
        <v/>
      </c>
      <c r="F194" s="136" t="n"/>
      <c r="G194" s="136" t="n"/>
      <c r="H194" s="150" t="n"/>
      <c r="I194" s="150" t="n"/>
      <c r="J194" s="67">
        <f>IF(OpenPendingCases[[#This Row],[Timepiece Reference ]]="", "", IF(_xlfn.XLOOKUP(OpenPendingCases[[#This Row],[Timepiece Reference ]], Table1[[Timepiece Reference ]], Table1[CRC STOCK], "Not Found")="YES", "CRC Stock", "Boutique Stock"))</f>
        <v/>
      </c>
      <c r="K194" s="136">
        <f>IF(OpenPendingCases[[#This Row],[Timepiece Reference ]]="", "", IF(_xlfn.XLOOKUP(OpenPendingCases[[#This Row],[Timepiece Reference ]], Table1[[Timepiece Reference ]], Table1[CRC STOCK], "Not Found")="YES", "CRC Stock", "Boutique Stock"))</f>
        <v/>
      </c>
      <c r="L194" s="139" t="n"/>
      <c r="M194" s="140" t="n"/>
      <c r="N194" s="136" t="n"/>
      <c r="O194" s="133" t="n"/>
      <c r="P194" s="93">
        <f>IFERROR(VLOOKUP(TRIM(O194), Collection!$B$2:$D$1001, 2, FALSE), "")</f>
        <v/>
      </c>
      <c r="Q194" s="190">
        <f>IFERROR(VLOOKUP(TRIM(O194), Collection!$B$2:$D$1001, 3, FALSE), "")</f>
        <v/>
      </c>
      <c r="R194" s="153">
        <f>IFERROR(VALUE(SUBSTITUTE(SUBSTITUTE(Q194, "Price", ""), "AED", "")), "")</f>
        <v/>
      </c>
      <c r="S194" s="151" t="n"/>
      <c r="T194" s="158" t="n"/>
      <c r="U194" s="136" t="n"/>
      <c r="V194" s="136" t="n"/>
      <c r="W194" s="156">
        <f>IF(Z194 = "",
"",
TEXT(Z194, "mmmm"))</f>
        <v/>
      </c>
      <c r="X194" s="157" t="n"/>
      <c r="Y194" s="158" t="n"/>
      <c r="Z194" s="158" t="n"/>
      <c r="AA194" s="136">
        <f>IF(H194="", "", IF(U194="Open Sale", IF(TODAY()-H194=0, "0 Days", TEXT(TODAY()-H194, "0") &amp; " Days"), IF(U194="Closed Sale", AA194, "")))</f>
        <v/>
      </c>
      <c r="AB194" s="136">
        <f>IF(H194="", "", IF(OR(U194="Pending", U194="Pending Allocation"), CONCATENATE(TODAY()-H194, " Days"), IF(U194="Closed", "", "")))</f>
        <v/>
      </c>
      <c r="AC194" s="160">
        <f>IF(U194="Pending Allocation", IF(I194="", "", TODAY()-I194), "")</f>
        <v/>
      </c>
      <c r="AD194" s="159">
        <f>IF(U194="Open Sale", TEXT(TODAY()-I194, "0"),
IF(U194="Pending", "",
IF(U194="Closed Sale", "", "")))</f>
        <v/>
      </c>
      <c r="AE194" s="161" t="n"/>
      <c r="AF194" s="161" t="n"/>
      <c r="AG194" s="161" t="n"/>
      <c r="AH194" s="136" t="n"/>
      <c r="AI194" s="164">
        <f>IF(I194="","",TEXT(I194, "mmmm yyyy"))</f>
        <v/>
      </c>
      <c r="AJ194" s="164">
        <f>IF(AND(OpenPendingCases[[#This Row],[Sale Status	]]="Open Sale",OpenPendingCases[[#This Row],[Potential Same Month]]="High"),TEXT(OpenPendingCases[[#This Row],[Request Entry Date]], "[$-en-us]mmmm"),"")</f>
        <v/>
      </c>
      <c r="AK194" s="165">
        <f>IFERROR(VALUE(SUBSTITUTE(OpenPendingCases[[#This Row],[Price]]," AED","")),"")</f>
        <v/>
      </c>
      <c r="AL194" s="165">
        <f>IFERROR(VALUE(LEFT(OpenPendingCases[[#This Row],[Price]],FIND(" ",OpenPendingCases[[#This Row],[Price]])-1)),"")</f>
        <v/>
      </c>
      <c r="AM194" s="165">
        <f>IFERROR(VALUE(_xlfn.TEXTBEFORE(OpenPendingCases[[#This Row],[Price]]," AED")),"")</f>
        <v/>
      </c>
      <c r="AN194" s="165" t="n"/>
    </row>
    <row r="195" hidden="1" ht="18" customHeight="1" s="287">
      <c r="C195" s="133" t="n"/>
      <c r="D195" s="136">
        <f>IF($U195="Open Sale", IF(MAX($D$4:D194)+1=0, "", MAX($D$4:D194)+1), "")</f>
        <v/>
      </c>
      <c r="E195" s="136">
        <f>IF($U195="Pending Allocation", IF(MAX($E$4:E194)+1=0, "", MAX($E$4:E194)+1), "")</f>
        <v/>
      </c>
      <c r="F195" s="136" t="n"/>
      <c r="G195" s="136" t="n"/>
      <c r="H195" s="150" t="n"/>
      <c r="I195" s="150" t="n"/>
      <c r="J195" s="67">
        <f>IF(OpenPendingCases[[#This Row],[Timepiece Reference ]]="", "", IF(_xlfn.XLOOKUP(OpenPendingCases[[#This Row],[Timepiece Reference ]], Table1[[Timepiece Reference ]], Table1[CRC STOCK], "Not Found")="YES", "CRC Stock", "Boutique Stock"))</f>
        <v/>
      </c>
      <c r="K195" s="136">
        <f>IF(OpenPendingCases[[#This Row],[Timepiece Reference ]]="", "", IF(_xlfn.XLOOKUP(OpenPendingCases[[#This Row],[Timepiece Reference ]], Table1[[Timepiece Reference ]], Table1[CRC STOCK], "Not Found")="YES", "CRC Stock", "Boutique Stock"))</f>
        <v/>
      </c>
      <c r="L195" s="139" t="n"/>
      <c r="M195" s="140" t="n"/>
      <c r="N195" s="136" t="n"/>
      <c r="O195" s="133" t="n"/>
      <c r="P195" s="93">
        <f>IFERROR(VLOOKUP(TRIM(O195), Collection!$B$2:$D$1001, 2, FALSE), "")</f>
        <v/>
      </c>
      <c r="Q195" s="190">
        <f>IFERROR(VLOOKUP(TRIM(O195), Collection!$B$2:$D$1001, 3, FALSE), "")</f>
        <v/>
      </c>
      <c r="R195" s="153">
        <f>IFERROR(VALUE(SUBSTITUTE(SUBSTITUTE(Q195, "Price", ""), "AED", "")), "")</f>
        <v/>
      </c>
      <c r="S195" s="151" t="n"/>
      <c r="T195" s="158" t="n"/>
      <c r="U195" s="136" t="n"/>
      <c r="V195" s="136" t="n"/>
      <c r="W195" s="156">
        <f>IF(Z195 = "",
"",
TEXT(Z195, "mmmm"))</f>
        <v/>
      </c>
      <c r="X195" s="157" t="n"/>
      <c r="Y195" s="158" t="n"/>
      <c r="Z195" s="158" t="n"/>
      <c r="AA195" s="136">
        <f>IF(H195="", "", IF(U195="Open Sale", IF(TODAY()-H195=0, "0 Days", TEXT(TODAY()-H195, "0") &amp; " Days"), IF(U195="Closed Sale", AA195, "")))</f>
        <v/>
      </c>
      <c r="AB195" s="136">
        <f>IF(H195="", "", IF(OR(U195="Pending", U195="Pending Allocation"), CONCATENATE(TODAY()-H195, " Days"), IF(U195="Closed", "", "")))</f>
        <v/>
      </c>
      <c r="AC195" s="160">
        <f>IF(U195="Pending Allocation", IF(I195="", "", TODAY()-I195), "")</f>
        <v/>
      </c>
      <c r="AD195" s="159">
        <f>IF(U195="Open Sale", TEXT(TODAY()-I195, "0"),
   IF(U195="Pending", "",
      IF(U195="Closed Sale", "", "")))</f>
        <v/>
      </c>
      <c r="AE195" s="161" t="n"/>
      <c r="AF195" s="161" t="n"/>
      <c r="AG195" s="161" t="n"/>
      <c r="AH195" s="136" t="n"/>
      <c r="AI195" s="164">
        <f>IF(I195="","",TEXT(I195, "mmmm yyyy"))</f>
        <v/>
      </c>
      <c r="AJ195" s="164">
        <f>IF(AND(OpenPendingCases[[#This Row],[Sale Status	]]="Open Sale",OpenPendingCases[[#This Row],[Potential Same Month]]="High"),TEXT(OpenPendingCases[[#This Row],[Request Entry Date]], "[$-en-us]mmmm"),"")</f>
        <v/>
      </c>
      <c r="AK195" s="165">
        <f>IFERROR(VALUE(SUBSTITUTE(OpenPendingCases[[#This Row],[Price]]," AED","")),"")</f>
        <v/>
      </c>
      <c r="AL195" s="165">
        <f>IFERROR(VALUE(LEFT(OpenPendingCases[[#This Row],[Price]],FIND(" ",OpenPendingCases[[#This Row],[Price]])-1)),"")</f>
        <v/>
      </c>
      <c r="AM195" s="165">
        <f>IFERROR(VALUE(_xlfn.TEXTBEFORE(OpenPendingCases[[#This Row],[Price]]," AED")),"")</f>
        <v/>
      </c>
      <c r="AN195" s="165" t="n"/>
    </row>
    <row r="196" hidden="1" ht="18" customHeight="1" s="287">
      <c r="C196" s="133" t="n"/>
      <c r="D196" s="136">
        <f>IF($U196="Open Sale", IF(MAX($D$4:D195)+1=0, "", MAX($D$4:D195)+1), "")</f>
        <v/>
      </c>
      <c r="E196" s="136">
        <f>IF($U196="Pending Allocation", IF(MAX($E$4:E195)+1=0, "", MAX($E$4:E195)+1), "")</f>
        <v/>
      </c>
      <c r="F196" s="136" t="n"/>
      <c r="G196" s="136" t="n"/>
      <c r="H196" s="150" t="n"/>
      <c r="I196" s="150" t="n"/>
      <c r="J196" s="67">
        <f>IF(OpenPendingCases[[#This Row],[Timepiece Reference ]]="", "", IF(_xlfn.XLOOKUP(OpenPendingCases[[#This Row],[Timepiece Reference ]], Table1[[Timepiece Reference ]], Table1[CRC STOCK], "Not Found")="YES", "CRC Stock", "Boutique Stock"))</f>
        <v/>
      </c>
      <c r="K196" s="136">
        <f>IF(OpenPendingCases[[#This Row],[Timepiece Reference ]]="", "", IF(_xlfn.XLOOKUP(OpenPendingCases[[#This Row],[Timepiece Reference ]], Table1[[Timepiece Reference ]], Table1[CRC STOCK], "Not Found")="YES", "CRC Stock", "Boutique Stock"))</f>
        <v/>
      </c>
      <c r="L196" s="139" t="n"/>
      <c r="M196" s="140" t="n"/>
      <c r="N196" s="136" t="n"/>
      <c r="O196" s="133" t="n"/>
      <c r="P196" s="93">
        <f>IFERROR(VLOOKUP(TRIM(O196), Collection!$B$2:$D$1001, 2, FALSE), "")</f>
        <v/>
      </c>
      <c r="Q196" s="190">
        <f>IFERROR(VLOOKUP(TRIM(O196), Collection!$B$2:$D$1001, 3, FALSE), "")</f>
        <v/>
      </c>
      <c r="R196" s="153">
        <f>IFERROR(VALUE(SUBSTITUTE(SUBSTITUTE(Q196, "Price", ""), "AED", "")), "")</f>
        <v/>
      </c>
      <c r="S196" s="151" t="n"/>
      <c r="T196" s="158" t="n"/>
      <c r="U196" s="136" t="n"/>
      <c r="V196" s="136" t="n"/>
      <c r="W196" s="156">
        <f>IF(Z196 = "",
     "",
     TEXT(Z196, "mmmm"))</f>
        <v/>
      </c>
      <c r="X196" s="157" t="n"/>
      <c r="Y196" s="158" t="n"/>
      <c r="Z196" s="158" t="n"/>
      <c r="AA196" s="136">
        <f>IF(H196="", "", IF(U196="Open Sale", IF(TODAY()-H196=0, "0 Days", TEXT(TODAY()-H196, "0") &amp; " Days"), IF(U196="Closed Sale", AA196, "")))</f>
        <v/>
      </c>
      <c r="AB196" s="136">
        <f>IF(H196="", "", IF(OR(U196="Pending", U196="Pending Allocation"), CONCATENATE(TODAY()-H196, " Days"), IF(U196="Closed", "", "")))</f>
        <v/>
      </c>
      <c r="AC196" s="160">
        <f>IF(U196="Pending Allocation", IF(I196="", "", TODAY()-I196), "")</f>
        <v/>
      </c>
      <c r="AD196" s="159">
        <f>IF(U196="Open Sale", TEXT(TODAY()-I196, "0"),
IF(U196="Pending", "",
IF(U196="Closed Sale", "", "")))</f>
        <v/>
      </c>
      <c r="AE196" s="161" t="n"/>
      <c r="AF196" s="161" t="n"/>
      <c r="AG196" s="161" t="n"/>
      <c r="AH196" s="136" t="n"/>
      <c r="AI196" s="164">
        <f>IF(I196="","",TEXT(I196, "mmmm yyyy"))</f>
        <v/>
      </c>
      <c r="AJ196" s="164">
        <f>IF(AND(OpenPendingCases[[#This Row],[Sale Status	]]="Open Sale",OpenPendingCases[[#This Row],[Potential Same Month]]="High"),TEXT(OpenPendingCases[[#This Row],[Request Entry Date]], "[$-en-us]mmmm"),"")</f>
        <v/>
      </c>
      <c r="AK196" s="165">
        <f>IFERROR(VALUE(SUBSTITUTE(OpenPendingCases[[#This Row],[Price]]," AED","")),"")</f>
        <v/>
      </c>
      <c r="AL196" s="165">
        <f>IFERROR(VALUE(LEFT(OpenPendingCases[[#This Row],[Price]],FIND(" ",OpenPendingCases[[#This Row],[Price]])-1)),"")</f>
        <v/>
      </c>
      <c r="AM196" s="165">
        <f>IFERROR(VALUE(_xlfn.TEXTBEFORE(OpenPendingCases[[#This Row],[Price]]," AED")),"")</f>
        <v/>
      </c>
      <c r="AN196" s="165" t="n"/>
    </row>
    <row r="197" hidden="1" ht="18" customHeight="1" s="287">
      <c r="C197" s="133" t="n"/>
      <c r="D197" s="136">
        <f>IF($U197="Open Sale", IF(MAX($D$4:D196)+1=0, "", MAX($D$4:D196)+1), "")</f>
        <v/>
      </c>
      <c r="E197" s="136">
        <f>IF($U197="Pending Allocation", IF(MAX($E$4:E196)+1=0, "", MAX($E$4:E196)+1), "")</f>
        <v/>
      </c>
      <c r="F197" s="136" t="n"/>
      <c r="G197" s="136" t="n"/>
      <c r="H197" s="150" t="n"/>
      <c r="I197" s="150" t="n"/>
      <c r="J197" s="67">
        <f>IF(OpenPendingCases[[#This Row],[Timepiece Reference ]]="", "", IF(_xlfn.XLOOKUP(OpenPendingCases[[#This Row],[Timepiece Reference ]], Table1[[Timepiece Reference ]], Table1[CRC STOCK], "Not Found")="YES", "CRC Stock", "Boutique Stock"))</f>
        <v/>
      </c>
      <c r="K197" s="136">
        <f>IF(OpenPendingCases[[#This Row],[Timepiece Reference ]]="", "", IF(_xlfn.XLOOKUP(OpenPendingCases[[#This Row],[Timepiece Reference ]], Table1[[Timepiece Reference ]], Table1[CRC STOCK], "Not Found")="YES", "CRC Stock", "Boutique Stock"))</f>
        <v/>
      </c>
      <c r="L197" s="139" t="n"/>
      <c r="M197" s="140" t="n"/>
      <c r="N197" s="136" t="n"/>
      <c r="O197" s="133" t="n"/>
      <c r="P197" s="93">
        <f>IFERROR(VLOOKUP(TRIM(O197), Collection!$B$2:$D$1001, 2, FALSE), "")</f>
        <v/>
      </c>
      <c r="Q197" s="190">
        <f>IFERROR(VLOOKUP(TRIM(O197), Collection!$B$2:$D$1001, 3, FALSE), "")</f>
        <v/>
      </c>
      <c r="R197" s="153">
        <f>IFERROR(VALUE(SUBSTITUTE(SUBSTITUTE(Q197, "Price", ""), "AED", "")), "")</f>
        <v/>
      </c>
      <c r="S197" s="151" t="n"/>
      <c r="T197" s="158" t="n"/>
      <c r="U197" s="136" t="n"/>
      <c r="V197" s="136" t="n"/>
      <c r="W197" s="156">
        <f>IF(Z197 = "",
"",
TEXT(Z197, "mmmm"))</f>
        <v/>
      </c>
      <c r="X197" s="157" t="n"/>
      <c r="Y197" s="158" t="n"/>
      <c r="Z197" s="158" t="n"/>
      <c r="AA197" s="136">
        <f>IF(H197="", "", IF(U197="Open Sale", IF(TODAY()-H197=0, "0 Days", TEXT(TODAY()-H197, "0") &amp; " Days"), IF(U197="Closed Sale", AA197, "")))</f>
        <v/>
      </c>
      <c r="AB197" s="136">
        <f>IF(H197="", "", IF(OR(U197="Pending", U197="Pending Allocation"), CONCATENATE(TODAY()-H197, " Days"), IF(U197="Closed", "", "")))</f>
        <v/>
      </c>
      <c r="AC197" s="160">
        <f>IF(U197="Pending Allocation", IF(I197="", "", TODAY()-I197), "")</f>
        <v/>
      </c>
      <c r="AD197" s="159">
        <f>IF(U197="Open Sale", TEXT(TODAY()-I197, "0"),
IF(U197="Pending", "",
IF(U197="Closed Sale", "", "")))</f>
        <v/>
      </c>
      <c r="AE197" s="161" t="n"/>
      <c r="AF197" s="161" t="n"/>
      <c r="AG197" s="161" t="n"/>
      <c r="AH197" s="136" t="n"/>
      <c r="AI197" s="164">
        <f>IF(I197="","",TEXT(I197, "mmmm yyyy"))</f>
        <v/>
      </c>
      <c r="AJ197" s="164">
        <f>IF(AND(OpenPendingCases[[#This Row],[Sale Status	]]="Open Sale",OpenPendingCases[[#This Row],[Potential Same Month]]="High"),TEXT(OpenPendingCases[[#This Row],[Request Entry Date]], "[$-en-us]mmmm"),"")</f>
        <v/>
      </c>
      <c r="AK197" s="165">
        <f>IFERROR(VALUE(SUBSTITUTE(OpenPendingCases[[#This Row],[Price]]," AED","")),"")</f>
        <v/>
      </c>
      <c r="AL197" s="165">
        <f>IFERROR(VALUE(LEFT(OpenPendingCases[[#This Row],[Price]],FIND(" ",OpenPendingCases[[#This Row],[Price]])-1)),"")</f>
        <v/>
      </c>
      <c r="AM197" s="165">
        <f>IFERROR(VALUE(_xlfn.TEXTBEFORE(OpenPendingCases[[#This Row],[Price]]," AED")),"")</f>
        <v/>
      </c>
      <c r="AN197" s="165" t="n"/>
    </row>
    <row r="198" hidden="1" ht="18" customHeight="1" s="287">
      <c r="C198" s="133" t="n"/>
      <c r="D198" s="136">
        <f>IF($U198="Open Sale", IF(MAX($D$4:D197)+1=0, "", MAX($D$4:D197)+1), "")</f>
        <v/>
      </c>
      <c r="E198" s="136">
        <f>IF($U198="Pending Allocation", IF(MAX($E$4:E197)+1=0, "", MAX($E$4:E197)+1), "")</f>
        <v/>
      </c>
      <c r="F198" s="136" t="n"/>
      <c r="G198" s="136" t="n"/>
      <c r="H198" s="150" t="n"/>
      <c r="I198" s="150" t="n"/>
      <c r="J198" s="67">
        <f>IF(OpenPendingCases[[#This Row],[Timepiece Reference ]]="", "", IF(_xlfn.XLOOKUP(OpenPendingCases[[#This Row],[Timepiece Reference ]], Table1[[Timepiece Reference ]], Table1[CRC STOCK], "Not Found")="YES", "CRC Stock", "Boutique Stock"))</f>
        <v/>
      </c>
      <c r="K198" s="136">
        <f>IF(OpenPendingCases[[#This Row],[Timepiece Reference ]]="", "", IF(_xlfn.XLOOKUP(OpenPendingCases[[#This Row],[Timepiece Reference ]], Table1[[Timepiece Reference ]], Table1[CRC STOCK], "Not Found")="YES", "CRC Stock", "Boutique Stock"))</f>
        <v/>
      </c>
      <c r="L198" s="139" t="n"/>
      <c r="M198" s="140" t="n"/>
      <c r="N198" s="136" t="n"/>
      <c r="O198" s="133" t="n"/>
      <c r="P198" s="93">
        <f>IFERROR(VLOOKUP(TRIM(O198), Collection!$B$2:$D$1001, 2, FALSE), "")</f>
        <v/>
      </c>
      <c r="Q198" s="190">
        <f>IFERROR(VLOOKUP(TRIM(O198), Collection!$B$2:$D$1001, 3, FALSE), "")</f>
        <v/>
      </c>
      <c r="R198" s="153">
        <f>IFERROR(VALUE(SUBSTITUTE(SUBSTITUTE(Q198, "Price", ""), "AED", "")), "")</f>
        <v/>
      </c>
      <c r="S198" s="151" t="n"/>
      <c r="T198" s="158" t="n"/>
      <c r="U198" s="136" t="n"/>
      <c r="V198" s="136" t="n"/>
      <c r="W198" s="156">
        <f>IF(Z198 = "",
"",
TEXT(Z198, "mmmm"))</f>
        <v/>
      </c>
      <c r="X198" s="157" t="n"/>
      <c r="Y198" s="158" t="n"/>
      <c r="Z198" s="158" t="n"/>
      <c r="AA198" s="136">
        <f>IF(H198="", "", IF(U198="Open Sale", IF(TODAY()-H198=0, "0 Days", TEXT(TODAY()-H198, "0") &amp; " Days"), IF(U198="Closed Sale", AA198, "")))</f>
        <v/>
      </c>
      <c r="AB198" s="136">
        <f>IF(H198="", "", IF(OR(U198="Pending", U198="Pending Allocation"), CONCATENATE(TODAY()-H198, " Days"), IF(U198="Closed", "", "")))</f>
        <v/>
      </c>
      <c r="AC198" s="160">
        <f>IF(U198="Pending Allocation", IF(I198="", "", TODAY()-I198), "")</f>
        <v/>
      </c>
      <c r="AD198" s="159">
        <f>IF(U198="Open Sale", TEXT(TODAY()-I198, "0"),
IF(U198="Pending", "",
IF(U198="Closed Sale", "", "")))</f>
        <v/>
      </c>
      <c r="AE198" s="161" t="n"/>
      <c r="AF198" s="161" t="n"/>
      <c r="AG198" s="161" t="n"/>
      <c r="AH198" s="136" t="n"/>
      <c r="AI198" s="164">
        <f>IF(I198="","",TEXT(I198, "mmmm yyyy"))</f>
        <v/>
      </c>
      <c r="AJ198" s="164">
        <f>IF(AND(OpenPendingCases[[#This Row],[Sale Status	]]="Open Sale",OpenPendingCases[[#This Row],[Potential Same Month]]="High"),TEXT(OpenPendingCases[[#This Row],[Request Entry Date]], "[$-en-us]mmmm"),"")</f>
        <v/>
      </c>
      <c r="AK198" s="165">
        <f>IFERROR(VALUE(SUBSTITUTE(OpenPendingCases[[#This Row],[Price]]," AED","")),"")</f>
        <v/>
      </c>
      <c r="AL198" s="165">
        <f>IFERROR(VALUE(LEFT(OpenPendingCases[[#This Row],[Price]],FIND(" ",OpenPendingCases[[#This Row],[Price]])-1)),"")</f>
        <v/>
      </c>
      <c r="AM198" s="165">
        <f>IFERROR(VALUE(_xlfn.TEXTBEFORE(OpenPendingCases[[#This Row],[Price]]," AED")),"")</f>
        <v/>
      </c>
      <c r="AN198" s="165" t="n"/>
    </row>
    <row r="199" hidden="1" ht="18" customHeight="1" s="287">
      <c r="C199" s="133" t="n"/>
      <c r="D199" s="136">
        <f>IF($U199="Open Sale", IF(MAX($D$4:D198)+1=0, "", MAX($D$4:D198)+1), "")</f>
        <v/>
      </c>
      <c r="E199" s="136">
        <f>IF($U199="Pending Allocation", IF(MAX($E$4:E198)+1=0, "", MAX($E$4:E198)+1), "")</f>
        <v/>
      </c>
      <c r="F199" s="136" t="n"/>
      <c r="G199" s="136" t="n"/>
      <c r="H199" s="150" t="n"/>
      <c r="I199" s="150" t="n"/>
      <c r="J199" s="67">
        <f>IF(OpenPendingCases[[#This Row],[Timepiece Reference ]]="", "", IF(_xlfn.XLOOKUP(OpenPendingCases[[#This Row],[Timepiece Reference ]], Table1[[Timepiece Reference ]], Table1[CRC STOCK], "Not Found")="YES", "CRC Stock", "Boutique Stock"))</f>
        <v/>
      </c>
      <c r="K199" s="136">
        <f>IF(OpenPendingCases[[#This Row],[Timepiece Reference ]]="", "", IF(_xlfn.XLOOKUP(OpenPendingCases[[#This Row],[Timepiece Reference ]], Table1[[Timepiece Reference ]], Table1[CRC STOCK], "Not Found")="YES", "CRC Stock", "Boutique Stock"))</f>
        <v/>
      </c>
      <c r="L199" s="139" t="n"/>
      <c r="M199" s="140" t="n"/>
      <c r="N199" s="136" t="n"/>
      <c r="O199" s="133" t="n"/>
      <c r="P199" s="93">
        <f>IFERROR(VLOOKUP(TRIM(O199), Collection!$B$2:$D$1001, 2, FALSE), "")</f>
        <v/>
      </c>
      <c r="Q199" s="190">
        <f>IFERROR(VLOOKUP(TRIM(O199), Collection!$B$2:$D$1001, 3, FALSE), "")</f>
        <v/>
      </c>
      <c r="R199" s="153">
        <f>IFERROR(VALUE(SUBSTITUTE(SUBSTITUTE(Q199, "Price", ""), "AED", "")), "")</f>
        <v/>
      </c>
      <c r="S199" s="151" t="n"/>
      <c r="T199" s="158" t="n"/>
      <c r="U199" s="136" t="n"/>
      <c r="V199" s="136" t="n"/>
      <c r="W199" s="156">
        <f>IF(Z199 = "",
"",
TEXT(Z199, "mmmm"))</f>
        <v/>
      </c>
      <c r="X199" s="157" t="n"/>
      <c r="Y199" s="158" t="n"/>
      <c r="Z199" s="158" t="n"/>
      <c r="AA199" s="136">
        <f>IF(H199="", "", IF(U199="Open Sale", IF(TODAY()-H199=0, "0 Days", TEXT(TODAY()-H199, "0") &amp; " Days"), IF(U199="Closed Sale", AA199, "")))</f>
        <v/>
      </c>
      <c r="AB199" s="136">
        <f>IF(H199="", "", IF(OR(U199="Pending", U199="Pending Allocation"), CONCATENATE(TODAY()-H199, " Days"), IF(U199="Closed", "", "")))</f>
        <v/>
      </c>
      <c r="AC199" s="160">
        <f>IF(U199="Pending Allocation", IF(I199="", "", TODAY()-I199), "")</f>
        <v/>
      </c>
      <c r="AD199" s="159">
        <f>IF(U199="Open Sale", TEXT(TODAY()-I199, "0"),
IF(U199="Pending", "",
IF(U199="Closed Sale", "", "")))</f>
        <v/>
      </c>
      <c r="AE199" s="161" t="n"/>
      <c r="AF199" s="161" t="n"/>
      <c r="AG199" s="161" t="n"/>
      <c r="AH199" s="136" t="n"/>
      <c r="AI199" s="164">
        <f>IF(I199="","",TEXT(I199, "mmmm yyyy"))</f>
        <v/>
      </c>
      <c r="AJ199" s="164">
        <f>IF(AND(OpenPendingCases[[#This Row],[Sale Status	]]="Open Sale",OpenPendingCases[[#This Row],[Potential Same Month]]="High"),TEXT(OpenPendingCases[[#This Row],[Request Entry Date]], "[$-en-us]mmmm"),"")</f>
        <v/>
      </c>
      <c r="AK199" s="165">
        <f>IFERROR(VALUE(SUBSTITUTE(OpenPendingCases[[#This Row],[Price]]," AED","")),"")</f>
        <v/>
      </c>
      <c r="AL199" s="165">
        <f>IFERROR(VALUE(LEFT(OpenPendingCases[[#This Row],[Price]],FIND(" ",OpenPendingCases[[#This Row],[Price]])-1)),"")</f>
        <v/>
      </c>
      <c r="AM199" s="165">
        <f>IFERROR(VALUE(_xlfn.TEXTBEFORE(OpenPendingCases[[#This Row],[Price]]," AED")),"")</f>
        <v/>
      </c>
      <c r="AN199" s="165" t="n"/>
    </row>
    <row r="200" hidden="1" ht="18" customHeight="1" s="287">
      <c r="C200" s="133" t="n"/>
      <c r="D200" s="136">
        <f>IF($U200="Open Sale", IF(MAX($D$4:D199)+1=0, "", MAX($D$4:D199)+1), "")</f>
        <v/>
      </c>
      <c r="E200" s="136">
        <f>IF($U200="Pending Allocation", IF(MAX($E$4:E199)+1=0, "", MAX($E$4:E199)+1), "")</f>
        <v/>
      </c>
      <c r="F200" s="136" t="n"/>
      <c r="G200" s="136" t="n"/>
      <c r="H200" s="150" t="n"/>
      <c r="I200" s="150" t="n"/>
      <c r="J200" s="67">
        <f>IF(OpenPendingCases[[#This Row],[Timepiece Reference ]]="", "", IF(_xlfn.XLOOKUP(OpenPendingCases[[#This Row],[Timepiece Reference ]], Table1[[Timepiece Reference ]], Table1[CRC STOCK], "Not Found")="YES", "CRC Stock", "Boutique Stock"))</f>
        <v/>
      </c>
      <c r="K200" s="136">
        <f>IF(OpenPendingCases[[#This Row],[Timepiece Reference ]]="", "", IF(_xlfn.XLOOKUP(OpenPendingCases[[#This Row],[Timepiece Reference ]], Table1[[Timepiece Reference ]], Table1[CRC STOCK], "Not Found")="YES", "CRC Stock", "Boutique Stock"))</f>
        <v/>
      </c>
      <c r="L200" s="139" t="n"/>
      <c r="M200" s="140" t="n"/>
      <c r="N200" s="136" t="n"/>
      <c r="O200" s="133" t="n"/>
      <c r="P200" s="93">
        <f>IFERROR(VLOOKUP(TRIM(O200), Collection!$B$2:$D$1001, 2, FALSE), "")</f>
        <v/>
      </c>
      <c r="Q200" s="190">
        <f>IFERROR(VLOOKUP(TRIM(O200), Collection!$B$2:$D$1001, 3, FALSE), "")</f>
        <v/>
      </c>
      <c r="R200" s="153">
        <f>IFERROR(VALUE(SUBSTITUTE(SUBSTITUTE(Q200, "Price", ""), "AED", "")), "")</f>
        <v/>
      </c>
      <c r="S200" s="151" t="n"/>
      <c r="T200" s="158" t="n"/>
      <c r="U200" s="136" t="n"/>
      <c r="V200" s="136" t="n"/>
      <c r="W200" s="156">
        <f>IF(Z200 = "",
"",
TEXT(Z200, "mmmm"))</f>
        <v/>
      </c>
      <c r="X200" s="157" t="n"/>
      <c r="Y200" s="158" t="n"/>
      <c r="Z200" s="158" t="n"/>
      <c r="AA200" s="136">
        <f>IF(H200="", "", IF(U200="Open Sale", IF(TODAY()-H200=0, "0 Days", TEXT(TODAY()-H200, "0") &amp; " Days"), IF(U200="Closed Sale", AA200, "")))</f>
        <v/>
      </c>
      <c r="AB200" s="136">
        <f>IF(H200="", "", IF(OR(U200="Pending", U200="Pending Allocation"), CONCATENATE(TODAY()-H200, " Days"), IF(U200="Closed", "", "")))</f>
        <v/>
      </c>
      <c r="AC200" s="160">
        <f>IF(U200="Pending Allocation", IF(I200="", "", TODAY()-I200), "")</f>
        <v/>
      </c>
      <c r="AD200" s="159">
        <f>IF(U200="Open Sale", TEXT(TODAY()-I200, "0"),
IF(U200="Pending", "",
IF(U200="Closed Sale", "", "")))</f>
        <v/>
      </c>
      <c r="AE200" s="161" t="n"/>
      <c r="AF200" s="161" t="n"/>
      <c r="AG200" s="161" t="n"/>
      <c r="AH200" s="136" t="n"/>
      <c r="AI200" s="164">
        <f>IF(I200="","",TEXT(I200, "mmmm yyyy"))</f>
        <v/>
      </c>
      <c r="AJ200" s="164">
        <f>IF(AND(OpenPendingCases[[#This Row],[Sale Status	]]="Open Sale",OpenPendingCases[[#This Row],[Potential Same Month]]="High"),TEXT(OpenPendingCases[[#This Row],[Request Entry Date]], "[$-en-us]mmmm"),"")</f>
        <v/>
      </c>
      <c r="AK200" s="165">
        <f>IFERROR(VALUE(SUBSTITUTE(OpenPendingCases[[#This Row],[Price]]," AED","")),"")</f>
        <v/>
      </c>
      <c r="AL200" s="165">
        <f>IFERROR(VALUE(LEFT(OpenPendingCases[[#This Row],[Price]],FIND(" ",OpenPendingCases[[#This Row],[Price]])-1)),"")</f>
        <v/>
      </c>
      <c r="AM200" s="165">
        <f>IFERROR(VALUE(_xlfn.TEXTBEFORE(OpenPendingCases[[#This Row],[Price]]," AED")),"")</f>
        <v/>
      </c>
      <c r="AN200" s="165" t="n"/>
    </row>
    <row r="201" hidden="1" ht="18" customHeight="1" s="287">
      <c r="C201" s="133" t="n"/>
      <c r="D201" s="136">
        <f>IF($U201="Open Sale", IF(MAX($D$4:D200)+1=0, "", MAX($D$4:D200)+1), "")</f>
        <v/>
      </c>
      <c r="E201" s="136">
        <f>IF($U201="Pending Allocation", IF(MAX($E$4:E200)+1=0, "", MAX($E$4:E200)+1), "")</f>
        <v/>
      </c>
      <c r="F201" s="136" t="n"/>
      <c r="G201" s="136" t="n"/>
      <c r="H201" s="150" t="n"/>
      <c r="I201" s="150" t="n"/>
      <c r="J201" s="67">
        <f>IF(OpenPendingCases[[#This Row],[Timepiece Reference ]]="", "", IF(_xlfn.XLOOKUP(OpenPendingCases[[#This Row],[Timepiece Reference ]], Table1[[Timepiece Reference ]], Table1[CRC STOCK], "Not Found")="YES", "CRC Stock", "Boutique Stock"))</f>
        <v/>
      </c>
      <c r="K201" s="136">
        <f>IF(OpenPendingCases[[#This Row],[Timepiece Reference ]]="", "", IF(_xlfn.XLOOKUP(OpenPendingCases[[#This Row],[Timepiece Reference ]], Table1[[Timepiece Reference ]], Table1[CRC STOCK], "Not Found")="YES", "CRC Stock", "Boutique Stock"))</f>
        <v/>
      </c>
      <c r="L201" s="139" t="n"/>
      <c r="M201" s="140" t="n"/>
      <c r="N201" s="136" t="n"/>
      <c r="O201" s="133" t="n"/>
      <c r="P201" s="93">
        <f>IFERROR(VLOOKUP(TRIM(O201), Collection!$B$2:$D$1001, 2, FALSE), "")</f>
        <v/>
      </c>
      <c r="Q201" s="190">
        <f>IFERROR(VLOOKUP(TRIM(O201), Collection!$B$2:$D$1001, 3, FALSE), "")</f>
        <v/>
      </c>
      <c r="R201" s="153">
        <f>IFERROR(VALUE(SUBSTITUTE(SUBSTITUTE(Q201, "Price", ""), "AED", "")), "")</f>
        <v/>
      </c>
      <c r="S201" s="151" t="n"/>
      <c r="T201" s="158" t="n"/>
      <c r="U201" s="136" t="n"/>
      <c r="V201" s="136" t="n"/>
      <c r="W201" s="156">
        <f>IF(Z201 = "",
"",
TEXT(Z201, "mmmm"))</f>
        <v/>
      </c>
      <c r="X201" s="157" t="n"/>
      <c r="Y201" s="158" t="n"/>
      <c r="Z201" s="158" t="n"/>
      <c r="AA201" s="136">
        <f>IF(H201="", "", IF(U201="Open Sale", IF(TODAY()-H201=0, "0 Days", TEXT(TODAY()-H201, "0") &amp; " Days"), IF(U201="Closed Sale", AA201, "")))</f>
        <v/>
      </c>
      <c r="AB201" s="136">
        <f>IF(H201="", "", IF(OR(U201="Pending", U201="Pending Allocation"), CONCATENATE(TODAY()-H201, " Days"), IF(U201="Closed", "", "")))</f>
        <v/>
      </c>
      <c r="AC201" s="160">
        <f>IF(U201="Pending Allocation", IF(I201="", "", TODAY()-I201), "")</f>
        <v/>
      </c>
      <c r="AD201" s="159">
        <f>IF(U201="Open Sale", TEXT(TODAY()-I201, "0"),
IF(U201="Pending", "",
IF(U201="Closed Sale", "", "")))</f>
        <v/>
      </c>
      <c r="AE201" s="161" t="n"/>
      <c r="AF201" s="161" t="n"/>
      <c r="AG201" s="161" t="n"/>
      <c r="AH201" s="136" t="n"/>
      <c r="AI201" s="164">
        <f>IF(I201="","",TEXT(I201, "mmmm yyyy"))</f>
        <v/>
      </c>
      <c r="AJ201" s="164">
        <f>IF(AND(OpenPendingCases[[#This Row],[Sale Status	]]="Open Sale",OpenPendingCases[[#This Row],[Potential Same Month]]="High"),TEXT(OpenPendingCases[[#This Row],[Request Entry Date]], "[$-en-us]mmmm"),"")</f>
        <v/>
      </c>
      <c r="AK201" s="165">
        <f>IFERROR(VALUE(SUBSTITUTE(OpenPendingCases[[#This Row],[Price]]," AED","")),"")</f>
        <v/>
      </c>
      <c r="AL201" s="165">
        <f>IFERROR(VALUE(LEFT(OpenPendingCases[[#This Row],[Price]],FIND(" ",OpenPendingCases[[#This Row],[Price]])-1)),"")</f>
        <v/>
      </c>
      <c r="AM201" s="165">
        <f>IFERROR(VALUE(_xlfn.TEXTBEFORE(OpenPendingCases[[#This Row],[Price]]," AED")),"")</f>
        <v/>
      </c>
      <c r="AN201" s="165" t="n"/>
    </row>
    <row r="202" hidden="1" ht="18" customHeight="1" s="287">
      <c r="C202" s="133" t="n"/>
      <c r="D202" s="136">
        <f>IF($U202="Open Sale", IF(MAX($D$4:D201)+1=0, "", MAX($D$4:D201)+1), "")</f>
        <v/>
      </c>
      <c r="E202" s="136">
        <f>IF($U202="Pending Allocation", IF(MAX($E$4:E201)+1=0, "", MAX($E$4:E201)+1), "")</f>
        <v/>
      </c>
      <c r="F202" s="136" t="n"/>
      <c r="G202" s="136" t="n"/>
      <c r="H202" s="150" t="n"/>
      <c r="I202" s="150" t="n"/>
      <c r="J202" s="67">
        <f>IF(OpenPendingCases[[#This Row],[Timepiece Reference ]]="", "", IF(_xlfn.XLOOKUP(OpenPendingCases[[#This Row],[Timepiece Reference ]], Table1[[Timepiece Reference ]], Table1[CRC STOCK], "Not Found")="YES", "CRC Stock", "Boutique Stock"))</f>
        <v/>
      </c>
      <c r="K202" s="136">
        <f>IF(OpenPendingCases[[#This Row],[Timepiece Reference ]]="", "", IF(_xlfn.XLOOKUP(OpenPendingCases[[#This Row],[Timepiece Reference ]], Table1[[Timepiece Reference ]], Table1[CRC STOCK], "Not Found")="YES", "CRC Stock", "Boutique Stock"))</f>
        <v/>
      </c>
      <c r="L202" s="139" t="n"/>
      <c r="M202" s="140" t="n"/>
      <c r="N202" s="136" t="n"/>
      <c r="O202" s="133" t="n"/>
      <c r="P202" s="93">
        <f>IFERROR(VLOOKUP(TRIM(O202), Collection!$B$2:$D$1001, 2, FALSE), "")</f>
        <v/>
      </c>
      <c r="Q202" s="190">
        <f>IFERROR(VLOOKUP(TRIM(O202), Collection!$B$2:$D$1001, 3, FALSE), "")</f>
        <v/>
      </c>
      <c r="R202" s="153">
        <f>IFERROR(VALUE(SUBSTITUTE(SUBSTITUTE(Q202, "Price", ""), "AED", "")), "")</f>
        <v/>
      </c>
      <c r="S202" s="151" t="n"/>
      <c r="T202" s="158" t="n"/>
      <c r="U202" s="136" t="n"/>
      <c r="V202" s="136" t="n"/>
      <c r="W202" s="156">
        <f>IF(Z202 = "",
"",
TEXT(Z202, "mmmm"))</f>
        <v/>
      </c>
      <c r="X202" s="157" t="n"/>
      <c r="Y202" s="158" t="n"/>
      <c r="Z202" s="158" t="n"/>
      <c r="AA202" s="136">
        <f>IF(H202="", "", IF(U202="Open Sale", IF(TODAY()-H202=0, "0 Days", TEXT(TODAY()-H202, "0") &amp; " Days"), IF(U202="Closed Sale", AA202, "")))</f>
        <v/>
      </c>
      <c r="AB202" s="136">
        <f>IF(H202="", "", IF(OR(U202="Pending", U202="Pending Allocation"), CONCATENATE(TODAY()-H202, " Days"), IF(U202="Closed", "", "")))</f>
        <v/>
      </c>
      <c r="AC202" s="160">
        <f>IF(U202="Pending Allocation", IF(I202="", "", TODAY()-I202), "")</f>
        <v/>
      </c>
      <c r="AD202" s="159">
        <f>IF(U202="Open Sale", TEXT(TODAY()-I202, "0"),
IF(U202="Pending", "",
IF(U202="Closed Sale", "", "")))</f>
        <v/>
      </c>
      <c r="AE202" s="161" t="n"/>
      <c r="AF202" s="161" t="n"/>
      <c r="AG202" s="161" t="n"/>
      <c r="AH202" s="136" t="n"/>
      <c r="AI202" s="164">
        <f>IF(I202="","",TEXT(I202, "mmmm yyyy"))</f>
        <v/>
      </c>
      <c r="AJ202" s="164">
        <f>IF(AND(OpenPendingCases[[#This Row],[Sale Status	]]="Open Sale",OpenPendingCases[[#This Row],[Potential Same Month]]="High"),TEXT(OpenPendingCases[[#This Row],[Request Entry Date]], "[$-en-us]mmmm"),"")</f>
        <v/>
      </c>
      <c r="AK202" s="165">
        <f>IFERROR(VALUE(SUBSTITUTE(OpenPendingCases[[#This Row],[Price]]," AED","")),"")</f>
        <v/>
      </c>
      <c r="AL202" s="165">
        <f>IFERROR(VALUE(LEFT(OpenPendingCases[[#This Row],[Price]],FIND(" ",OpenPendingCases[[#This Row],[Price]])-1)),"")</f>
        <v/>
      </c>
      <c r="AM202" s="165">
        <f>IFERROR(VALUE(_xlfn.TEXTBEFORE(OpenPendingCases[[#This Row],[Price]]," AED")),"")</f>
        <v/>
      </c>
      <c r="AN202" s="165" t="n"/>
    </row>
    <row r="203" hidden="1" ht="18" customHeight="1" s="287">
      <c r="C203" s="133" t="n"/>
      <c r="D203" s="136">
        <f>IF($U203="Open Sale", IF(MAX($D$4:D202)+1=0, "", MAX($D$4:D202)+1), "")</f>
        <v/>
      </c>
      <c r="E203" s="136">
        <f>IF($U203="Pending Allocation", IF(MAX($E$4:E202)+1=0, "", MAX($E$4:E202)+1), "")</f>
        <v/>
      </c>
      <c r="F203" s="136" t="n"/>
      <c r="G203" s="136" t="n"/>
      <c r="H203" s="150" t="n"/>
      <c r="I203" s="150" t="n"/>
      <c r="J203" s="67">
        <f>IF(OpenPendingCases[[#This Row],[Timepiece Reference ]]="", "", IF(_xlfn.XLOOKUP(OpenPendingCases[[#This Row],[Timepiece Reference ]], Table1[[Timepiece Reference ]], Table1[CRC STOCK], "Not Found")="YES", "CRC Stock", "Boutique Stock"))</f>
        <v/>
      </c>
      <c r="K203" s="136">
        <f>IF(OpenPendingCases[[#This Row],[Timepiece Reference ]]="", "", IF(_xlfn.XLOOKUP(OpenPendingCases[[#This Row],[Timepiece Reference ]], Table1[[Timepiece Reference ]], Table1[CRC STOCK], "Not Found")="YES", "CRC Stock", "Boutique Stock"))</f>
        <v/>
      </c>
      <c r="L203" s="139" t="n"/>
      <c r="M203" s="140" t="n"/>
      <c r="N203" s="136" t="n"/>
      <c r="O203" s="133" t="n"/>
      <c r="P203" s="93">
        <f>IFERROR(VLOOKUP(TRIM(O203), Collection!$B$2:$D$1001, 2, FALSE), "")</f>
        <v/>
      </c>
      <c r="Q203" s="190">
        <f>IFERROR(VLOOKUP(TRIM(O203), Collection!$B$2:$D$1001, 3, FALSE), "")</f>
        <v/>
      </c>
      <c r="R203" s="153">
        <f>IFERROR(VALUE(SUBSTITUTE(SUBSTITUTE(Q203, "Price", ""), "AED", "")), "")</f>
        <v/>
      </c>
      <c r="S203" s="151" t="n"/>
      <c r="T203" s="158" t="n"/>
      <c r="U203" s="136" t="n"/>
      <c r="V203" s="136" t="n"/>
      <c r="W203" s="156">
        <f>IF(Z203 = "",
"",
TEXT(Z203, "mmmm"))</f>
        <v/>
      </c>
      <c r="X203" s="157" t="n"/>
      <c r="Y203" s="158" t="n"/>
      <c r="Z203" s="158" t="n"/>
      <c r="AA203" s="136">
        <f>IF(H203="", "", IF(U203="Open Sale", IF(TODAY()-H203=0, "0 Days", TEXT(TODAY()-H203, "0") &amp; " Days"), IF(U203="Closed Sale", AA203, "")))</f>
        <v/>
      </c>
      <c r="AB203" s="136">
        <f>IF(H203="", "", IF(OR(U203="Pending", U203="Pending Allocation"), CONCATENATE(TODAY()-H203, " Days"), IF(U203="Closed", "", "")))</f>
        <v/>
      </c>
      <c r="AC203" s="160">
        <f>IF(U203="Pending Allocation", IF(I203="", "", TODAY()-I203), "")</f>
        <v/>
      </c>
      <c r="AD203" s="159">
        <f>IF(U203="Open Sale", TEXT(TODAY()-I203, "0"),
IF(U203="Pending", "",
IF(U203="Closed Sale", "", "")))</f>
        <v/>
      </c>
      <c r="AE203" s="161" t="n"/>
      <c r="AF203" s="161" t="n"/>
      <c r="AG203" s="161" t="n"/>
      <c r="AH203" s="136" t="n"/>
      <c r="AI203" s="164">
        <f>IF(I203="","",TEXT(I203, "mmmm yyyy"))</f>
        <v/>
      </c>
      <c r="AJ203" s="164">
        <f>IF(AND(OpenPendingCases[[#This Row],[Sale Status	]]="Open Sale",OpenPendingCases[[#This Row],[Potential Same Month]]="High"),TEXT(OpenPendingCases[[#This Row],[Request Entry Date]], "[$-en-us]mmmm"),"")</f>
        <v/>
      </c>
      <c r="AK203" s="165">
        <f>IFERROR(VALUE(SUBSTITUTE(OpenPendingCases[[#This Row],[Price]]," AED","")),"")</f>
        <v/>
      </c>
      <c r="AL203" s="165">
        <f>IFERROR(VALUE(LEFT(OpenPendingCases[[#This Row],[Price]],FIND(" ",OpenPendingCases[[#This Row],[Price]])-1)),"")</f>
        <v/>
      </c>
      <c r="AM203" s="165">
        <f>IFERROR(VALUE(_xlfn.TEXTBEFORE(OpenPendingCases[[#This Row],[Price]]," AED")),"")</f>
        <v/>
      </c>
      <c r="AN203" s="165" t="n"/>
    </row>
    <row r="204" hidden="1" ht="18" customHeight="1" s="287">
      <c r="C204" s="133" t="n"/>
      <c r="D204" s="136">
        <f>IF($U204="Open Sale", IF(MAX($D$4:D203)+1=0, "", MAX($D$4:D203)+1), "")</f>
        <v/>
      </c>
      <c r="E204" s="136">
        <f>IF($U204="Pending Allocation", IF(MAX($E$4:E203)+1=0, "", MAX($E$4:E203)+1), "")</f>
        <v/>
      </c>
      <c r="F204" s="136" t="n"/>
      <c r="G204" s="136" t="n"/>
      <c r="H204" s="150" t="n"/>
      <c r="I204" s="150" t="n"/>
      <c r="J204" s="67">
        <f>IF(OpenPendingCases[[#This Row],[Timepiece Reference ]]="", "", IF(_xlfn.XLOOKUP(OpenPendingCases[[#This Row],[Timepiece Reference ]], Table1[[Timepiece Reference ]], Table1[CRC STOCK], "Not Found")="YES", "CRC Stock", "Boutique Stock"))</f>
        <v/>
      </c>
      <c r="K204" s="136">
        <f>IF(OpenPendingCases[[#This Row],[Timepiece Reference ]]="", "", IF(_xlfn.XLOOKUP(OpenPendingCases[[#This Row],[Timepiece Reference ]], Table1[[Timepiece Reference ]], Table1[CRC STOCK], "Not Found")="YES", "CRC Stock", "Boutique Stock"))</f>
        <v/>
      </c>
      <c r="L204" s="139" t="n"/>
      <c r="M204" s="140" t="n"/>
      <c r="N204" s="136" t="n"/>
      <c r="O204" s="133" t="n"/>
      <c r="P204" s="93">
        <f>IFERROR(VLOOKUP(TRIM(O204), Collection!$B$2:$D$1001, 2, FALSE), "")</f>
        <v/>
      </c>
      <c r="Q204" s="190">
        <f>IFERROR(VLOOKUP(TRIM(O204), Collection!$B$2:$D$1001, 3, FALSE), "")</f>
        <v/>
      </c>
      <c r="R204" s="153">
        <f>IFERROR(VALUE(SUBSTITUTE(SUBSTITUTE(Q204, "Price", ""), "AED", "")), "")</f>
        <v/>
      </c>
      <c r="S204" s="151" t="n"/>
      <c r="T204" s="158" t="n"/>
      <c r="U204" s="136" t="n"/>
      <c r="V204" s="136" t="n"/>
      <c r="W204" s="156">
        <f>IF(Z204 = "",
"",
TEXT(Z204, "mmmm"))</f>
        <v/>
      </c>
      <c r="X204" s="157" t="n"/>
      <c r="Y204" s="158" t="n"/>
      <c r="Z204" s="158" t="n"/>
      <c r="AA204" s="136">
        <f>IF(H204="", "", IF(U204="Open Sale", IF(TODAY()-H204=0, "0 Days", TEXT(TODAY()-H204, "0") &amp; " Days"), IF(U204="Closed Sale", AA204, "")))</f>
        <v/>
      </c>
      <c r="AB204" s="136">
        <f>IF(H204="", "", IF(OR(U204="Pending", U204="Pending Allocation"), CONCATENATE(TODAY()-H204, " Days"), IF(U204="Closed", "", "")))</f>
        <v/>
      </c>
      <c r="AC204" s="160">
        <f>IF(U204="Pending Allocation", IF(I204="", "", TODAY()-I204), "")</f>
        <v/>
      </c>
      <c r="AD204" s="159">
        <f>IF(U204="Open Sale", TEXT(TODAY()-I204, "0"),
IF(U204="Pending", "",
IF(U204="Closed Sale", "", "")))</f>
        <v/>
      </c>
      <c r="AE204" s="161" t="n"/>
      <c r="AF204" s="161" t="n"/>
      <c r="AG204" s="161" t="n"/>
      <c r="AH204" s="136" t="n"/>
      <c r="AI204" s="164">
        <f>IF(I204="","",TEXT(I204, "mmmm yyyy"))</f>
        <v/>
      </c>
      <c r="AJ204" s="164">
        <f>IF(AND(OpenPendingCases[[#This Row],[Sale Status	]]="Open Sale",OpenPendingCases[[#This Row],[Potential Same Month]]="High"),TEXT(OpenPendingCases[[#This Row],[Request Entry Date]], "[$-en-us]mmmm"),"")</f>
        <v/>
      </c>
      <c r="AK204" s="165">
        <f>IFERROR(VALUE(SUBSTITUTE(OpenPendingCases[[#This Row],[Price]]," AED","")),"")</f>
        <v/>
      </c>
      <c r="AL204" s="165">
        <f>IFERROR(VALUE(LEFT(OpenPendingCases[[#This Row],[Price]],FIND(" ",OpenPendingCases[[#This Row],[Price]])-1)),"")</f>
        <v/>
      </c>
      <c r="AM204" s="165">
        <f>IFERROR(VALUE(_xlfn.TEXTBEFORE(OpenPendingCases[[#This Row],[Price]]," AED")),"")</f>
        <v/>
      </c>
      <c r="AN204" s="165" t="n"/>
    </row>
    <row r="205" hidden="1" ht="18" customHeight="1" s="287">
      <c r="C205" s="133" t="n"/>
      <c r="D205" s="136">
        <f>IF($U205="Open Sale", IF(MAX($D$4:D204)+1=0, "", MAX($D$4:D204)+1), "")</f>
        <v/>
      </c>
      <c r="E205" s="136">
        <f>IF($U205="Pending Allocation", IF(MAX($E$4:E204)+1=0, "", MAX($E$4:E204)+1), "")</f>
        <v/>
      </c>
      <c r="F205" s="136" t="n"/>
      <c r="G205" s="136" t="n"/>
      <c r="H205" s="150" t="n"/>
      <c r="I205" s="150" t="n"/>
      <c r="J205" s="67">
        <f>IF(OpenPendingCases[[#This Row],[Timepiece Reference ]]="", "", IF(_xlfn.XLOOKUP(OpenPendingCases[[#This Row],[Timepiece Reference ]], Table1[[Timepiece Reference ]], Table1[CRC STOCK], "Not Found")="YES", "CRC Stock", "Boutique Stock"))</f>
        <v/>
      </c>
      <c r="K205" s="136">
        <f>IF(OpenPendingCases[[#This Row],[Timepiece Reference ]]="", "", IF(_xlfn.XLOOKUP(OpenPendingCases[[#This Row],[Timepiece Reference ]], Table1[[Timepiece Reference ]], Table1[CRC STOCK], "Not Found")="YES", "CRC Stock", "Boutique Stock"))</f>
        <v/>
      </c>
      <c r="L205" s="139" t="n"/>
      <c r="M205" s="140" t="n"/>
      <c r="N205" s="136" t="n"/>
      <c r="O205" s="133" t="n"/>
      <c r="P205" s="93">
        <f>IFERROR(VLOOKUP(TRIM(O205), Collection!$B$2:$D$1001, 2, FALSE), "")</f>
        <v/>
      </c>
      <c r="Q205" s="190">
        <f>IFERROR(VLOOKUP(TRIM(O205), Collection!$B$2:$D$1001, 3, FALSE), "")</f>
        <v/>
      </c>
      <c r="R205" s="153">
        <f>IFERROR(VALUE(SUBSTITUTE(SUBSTITUTE(Q205, "Price", ""), "AED", "")), "")</f>
        <v/>
      </c>
      <c r="S205" s="151" t="n"/>
      <c r="T205" s="158" t="n"/>
      <c r="U205" s="136" t="n"/>
      <c r="V205" s="136" t="n"/>
      <c r="W205" s="156">
        <f>IF(Z205 = "",
"",
TEXT(Z205, "mmmm"))</f>
        <v/>
      </c>
      <c r="X205" s="157" t="n"/>
      <c r="Y205" s="158" t="n"/>
      <c r="Z205" s="158" t="n"/>
      <c r="AA205" s="136">
        <f>IF(H205="", "", IF(U205="Open Sale", IF(TODAY()-H205=0, "0 Days", TEXT(TODAY()-H205, "0") &amp; " Days"), IF(U205="Closed Sale", AA205, "")))</f>
        <v/>
      </c>
      <c r="AB205" s="136">
        <f>IF(H205="", "", IF(OR(U205="Pending", U205="Pending Allocation"), CONCATENATE(TODAY()-H205, " Days"), IF(U205="Closed", "", "")))</f>
        <v/>
      </c>
      <c r="AC205" s="160">
        <f>IF(U205="Pending Allocation", IF(I205="", "", TODAY()-I205), "")</f>
        <v/>
      </c>
      <c r="AD205" s="159">
        <f>IF(U205="Open Sale", TEXT(TODAY()-I205, "0"),
IF(U205="Pending", "",
IF(U205="Closed Sale", "", "")))</f>
        <v/>
      </c>
      <c r="AE205" s="161" t="n"/>
      <c r="AF205" s="161" t="n"/>
      <c r="AG205" s="161" t="n"/>
      <c r="AH205" s="136" t="n"/>
      <c r="AI205" s="164">
        <f>IF(I205="","",TEXT(I205, "mmmm yyyy"))</f>
        <v/>
      </c>
      <c r="AJ205" s="164">
        <f>IF(AND(OpenPendingCases[[#This Row],[Sale Status	]]="Open Sale",OpenPendingCases[[#This Row],[Potential Same Month]]="High"),TEXT(OpenPendingCases[[#This Row],[Request Entry Date]], "[$-en-us]mmmm"),"")</f>
        <v/>
      </c>
      <c r="AK205" s="165">
        <f>IFERROR(VALUE(SUBSTITUTE(OpenPendingCases[[#This Row],[Price]]," AED","")),"")</f>
        <v/>
      </c>
      <c r="AL205" s="165">
        <f>IFERROR(VALUE(LEFT(OpenPendingCases[[#This Row],[Price]],FIND(" ",OpenPendingCases[[#This Row],[Price]])-1)),"")</f>
        <v/>
      </c>
      <c r="AM205" s="165">
        <f>IFERROR(VALUE(_xlfn.TEXTBEFORE(OpenPendingCases[[#This Row],[Price]]," AED")),"")</f>
        <v/>
      </c>
      <c r="AN205" s="165" t="n"/>
    </row>
    <row r="206" hidden="1" ht="18" customHeight="1" s="287">
      <c r="C206" s="133" t="n"/>
      <c r="D206" s="136">
        <f>IF($U206="Open Sale", IF(MAX($D$4:D205)+1=0, "", MAX($D$4:D205)+1), "")</f>
        <v/>
      </c>
      <c r="E206" s="136">
        <f>IF($U206="Pending Allocation", IF(MAX($E$4:E205)+1=0, "", MAX($E$4:E205)+1), "")</f>
        <v/>
      </c>
      <c r="F206" s="136" t="n"/>
      <c r="G206" s="136" t="n"/>
      <c r="H206" s="150" t="n"/>
      <c r="I206" s="150" t="n"/>
      <c r="J206" s="67">
        <f>IF(OpenPendingCases[[#This Row],[Timepiece Reference ]]="", "", IF(_xlfn.XLOOKUP(OpenPendingCases[[#This Row],[Timepiece Reference ]], Table1[[Timepiece Reference ]], Table1[CRC STOCK], "Not Found")="YES", "CRC Stock", "Boutique Stock"))</f>
        <v/>
      </c>
      <c r="K206" s="136">
        <f>IF(OpenPendingCases[[#This Row],[Timepiece Reference ]]="", "", IF(_xlfn.XLOOKUP(OpenPendingCases[[#This Row],[Timepiece Reference ]], Table1[[Timepiece Reference ]], Table1[CRC STOCK], "Not Found")="YES", "CRC Stock", "Boutique Stock"))</f>
        <v/>
      </c>
      <c r="L206" s="139" t="n"/>
      <c r="M206" s="140" t="n"/>
      <c r="N206" s="136" t="n"/>
      <c r="O206" s="133" t="n"/>
      <c r="P206" s="93">
        <f>IFERROR(VLOOKUP(TRIM(O206), Collection!$B$2:$D$1001, 2, FALSE), "")</f>
        <v/>
      </c>
      <c r="Q206" s="190">
        <f>IFERROR(VLOOKUP(TRIM(O206), Collection!$B$2:$D$1001, 3, FALSE), "")</f>
        <v/>
      </c>
      <c r="R206" s="153">
        <f>IFERROR(VALUE(SUBSTITUTE(SUBSTITUTE(Q206, "Price", ""), "AED", "")), "")</f>
        <v/>
      </c>
      <c r="S206" s="151" t="n"/>
      <c r="T206" s="158" t="n"/>
      <c r="U206" s="136" t="n"/>
      <c r="V206" s="136" t="n"/>
      <c r="W206" s="156">
        <f>IF(Z206 = "",
"",
TEXT(Z206, "mmmm"))</f>
        <v/>
      </c>
      <c r="X206" s="157" t="n"/>
      <c r="Y206" s="158" t="n"/>
      <c r="Z206" s="158" t="n"/>
      <c r="AA206" s="136">
        <f>IF(H206="", "", IF(U206="Open Sale", IF(TODAY()-H206=0, "0 Days", TEXT(TODAY()-H206, "0") &amp; " Days"), IF(U206="Closed Sale", AA206, "")))</f>
        <v/>
      </c>
      <c r="AB206" s="136">
        <f>IF(H206="", "", IF(OR(U206="Pending", U206="Pending Allocation"), CONCATENATE(TODAY()-H206, " Days"), IF(U206="Closed", "", "")))</f>
        <v/>
      </c>
      <c r="AC206" s="160">
        <f>IF(U206="Pending Allocation", IF(I206="", "", TODAY()-I206), "")</f>
        <v/>
      </c>
      <c r="AD206" s="159">
        <f>IF(U206="Open Sale", TEXT(TODAY()-I206, "0"),
IF(U206="Pending", "",
IF(U206="Closed Sale", "", "")))</f>
        <v/>
      </c>
      <c r="AE206" s="161" t="n"/>
      <c r="AF206" s="161" t="n"/>
      <c r="AG206" s="161" t="n"/>
      <c r="AH206" s="136" t="n"/>
      <c r="AI206" s="164">
        <f>IF(I206="","",TEXT(I206, "mmmm yyyy"))</f>
        <v/>
      </c>
      <c r="AJ206" s="164">
        <f>IF(AND(OpenPendingCases[[#This Row],[Sale Status	]]="Open Sale",OpenPendingCases[[#This Row],[Potential Same Month]]="High"),TEXT(OpenPendingCases[[#This Row],[Request Entry Date]], "[$-en-us]mmmm"),"")</f>
        <v/>
      </c>
      <c r="AK206" s="165">
        <f>IFERROR(VALUE(SUBSTITUTE(OpenPendingCases[[#This Row],[Price]]," AED","")),"")</f>
        <v/>
      </c>
      <c r="AL206" s="165">
        <f>IFERROR(VALUE(LEFT(OpenPendingCases[[#This Row],[Price]],FIND(" ",OpenPendingCases[[#This Row],[Price]])-1)),"")</f>
        <v/>
      </c>
      <c r="AM206" s="165">
        <f>IFERROR(VALUE(_xlfn.TEXTBEFORE(OpenPendingCases[[#This Row],[Price]]," AED")),"")</f>
        <v/>
      </c>
      <c r="AN206" s="165" t="n"/>
    </row>
    <row r="207" hidden="1" ht="18" customHeight="1" s="287">
      <c r="C207" s="133" t="n"/>
      <c r="D207" s="136">
        <f>IF($U207="Open Sale", IF(MAX($D$4:D206)+1=0, "", MAX($D$4:D206)+1), "")</f>
        <v/>
      </c>
      <c r="E207" s="136">
        <f>IF($U207="Pending Allocation", IF(MAX($E$4:E206)+1=0, "", MAX($E$4:E206)+1), "")</f>
        <v/>
      </c>
      <c r="F207" s="136" t="n"/>
      <c r="G207" s="136" t="n"/>
      <c r="H207" s="150" t="n"/>
      <c r="I207" s="150" t="n"/>
      <c r="J207" s="67">
        <f>IF(OpenPendingCases[[#This Row],[Timepiece Reference ]]="", "", IF(_xlfn.XLOOKUP(OpenPendingCases[[#This Row],[Timepiece Reference ]], Table1[[Timepiece Reference ]], Table1[CRC STOCK], "Not Found")="YES", "CRC Stock", "Boutique Stock"))</f>
        <v/>
      </c>
      <c r="K207" s="136">
        <f>IF(OpenPendingCases[[#This Row],[Timepiece Reference ]]="", "", IF(_xlfn.XLOOKUP(OpenPendingCases[[#This Row],[Timepiece Reference ]], Table1[[Timepiece Reference ]], Table1[CRC STOCK], "Not Found")="YES", "CRC Stock", "Boutique Stock"))</f>
        <v/>
      </c>
      <c r="L207" s="139" t="n"/>
      <c r="M207" s="140" t="n"/>
      <c r="N207" s="136" t="n"/>
      <c r="O207" s="133" t="n"/>
      <c r="P207" s="93">
        <f>IFERROR(VLOOKUP(TRIM(O207), Collection!$B$2:$D$1001, 2, FALSE), "")</f>
        <v/>
      </c>
      <c r="Q207" s="190">
        <f>IFERROR(VLOOKUP(TRIM(O207), Collection!$B$2:$D$1001, 3, FALSE), "")</f>
        <v/>
      </c>
      <c r="R207" s="153">
        <f>IFERROR(VALUE(SUBSTITUTE(SUBSTITUTE(Q207, "Price", ""), "AED", "")), "")</f>
        <v/>
      </c>
      <c r="S207" s="151" t="n"/>
      <c r="T207" s="158" t="n"/>
      <c r="U207" s="136" t="n"/>
      <c r="V207" s="136" t="n"/>
      <c r="W207" s="156">
        <f>IF(Z207 = "",
"",
TEXT(Z207, "mmmm"))</f>
        <v/>
      </c>
      <c r="X207" s="157" t="n"/>
      <c r="Y207" s="158" t="n"/>
      <c r="Z207" s="158" t="n"/>
      <c r="AA207" s="136">
        <f>IF(H207="", "", IF(U207="Open Sale", IF(TODAY()-H207=0, "0 Days", TEXT(TODAY()-H207, "0") &amp; " Days"), IF(U207="Closed Sale", AA207, "")))</f>
        <v/>
      </c>
      <c r="AB207" s="136">
        <f>IF(H207="", "", IF(OR(U207="Pending", U207="Pending Allocation"), CONCATENATE(TODAY()-H207, " Days"), IF(U207="Closed", "", "")))</f>
        <v/>
      </c>
      <c r="AC207" s="160">
        <f>IF(U207="Pending Allocation", IF(I207="", "", TODAY()-I207), "")</f>
        <v/>
      </c>
      <c r="AD207" s="159">
        <f>IF(U207="Open Sale", TEXT(TODAY()-I207, "0"),
IF(U207="Pending", "",
IF(U207="Closed Sale", "", "")))</f>
        <v/>
      </c>
      <c r="AE207" s="161" t="n"/>
      <c r="AF207" s="161" t="n"/>
      <c r="AG207" s="161" t="n"/>
      <c r="AH207" s="136" t="n"/>
      <c r="AI207" s="164">
        <f>IF(I207="","",TEXT(I207, "mmmm yyyy"))</f>
        <v/>
      </c>
      <c r="AJ207" s="164">
        <f>IF(AND(OpenPendingCases[[#This Row],[Sale Status	]]="Open Sale",OpenPendingCases[[#This Row],[Potential Same Month]]="High"),TEXT(OpenPendingCases[[#This Row],[Request Entry Date]], "[$-en-us]mmmm"),"")</f>
        <v/>
      </c>
      <c r="AK207" s="165">
        <f>IFERROR(VALUE(SUBSTITUTE(OpenPendingCases[[#This Row],[Price]]," AED","")),"")</f>
        <v/>
      </c>
      <c r="AL207" s="165">
        <f>IFERROR(VALUE(LEFT(OpenPendingCases[[#This Row],[Price]],FIND(" ",OpenPendingCases[[#This Row],[Price]])-1)),"")</f>
        <v/>
      </c>
      <c r="AM207" s="165">
        <f>IFERROR(VALUE(_xlfn.TEXTBEFORE(OpenPendingCases[[#This Row],[Price]]," AED")),"")</f>
        <v/>
      </c>
      <c r="AN207" s="165" t="n"/>
    </row>
    <row r="208" hidden="1" ht="18" customHeight="1" s="287">
      <c r="C208" s="133" t="n"/>
      <c r="D208" s="136">
        <f>IF($U208="Open Sale", IF(MAX($D$4:D207)+1=0, "", MAX($D$4:D207)+1), "")</f>
        <v/>
      </c>
      <c r="E208" s="136">
        <f>IF($U208="Pending Allocation", IF(MAX($E$4:E207)+1=0, "", MAX($E$4:E207)+1), "")</f>
        <v/>
      </c>
      <c r="F208" s="136" t="n"/>
      <c r="G208" s="136" t="n"/>
      <c r="H208" s="150" t="n"/>
      <c r="I208" s="150" t="n"/>
      <c r="J208" s="67">
        <f>IF(OpenPendingCases[[#This Row],[Timepiece Reference ]]="", "", IF(_xlfn.XLOOKUP(OpenPendingCases[[#This Row],[Timepiece Reference ]], Table1[[Timepiece Reference ]], Table1[CRC STOCK], "Not Found")="YES", "CRC Stock", "Boutique Stock"))</f>
        <v/>
      </c>
      <c r="K208" s="136">
        <f>IF(OpenPendingCases[[#This Row],[Timepiece Reference ]]="", "", IF(_xlfn.XLOOKUP(OpenPendingCases[[#This Row],[Timepiece Reference ]], Table1[[Timepiece Reference ]], Table1[CRC STOCK], "Not Found")="YES", "CRC Stock", "Boutique Stock"))</f>
        <v/>
      </c>
      <c r="L208" s="139" t="n"/>
      <c r="M208" s="140" t="n"/>
      <c r="N208" s="136" t="n"/>
      <c r="O208" s="133" t="n"/>
      <c r="P208" s="93">
        <f>IFERROR(VLOOKUP(TRIM(O208), Collection!$B$2:$D$1001, 2, FALSE), "")</f>
        <v/>
      </c>
      <c r="Q208" s="190">
        <f>IFERROR(VLOOKUP(TRIM(O208), Collection!$B$2:$D$1001, 3, FALSE), "")</f>
        <v/>
      </c>
      <c r="R208" s="153">
        <f>IFERROR(VALUE(SUBSTITUTE(SUBSTITUTE(Q208, "Price", ""), "AED", "")), "")</f>
        <v/>
      </c>
      <c r="S208" s="151" t="n"/>
      <c r="T208" s="158" t="n"/>
      <c r="U208" s="136" t="n"/>
      <c r="V208" s="136" t="n"/>
      <c r="W208" s="156">
        <f>IF(Z208 = "",
"",
TEXT(Z208, "mmmm"))</f>
        <v/>
      </c>
      <c r="X208" s="157" t="n"/>
      <c r="Y208" s="158" t="n"/>
      <c r="Z208" s="158" t="n"/>
      <c r="AA208" s="136">
        <f>IF(H208="", "", IF(U208="Open Sale", IF(TODAY()-H208=0, "0 Days", TEXT(TODAY()-H208, "0") &amp; " Days"), IF(U208="Closed Sale", AA208, "")))</f>
        <v/>
      </c>
      <c r="AB208" s="136">
        <f>IF(H208="", "", IF(OR(U208="Pending", U208="Pending Allocation"), CONCATENATE(TODAY()-H208, " Days"), IF(U208="Closed", "", "")))</f>
        <v/>
      </c>
      <c r="AC208" s="160">
        <f>IF(U208="Pending Allocation", IF(I208="", "", TODAY()-I208), "")</f>
        <v/>
      </c>
      <c r="AD208" s="159">
        <f>IF(U208="Open Sale", TEXT(TODAY()-I208, "0"),
IF(U208="Pending", "",
IF(U208="Closed Sale", "", "")))</f>
        <v/>
      </c>
      <c r="AE208" s="161" t="n"/>
      <c r="AF208" s="161" t="n"/>
      <c r="AG208" s="161" t="n"/>
      <c r="AH208" s="136" t="n"/>
      <c r="AI208" s="164">
        <f>IF(I208="","",TEXT(I208, "mmmm yyyy"))</f>
        <v/>
      </c>
      <c r="AJ208" s="164">
        <f>IF(AND(OpenPendingCases[[#This Row],[Sale Status	]]="Open Sale",OpenPendingCases[[#This Row],[Potential Same Month]]="High"),TEXT(OpenPendingCases[[#This Row],[Request Entry Date]], "[$-en-us]mmmm"),"")</f>
        <v/>
      </c>
      <c r="AK208" s="165">
        <f>IFERROR(VALUE(SUBSTITUTE(OpenPendingCases[[#This Row],[Price]]," AED","")),"")</f>
        <v/>
      </c>
      <c r="AL208" s="165">
        <f>IFERROR(VALUE(LEFT(OpenPendingCases[[#This Row],[Price]],FIND(" ",OpenPendingCases[[#This Row],[Price]])-1)),"")</f>
        <v/>
      </c>
      <c r="AM208" s="165">
        <f>IFERROR(VALUE(_xlfn.TEXTBEFORE(OpenPendingCases[[#This Row],[Price]]," AED")),"")</f>
        <v/>
      </c>
      <c r="AN208" s="165" t="n"/>
    </row>
    <row r="209" hidden="1" ht="18" customHeight="1" s="287">
      <c r="C209" s="133" t="n"/>
      <c r="D209" s="136">
        <f>IF($U209="Open Sale", IF(MAX($D$4:D208)+1=0, "", MAX($D$4:D208)+1), "")</f>
        <v/>
      </c>
      <c r="E209" s="136">
        <f>IF($U209="Pending Allocation", IF(MAX($E$4:E208)+1=0, "", MAX($E$4:E208)+1), "")</f>
        <v/>
      </c>
      <c r="F209" s="136" t="n"/>
      <c r="G209" s="136" t="n"/>
      <c r="H209" s="150" t="n"/>
      <c r="I209" s="150" t="n"/>
      <c r="J209" s="67">
        <f>IF(OpenPendingCases[[#This Row],[Timepiece Reference ]]="", "", IF(_xlfn.XLOOKUP(OpenPendingCases[[#This Row],[Timepiece Reference ]], Table1[[Timepiece Reference ]], Table1[CRC STOCK], "Not Found")="YES", "CRC Stock", "Boutique Stock"))</f>
        <v/>
      </c>
      <c r="K209" s="136">
        <f>IF(OpenPendingCases[[#This Row],[Timepiece Reference ]]="", "", IF(_xlfn.XLOOKUP(OpenPendingCases[[#This Row],[Timepiece Reference ]], Table1[[Timepiece Reference ]], Table1[CRC STOCK], "Not Found")="YES", "CRC Stock", "Boutique Stock"))</f>
        <v/>
      </c>
      <c r="L209" s="139" t="n"/>
      <c r="M209" s="140" t="n"/>
      <c r="N209" s="136" t="n"/>
      <c r="O209" s="133" t="n"/>
      <c r="P209" s="93">
        <f>IFERROR(VLOOKUP(TRIM(O209), Collection!$B$2:$D$1001, 2, FALSE), "")</f>
        <v/>
      </c>
      <c r="Q209" s="190">
        <f>IFERROR(VLOOKUP(TRIM(O209), Collection!$B$2:$D$1001, 3, FALSE), "")</f>
        <v/>
      </c>
      <c r="R209" s="153">
        <f>IFERROR(VALUE(SUBSTITUTE(SUBSTITUTE(Q209, "Price", ""), "AED", "")), "")</f>
        <v/>
      </c>
      <c r="S209" s="151" t="n"/>
      <c r="T209" s="158" t="n"/>
      <c r="U209" s="136" t="n"/>
      <c r="V209" s="136" t="n"/>
      <c r="W209" s="156">
        <f>IF(Z209 = "",
"",
TEXT(Z209, "mmmm"))</f>
        <v/>
      </c>
      <c r="X209" s="157" t="n"/>
      <c r="Y209" s="158" t="n"/>
      <c r="Z209" s="158" t="n"/>
      <c r="AA209" s="136">
        <f>IF(H209="", "", IF(U209="Open Sale", IF(TODAY()-H209=0, "0 Days", TEXT(TODAY()-H209, "0") &amp; " Days"), IF(U209="Closed Sale", AA209, "")))</f>
        <v/>
      </c>
      <c r="AB209" s="136">
        <f>IF(H209="", "", IF(OR(U209="Pending", U209="Pending Allocation"), CONCATENATE(TODAY()-H209, " Days"), IF(U209="Closed", "", "")))</f>
        <v/>
      </c>
      <c r="AC209" s="160">
        <f>IF(U209="Pending Allocation", IF(I209="", "", TODAY()-I209), "")</f>
        <v/>
      </c>
      <c r="AD209" s="159">
        <f>IF(U209="Open Sale", TEXT(TODAY()-I209, "0"),
IF(U209="Pending", "",
IF(U209="Closed Sale", "", "")))</f>
        <v/>
      </c>
      <c r="AE209" s="161" t="n"/>
      <c r="AF209" s="161" t="n"/>
      <c r="AG209" s="161" t="n"/>
      <c r="AH209" s="136" t="n"/>
      <c r="AI209" s="164">
        <f>IF(I209="","",TEXT(I209, "mmmm yyyy"))</f>
        <v/>
      </c>
      <c r="AJ209" s="164">
        <f>IF(AND(OpenPendingCases[[#This Row],[Sale Status	]]="Open Sale",OpenPendingCases[[#This Row],[Potential Same Month]]="High"),TEXT(OpenPendingCases[[#This Row],[Request Entry Date]], "[$-en-us]mmmm"),"")</f>
        <v/>
      </c>
      <c r="AK209" s="165">
        <f>IFERROR(VALUE(SUBSTITUTE(OpenPendingCases[[#This Row],[Price]]," AED","")),"")</f>
        <v/>
      </c>
      <c r="AL209" s="165">
        <f>IFERROR(VALUE(LEFT(OpenPendingCases[[#This Row],[Price]],FIND(" ",OpenPendingCases[[#This Row],[Price]])-1)),"")</f>
        <v/>
      </c>
      <c r="AM209" s="165">
        <f>IFERROR(VALUE(_xlfn.TEXTBEFORE(OpenPendingCases[[#This Row],[Price]]," AED")),"")</f>
        <v/>
      </c>
      <c r="AN209" s="165" t="n"/>
    </row>
    <row r="210" hidden="1" ht="18" customHeight="1" s="287">
      <c r="C210" s="133" t="n"/>
      <c r="D210" s="136">
        <f>IF($U210="Open Sale", IF(MAX($D$4:D209)+1=0, "", MAX($D$4:D209)+1), "")</f>
        <v/>
      </c>
      <c r="E210" s="136">
        <f>IF($U210="Pending Allocation", IF(MAX($E$4:E209)+1=0, "", MAX($E$4:E209)+1), "")</f>
        <v/>
      </c>
      <c r="F210" s="136" t="n"/>
      <c r="G210" s="136" t="n"/>
      <c r="H210" s="150" t="n"/>
      <c r="I210" s="150" t="n"/>
      <c r="J210" s="67">
        <f>IF(OpenPendingCases[[#This Row],[Timepiece Reference ]]="", "", IF(_xlfn.XLOOKUP(OpenPendingCases[[#This Row],[Timepiece Reference ]], Table1[[Timepiece Reference ]], Table1[CRC STOCK], "Not Found")="YES", "CRC Stock", "Boutique Stock"))</f>
        <v/>
      </c>
      <c r="K210" s="136">
        <f>IF(OpenPendingCases[[#This Row],[Timepiece Reference ]]="", "", IF(_xlfn.XLOOKUP(OpenPendingCases[[#This Row],[Timepiece Reference ]], Table1[[Timepiece Reference ]], Table1[CRC STOCK], "Not Found")="YES", "CRC Stock", "Boutique Stock"))</f>
        <v/>
      </c>
      <c r="L210" s="139" t="n"/>
      <c r="M210" s="140" t="n"/>
      <c r="N210" s="136" t="n"/>
      <c r="O210" s="133" t="n"/>
      <c r="P210" s="93">
        <f>IFERROR(VLOOKUP(TRIM(O210), Collection!$B$2:$D$1001, 2, FALSE), "")</f>
        <v/>
      </c>
      <c r="Q210" s="190">
        <f>IFERROR(VLOOKUP(TRIM(O210), Collection!$B$2:$D$1001, 3, FALSE), "")</f>
        <v/>
      </c>
      <c r="R210" s="153">
        <f>IFERROR(VALUE(SUBSTITUTE(SUBSTITUTE(Q210, "Price", ""), "AED", "")), "")</f>
        <v/>
      </c>
      <c r="S210" s="151" t="n"/>
      <c r="T210" s="158" t="n"/>
      <c r="U210" s="136" t="n"/>
      <c r="V210" s="136" t="n"/>
      <c r="W210" s="156">
        <f>IF(Z210 = "",
"",
TEXT(Z210, "mmmm"))</f>
        <v/>
      </c>
      <c r="X210" s="157" t="n"/>
      <c r="Y210" s="158" t="n"/>
      <c r="Z210" s="158" t="n"/>
      <c r="AA210" s="136">
        <f>IF(H210="", "", IF(U210="Open Sale", IF(TODAY()-H210=0, "0 Days", TEXT(TODAY()-H210, "0") &amp; " Days"), IF(U210="Closed Sale", AA210, "")))</f>
        <v/>
      </c>
      <c r="AB210" s="136">
        <f>IF(H210="", "", IF(OR(U210="Pending", U210="Pending Allocation"), CONCATENATE(TODAY()-H210, " Days"), IF(U210="Closed", "", "")))</f>
        <v/>
      </c>
      <c r="AC210" s="160">
        <f>IF(U210="Pending Allocation", IF(I210="", "", TODAY()-I210), "")</f>
        <v/>
      </c>
      <c r="AD210" s="159">
        <f>IF(U210="Open Sale", TEXT(TODAY()-I210, "0"),
IF(U210="Pending", "",
IF(U210="Closed Sale", "", "")))</f>
        <v/>
      </c>
      <c r="AE210" s="161" t="n"/>
      <c r="AF210" s="161" t="n"/>
      <c r="AG210" s="161" t="n"/>
      <c r="AH210" s="136" t="n"/>
      <c r="AI210" s="164">
        <f>IF(I210="","",TEXT(I210, "mmmm yyyy"))</f>
        <v/>
      </c>
      <c r="AJ210" s="164">
        <f>IF(AND(OpenPendingCases[[#This Row],[Sale Status	]]="Open Sale",OpenPendingCases[[#This Row],[Potential Same Month]]="High"),TEXT(OpenPendingCases[[#This Row],[Request Entry Date]], "[$-en-us]mmmm"),"")</f>
        <v/>
      </c>
      <c r="AK210" s="165">
        <f>IFERROR(VALUE(SUBSTITUTE(OpenPendingCases[[#This Row],[Price]]," AED","")),"")</f>
        <v/>
      </c>
      <c r="AL210" s="165">
        <f>IFERROR(VALUE(LEFT(OpenPendingCases[[#This Row],[Price]],FIND(" ",OpenPendingCases[[#This Row],[Price]])-1)),"")</f>
        <v/>
      </c>
      <c r="AM210" s="165">
        <f>IFERROR(VALUE(_xlfn.TEXTBEFORE(OpenPendingCases[[#This Row],[Price]]," AED")),"")</f>
        <v/>
      </c>
      <c r="AN210" s="165" t="n"/>
    </row>
    <row r="211" hidden="1" ht="18" customHeight="1" s="287">
      <c r="C211" s="133" t="n"/>
      <c r="D211" s="136">
        <f>IF($U211="Open Sale", IF(MAX($D$4:D210)+1=0, "", MAX($D$4:D210)+1), "")</f>
        <v/>
      </c>
      <c r="E211" s="136">
        <f>IF($U211="Pending Allocation", IF(MAX($E$4:E210)+1=0, "", MAX($E$4:E210)+1), "")</f>
        <v/>
      </c>
      <c r="F211" s="136" t="n"/>
      <c r="G211" s="136" t="n"/>
      <c r="H211" s="150" t="n"/>
      <c r="I211" s="150" t="n"/>
      <c r="J211" s="67">
        <f>IF(OpenPendingCases[[#This Row],[Timepiece Reference ]]="", "", IF(_xlfn.XLOOKUP(OpenPendingCases[[#This Row],[Timepiece Reference ]], Table1[[Timepiece Reference ]], Table1[CRC STOCK], "Not Found")="YES", "CRC Stock", "Boutique Stock"))</f>
        <v/>
      </c>
      <c r="K211" s="136">
        <f>IF(OpenPendingCases[[#This Row],[Timepiece Reference ]]="", "", IF(_xlfn.XLOOKUP(OpenPendingCases[[#This Row],[Timepiece Reference ]], Table1[[Timepiece Reference ]], Table1[CRC STOCK], "Not Found")="YES", "CRC Stock", "Boutique Stock"))</f>
        <v/>
      </c>
      <c r="L211" s="139" t="n"/>
      <c r="M211" s="140" t="n"/>
      <c r="N211" s="136" t="n"/>
      <c r="O211" s="133" t="n"/>
      <c r="P211" s="93">
        <f>IFERROR(VLOOKUP(TRIM(O211), Collection!$B$2:$D$1001, 2, FALSE), "")</f>
        <v/>
      </c>
      <c r="Q211" s="190">
        <f>IFERROR(VLOOKUP(TRIM(O211), Collection!$B$2:$D$1001, 3, FALSE), "")</f>
        <v/>
      </c>
      <c r="R211" s="153">
        <f>IFERROR(VALUE(SUBSTITUTE(SUBSTITUTE(Q211, "Price", ""), "AED", "")), "")</f>
        <v/>
      </c>
      <c r="S211" s="151" t="n"/>
      <c r="T211" s="158" t="n"/>
      <c r="U211" s="136" t="n"/>
      <c r="V211" s="136" t="n"/>
      <c r="W211" s="156">
        <f>IF(Z211 = "",
"",
TEXT(Z211, "mmmm"))</f>
        <v/>
      </c>
      <c r="X211" s="157" t="n"/>
      <c r="Y211" s="158" t="n"/>
      <c r="Z211" s="158" t="n"/>
      <c r="AA211" s="136">
        <f>IF(H211="", "", IF(U211="Open Sale", IF(TODAY()-H211=0, "0 Days", TEXT(TODAY()-H211, "0") &amp; " Days"), IF(U211="Closed Sale", AA211, "")))</f>
        <v/>
      </c>
      <c r="AB211" s="136">
        <f>IF(H211="", "", IF(OR(U211="Pending", U211="Pending Allocation"), CONCATENATE(TODAY()-H211, " Days"), IF(U211="Closed", "", "")))</f>
        <v/>
      </c>
      <c r="AC211" s="160">
        <f>IF(U211="Pending Allocation", IF(I211="", "", TODAY()-I211), "")</f>
        <v/>
      </c>
      <c r="AD211" s="159">
        <f>IF(U211="Open Sale", TEXT(TODAY()-I211, "0"),
IF(U211="Pending", "",
IF(U211="Closed Sale", "", "")))</f>
        <v/>
      </c>
      <c r="AE211" s="161" t="n"/>
      <c r="AF211" s="161" t="n"/>
      <c r="AG211" s="161" t="n"/>
      <c r="AH211" s="136" t="n"/>
      <c r="AI211" s="164">
        <f>IF(I211="","",TEXT(I211, "mmmm yyyy"))</f>
        <v/>
      </c>
      <c r="AJ211" s="164">
        <f>IF(AND(OpenPendingCases[[#This Row],[Sale Status	]]="Open Sale",OpenPendingCases[[#This Row],[Potential Same Month]]="High"),TEXT(OpenPendingCases[[#This Row],[Request Entry Date]], "[$-en-us]mmmm"),"")</f>
        <v/>
      </c>
      <c r="AK211" s="165">
        <f>IFERROR(VALUE(SUBSTITUTE(OpenPendingCases[[#This Row],[Price]]," AED","")),"")</f>
        <v/>
      </c>
      <c r="AL211" s="165">
        <f>IFERROR(VALUE(LEFT(OpenPendingCases[[#This Row],[Price]],FIND(" ",OpenPendingCases[[#This Row],[Price]])-1)),"")</f>
        <v/>
      </c>
      <c r="AM211" s="165">
        <f>IFERROR(VALUE(_xlfn.TEXTBEFORE(OpenPendingCases[[#This Row],[Price]]," AED")),"")</f>
        <v/>
      </c>
      <c r="AN211" s="165" t="n"/>
    </row>
    <row r="212" hidden="1" ht="18" customHeight="1" s="287">
      <c r="C212" s="133" t="n"/>
      <c r="D212" s="136">
        <f>IF($U212="Open Sale", IF(MAX($D$4:D211)+1=0, "", MAX($D$4:D211)+1), "")</f>
        <v/>
      </c>
      <c r="E212" s="136">
        <f>IF($U212="Pending Allocation", IF(MAX($E$4:E211)+1=0, "", MAX($E$4:E211)+1), "")</f>
        <v/>
      </c>
      <c r="F212" s="136" t="n"/>
      <c r="G212" s="136" t="n"/>
      <c r="H212" s="150" t="n"/>
      <c r="I212" s="150" t="n"/>
      <c r="J212" s="67">
        <f>IF(OpenPendingCases[[#This Row],[Timepiece Reference ]]="", "", IF(_xlfn.XLOOKUP(OpenPendingCases[[#This Row],[Timepiece Reference ]], Table1[[Timepiece Reference ]], Table1[CRC STOCK], "Not Found")="YES", "CRC Stock", "Boutique Stock"))</f>
        <v/>
      </c>
      <c r="K212" s="136">
        <f>IF(OpenPendingCases[[#This Row],[Timepiece Reference ]]="", "", IF(_xlfn.XLOOKUP(OpenPendingCases[[#This Row],[Timepiece Reference ]], Table1[[Timepiece Reference ]], Table1[CRC STOCK], "Not Found")="YES", "CRC Stock", "Boutique Stock"))</f>
        <v/>
      </c>
      <c r="L212" s="139" t="n"/>
      <c r="M212" s="140" t="n"/>
      <c r="N212" s="136" t="n"/>
      <c r="O212" s="133" t="n"/>
      <c r="P212" s="93">
        <f>IFERROR(VLOOKUP(TRIM(O212), Collection!$B$2:$D$1001, 2, FALSE), "")</f>
        <v/>
      </c>
      <c r="Q212" s="190">
        <f>IFERROR(VLOOKUP(TRIM(O212), Collection!$B$2:$D$1001, 3, FALSE), "")</f>
        <v/>
      </c>
      <c r="R212" s="153">
        <f>IFERROR(VALUE(SUBSTITUTE(SUBSTITUTE(Q212, "Price", ""), "AED", "")), "")</f>
        <v/>
      </c>
      <c r="S212" s="151" t="n"/>
      <c r="T212" s="158" t="n"/>
      <c r="U212" s="136" t="n"/>
      <c r="V212" s="136" t="n"/>
      <c r="W212" s="156">
        <f>IF(Z212 = "",
"",
TEXT(Z212, "mmmm"))</f>
        <v/>
      </c>
      <c r="X212" s="157" t="n"/>
      <c r="Y212" s="158" t="n"/>
      <c r="Z212" s="158" t="n"/>
      <c r="AA212" s="136">
        <f>IF(H212="", "", IF(U212="Open Sale", IF(TODAY()-H212=0, "0 Days", TEXT(TODAY()-H212, "0") &amp; " Days"), IF(U212="Closed Sale", AA212, "")))</f>
        <v/>
      </c>
      <c r="AB212" s="136">
        <f>IF(H212="", "", IF(OR(U212="Pending", U212="Pending Allocation"), CONCATENATE(TODAY()-H212, " Days"), IF(U212="Closed", "", "")))</f>
        <v/>
      </c>
      <c r="AC212" s="160">
        <f>IF(U212="Pending Allocation", IF(I212="", "", TODAY()-I212), "")</f>
        <v/>
      </c>
      <c r="AD212" s="159">
        <f>IF(U212="Open Sale", TEXT(TODAY()-I212, "0"),
IF(U212="Pending", "",
IF(U212="Closed Sale", "", "")))</f>
        <v/>
      </c>
      <c r="AE212" s="161" t="n"/>
      <c r="AF212" s="161" t="n"/>
      <c r="AG212" s="161" t="n"/>
      <c r="AH212" s="136" t="n"/>
      <c r="AI212" s="164">
        <f>IF(I212="","",TEXT(I212, "mmmm yyyy"))</f>
        <v/>
      </c>
      <c r="AJ212" s="164">
        <f>IF(AND(OpenPendingCases[[#This Row],[Sale Status	]]="Open Sale",OpenPendingCases[[#This Row],[Potential Same Month]]="High"),TEXT(OpenPendingCases[[#This Row],[Request Entry Date]], "[$-en-us]mmmm"),"")</f>
        <v/>
      </c>
      <c r="AK212" s="165">
        <f>IFERROR(VALUE(SUBSTITUTE(OpenPendingCases[[#This Row],[Price]]," AED","")),"")</f>
        <v/>
      </c>
      <c r="AL212" s="165">
        <f>IFERROR(VALUE(LEFT(OpenPendingCases[[#This Row],[Price]],FIND(" ",OpenPendingCases[[#This Row],[Price]])-1)),"")</f>
        <v/>
      </c>
      <c r="AM212" s="165">
        <f>IFERROR(VALUE(_xlfn.TEXTBEFORE(OpenPendingCases[[#This Row],[Price]]," AED")),"")</f>
        <v/>
      </c>
      <c r="AN212" s="165" t="n"/>
    </row>
    <row r="213" hidden="1" ht="18" customHeight="1" s="287">
      <c r="C213" s="133" t="n"/>
      <c r="D213" s="136">
        <f>IF($U213="Open Sale", IF(MAX($D$4:D212)+1=0, "", MAX($D$4:D212)+1), "")</f>
        <v/>
      </c>
      <c r="E213" s="136">
        <f>IF($U213="Pending Allocation", IF(MAX($E$4:E212)+1=0, "", MAX($E$4:E212)+1), "")</f>
        <v/>
      </c>
      <c r="F213" s="136" t="n"/>
      <c r="G213" s="136" t="n"/>
      <c r="H213" s="150" t="n"/>
      <c r="I213" s="150" t="n"/>
      <c r="J213" s="67">
        <f>IF(OpenPendingCases[[#This Row],[Timepiece Reference ]]="", "", IF(_xlfn.XLOOKUP(OpenPendingCases[[#This Row],[Timepiece Reference ]], Table1[[Timepiece Reference ]], Table1[CRC STOCK], "Not Found")="YES", "CRC Stock", "Boutique Stock"))</f>
        <v/>
      </c>
      <c r="K213" s="136">
        <f>IF(OpenPendingCases[[#This Row],[Timepiece Reference ]]="", "", IF(_xlfn.XLOOKUP(OpenPendingCases[[#This Row],[Timepiece Reference ]], Table1[[Timepiece Reference ]], Table1[CRC STOCK], "Not Found")="YES", "CRC Stock", "Boutique Stock"))</f>
        <v/>
      </c>
      <c r="L213" s="139" t="n"/>
      <c r="M213" s="140" t="n"/>
      <c r="N213" s="136" t="n"/>
      <c r="O213" s="133" t="n"/>
      <c r="P213" s="93">
        <f>IFERROR(VLOOKUP(TRIM(O213), Collection!$B$2:$D$1001, 2, FALSE), "")</f>
        <v/>
      </c>
      <c r="Q213" s="190">
        <f>IFERROR(VLOOKUP(TRIM(O213), Collection!$B$2:$D$1001, 3, FALSE), "")</f>
        <v/>
      </c>
      <c r="R213" s="153">
        <f>IFERROR(VALUE(SUBSTITUTE(SUBSTITUTE(Q213, "Price", ""), "AED", "")), "")</f>
        <v/>
      </c>
      <c r="S213" s="151" t="n"/>
      <c r="T213" s="158" t="n"/>
      <c r="U213" s="136" t="n"/>
      <c r="V213" s="136" t="n"/>
      <c r="W213" s="156">
        <f>IF(Z213 = "",
"",
TEXT(Z213, "mmmm"))</f>
        <v/>
      </c>
      <c r="X213" s="157" t="n"/>
      <c r="Y213" s="158" t="n"/>
      <c r="Z213" s="158" t="n"/>
      <c r="AA213" s="136">
        <f>IF(H213="", "", IF(U213="Open Sale", IF(TODAY()-H213=0, "0 Days", TEXT(TODAY()-H213, "0") &amp; " Days"), IF(U213="Closed Sale", AA213, "")))</f>
        <v/>
      </c>
      <c r="AB213" s="136">
        <f>IF(H213="", "", IF(OR(U213="Pending", U213="Pending Allocation"), CONCATENATE(TODAY()-H213, " Days"), IF(U213="Closed", "", "")))</f>
        <v/>
      </c>
      <c r="AC213" s="160">
        <f>IF(U213="Pending Allocation", IF(I213="", "", TODAY()-I213), "")</f>
        <v/>
      </c>
      <c r="AD213" s="159">
        <f>IF(U213="Open Sale", TEXT(TODAY()-I213, "0"),
IF(U213="Pending", "",
IF(U213="Closed Sale", "", "")))</f>
        <v/>
      </c>
      <c r="AE213" s="161" t="n"/>
      <c r="AF213" s="161" t="n"/>
      <c r="AG213" s="161" t="n"/>
      <c r="AH213" s="136" t="n"/>
      <c r="AI213" s="164">
        <f>IF(I213="","",TEXT(I213, "mmmm yyyy"))</f>
        <v/>
      </c>
      <c r="AJ213" s="164">
        <f>IF(AND(OpenPendingCases[[#This Row],[Sale Status	]]="Open Sale",OpenPendingCases[[#This Row],[Potential Same Month]]="High"),TEXT(OpenPendingCases[[#This Row],[Request Entry Date]], "[$-en-us]mmmm"),"")</f>
        <v/>
      </c>
      <c r="AK213" s="165">
        <f>IFERROR(VALUE(SUBSTITUTE(OpenPendingCases[[#This Row],[Price]]," AED","")),"")</f>
        <v/>
      </c>
      <c r="AL213" s="165">
        <f>IFERROR(VALUE(LEFT(OpenPendingCases[[#This Row],[Price]],FIND(" ",OpenPendingCases[[#This Row],[Price]])-1)),"")</f>
        <v/>
      </c>
      <c r="AM213" s="165">
        <f>IFERROR(VALUE(_xlfn.TEXTBEFORE(OpenPendingCases[[#This Row],[Price]]," AED")),"")</f>
        <v/>
      </c>
      <c r="AN213" s="165" t="n"/>
    </row>
    <row r="214" hidden="1" ht="18" customHeight="1" s="287">
      <c r="C214" s="133" t="n"/>
      <c r="D214" s="136">
        <f>IF($U214="Open Sale", IF(MAX($D$4:D213)+1=0, "", MAX($D$4:D213)+1), "")</f>
        <v/>
      </c>
      <c r="E214" s="136">
        <f>IF($U214="Pending Allocation", IF(MAX($E$4:E213)+1=0, "", MAX($E$4:E213)+1), "")</f>
        <v/>
      </c>
      <c r="F214" s="136" t="n"/>
      <c r="G214" s="136" t="n"/>
      <c r="H214" s="150" t="n"/>
      <c r="I214" s="150" t="n"/>
      <c r="J214" s="67">
        <f>IF(OpenPendingCases[[#This Row],[Timepiece Reference ]]="", "", IF(_xlfn.XLOOKUP(OpenPendingCases[[#This Row],[Timepiece Reference ]], Table1[[Timepiece Reference ]], Table1[CRC STOCK], "Not Found")="YES", "CRC Stock", "Boutique Stock"))</f>
        <v/>
      </c>
      <c r="K214" s="136">
        <f>IF(OpenPendingCases[[#This Row],[Timepiece Reference ]]="", "", IF(_xlfn.XLOOKUP(OpenPendingCases[[#This Row],[Timepiece Reference ]], Table1[[Timepiece Reference ]], Table1[CRC STOCK], "Not Found")="YES", "CRC Stock", "Boutique Stock"))</f>
        <v/>
      </c>
      <c r="L214" s="139" t="n"/>
      <c r="M214" s="140" t="n"/>
      <c r="N214" s="136" t="n"/>
      <c r="O214" s="133" t="n"/>
      <c r="P214" s="93">
        <f>IFERROR(VLOOKUP(TRIM(O214), Collection!$B$2:$D$1001, 2, FALSE), "")</f>
        <v/>
      </c>
      <c r="Q214" s="190">
        <f>IFERROR(VLOOKUP(TRIM(O214), Collection!$B$2:$D$1001, 3, FALSE), "")</f>
        <v/>
      </c>
      <c r="R214" s="153">
        <f>IFERROR(VALUE(SUBSTITUTE(SUBSTITUTE(Q214, "Price", ""), "AED", "")), "")</f>
        <v/>
      </c>
      <c r="S214" s="151" t="n"/>
      <c r="T214" s="158" t="n"/>
      <c r="U214" s="136" t="n"/>
      <c r="V214" s="136" t="n"/>
      <c r="W214" s="156">
        <f>IF(Z214 = "",
"",
TEXT(Z214, "mmmm"))</f>
        <v/>
      </c>
      <c r="X214" s="157" t="n"/>
      <c r="Y214" s="158" t="n"/>
      <c r="Z214" s="158" t="n"/>
      <c r="AA214" s="136">
        <f>IF(H214="", "", IF(U214="Open Sale", IF(TODAY()-H214=0, "0 Days", TEXT(TODAY()-H214, "0") &amp; " Days"), IF(U214="Closed Sale", AA214, "")))</f>
        <v/>
      </c>
      <c r="AB214" s="136">
        <f>IF(H214="", "", IF(OR(U214="Pending", U214="Pending Allocation"), CONCATENATE(TODAY()-H214, " Days"), IF(U214="Closed", "", "")))</f>
        <v/>
      </c>
      <c r="AC214" s="160">
        <f>IF(U214="Pending Allocation", IF(I214="", "", TODAY()-I214), "")</f>
        <v/>
      </c>
      <c r="AD214" s="159">
        <f>IF(U214="Open Sale", TEXT(TODAY()-I214, "0"),
IF(U214="Pending", "",
IF(U214="Closed Sale", "", "")))</f>
        <v/>
      </c>
      <c r="AE214" s="161" t="n"/>
      <c r="AF214" s="161" t="n"/>
      <c r="AG214" s="161" t="n"/>
      <c r="AH214" s="136" t="n"/>
      <c r="AI214" s="164">
        <f>IF(I214="","",TEXT(I214, "mmmm yyyy"))</f>
        <v/>
      </c>
      <c r="AJ214" s="164">
        <f>IF(AND(OpenPendingCases[[#This Row],[Sale Status	]]="Open Sale",OpenPendingCases[[#This Row],[Potential Same Month]]="High"),TEXT(OpenPendingCases[[#This Row],[Request Entry Date]], "[$-en-us]mmmm"),"")</f>
        <v/>
      </c>
      <c r="AK214" s="165">
        <f>IFERROR(VALUE(SUBSTITUTE(OpenPendingCases[[#This Row],[Price]]," AED","")),"")</f>
        <v/>
      </c>
      <c r="AL214" s="165">
        <f>IFERROR(VALUE(LEFT(OpenPendingCases[[#This Row],[Price]],FIND(" ",OpenPendingCases[[#This Row],[Price]])-1)),"")</f>
        <v/>
      </c>
      <c r="AM214" s="165">
        <f>IFERROR(VALUE(_xlfn.TEXTBEFORE(OpenPendingCases[[#This Row],[Price]]," AED")),"")</f>
        <v/>
      </c>
      <c r="AN214" s="165" t="n"/>
    </row>
    <row r="215" hidden="1" ht="18" customHeight="1" s="287">
      <c r="C215" s="133" t="n"/>
      <c r="D215" s="136">
        <f>IF($U215="Open Sale", IF(MAX($D$4:D214)+1=0, "", MAX($D$4:D214)+1), "")</f>
        <v/>
      </c>
      <c r="E215" s="136">
        <f>IF($U215="Pending Allocation", IF(MAX($E$4:E214)+1=0, "", MAX($E$4:E214)+1), "")</f>
        <v/>
      </c>
      <c r="F215" s="136" t="n"/>
      <c r="G215" s="136" t="n"/>
      <c r="H215" s="150" t="n"/>
      <c r="I215" s="150" t="n"/>
      <c r="J215" s="67">
        <f>IF(OpenPendingCases[[#This Row],[Timepiece Reference ]]="", "", IF(_xlfn.XLOOKUP(OpenPendingCases[[#This Row],[Timepiece Reference ]], Table1[[Timepiece Reference ]], Table1[CRC STOCK], "Not Found")="YES", "CRC Stock", "Boutique Stock"))</f>
        <v/>
      </c>
      <c r="K215" s="136">
        <f>IF(OpenPendingCases[[#This Row],[Timepiece Reference ]]="", "", IF(_xlfn.XLOOKUP(OpenPendingCases[[#This Row],[Timepiece Reference ]], Table1[[Timepiece Reference ]], Table1[CRC STOCK], "Not Found")="YES", "CRC Stock", "Boutique Stock"))</f>
        <v/>
      </c>
      <c r="L215" s="139" t="n"/>
      <c r="M215" s="140" t="n"/>
      <c r="N215" s="136" t="n"/>
      <c r="O215" s="133" t="n"/>
      <c r="P215" s="93">
        <f>IFERROR(VLOOKUP(TRIM(O215), Collection!$B$2:$D$1001, 2, FALSE), "")</f>
        <v/>
      </c>
      <c r="Q215" s="190">
        <f>IFERROR(VLOOKUP(TRIM(O215), Collection!$B$2:$D$1001, 3, FALSE), "")</f>
        <v/>
      </c>
      <c r="R215" s="153">
        <f>IFERROR(VALUE(SUBSTITUTE(SUBSTITUTE(Q215, "Price", ""), "AED", "")), "")</f>
        <v/>
      </c>
      <c r="S215" s="151" t="n"/>
      <c r="T215" s="158" t="n"/>
      <c r="U215" s="136" t="n"/>
      <c r="V215" s="136" t="n"/>
      <c r="W215" s="156">
        <f>IF(Z215 = "",
"",
TEXT(Z215, "mmmm"))</f>
        <v/>
      </c>
      <c r="X215" s="157" t="n"/>
      <c r="Y215" s="158" t="n"/>
      <c r="Z215" s="158" t="n"/>
      <c r="AA215" s="136">
        <f>IF(H215="", "", IF(U215="Open Sale", IF(TODAY()-H215=0, "0 Days", TEXT(TODAY()-H215, "0") &amp; " Days"), IF(U215="Closed Sale", AA215, "")))</f>
        <v/>
      </c>
      <c r="AB215" s="136">
        <f>IF(H215="", "", IF(OR(U215="Pending", U215="Pending Allocation"), CONCATENATE(TODAY()-H215, " Days"), IF(U215="Closed", "", "")))</f>
        <v/>
      </c>
      <c r="AC215" s="160">
        <f>IF(U215="Pending Allocation", IF(I215="", "", TODAY()-I215), "")</f>
        <v/>
      </c>
      <c r="AD215" s="159">
        <f>IF(U215="Open Sale", TEXT(TODAY()-I215, "0"),
IF(U215="Pending", "",
IF(U215="Closed Sale", "", "")))</f>
        <v/>
      </c>
      <c r="AE215" s="161" t="n"/>
      <c r="AF215" s="161" t="n"/>
      <c r="AG215" s="161" t="n"/>
      <c r="AH215" s="136" t="n"/>
      <c r="AI215" s="164">
        <f>IF(I215="","",TEXT(I215, "mmmm yyyy"))</f>
        <v/>
      </c>
      <c r="AJ215" s="164">
        <f>IF(AND(OpenPendingCases[[#This Row],[Sale Status	]]="Open Sale",OpenPendingCases[[#This Row],[Potential Same Month]]="High"),TEXT(OpenPendingCases[[#This Row],[Request Entry Date]], "[$-en-us]mmmm"),"")</f>
        <v/>
      </c>
      <c r="AK215" s="165">
        <f>IFERROR(VALUE(SUBSTITUTE(OpenPendingCases[[#This Row],[Price]]," AED","")),"")</f>
        <v/>
      </c>
      <c r="AL215" s="165">
        <f>IFERROR(VALUE(LEFT(OpenPendingCases[[#This Row],[Price]],FIND(" ",OpenPendingCases[[#This Row],[Price]])-1)),"")</f>
        <v/>
      </c>
      <c r="AM215" s="165">
        <f>IFERROR(VALUE(_xlfn.TEXTBEFORE(OpenPendingCases[[#This Row],[Price]]," AED")),"")</f>
        <v/>
      </c>
      <c r="AN215" s="165" t="n"/>
    </row>
    <row r="216" hidden="1" ht="18" customHeight="1" s="287">
      <c r="C216" s="133" t="n"/>
      <c r="D216" s="136">
        <f>IF($U216="Open Sale", IF(MAX($D$4:D215)+1=0, "", MAX($D$4:D215)+1), "")</f>
        <v/>
      </c>
      <c r="E216" s="136">
        <f>IF($U216="Pending Allocation", IF(MAX($E$4:E215)+1=0, "", MAX($E$4:E215)+1), "")</f>
        <v/>
      </c>
      <c r="F216" s="136" t="n"/>
      <c r="G216" s="136" t="n"/>
      <c r="H216" s="150" t="n"/>
      <c r="I216" s="150" t="n"/>
      <c r="J216" s="67">
        <f>IF(OpenPendingCases[[#This Row],[Timepiece Reference ]]="", "", IF(_xlfn.XLOOKUP(OpenPendingCases[[#This Row],[Timepiece Reference ]], Table1[[Timepiece Reference ]], Table1[CRC STOCK], "Not Found")="YES", "CRC Stock", "Boutique Stock"))</f>
        <v/>
      </c>
      <c r="K216" s="136">
        <f>IF(OpenPendingCases[[#This Row],[Timepiece Reference ]]="", "", IF(_xlfn.XLOOKUP(OpenPendingCases[[#This Row],[Timepiece Reference ]], Table1[[Timepiece Reference ]], Table1[CRC STOCK], "Not Found")="YES", "CRC Stock", "Boutique Stock"))</f>
        <v/>
      </c>
      <c r="L216" s="139" t="n"/>
      <c r="M216" s="140" t="n"/>
      <c r="N216" s="136" t="n"/>
      <c r="O216" s="133" t="n"/>
      <c r="P216" s="93">
        <f>IFERROR(VLOOKUP(TRIM(O216), Collection!$B$2:$D$1001, 2, FALSE), "")</f>
        <v/>
      </c>
      <c r="Q216" s="190">
        <f>IFERROR(VLOOKUP(TRIM(O216), Collection!$B$2:$D$1001, 3, FALSE), "")</f>
        <v/>
      </c>
      <c r="R216" s="153">
        <f>IFERROR(VALUE(SUBSTITUTE(SUBSTITUTE(Q216, "Price", ""), "AED", "")), "")</f>
        <v/>
      </c>
      <c r="S216" s="151" t="n"/>
      <c r="T216" s="158" t="n"/>
      <c r="U216" s="136" t="n"/>
      <c r="V216" s="136" t="n"/>
      <c r="W216" s="156">
        <f>IF(Z216 = "",
"",
TEXT(Z216, "mmmm"))</f>
        <v/>
      </c>
      <c r="X216" s="157" t="n"/>
      <c r="Y216" s="158" t="n"/>
      <c r="Z216" s="158" t="n"/>
      <c r="AA216" s="136">
        <f>IF(H216="", "", IF(U216="Open Sale", IF(TODAY()-H216=0, "0 Days", TEXT(TODAY()-H216, "0") &amp; " Days"), IF(U216="Closed Sale", AA216, "")))</f>
        <v/>
      </c>
      <c r="AB216" s="136">
        <f>IF(H216="", "", IF(OR(U216="Pending", U216="Pending Allocation"), CONCATENATE(TODAY()-H216, " Days"), IF(U216="Closed", "", "")))</f>
        <v/>
      </c>
      <c r="AC216" s="160">
        <f>IF(U216="Pending Allocation", IF(I216="", "", TODAY()-I216), "")</f>
        <v/>
      </c>
      <c r="AD216" s="159">
        <f>IF(U216="Open Sale", TEXT(TODAY()-I216, "0"),
IF(U216="Pending", "",
IF(U216="Closed Sale", "", "")))</f>
        <v/>
      </c>
      <c r="AE216" s="161" t="n"/>
      <c r="AF216" s="161" t="n"/>
      <c r="AG216" s="161" t="n"/>
      <c r="AH216" s="136" t="n"/>
      <c r="AI216" s="164">
        <f>IF(I216="","",TEXT(I216, "mmmm yyyy"))</f>
        <v/>
      </c>
      <c r="AJ216" s="164">
        <f>IF(AND(OpenPendingCases[[#This Row],[Sale Status	]]="Open Sale",OpenPendingCases[[#This Row],[Potential Same Month]]="High"),TEXT(OpenPendingCases[[#This Row],[Request Entry Date]], "[$-en-us]mmmm"),"")</f>
        <v/>
      </c>
      <c r="AK216" s="165">
        <f>IFERROR(VALUE(SUBSTITUTE(OpenPendingCases[[#This Row],[Price]]," AED","")),"")</f>
        <v/>
      </c>
      <c r="AL216" s="165">
        <f>IFERROR(VALUE(LEFT(OpenPendingCases[[#This Row],[Price]],FIND(" ",OpenPendingCases[[#This Row],[Price]])-1)),"")</f>
        <v/>
      </c>
      <c r="AM216" s="165">
        <f>IFERROR(VALUE(_xlfn.TEXTBEFORE(OpenPendingCases[[#This Row],[Price]]," AED")),"")</f>
        <v/>
      </c>
      <c r="AN216" s="165" t="n"/>
    </row>
    <row r="217" hidden="1" ht="18" customHeight="1" s="287">
      <c r="C217" s="133" t="n"/>
      <c r="D217" s="136">
        <f>IF($U217="Open Sale", IF(MAX($D$4:D216)+1=0, "", MAX($D$4:D216)+1), "")</f>
        <v/>
      </c>
      <c r="E217" s="136">
        <f>IF($U217="Pending Allocation", IF(MAX($E$4:E216)+1=0, "", MAX($E$4:E216)+1), "")</f>
        <v/>
      </c>
      <c r="F217" s="136" t="n"/>
      <c r="G217" s="136" t="n"/>
      <c r="H217" s="150" t="n"/>
      <c r="I217" s="150" t="n"/>
      <c r="J217" s="67">
        <f>IF(OpenPendingCases[[#This Row],[Timepiece Reference ]]="", "", IF(_xlfn.XLOOKUP(OpenPendingCases[[#This Row],[Timepiece Reference ]], Table1[[Timepiece Reference ]], Table1[CRC STOCK], "Not Found")="YES", "CRC Stock", "Boutique Stock"))</f>
        <v/>
      </c>
      <c r="K217" s="136">
        <f>IF(OpenPendingCases[[#This Row],[Timepiece Reference ]]="", "", IF(_xlfn.XLOOKUP(OpenPendingCases[[#This Row],[Timepiece Reference ]], Table1[[Timepiece Reference ]], Table1[CRC STOCK], "Not Found")="YES", "CRC Stock", "Boutique Stock"))</f>
        <v/>
      </c>
      <c r="L217" s="139" t="n"/>
      <c r="M217" s="140" t="n"/>
      <c r="N217" s="136" t="n"/>
      <c r="O217" s="133" t="n"/>
      <c r="P217" s="93">
        <f>IFERROR(VLOOKUP(TRIM(O217), Collection!$B$2:$D$1001, 2, FALSE), "")</f>
        <v/>
      </c>
      <c r="Q217" s="190">
        <f>IFERROR(VLOOKUP(TRIM(O217), Collection!$B$2:$D$1001, 3, FALSE), "")</f>
        <v/>
      </c>
      <c r="R217" s="153">
        <f>IFERROR(VALUE(SUBSTITUTE(SUBSTITUTE(Q217, "Price", ""), "AED", "")), "")</f>
        <v/>
      </c>
      <c r="S217" s="151" t="n"/>
      <c r="T217" s="158" t="n"/>
      <c r="U217" s="136" t="n"/>
      <c r="V217" s="136" t="n"/>
      <c r="W217" s="156">
        <f>IF(Z217 = "",
"",
TEXT(Z217, "mmmm"))</f>
        <v/>
      </c>
      <c r="X217" s="157" t="n"/>
      <c r="Y217" s="158" t="n"/>
      <c r="Z217" s="158" t="n"/>
      <c r="AA217" s="136">
        <f>IF(H217="", "", IF(U217="Open Sale", IF(TODAY()-H217=0, "0 Days", TEXT(TODAY()-H217, "0") &amp; " Days"), IF(U217="Closed Sale", AA217, "")))</f>
        <v/>
      </c>
      <c r="AB217" s="136">
        <f>IF(H217="", "", IF(OR(U217="Pending", U217="Pending Allocation"), CONCATENATE(TODAY()-H217, " Days"), IF(U217="Closed", "", "")))</f>
        <v/>
      </c>
      <c r="AC217" s="160">
        <f>IF(U217="Pending Allocation", IF(I217="", "", TODAY()-I217), "")</f>
        <v/>
      </c>
      <c r="AD217" s="159">
        <f>IF(U217="Open Sale", TEXT(TODAY()-I217, "0"),
IF(U217="Pending", "",
IF(U217="Closed Sale", "", "")))</f>
        <v/>
      </c>
      <c r="AE217" s="161" t="n"/>
      <c r="AF217" s="161" t="n"/>
      <c r="AG217" s="161" t="n"/>
      <c r="AH217" s="136" t="n"/>
      <c r="AI217" s="164">
        <f>IF(I217="","",TEXT(I217, "mmmm yyyy"))</f>
        <v/>
      </c>
      <c r="AJ217" s="164">
        <f>IF(AND(OpenPendingCases[[#This Row],[Sale Status	]]="Open Sale",OpenPendingCases[[#This Row],[Potential Same Month]]="High"),TEXT(OpenPendingCases[[#This Row],[Request Entry Date]], "[$-en-us]mmmm"),"")</f>
        <v/>
      </c>
      <c r="AK217" s="165">
        <f>IFERROR(VALUE(SUBSTITUTE(OpenPendingCases[[#This Row],[Price]]," AED","")),"")</f>
        <v/>
      </c>
      <c r="AL217" s="165">
        <f>IFERROR(VALUE(LEFT(OpenPendingCases[[#This Row],[Price]],FIND(" ",OpenPendingCases[[#This Row],[Price]])-1)),"")</f>
        <v/>
      </c>
      <c r="AM217" s="165">
        <f>IFERROR(VALUE(_xlfn.TEXTBEFORE(OpenPendingCases[[#This Row],[Price]]," AED")),"")</f>
        <v/>
      </c>
      <c r="AN217" s="165" t="n"/>
    </row>
    <row r="218" hidden="1" ht="18" customHeight="1" s="287">
      <c r="C218" s="133" t="n"/>
      <c r="D218" s="136">
        <f>IF($U218="Open Sale", IF(MAX($D$4:D217)+1=0, "", MAX($D$4:D217)+1), "")</f>
        <v/>
      </c>
      <c r="E218" s="136">
        <f>IF($U218="Pending Allocation", IF(MAX($E$4:E217)+1=0, "", MAX($E$4:E217)+1), "")</f>
        <v/>
      </c>
      <c r="F218" s="136" t="n"/>
      <c r="G218" s="136" t="n"/>
      <c r="H218" s="150" t="n"/>
      <c r="I218" s="150" t="n"/>
      <c r="J218" s="67">
        <f>IF(OpenPendingCases[[#This Row],[Timepiece Reference ]]="", "", IF(_xlfn.XLOOKUP(OpenPendingCases[[#This Row],[Timepiece Reference ]], Table1[[Timepiece Reference ]], Table1[CRC STOCK], "Not Found")="YES", "CRC Stock", "Boutique Stock"))</f>
        <v/>
      </c>
      <c r="K218" s="136">
        <f>IF(OpenPendingCases[[#This Row],[Timepiece Reference ]]="", "", IF(_xlfn.XLOOKUP(OpenPendingCases[[#This Row],[Timepiece Reference ]], Table1[[Timepiece Reference ]], Table1[CRC STOCK], "Not Found")="YES", "CRC Stock", "Boutique Stock"))</f>
        <v/>
      </c>
      <c r="L218" s="139" t="n"/>
      <c r="M218" s="140" t="n"/>
      <c r="N218" s="136" t="n"/>
      <c r="O218" s="133" t="n"/>
      <c r="P218" s="93">
        <f>IFERROR(VLOOKUP(TRIM(O218), Collection!$B$2:$D$1001, 2, FALSE), "")</f>
        <v/>
      </c>
      <c r="Q218" s="190">
        <f>IFERROR(VLOOKUP(TRIM(O218), Collection!$B$2:$D$1001, 3, FALSE), "")</f>
        <v/>
      </c>
      <c r="R218" s="153">
        <f>IFERROR(VALUE(SUBSTITUTE(SUBSTITUTE(Q218, "Price", ""), "AED", "")), "")</f>
        <v/>
      </c>
      <c r="S218" s="151" t="n"/>
      <c r="T218" s="158" t="n"/>
      <c r="U218" s="136" t="n"/>
      <c r="V218" s="136" t="n"/>
      <c r="W218" s="156">
        <f>IF(Z218 = "",
"",
TEXT(Z218, "mmmm"))</f>
        <v/>
      </c>
      <c r="X218" s="157" t="n"/>
      <c r="Y218" s="158" t="n"/>
      <c r="Z218" s="158" t="n"/>
      <c r="AA218" s="136">
        <f>IF(H218="", "", IF(U218="Open Sale", IF(TODAY()-H218=0, "0 Days", TEXT(TODAY()-H218, "0") &amp; " Days"), IF(U218="Closed Sale", AA218, "")))</f>
        <v/>
      </c>
      <c r="AB218" s="136">
        <f>IF(H218="", "", IF(OR(U218="Pending", U218="Pending Allocation"), CONCATENATE(TODAY()-H218, " Days"), IF(U218="Closed", "", "")))</f>
        <v/>
      </c>
      <c r="AC218" s="160">
        <f>IF(U218="Pending Allocation", IF(I218="", "", TODAY()-I218), "")</f>
        <v/>
      </c>
      <c r="AD218" s="159">
        <f>IF(U218="Open Sale", TEXT(TODAY()-I218, "0"),
IF(U218="Pending", "",
IF(U218="Closed Sale", "", "")))</f>
        <v/>
      </c>
      <c r="AE218" s="161" t="n"/>
      <c r="AF218" s="161" t="n"/>
      <c r="AG218" s="161" t="n"/>
      <c r="AH218" s="136" t="n"/>
      <c r="AI218" s="164">
        <f>IF(I218="","",TEXT(I218, "mmmm yyyy"))</f>
        <v/>
      </c>
      <c r="AJ218" s="164">
        <f>IF(AND(OpenPendingCases[[#This Row],[Sale Status	]]="Open Sale",OpenPendingCases[[#This Row],[Potential Same Month]]="High"),TEXT(OpenPendingCases[[#This Row],[Request Entry Date]], "[$-en-us]mmmm"),"")</f>
        <v/>
      </c>
      <c r="AK218" s="165">
        <f>IFERROR(VALUE(SUBSTITUTE(OpenPendingCases[[#This Row],[Price]]," AED","")),"")</f>
        <v/>
      </c>
      <c r="AL218" s="165">
        <f>IFERROR(VALUE(LEFT(OpenPendingCases[[#This Row],[Price]],FIND(" ",OpenPendingCases[[#This Row],[Price]])-1)),"")</f>
        <v/>
      </c>
      <c r="AM218" s="165">
        <f>IFERROR(VALUE(_xlfn.TEXTBEFORE(OpenPendingCases[[#This Row],[Price]]," AED")),"")</f>
        <v/>
      </c>
      <c r="AN218" s="165" t="n"/>
    </row>
    <row r="219" hidden="1" ht="18" customHeight="1" s="287">
      <c r="C219" s="133" t="n"/>
      <c r="D219" s="136">
        <f>IF($U219="Open Sale", IF(MAX($D$4:D218)+1=0, "", MAX($D$4:D218)+1), "")</f>
        <v/>
      </c>
      <c r="E219" s="136">
        <f>IF($U219="Pending Allocation", IF(MAX($E$4:E218)+1=0, "", MAX($E$4:E218)+1), "")</f>
        <v/>
      </c>
      <c r="F219" s="136" t="n"/>
      <c r="G219" s="136" t="n"/>
      <c r="H219" s="150" t="n"/>
      <c r="I219" s="150" t="n"/>
      <c r="J219" s="67">
        <f>IF(OpenPendingCases[[#This Row],[Timepiece Reference ]]="", "", IF(_xlfn.XLOOKUP(OpenPendingCases[[#This Row],[Timepiece Reference ]], Table1[[Timepiece Reference ]], Table1[CRC STOCK], "Not Found")="YES", "CRC Stock", "Boutique Stock"))</f>
        <v/>
      </c>
      <c r="K219" s="136">
        <f>IF(OpenPendingCases[[#This Row],[Timepiece Reference ]]="", "", IF(_xlfn.XLOOKUP(OpenPendingCases[[#This Row],[Timepiece Reference ]], Table1[[Timepiece Reference ]], Table1[CRC STOCK], "Not Found")="YES", "CRC Stock", "Boutique Stock"))</f>
        <v/>
      </c>
      <c r="L219" s="139" t="n"/>
      <c r="M219" s="140" t="n"/>
      <c r="N219" s="136" t="n"/>
      <c r="O219" s="133" t="n"/>
      <c r="P219" s="93">
        <f>IFERROR(VLOOKUP(TRIM(O219), Collection!$B$2:$D$1001, 2, FALSE), "")</f>
        <v/>
      </c>
      <c r="Q219" s="190">
        <f>IFERROR(VLOOKUP(TRIM(O219), Collection!$B$2:$D$1001, 3, FALSE), "")</f>
        <v/>
      </c>
      <c r="R219" s="153">
        <f>IFERROR(VALUE(SUBSTITUTE(SUBSTITUTE(Q219, "Price", ""), "AED", "")), "")</f>
        <v/>
      </c>
      <c r="S219" s="151" t="n"/>
      <c r="T219" s="158" t="n"/>
      <c r="U219" s="136" t="n"/>
      <c r="V219" s="136" t="n"/>
      <c r="W219" s="156">
        <f>IF(Z219 = "",
"",
TEXT(Z219, "mmmm"))</f>
        <v/>
      </c>
      <c r="X219" s="157" t="n"/>
      <c r="Y219" s="158" t="n"/>
      <c r="Z219" s="158" t="n"/>
      <c r="AA219" s="136">
        <f>IF(H219="", "", IF(U219="Open Sale", IF(TODAY()-H219=0, "0 Days", TEXT(TODAY()-H219, "0") &amp; " Days"), IF(U219="Closed Sale", AA219, "")))</f>
        <v/>
      </c>
      <c r="AB219" s="136">
        <f>IF(H219="", "", IF(OR(U219="Pending", U219="Pending Allocation"), CONCATENATE(TODAY()-H219, " Days"), IF(U219="Closed", "", "")))</f>
        <v/>
      </c>
      <c r="AC219" s="160">
        <f>IF(U219="Pending Allocation", IF(I219="", "", TODAY()-I219), "")</f>
        <v/>
      </c>
      <c r="AD219" s="159">
        <f>IF(U219="Open Sale", TEXT(TODAY()-I219, "0"),
IF(U219="Pending", "",
IF(U219="Closed Sale", "", "")))</f>
        <v/>
      </c>
      <c r="AE219" s="161" t="n"/>
      <c r="AF219" s="161" t="n"/>
      <c r="AG219" s="161" t="n"/>
      <c r="AH219" s="136" t="n"/>
      <c r="AI219" s="164">
        <f>IF(I219="","",TEXT(I219, "mmmm yyyy"))</f>
        <v/>
      </c>
      <c r="AJ219" s="164">
        <f>IF(AND(OpenPendingCases[[#This Row],[Sale Status	]]="Open Sale",OpenPendingCases[[#This Row],[Potential Same Month]]="High"),TEXT(OpenPendingCases[[#This Row],[Request Entry Date]], "[$-en-us]mmmm"),"")</f>
        <v/>
      </c>
      <c r="AK219" s="165">
        <f>IFERROR(VALUE(SUBSTITUTE(OpenPendingCases[[#This Row],[Price]]," AED","")),"")</f>
        <v/>
      </c>
      <c r="AL219" s="165">
        <f>IFERROR(VALUE(LEFT(OpenPendingCases[[#This Row],[Price]],FIND(" ",OpenPendingCases[[#This Row],[Price]])-1)),"")</f>
        <v/>
      </c>
      <c r="AM219" s="165">
        <f>IFERROR(VALUE(_xlfn.TEXTBEFORE(OpenPendingCases[[#This Row],[Price]]," AED")),"")</f>
        <v/>
      </c>
      <c r="AN219" s="165" t="n"/>
    </row>
    <row r="220" hidden="1" ht="18" customHeight="1" s="287">
      <c r="C220" s="133" t="n"/>
      <c r="D220" s="136">
        <f>IF($U220="Open Sale", IF(MAX($D$4:D219)+1=0, "", MAX($D$4:D219)+1), "")</f>
        <v/>
      </c>
      <c r="E220" s="136">
        <f>IF($U220="Pending Allocation", IF(MAX($E$4:E219)+1=0, "", MAX($E$4:E219)+1), "")</f>
        <v/>
      </c>
      <c r="F220" s="136" t="n"/>
      <c r="G220" s="136" t="n"/>
      <c r="H220" s="150" t="n"/>
      <c r="I220" s="150" t="n"/>
      <c r="J220" s="67">
        <f>IF(OpenPendingCases[[#This Row],[Timepiece Reference ]]="", "", IF(_xlfn.XLOOKUP(OpenPendingCases[[#This Row],[Timepiece Reference ]], Table1[[Timepiece Reference ]], Table1[CRC STOCK], "Not Found")="YES", "CRC Stock", "Boutique Stock"))</f>
        <v/>
      </c>
      <c r="K220" s="136">
        <f>IF(OpenPendingCases[[#This Row],[Timepiece Reference ]]="", "", IF(_xlfn.XLOOKUP(OpenPendingCases[[#This Row],[Timepiece Reference ]], Table1[[Timepiece Reference ]], Table1[CRC STOCK], "Not Found")="YES", "CRC Stock", "Boutique Stock"))</f>
        <v/>
      </c>
      <c r="L220" s="139" t="n"/>
      <c r="M220" s="140" t="n"/>
      <c r="N220" s="136" t="n"/>
      <c r="O220" s="133" t="n"/>
      <c r="P220" s="93">
        <f>IFERROR(VLOOKUP(TRIM(O220), Collection!$B$2:$D$1001, 2, FALSE), "")</f>
        <v/>
      </c>
      <c r="Q220" s="190">
        <f>IFERROR(VLOOKUP(TRIM(O220), Collection!$B$2:$D$1001, 3, FALSE), "")</f>
        <v/>
      </c>
      <c r="R220" s="153">
        <f>IFERROR(VALUE(SUBSTITUTE(SUBSTITUTE(Q220, "Price", ""), "AED", "")), "")</f>
        <v/>
      </c>
      <c r="S220" s="151" t="n"/>
      <c r="T220" s="158" t="n"/>
      <c r="U220" s="136" t="n"/>
      <c r="V220" s="136" t="n"/>
      <c r="W220" s="156">
        <f>IF(Z220 = "",
"",
TEXT(Z220, "mmmm"))</f>
        <v/>
      </c>
      <c r="X220" s="157" t="n"/>
      <c r="Y220" s="158" t="n"/>
      <c r="Z220" s="158" t="n"/>
      <c r="AA220" s="136">
        <f>IF(H220="", "", IF(U220="Open Sale", IF(TODAY()-H220=0, "0 Days", TEXT(TODAY()-H220, "0") &amp; " Days"), IF(U220="Closed Sale", AA220, "")))</f>
        <v/>
      </c>
      <c r="AB220" s="136">
        <f>IF(H220="", "", IF(OR(U220="Pending", U220="Pending Allocation"), CONCATENATE(TODAY()-H220, " Days"), IF(U220="Closed", "", "")))</f>
        <v/>
      </c>
      <c r="AC220" s="160">
        <f>IF(U220="Pending Allocation", IF(I220="", "", TODAY()-I220), "")</f>
        <v/>
      </c>
      <c r="AD220" s="159">
        <f>IF(U220="Open Sale", TEXT(TODAY()-I220, "0"),
IF(U220="Pending", "",
IF(U220="Closed Sale", "", "")))</f>
        <v/>
      </c>
      <c r="AE220" s="161" t="n"/>
      <c r="AF220" s="161" t="n"/>
      <c r="AG220" s="161" t="n"/>
      <c r="AH220" s="136" t="n"/>
      <c r="AI220" s="164">
        <f>IF(I220="","",TEXT(I220, "mmmm yyyy"))</f>
        <v/>
      </c>
      <c r="AJ220" s="164">
        <f>IF(AND(OpenPendingCases[[#This Row],[Sale Status	]]="Open Sale",OpenPendingCases[[#This Row],[Potential Same Month]]="High"),TEXT(OpenPendingCases[[#This Row],[Request Entry Date]], "[$-en-us]mmmm"),"")</f>
        <v/>
      </c>
      <c r="AK220" s="165">
        <f>IFERROR(VALUE(SUBSTITUTE(OpenPendingCases[[#This Row],[Price]]," AED","")),"")</f>
        <v/>
      </c>
      <c r="AL220" s="165">
        <f>IFERROR(VALUE(LEFT(OpenPendingCases[[#This Row],[Price]],FIND(" ",OpenPendingCases[[#This Row],[Price]])-1)),"")</f>
        <v/>
      </c>
      <c r="AM220" s="165">
        <f>IFERROR(VALUE(_xlfn.TEXTBEFORE(OpenPendingCases[[#This Row],[Price]]," AED")),"")</f>
        <v/>
      </c>
      <c r="AN220" s="165" t="n"/>
    </row>
    <row r="221" hidden="1" ht="18" customHeight="1" s="287">
      <c r="C221" s="133" t="n"/>
      <c r="D221" s="136">
        <f>IF($U221="Open Sale", IF(MAX($D$4:D220)+1=0, "", MAX($D$4:D220)+1), "")</f>
        <v/>
      </c>
      <c r="E221" s="136">
        <f>IF($U221="Pending Allocation", IF(MAX($E$4:E220)+1=0, "", MAX($E$4:E220)+1), "")</f>
        <v/>
      </c>
      <c r="F221" s="136" t="n"/>
      <c r="G221" s="136" t="n"/>
      <c r="H221" s="150" t="n"/>
      <c r="I221" s="150" t="n"/>
      <c r="J221" s="67">
        <f>IF(OpenPendingCases[[#This Row],[Timepiece Reference ]]="", "", IF(_xlfn.XLOOKUP(OpenPendingCases[[#This Row],[Timepiece Reference ]], Table1[[Timepiece Reference ]], Table1[CRC STOCK], "Not Found")="YES", "CRC Stock", "Boutique Stock"))</f>
        <v/>
      </c>
      <c r="K221" s="136">
        <f>IF(OpenPendingCases[[#This Row],[Timepiece Reference ]]="", "", IF(_xlfn.XLOOKUP(OpenPendingCases[[#This Row],[Timepiece Reference ]], Table1[[Timepiece Reference ]], Table1[CRC STOCK], "Not Found")="YES", "CRC Stock", "Boutique Stock"))</f>
        <v/>
      </c>
      <c r="L221" s="139" t="n"/>
      <c r="M221" s="140" t="n"/>
      <c r="N221" s="136" t="n"/>
      <c r="O221" s="133" t="n"/>
      <c r="P221" s="93">
        <f>IFERROR(VLOOKUP(TRIM(O221), Collection!$B$2:$D$1001, 2, FALSE), "")</f>
        <v/>
      </c>
      <c r="Q221" s="190">
        <f>IFERROR(VLOOKUP(TRIM(O221), Collection!$B$2:$D$1001, 3, FALSE), "")</f>
        <v/>
      </c>
      <c r="R221" s="153">
        <f>IFERROR(VALUE(SUBSTITUTE(SUBSTITUTE(Q221, "Price", ""), "AED", "")), "")</f>
        <v/>
      </c>
      <c r="S221" s="151" t="n"/>
      <c r="T221" s="158" t="n"/>
      <c r="U221" s="136" t="n"/>
      <c r="V221" s="136" t="n"/>
      <c r="W221" s="156">
        <f>IF(Z221 = "",
"",
TEXT(Z221, "mmmm"))</f>
        <v/>
      </c>
      <c r="X221" s="157" t="n"/>
      <c r="Y221" s="158" t="n"/>
      <c r="Z221" s="158" t="n"/>
      <c r="AA221" s="136">
        <f>IF(H221="", "", IF(U221="Open Sale", IF(TODAY()-H221=0, "0 Days", TEXT(TODAY()-H221, "0") &amp; " Days"), IF(U221="Closed Sale", AA221, "")))</f>
        <v/>
      </c>
      <c r="AB221" s="136">
        <f>IF(H221="", "", IF(OR(U221="Pending", U221="Pending Allocation"), CONCATENATE(TODAY()-H221, " Days"), IF(U221="Closed", "", "")))</f>
        <v/>
      </c>
      <c r="AC221" s="160">
        <f>IF(U221="Pending Allocation", IF(I221="", "", TODAY()-I221), "")</f>
        <v/>
      </c>
      <c r="AD221" s="159">
        <f>IF(U221="Open Sale", TEXT(TODAY()-I221, "0"),
IF(U221="Pending", "",
IF(U221="Closed Sale", "", "")))</f>
        <v/>
      </c>
      <c r="AE221" s="161" t="n"/>
      <c r="AF221" s="161" t="n"/>
      <c r="AG221" s="161" t="n"/>
      <c r="AH221" s="136" t="n"/>
      <c r="AI221" s="164">
        <f>IF(I221="","",TEXT(I221, "mmmm yyyy"))</f>
        <v/>
      </c>
      <c r="AJ221" s="164">
        <f>IF(AND(OpenPendingCases[[#This Row],[Sale Status	]]="Open Sale",OpenPendingCases[[#This Row],[Potential Same Month]]="High"),TEXT(OpenPendingCases[[#This Row],[Request Entry Date]], "[$-en-us]mmmm"),"")</f>
        <v/>
      </c>
      <c r="AK221" s="165">
        <f>IFERROR(VALUE(SUBSTITUTE(OpenPendingCases[[#This Row],[Price]]," AED","")),"")</f>
        <v/>
      </c>
      <c r="AL221" s="165">
        <f>IFERROR(VALUE(LEFT(OpenPendingCases[[#This Row],[Price]],FIND(" ",OpenPendingCases[[#This Row],[Price]])-1)),"")</f>
        <v/>
      </c>
      <c r="AM221" s="165">
        <f>IFERROR(VALUE(_xlfn.TEXTBEFORE(OpenPendingCases[[#This Row],[Price]]," AED")),"")</f>
        <v/>
      </c>
      <c r="AN221" s="165" t="n"/>
    </row>
    <row r="222" hidden="1" ht="18" customHeight="1" s="287">
      <c r="C222" s="133" t="n"/>
      <c r="D222" s="136">
        <f>IF($U222="Open Sale", IF(MAX($D$4:D221)+1=0, "", MAX($D$4:D221)+1), "")</f>
        <v/>
      </c>
      <c r="E222" s="136">
        <f>IF($U222="Pending Allocation", IF(MAX($E$4:E221)+1=0, "", MAX($E$4:E221)+1), "")</f>
        <v/>
      </c>
      <c r="F222" s="136" t="n"/>
      <c r="G222" s="136" t="n"/>
      <c r="H222" s="150" t="n"/>
      <c r="I222" s="150" t="n"/>
      <c r="J222" s="67">
        <f>IF(OpenPendingCases[[#This Row],[Timepiece Reference ]]="", "", IF(_xlfn.XLOOKUP(OpenPendingCases[[#This Row],[Timepiece Reference ]], Table1[[Timepiece Reference ]], Table1[CRC STOCK], "Not Found")="YES", "CRC Stock", "Boutique Stock"))</f>
        <v/>
      </c>
      <c r="K222" s="136">
        <f>IF(OpenPendingCases[[#This Row],[Timepiece Reference ]]="", "", IF(_xlfn.XLOOKUP(OpenPendingCases[[#This Row],[Timepiece Reference ]], Table1[[Timepiece Reference ]], Table1[CRC STOCK], "Not Found")="YES", "CRC Stock", "Boutique Stock"))</f>
        <v/>
      </c>
      <c r="L222" s="139" t="n"/>
      <c r="M222" s="140" t="n"/>
      <c r="N222" s="136" t="n"/>
      <c r="O222" s="133" t="n"/>
      <c r="P222" s="93">
        <f>IFERROR(VLOOKUP(TRIM(O222), Collection!$B$2:$D$1001, 2, FALSE), "")</f>
        <v/>
      </c>
      <c r="Q222" s="190">
        <f>IFERROR(VLOOKUP(TRIM(O222), Collection!$B$2:$D$1001, 3, FALSE), "")</f>
        <v/>
      </c>
      <c r="R222" s="153">
        <f>IFERROR(VALUE(SUBSTITUTE(SUBSTITUTE(Q222, "Price", ""), "AED", "")), "")</f>
        <v/>
      </c>
      <c r="S222" s="151" t="n"/>
      <c r="T222" s="158" t="n"/>
      <c r="U222" s="136" t="n"/>
      <c r="V222" s="136" t="n"/>
      <c r="W222" s="156">
        <f>IF(Z222 = "",
"",
TEXT(Z222, "mmmm"))</f>
        <v/>
      </c>
      <c r="X222" s="157" t="n"/>
      <c r="Y222" s="158" t="n"/>
      <c r="Z222" s="158" t="n"/>
      <c r="AA222" s="136">
        <f>IF(H222="", "", IF(U222="Open Sale", IF(TODAY()-H222=0, "0 Days", TEXT(TODAY()-H222, "0") &amp; " Days"), IF(U222="Closed Sale", AA222, "")))</f>
        <v/>
      </c>
      <c r="AB222" s="136">
        <f>IF(H222="", "", IF(OR(U222="Pending", U222="Pending Allocation"), CONCATENATE(TODAY()-H222, " Days"), IF(U222="Closed", "", "")))</f>
        <v/>
      </c>
      <c r="AC222" s="160">
        <f>IF(U222="Pending Allocation", IF(I222="", "", TODAY()-I222), "")</f>
        <v/>
      </c>
      <c r="AD222" s="159">
        <f>IF(U222="Open Sale", TEXT(TODAY()-I222, "0"),
IF(U222="Pending", "",
IF(U222="Closed Sale", "", "")))</f>
        <v/>
      </c>
      <c r="AE222" s="161" t="n"/>
      <c r="AF222" s="161" t="n"/>
      <c r="AG222" s="161" t="n"/>
      <c r="AH222" s="136" t="n"/>
      <c r="AI222" s="164">
        <f>IF(I222="","",TEXT(I222, "mmmm yyyy"))</f>
        <v/>
      </c>
      <c r="AJ222" s="164">
        <f>IF(AND(OpenPendingCases[[#This Row],[Sale Status	]]="Open Sale",OpenPendingCases[[#This Row],[Potential Same Month]]="High"),TEXT(OpenPendingCases[[#This Row],[Request Entry Date]], "[$-en-us]mmmm"),"")</f>
        <v/>
      </c>
      <c r="AK222" s="165">
        <f>IFERROR(VALUE(SUBSTITUTE(OpenPendingCases[[#This Row],[Price]]," AED","")),"")</f>
        <v/>
      </c>
      <c r="AL222" s="165">
        <f>IFERROR(VALUE(LEFT(OpenPendingCases[[#This Row],[Price]],FIND(" ",OpenPendingCases[[#This Row],[Price]])-1)),"")</f>
        <v/>
      </c>
      <c r="AM222" s="165">
        <f>IFERROR(VALUE(_xlfn.TEXTBEFORE(OpenPendingCases[[#This Row],[Price]]," AED")),"")</f>
        <v/>
      </c>
      <c r="AN222" s="165" t="n"/>
    </row>
    <row r="223" hidden="1" ht="18" customHeight="1" s="287">
      <c r="C223" s="133" t="n"/>
      <c r="D223" s="136">
        <f>IF($U223="Open Sale", IF(MAX($D$4:D222)+1=0, "", MAX($D$4:D222)+1), "")</f>
        <v/>
      </c>
      <c r="E223" s="136">
        <f>IF($U223="Pending Allocation", IF(MAX($E$4:E222)+1=0, "", MAX($E$4:E222)+1), "")</f>
        <v/>
      </c>
      <c r="F223" s="136" t="n"/>
      <c r="G223" s="136" t="n"/>
      <c r="H223" s="150" t="n"/>
      <c r="I223" s="150" t="n"/>
      <c r="J223" s="67">
        <f>IF(OpenPendingCases[[#This Row],[Timepiece Reference ]]="", "", IF(_xlfn.XLOOKUP(OpenPendingCases[[#This Row],[Timepiece Reference ]], Table1[[Timepiece Reference ]], Table1[CRC STOCK], "Not Found")="YES", "CRC Stock", "Boutique Stock"))</f>
        <v/>
      </c>
      <c r="K223" s="136">
        <f>IF(OpenPendingCases[[#This Row],[Timepiece Reference ]]="", "", IF(_xlfn.XLOOKUP(OpenPendingCases[[#This Row],[Timepiece Reference ]], Table1[[Timepiece Reference ]], Table1[CRC STOCK], "Not Found")="YES", "CRC Stock", "Boutique Stock"))</f>
        <v/>
      </c>
      <c r="L223" s="139" t="n"/>
      <c r="M223" s="140" t="n"/>
      <c r="N223" s="136" t="n"/>
      <c r="O223" s="133" t="n"/>
      <c r="P223" s="93">
        <f>IFERROR(VLOOKUP(TRIM(O223), Collection!$B$2:$D$1001, 2, FALSE), "")</f>
        <v/>
      </c>
      <c r="Q223" s="190">
        <f>IFERROR(VLOOKUP(TRIM(O223), Collection!$B$2:$D$1001, 3, FALSE), "")</f>
        <v/>
      </c>
      <c r="R223" s="153">
        <f>IFERROR(VALUE(SUBSTITUTE(SUBSTITUTE(Q223, "Price", ""), "AED", "")), "")</f>
        <v/>
      </c>
      <c r="S223" s="151" t="n"/>
      <c r="T223" s="158" t="n"/>
      <c r="U223" s="136" t="n"/>
      <c r="V223" s="136" t="n"/>
      <c r="W223" s="156">
        <f>IF(Z223 = "",
"",
TEXT(Z223, "mmmm"))</f>
        <v/>
      </c>
      <c r="X223" s="157" t="n"/>
      <c r="Y223" s="158" t="n"/>
      <c r="Z223" s="158" t="n"/>
      <c r="AA223" s="136">
        <f>IF(H223="", "", IF(U223="Open Sale", IF(TODAY()-H223=0, "0 Days", TEXT(TODAY()-H223, "0") &amp; " Days"), IF(U223="Closed Sale", AA223, "")))</f>
        <v/>
      </c>
      <c r="AB223" s="136">
        <f>IF(H223="", "", IF(OR(U223="Pending", U223="Pending Allocation"), CONCATENATE(TODAY()-H223, " Days"), IF(U223="Closed", "", "")))</f>
        <v/>
      </c>
      <c r="AC223" s="160">
        <f>IF(U223="Pending Allocation", IF(I223="", "", TODAY()-I223), "")</f>
        <v/>
      </c>
      <c r="AD223" s="159">
        <f>IF(U223="Open Sale", TEXT(TODAY()-I223, "0"),
IF(U223="Pending", "",
IF(U223="Closed Sale", "", "")))</f>
        <v/>
      </c>
      <c r="AE223" s="161" t="n"/>
      <c r="AF223" s="161" t="n"/>
      <c r="AG223" s="161" t="n"/>
      <c r="AH223" s="136" t="n"/>
      <c r="AI223" s="164">
        <f>IF(I223="","",TEXT(I223, "mmmm yyyy"))</f>
        <v/>
      </c>
      <c r="AJ223" s="164">
        <f>IF(AND(OpenPendingCases[[#This Row],[Sale Status	]]="Open Sale",OpenPendingCases[[#This Row],[Potential Same Month]]="High"),TEXT(OpenPendingCases[[#This Row],[Request Entry Date]], "[$-en-us]mmmm"),"")</f>
        <v/>
      </c>
      <c r="AK223" s="165">
        <f>IFERROR(VALUE(SUBSTITUTE(OpenPendingCases[[#This Row],[Price]]," AED","")),"")</f>
        <v/>
      </c>
      <c r="AL223" s="165">
        <f>IFERROR(VALUE(LEFT(OpenPendingCases[[#This Row],[Price]],FIND(" ",OpenPendingCases[[#This Row],[Price]])-1)),"")</f>
        <v/>
      </c>
      <c r="AM223" s="165">
        <f>IFERROR(VALUE(_xlfn.TEXTBEFORE(OpenPendingCases[[#This Row],[Price]]," AED")),"")</f>
        <v/>
      </c>
      <c r="AN223" s="165" t="n"/>
    </row>
    <row r="224" hidden="1" ht="18" customHeight="1" s="287">
      <c r="C224" s="133" t="n"/>
      <c r="D224" s="136">
        <f>IF($U224="Open Sale", IF(MAX($D$4:D223)+1=0, "", MAX($D$4:D223)+1), "")</f>
        <v/>
      </c>
      <c r="E224" s="136">
        <f>IF($U224="Pending Allocation", IF(MAX($E$4:E223)+1=0, "", MAX($E$4:E223)+1), "")</f>
        <v/>
      </c>
      <c r="F224" s="136" t="n"/>
      <c r="G224" s="136" t="n"/>
      <c r="H224" s="150" t="n"/>
      <c r="I224" s="150" t="n"/>
      <c r="J224" s="67">
        <f>IF(OpenPendingCases[[#This Row],[Timepiece Reference ]]="", "", IF(_xlfn.XLOOKUP(OpenPendingCases[[#This Row],[Timepiece Reference ]], Table1[[Timepiece Reference ]], Table1[CRC STOCK], "Not Found")="YES", "CRC Stock", "Boutique Stock"))</f>
        <v/>
      </c>
      <c r="K224" s="136">
        <f>IF(OpenPendingCases[[#This Row],[Timepiece Reference ]]="", "", IF(_xlfn.XLOOKUP(OpenPendingCases[[#This Row],[Timepiece Reference ]], Table1[[Timepiece Reference ]], Table1[CRC STOCK], "Not Found")="YES", "CRC Stock", "Boutique Stock"))</f>
        <v/>
      </c>
      <c r="L224" s="139" t="n"/>
      <c r="M224" s="140" t="n"/>
      <c r="N224" s="136" t="n"/>
      <c r="O224" s="133" t="n"/>
      <c r="P224" s="93">
        <f>IFERROR(VLOOKUP(TRIM(O224), Collection!$B$2:$D$1001, 2, FALSE), "")</f>
        <v/>
      </c>
      <c r="Q224" s="190">
        <f>IFERROR(VLOOKUP(TRIM(O224), Collection!$B$2:$D$1001, 3, FALSE), "")</f>
        <v/>
      </c>
      <c r="R224" s="153">
        <f>IFERROR(VALUE(SUBSTITUTE(SUBSTITUTE(Q224, "Price", ""), "AED", "")), "")</f>
        <v/>
      </c>
      <c r="S224" s="151" t="n"/>
      <c r="T224" s="158" t="n"/>
      <c r="U224" s="136" t="n"/>
      <c r="V224" s="136" t="n"/>
      <c r="W224" s="156">
        <f>IF(Z224 = "",
"",
TEXT(Z224, "mmmm"))</f>
        <v/>
      </c>
      <c r="X224" s="157" t="n"/>
      <c r="Y224" s="158" t="n"/>
      <c r="Z224" s="158" t="n"/>
      <c r="AA224" s="136">
        <f>IF(H224="", "", IF(U224="Open Sale", IF(TODAY()-H224=0, "0 Days", TEXT(TODAY()-H224, "0") &amp; " Days"), IF(U224="Closed Sale", AA224, "")))</f>
        <v/>
      </c>
      <c r="AB224" s="136">
        <f>IF(H224="", "", IF(OR(U224="Pending", U224="Pending Allocation"), CONCATENATE(TODAY()-H224, " Days"), IF(U224="Closed", "", "")))</f>
        <v/>
      </c>
      <c r="AC224" s="160">
        <f>IF(U224="Pending Allocation", IF(I224="", "", TODAY()-I224), "")</f>
        <v/>
      </c>
      <c r="AD224" s="159">
        <f>IF(U224="Open Sale", TEXT(TODAY()-I224, "0"),
IF(U224="Pending", "",
IF(U224="Closed Sale", "", "")))</f>
        <v/>
      </c>
      <c r="AE224" s="161" t="n"/>
      <c r="AF224" s="161" t="n"/>
      <c r="AG224" s="161" t="n"/>
      <c r="AH224" s="136" t="n"/>
      <c r="AI224" s="164">
        <f>IF(I224="","",TEXT(I224, "mmmm yyyy"))</f>
        <v/>
      </c>
      <c r="AJ224" s="164">
        <f>IF(AND(OpenPendingCases[[#This Row],[Sale Status	]]="Open Sale",OpenPendingCases[[#This Row],[Potential Same Month]]="High"),TEXT(OpenPendingCases[[#This Row],[Request Entry Date]], "[$-en-us]mmmm"),"")</f>
        <v/>
      </c>
      <c r="AK224" s="165">
        <f>IFERROR(VALUE(SUBSTITUTE(OpenPendingCases[[#This Row],[Price]]," AED","")),"")</f>
        <v/>
      </c>
      <c r="AL224" s="165">
        <f>IFERROR(VALUE(LEFT(OpenPendingCases[[#This Row],[Price]],FIND(" ",OpenPendingCases[[#This Row],[Price]])-1)),"")</f>
        <v/>
      </c>
      <c r="AM224" s="165">
        <f>IFERROR(VALUE(_xlfn.TEXTBEFORE(OpenPendingCases[[#This Row],[Price]]," AED")),"")</f>
        <v/>
      </c>
      <c r="AN224" s="165" t="n"/>
    </row>
    <row r="225" hidden="1" ht="18" customHeight="1" s="287">
      <c r="C225" s="133" t="n"/>
      <c r="D225" s="136">
        <f>IF($U225="Open Sale", IF(MAX($D$4:D224)+1=0, "", MAX($D$4:D224)+1), "")</f>
        <v/>
      </c>
      <c r="E225" s="136">
        <f>IF($U225="Pending Allocation", IF(MAX($E$4:E224)+1=0, "", MAX($E$4:E224)+1), "")</f>
        <v/>
      </c>
      <c r="F225" s="136" t="n"/>
      <c r="G225" s="136" t="n"/>
      <c r="H225" s="150" t="n"/>
      <c r="I225" s="150" t="n"/>
      <c r="J225" s="67">
        <f>IF(OpenPendingCases[[#This Row],[Timepiece Reference ]]="", "", IF(_xlfn.XLOOKUP(OpenPendingCases[[#This Row],[Timepiece Reference ]], Table1[[Timepiece Reference ]], Table1[CRC STOCK], "Not Found")="YES", "CRC Stock", "Boutique Stock"))</f>
        <v/>
      </c>
      <c r="K225" s="136">
        <f>IF(OpenPendingCases[[#This Row],[Timepiece Reference ]]="", "", IF(_xlfn.XLOOKUP(OpenPendingCases[[#This Row],[Timepiece Reference ]], Table1[[Timepiece Reference ]], Table1[CRC STOCK], "Not Found")="YES", "CRC Stock", "Boutique Stock"))</f>
        <v/>
      </c>
      <c r="L225" s="139" t="n"/>
      <c r="M225" s="140" t="n"/>
      <c r="N225" s="136" t="n"/>
      <c r="O225" s="133" t="n"/>
      <c r="P225" s="93">
        <f>IFERROR(VLOOKUP(TRIM(O225), Collection!$B$2:$D$1001, 2, FALSE), "")</f>
        <v/>
      </c>
      <c r="Q225" s="190">
        <f>IFERROR(VLOOKUP(TRIM(O225), Collection!$B$2:$D$1001, 3, FALSE), "")</f>
        <v/>
      </c>
      <c r="R225" s="153">
        <f>IFERROR(VALUE(SUBSTITUTE(SUBSTITUTE(Q225, "Price", ""), "AED", "")), "")</f>
        <v/>
      </c>
      <c r="S225" s="151" t="n"/>
      <c r="T225" s="158" t="n"/>
      <c r="U225" s="136" t="n"/>
      <c r="V225" s="136" t="n"/>
      <c r="W225" s="156">
        <f>IF(Z225 = "",
"",
TEXT(Z225, "mmmm"))</f>
        <v/>
      </c>
      <c r="X225" s="157" t="n"/>
      <c r="Y225" s="158" t="n"/>
      <c r="Z225" s="158" t="n"/>
      <c r="AA225" s="136">
        <f>IF(H225="", "", IF(U225="Open Sale", IF(TODAY()-H225=0, "0 Days", TEXT(TODAY()-H225, "0") &amp; " Days"), IF(U225="Closed Sale", AA225, "")))</f>
        <v/>
      </c>
      <c r="AB225" s="136">
        <f>IF(H225="", "", IF(OR(U225="Pending", U225="Pending Allocation"), CONCATENATE(TODAY()-H225, " Days"), IF(U225="Closed", "", "")))</f>
        <v/>
      </c>
      <c r="AC225" s="160">
        <f>IF(U225="Pending Allocation", IF(I225="", "", TODAY()-I225), "")</f>
        <v/>
      </c>
      <c r="AD225" s="159">
        <f>IF(U225="Open Sale", TEXT(TODAY()-I225, "0"),
IF(U225="Pending", "",
IF(U225="Closed Sale", "", "")))</f>
        <v/>
      </c>
      <c r="AE225" s="161" t="n"/>
      <c r="AF225" s="161" t="n"/>
      <c r="AG225" s="161" t="n"/>
      <c r="AH225" s="136" t="n"/>
      <c r="AI225" s="164">
        <f>IF(I225="","",TEXT(I225, "mmmm yyyy"))</f>
        <v/>
      </c>
      <c r="AJ225" s="164">
        <f>IF(AND(OpenPendingCases[[#This Row],[Sale Status	]]="Open Sale",OpenPendingCases[[#This Row],[Potential Same Month]]="High"),TEXT(OpenPendingCases[[#This Row],[Request Entry Date]], "[$-en-us]mmmm"),"")</f>
        <v/>
      </c>
      <c r="AK225" s="165">
        <f>IFERROR(VALUE(SUBSTITUTE(OpenPendingCases[[#This Row],[Price]]," AED","")),"")</f>
        <v/>
      </c>
      <c r="AL225" s="165">
        <f>IFERROR(VALUE(LEFT(OpenPendingCases[[#This Row],[Price]],FIND(" ",OpenPendingCases[[#This Row],[Price]])-1)),"")</f>
        <v/>
      </c>
      <c r="AM225" s="165">
        <f>IFERROR(VALUE(_xlfn.TEXTBEFORE(OpenPendingCases[[#This Row],[Price]]," AED")),"")</f>
        <v/>
      </c>
      <c r="AN225" s="165" t="n"/>
    </row>
    <row r="226" hidden="1" ht="18" customHeight="1" s="287">
      <c r="C226" s="133" t="n"/>
      <c r="D226" s="136">
        <f>IF($U226="Open Sale", IF(MAX($D$4:D225)+1=0, "", MAX($D$4:D225)+1), "")</f>
        <v/>
      </c>
      <c r="E226" s="136">
        <f>IF($U226="Pending Allocation", IF(MAX($E$4:E225)+1=0, "", MAX($E$4:E225)+1), "")</f>
        <v/>
      </c>
      <c r="F226" s="136" t="n"/>
      <c r="G226" s="136" t="n"/>
      <c r="H226" s="150" t="n"/>
      <c r="I226" s="150" t="n"/>
      <c r="J226" s="67">
        <f>IF(OpenPendingCases[[#This Row],[Timepiece Reference ]]="", "", IF(_xlfn.XLOOKUP(OpenPendingCases[[#This Row],[Timepiece Reference ]], Table1[[Timepiece Reference ]], Table1[CRC STOCK], "Not Found")="YES", "CRC Stock", "Boutique Stock"))</f>
        <v/>
      </c>
      <c r="K226" s="136">
        <f>IF(OpenPendingCases[[#This Row],[Timepiece Reference ]]="", "", IF(_xlfn.XLOOKUP(OpenPendingCases[[#This Row],[Timepiece Reference ]], Table1[[Timepiece Reference ]], Table1[CRC STOCK], "Not Found")="YES", "CRC Stock", "Boutique Stock"))</f>
        <v/>
      </c>
      <c r="L226" s="139" t="n"/>
      <c r="M226" s="140" t="n"/>
      <c r="N226" s="136" t="n"/>
      <c r="O226" s="133" t="n"/>
      <c r="P226" s="93">
        <f>IFERROR(VLOOKUP(TRIM(O226), Collection!$B$2:$D$1001, 2, FALSE), "")</f>
        <v/>
      </c>
      <c r="Q226" s="190">
        <f>IFERROR(VLOOKUP(TRIM(O226), Collection!$B$2:$D$1001, 3, FALSE), "")</f>
        <v/>
      </c>
      <c r="R226" s="153">
        <f>IFERROR(VALUE(SUBSTITUTE(SUBSTITUTE(Q226, "Price", ""), "AED", "")), "")</f>
        <v/>
      </c>
      <c r="S226" s="151" t="n"/>
      <c r="T226" s="158" t="n"/>
      <c r="U226" s="136" t="n"/>
      <c r="V226" s="136" t="n"/>
      <c r="W226" s="156">
        <f>IF(Z226 = "",
"",
TEXT(Z226, "mmmm"))</f>
        <v/>
      </c>
      <c r="X226" s="157" t="n"/>
      <c r="Y226" s="158" t="n"/>
      <c r="Z226" s="158" t="n"/>
      <c r="AA226" s="136">
        <f>IF(H226="", "", IF(U226="Open Sale", IF(TODAY()-H226=0, "0 Days", TEXT(TODAY()-H226, "0") &amp; " Days"), IF(U226="Closed Sale", AA226, "")))</f>
        <v/>
      </c>
      <c r="AB226" s="136">
        <f>IF(H226="", "", IF(OR(U226="Pending", U226="Pending Allocation"), CONCATENATE(TODAY()-H226, " Days"), IF(U226="Closed", "", "")))</f>
        <v/>
      </c>
      <c r="AC226" s="160">
        <f>IF(U226="Pending Allocation", IF(I226="", "", TODAY()-I226), "")</f>
        <v/>
      </c>
      <c r="AD226" s="159">
        <f>IF(U226="Open Sale", TEXT(TODAY()-I226, "0"),
IF(U226="Pending", "",
IF(U226="Closed Sale", "", "")))</f>
        <v/>
      </c>
      <c r="AE226" s="161" t="n"/>
      <c r="AF226" s="161" t="n"/>
      <c r="AG226" s="161" t="n"/>
      <c r="AH226" s="136" t="n"/>
      <c r="AI226" s="164">
        <f>IF(I226="","",TEXT(I226, "mmmm yyyy"))</f>
        <v/>
      </c>
      <c r="AJ226" s="164">
        <f>IF(AND(OpenPendingCases[[#This Row],[Sale Status	]]="Open Sale",OpenPendingCases[[#This Row],[Potential Same Month]]="High"),TEXT(OpenPendingCases[[#This Row],[Request Entry Date]], "[$-en-us]mmmm"),"")</f>
        <v/>
      </c>
      <c r="AK226" s="165">
        <f>IFERROR(VALUE(SUBSTITUTE(OpenPendingCases[[#This Row],[Price]]," AED","")),"")</f>
        <v/>
      </c>
      <c r="AL226" s="165">
        <f>IFERROR(VALUE(LEFT(OpenPendingCases[[#This Row],[Price]],FIND(" ",OpenPendingCases[[#This Row],[Price]])-1)),"")</f>
        <v/>
      </c>
      <c r="AM226" s="165">
        <f>IFERROR(VALUE(_xlfn.TEXTBEFORE(OpenPendingCases[[#This Row],[Price]]," AED")),"")</f>
        <v/>
      </c>
      <c r="AN226" s="165" t="n"/>
    </row>
    <row r="227" hidden="1" ht="18" customHeight="1" s="287">
      <c r="C227" s="133" t="n"/>
      <c r="D227" s="136">
        <f>IF($U227="Open Sale", IF(MAX($D$4:D226)+1=0, "", MAX($D$4:D226)+1), "")</f>
        <v/>
      </c>
      <c r="E227" s="136">
        <f>IF($U227="Pending Allocation", IF(MAX($E$4:E226)+1=0, "", MAX($E$4:E226)+1), "")</f>
        <v/>
      </c>
      <c r="F227" s="136" t="n"/>
      <c r="G227" s="136" t="n"/>
      <c r="H227" s="150" t="n"/>
      <c r="I227" s="150" t="n"/>
      <c r="J227" s="67">
        <f>IF(OpenPendingCases[[#This Row],[Timepiece Reference ]]="", "", IF(_xlfn.XLOOKUP(OpenPendingCases[[#This Row],[Timepiece Reference ]], Table1[[Timepiece Reference ]], Table1[CRC STOCK], "Not Found")="YES", "CRC Stock", "Boutique Stock"))</f>
        <v/>
      </c>
      <c r="K227" s="136">
        <f>IF(OpenPendingCases[[#This Row],[Timepiece Reference ]]="", "", IF(_xlfn.XLOOKUP(OpenPendingCases[[#This Row],[Timepiece Reference ]], Table1[[Timepiece Reference ]], Table1[CRC STOCK], "Not Found")="YES", "CRC Stock", "Boutique Stock"))</f>
        <v/>
      </c>
      <c r="L227" s="139" t="n"/>
      <c r="M227" s="140" t="n"/>
      <c r="N227" s="136" t="n"/>
      <c r="O227" s="133" t="n"/>
      <c r="P227" s="93">
        <f>IFERROR(VLOOKUP(TRIM(O227), Collection!$B$2:$D$1001, 2, FALSE), "")</f>
        <v/>
      </c>
      <c r="Q227" s="190">
        <f>IFERROR(VLOOKUP(TRIM(O227), Collection!$B$2:$D$1001, 3, FALSE), "")</f>
        <v/>
      </c>
      <c r="R227" s="153">
        <f>IFERROR(VALUE(SUBSTITUTE(SUBSTITUTE(Q227, "Price", ""), "AED", "")), "")</f>
        <v/>
      </c>
      <c r="S227" s="151" t="n"/>
      <c r="T227" s="158" t="n"/>
      <c r="U227" s="136" t="n"/>
      <c r="V227" s="136" t="n"/>
      <c r="W227" s="156">
        <f>IF(Z227 = "",
"",
TEXT(Z227, "mmmm"))</f>
        <v/>
      </c>
      <c r="X227" s="157" t="n"/>
      <c r="Y227" s="158" t="n"/>
      <c r="Z227" s="158" t="n"/>
      <c r="AA227" s="136">
        <f>IF(H227="", "", IF(U227="Open Sale", IF(TODAY()-H227=0, "0 Days", TEXT(TODAY()-H227, "0") &amp; " Days"), IF(U227="Closed Sale", AA227, "")))</f>
        <v/>
      </c>
      <c r="AB227" s="136">
        <f>IF(H227="", "", IF(OR(U227="Pending", U227="Pending Allocation"), CONCATENATE(TODAY()-H227, " Days"), IF(U227="Closed", "", "")))</f>
        <v/>
      </c>
      <c r="AC227" s="160">
        <f>IF(U227="Pending Allocation", IF(I227="", "", TODAY()-I227), "")</f>
        <v/>
      </c>
      <c r="AD227" s="159">
        <f>IF(U227="Open Sale", TEXT(TODAY()-I227, "0"),
IF(U227="Pending", "",
IF(U227="Closed Sale", "", "")))</f>
        <v/>
      </c>
      <c r="AE227" s="161" t="n"/>
      <c r="AF227" s="161" t="n"/>
      <c r="AG227" s="161" t="n"/>
      <c r="AH227" s="136" t="n"/>
      <c r="AI227" s="164">
        <f>IF(I227="","",TEXT(I227, "mmmm yyyy"))</f>
        <v/>
      </c>
      <c r="AJ227" s="164">
        <f>IF(AND(OpenPendingCases[[#This Row],[Sale Status	]]="Open Sale",OpenPendingCases[[#This Row],[Potential Same Month]]="High"),TEXT(OpenPendingCases[[#This Row],[Request Entry Date]], "[$-en-us]mmmm"),"")</f>
        <v/>
      </c>
      <c r="AK227" s="165">
        <f>IFERROR(VALUE(SUBSTITUTE(OpenPendingCases[[#This Row],[Price]]," AED","")),"")</f>
        <v/>
      </c>
      <c r="AL227" s="165">
        <f>IFERROR(VALUE(LEFT(OpenPendingCases[[#This Row],[Price]],FIND(" ",OpenPendingCases[[#This Row],[Price]])-1)),"")</f>
        <v/>
      </c>
      <c r="AM227" s="165">
        <f>IFERROR(VALUE(_xlfn.TEXTBEFORE(OpenPendingCases[[#This Row],[Price]]," AED")),"")</f>
        <v/>
      </c>
      <c r="AN227" s="165" t="n"/>
    </row>
    <row r="228" hidden="1" ht="18" customHeight="1" s="287">
      <c r="C228" s="133" t="n"/>
      <c r="D228" s="136">
        <f>IF($U228="Open Sale", IF(MAX($D$4:D227)+1=0, "", MAX($D$4:D227)+1), "")</f>
        <v/>
      </c>
      <c r="E228" s="136">
        <f>IF($U228="Pending Allocation", IF(MAX($E$4:E227)+1=0, "", MAX($E$4:E227)+1), "")</f>
        <v/>
      </c>
      <c r="F228" s="136" t="n"/>
      <c r="G228" s="136" t="n"/>
      <c r="H228" s="150" t="n"/>
      <c r="I228" s="150" t="n"/>
      <c r="J228" s="67">
        <f>IF(OpenPendingCases[[#This Row],[Timepiece Reference ]]="", "", IF(_xlfn.XLOOKUP(OpenPendingCases[[#This Row],[Timepiece Reference ]], Table1[[Timepiece Reference ]], Table1[CRC STOCK], "Not Found")="YES", "CRC Stock", "Boutique Stock"))</f>
        <v/>
      </c>
      <c r="K228" s="136">
        <f>IF(OpenPendingCases[[#This Row],[Timepiece Reference ]]="", "", IF(_xlfn.XLOOKUP(OpenPendingCases[[#This Row],[Timepiece Reference ]], Table1[[Timepiece Reference ]], Table1[CRC STOCK], "Not Found")="YES", "CRC Stock", "Boutique Stock"))</f>
        <v/>
      </c>
      <c r="L228" s="139" t="n"/>
      <c r="M228" s="140" t="n"/>
      <c r="N228" s="136" t="n"/>
      <c r="O228" s="133" t="n"/>
      <c r="P228" s="93">
        <f>IFERROR(VLOOKUP(TRIM(O228), Collection!$B$2:$D$1001, 2, FALSE), "")</f>
        <v/>
      </c>
      <c r="Q228" s="190">
        <f>IFERROR(VLOOKUP(TRIM(O228), Collection!$B$2:$D$1001, 3, FALSE), "")</f>
        <v/>
      </c>
      <c r="R228" s="153">
        <f>IFERROR(VALUE(SUBSTITUTE(SUBSTITUTE(Q228, "Price", ""), "AED", "")), "")</f>
        <v/>
      </c>
      <c r="S228" s="151" t="n"/>
      <c r="T228" s="158" t="n"/>
      <c r="U228" s="136" t="n"/>
      <c r="V228" s="136" t="n"/>
      <c r="W228" s="156">
        <f>IF(Z228 = "",
"",
TEXT(Z228, "mmmm"))</f>
        <v/>
      </c>
      <c r="X228" s="157" t="n"/>
      <c r="Y228" s="158" t="n"/>
      <c r="Z228" s="158" t="n"/>
      <c r="AA228" s="136">
        <f>IF(H228="", "", IF(U228="Open Sale", IF(TODAY()-H228=0, "0 Days", TEXT(TODAY()-H228, "0") &amp; " Days"), IF(U228="Closed Sale", AA228, "")))</f>
        <v/>
      </c>
      <c r="AB228" s="136">
        <f>IF(H228="", "", IF(OR(U228="Pending", U228="Pending Allocation"), CONCATENATE(TODAY()-H228, " Days"), IF(U228="Closed", "", "")))</f>
        <v/>
      </c>
      <c r="AC228" s="160">
        <f>IF(U228="Pending Allocation", IF(I228="", "", TODAY()-I228), "")</f>
        <v/>
      </c>
      <c r="AD228" s="159">
        <f>IF(U228="Open Sale", TEXT(TODAY()-I228, "0"),
IF(U228="Pending", "",
IF(U228="Closed Sale", "", "")))</f>
        <v/>
      </c>
      <c r="AE228" s="161" t="n"/>
      <c r="AF228" s="161" t="n"/>
      <c r="AG228" s="161" t="n"/>
      <c r="AH228" s="136" t="n"/>
      <c r="AI228" s="164">
        <f>IF(I228="","",TEXT(I228, "mmmm yyyy"))</f>
        <v/>
      </c>
      <c r="AJ228" s="164">
        <f>IF(AND(OpenPendingCases[[#This Row],[Sale Status	]]="Open Sale",OpenPendingCases[[#This Row],[Potential Same Month]]="High"),TEXT(OpenPendingCases[[#This Row],[Request Entry Date]], "[$-en-us]mmmm"),"")</f>
        <v/>
      </c>
      <c r="AK228" s="165">
        <f>IFERROR(VALUE(SUBSTITUTE(OpenPendingCases[[#This Row],[Price]]," AED","")),"")</f>
        <v/>
      </c>
      <c r="AL228" s="165">
        <f>IFERROR(VALUE(LEFT(OpenPendingCases[[#This Row],[Price]],FIND(" ",OpenPendingCases[[#This Row],[Price]])-1)),"")</f>
        <v/>
      </c>
      <c r="AM228" s="165">
        <f>IFERROR(VALUE(_xlfn.TEXTBEFORE(OpenPendingCases[[#This Row],[Price]]," AED")),"")</f>
        <v/>
      </c>
      <c r="AN228" s="165" t="n"/>
    </row>
    <row r="229" hidden="1" ht="18" customHeight="1" s="287">
      <c r="C229" s="133" t="n"/>
      <c r="D229" s="136">
        <f>IF($U229="Open Sale", IF(MAX($D$4:D228)+1=0, "", MAX($D$4:D228)+1), "")</f>
        <v/>
      </c>
      <c r="E229" s="136">
        <f>IF($U229="Pending Allocation", IF(MAX($E$4:E228)+1=0, "", MAX($E$4:E228)+1), "")</f>
        <v/>
      </c>
      <c r="F229" s="136" t="n"/>
      <c r="G229" s="136" t="n"/>
      <c r="H229" s="150" t="n"/>
      <c r="I229" s="150" t="n"/>
      <c r="J229" s="67">
        <f>IF(OpenPendingCases[[#This Row],[Timepiece Reference ]]="", "", IF(_xlfn.XLOOKUP(OpenPendingCases[[#This Row],[Timepiece Reference ]], Table1[[Timepiece Reference ]], Table1[CRC STOCK], "Not Found")="YES", "CRC Stock", "Boutique Stock"))</f>
        <v/>
      </c>
      <c r="K229" s="136">
        <f>IF(OpenPendingCases[[#This Row],[Timepiece Reference ]]="", "", IF(_xlfn.XLOOKUP(OpenPendingCases[[#This Row],[Timepiece Reference ]], Table1[[Timepiece Reference ]], Table1[CRC STOCK], "Not Found")="YES", "CRC Stock", "Boutique Stock"))</f>
        <v/>
      </c>
      <c r="L229" s="139" t="n"/>
      <c r="M229" s="140" t="n"/>
      <c r="N229" s="136" t="n"/>
      <c r="O229" s="133" t="n"/>
      <c r="P229" s="93">
        <f>IFERROR(VLOOKUP(TRIM(O229), Collection!$B$2:$D$1001, 2, FALSE), "")</f>
        <v/>
      </c>
      <c r="Q229" s="190">
        <f>IFERROR(VLOOKUP(TRIM(O229), Collection!$B$2:$D$1001, 3, FALSE), "")</f>
        <v/>
      </c>
      <c r="R229" s="153">
        <f>IFERROR(VALUE(SUBSTITUTE(SUBSTITUTE(Q229, "Price", ""), "AED", "")), "")</f>
        <v/>
      </c>
      <c r="S229" s="151" t="n"/>
      <c r="T229" s="158" t="n"/>
      <c r="U229" s="136" t="n"/>
      <c r="V229" s="136" t="n"/>
      <c r="W229" s="156">
        <f>IF(Z229 = "",
"",
TEXT(Z229, "mmmm"))</f>
        <v/>
      </c>
      <c r="X229" s="157" t="n"/>
      <c r="Y229" s="158" t="n"/>
      <c r="Z229" s="158" t="n"/>
      <c r="AA229" s="136">
        <f>IF(H229="", "", IF(U229="Open Sale", IF(TODAY()-H229=0, "0 Days", TEXT(TODAY()-H229, "0") &amp; " Days"), IF(U229="Closed Sale", AA229, "")))</f>
        <v/>
      </c>
      <c r="AB229" s="136">
        <f>IF(H229="", "", IF(OR(U229="Pending", U229="Pending Allocation"), CONCATENATE(TODAY()-H229, " Days"), IF(U229="Closed", "", "")))</f>
        <v/>
      </c>
      <c r="AC229" s="160">
        <f>IF(U229="Pending Allocation", IF(I229="", "", TODAY()-I229), "")</f>
        <v/>
      </c>
      <c r="AD229" s="159">
        <f>IF(U229="Open Sale", TEXT(TODAY()-I229, "0"),
IF(U229="Pending", "",
IF(U229="Closed Sale", "", "")))</f>
        <v/>
      </c>
      <c r="AE229" s="161" t="n"/>
      <c r="AF229" s="161" t="n"/>
      <c r="AG229" s="161" t="n"/>
      <c r="AH229" s="136" t="n"/>
      <c r="AI229" s="164">
        <f>IF(I229="","",TEXT(I229, "mmmm yyyy"))</f>
        <v/>
      </c>
      <c r="AJ229" s="164">
        <f>IF(AND(OpenPendingCases[[#This Row],[Sale Status	]]="Open Sale",OpenPendingCases[[#This Row],[Potential Same Month]]="High"),TEXT(OpenPendingCases[[#This Row],[Request Entry Date]], "[$-en-us]mmmm"),"")</f>
        <v/>
      </c>
      <c r="AK229" s="165">
        <f>IFERROR(VALUE(SUBSTITUTE(OpenPendingCases[[#This Row],[Price]]," AED","")),"")</f>
        <v/>
      </c>
      <c r="AL229" s="165">
        <f>IFERROR(VALUE(LEFT(OpenPendingCases[[#This Row],[Price]],FIND(" ",OpenPendingCases[[#This Row],[Price]])-1)),"")</f>
        <v/>
      </c>
      <c r="AM229" s="165">
        <f>IFERROR(VALUE(_xlfn.TEXTBEFORE(OpenPendingCases[[#This Row],[Price]]," AED")),"")</f>
        <v/>
      </c>
      <c r="AN229" s="165" t="n"/>
    </row>
    <row r="230" hidden="1" ht="18" customHeight="1" s="287">
      <c r="C230" s="133" t="n"/>
      <c r="D230" s="136">
        <f>IF($U230="Open Sale", IF(MAX($D$4:D229)+1=0, "", MAX($D$4:D229)+1), "")</f>
        <v/>
      </c>
      <c r="E230" s="136">
        <f>IF($U230="Pending Allocation", IF(MAX($E$4:E229)+1=0, "", MAX($E$4:E229)+1), "")</f>
        <v/>
      </c>
      <c r="F230" s="136" t="n"/>
      <c r="G230" s="136" t="n"/>
      <c r="H230" s="150" t="n"/>
      <c r="I230" s="150" t="n"/>
      <c r="J230" s="67">
        <f>IF(OpenPendingCases[[#This Row],[Timepiece Reference ]]="", "", IF(_xlfn.XLOOKUP(OpenPendingCases[[#This Row],[Timepiece Reference ]], Table1[[Timepiece Reference ]], Table1[CRC STOCK], "Not Found")="YES", "CRC Stock", "Boutique Stock"))</f>
        <v/>
      </c>
      <c r="K230" s="136">
        <f>IF(OpenPendingCases[[#This Row],[Timepiece Reference ]]="", "", IF(_xlfn.XLOOKUP(OpenPendingCases[[#This Row],[Timepiece Reference ]], Table1[[Timepiece Reference ]], Table1[CRC STOCK], "Not Found")="YES", "CRC Stock", "Boutique Stock"))</f>
        <v/>
      </c>
      <c r="L230" s="139" t="n"/>
      <c r="M230" s="140" t="n"/>
      <c r="N230" s="136" t="n"/>
      <c r="O230" s="133" t="n"/>
      <c r="P230" s="93">
        <f>IFERROR(VLOOKUP(TRIM(O230), Collection!$B$2:$D$1001, 2, FALSE), "")</f>
        <v/>
      </c>
      <c r="Q230" s="190">
        <f>IFERROR(VLOOKUP(TRIM(O230), Collection!$B$2:$D$1001, 3, FALSE), "")</f>
        <v/>
      </c>
      <c r="R230" s="153">
        <f>IFERROR(VALUE(SUBSTITUTE(SUBSTITUTE(Q230, "Price", ""), "AED", "")), "")</f>
        <v/>
      </c>
      <c r="S230" s="151" t="n"/>
      <c r="T230" s="158" t="n"/>
      <c r="U230" s="136" t="n"/>
      <c r="V230" s="136" t="n"/>
      <c r="W230" s="156">
        <f>IF(Z230 = "",
"",
TEXT(Z230, "mmmm"))</f>
        <v/>
      </c>
      <c r="X230" s="157" t="n"/>
      <c r="Y230" s="158" t="n"/>
      <c r="Z230" s="158" t="n"/>
      <c r="AA230" s="136">
        <f>IF(H230="", "", IF(U230="Open Sale", IF(TODAY()-H230=0, "0 Days", TEXT(TODAY()-H230, "0") &amp; " Days"), IF(U230="Closed Sale", AA230, "")))</f>
        <v/>
      </c>
      <c r="AB230" s="136">
        <f>IF(H230="", "", IF(OR(U230="Pending", U230="Pending Allocation"), CONCATENATE(TODAY()-H230, " Days"), IF(U230="Closed", "", "")))</f>
        <v/>
      </c>
      <c r="AC230" s="160">
        <f>IF(U230="Pending Allocation", IF(I230="", "", TODAY()-I230), "")</f>
        <v/>
      </c>
      <c r="AD230" s="159">
        <f>IF(U230="Open Sale", TEXT(TODAY()-I230, "0"),
IF(U230="Pending", "",
IF(U230="Closed Sale", "", "")))</f>
        <v/>
      </c>
      <c r="AE230" s="161" t="n"/>
      <c r="AF230" s="161" t="n"/>
      <c r="AG230" s="161" t="n"/>
      <c r="AH230" s="136" t="n"/>
      <c r="AI230" s="164">
        <f>IF(I230="","",TEXT(I230, "mmmm yyyy"))</f>
        <v/>
      </c>
      <c r="AJ230" s="164">
        <f>IF(AND(OpenPendingCases[[#This Row],[Sale Status	]]="Open Sale",OpenPendingCases[[#This Row],[Potential Same Month]]="High"),TEXT(OpenPendingCases[[#This Row],[Request Entry Date]], "[$-en-us]mmmm"),"")</f>
        <v/>
      </c>
      <c r="AK230" s="165">
        <f>IFERROR(VALUE(SUBSTITUTE(OpenPendingCases[[#This Row],[Price]]," AED","")),"")</f>
        <v/>
      </c>
      <c r="AL230" s="165">
        <f>IFERROR(VALUE(LEFT(OpenPendingCases[[#This Row],[Price]],FIND(" ",OpenPendingCases[[#This Row],[Price]])-1)),"")</f>
        <v/>
      </c>
      <c r="AM230" s="165">
        <f>IFERROR(VALUE(_xlfn.TEXTBEFORE(OpenPendingCases[[#This Row],[Price]]," AED")),"")</f>
        <v/>
      </c>
      <c r="AN230" s="165" t="n"/>
    </row>
    <row r="231" hidden="1" ht="18" customHeight="1" s="287">
      <c r="C231" s="133" t="n"/>
      <c r="D231" s="136">
        <f>IF($U231="Open Sale", IF(MAX($D$4:D230)+1=0, "", MAX($D$4:D230)+1), "")</f>
        <v/>
      </c>
      <c r="E231" s="136">
        <f>IF($U231="Pending Allocation", IF(MAX($E$4:E230)+1=0, "", MAX($E$4:E230)+1), "")</f>
        <v/>
      </c>
      <c r="F231" s="136" t="n"/>
      <c r="G231" s="136" t="n"/>
      <c r="H231" s="150" t="n"/>
      <c r="I231" s="150" t="n"/>
      <c r="J231" s="67">
        <f>IF(OpenPendingCases[[#This Row],[Timepiece Reference ]]="", "", IF(_xlfn.XLOOKUP(OpenPendingCases[[#This Row],[Timepiece Reference ]], Table1[[Timepiece Reference ]], Table1[CRC STOCK], "Not Found")="YES", "CRC Stock", "Boutique Stock"))</f>
        <v/>
      </c>
      <c r="K231" s="136">
        <f>IF(OpenPendingCases[[#This Row],[Timepiece Reference ]]="", "", IF(_xlfn.XLOOKUP(OpenPendingCases[[#This Row],[Timepiece Reference ]], Table1[[Timepiece Reference ]], Table1[CRC STOCK], "Not Found")="YES", "CRC Stock", "Boutique Stock"))</f>
        <v/>
      </c>
      <c r="L231" s="139" t="n"/>
      <c r="M231" s="140" t="n"/>
      <c r="N231" s="136" t="n"/>
      <c r="O231" s="133" t="n"/>
      <c r="P231" s="93">
        <f>IFERROR(VLOOKUP(TRIM(O231), Collection!$B$2:$D$1001, 2, FALSE), "")</f>
        <v/>
      </c>
      <c r="Q231" s="190">
        <f>IFERROR(VLOOKUP(TRIM(O231), Collection!$B$2:$D$1001, 3, FALSE), "")</f>
        <v/>
      </c>
      <c r="R231" s="153">
        <f>IFERROR(VALUE(SUBSTITUTE(SUBSTITUTE(Q231, "Price", ""), "AED", "")), "")</f>
        <v/>
      </c>
      <c r="S231" s="151" t="n"/>
      <c r="T231" s="158" t="n"/>
      <c r="U231" s="136" t="n"/>
      <c r="V231" s="136" t="n"/>
      <c r="W231" s="156">
        <f>IF(Z231 = "",
"",
TEXT(Z231, "mmmm"))</f>
        <v/>
      </c>
      <c r="X231" s="157" t="n"/>
      <c r="Y231" s="158" t="n"/>
      <c r="Z231" s="158" t="n"/>
      <c r="AA231" s="136">
        <f>IF(H231="", "", IF(U231="Open Sale", IF(TODAY()-H231=0, "0 Days", TEXT(TODAY()-H231, "0") &amp; " Days"), IF(U231="Closed Sale", AA231, "")))</f>
        <v/>
      </c>
      <c r="AB231" s="136">
        <f>IF(H231="", "", IF(OR(U231="Pending", U231="Pending Allocation"), CONCATENATE(TODAY()-H231, " Days"), IF(U231="Closed", "", "")))</f>
        <v/>
      </c>
      <c r="AC231" s="160">
        <f>IF(U231="Pending Allocation", IF(I231="", "", TODAY()-I231), "")</f>
        <v/>
      </c>
      <c r="AD231" s="159">
        <f>IF(U231="Open Sale", TEXT(TODAY()-I231, "0"),
IF(U231="Pending", "",
IF(U231="Closed Sale", "", "")))</f>
        <v/>
      </c>
      <c r="AE231" s="161" t="n"/>
      <c r="AF231" s="161" t="n"/>
      <c r="AG231" s="161" t="n"/>
      <c r="AH231" s="136" t="n"/>
      <c r="AI231" s="164">
        <f>IF(I231="","",TEXT(I231, "mmmm yyyy"))</f>
        <v/>
      </c>
      <c r="AJ231" s="164">
        <f>IF(AND(OpenPendingCases[[#This Row],[Sale Status	]]="Open Sale",OpenPendingCases[[#This Row],[Potential Same Month]]="High"),TEXT(OpenPendingCases[[#This Row],[Request Entry Date]], "[$-en-us]mmmm"),"")</f>
        <v/>
      </c>
      <c r="AK231" s="165">
        <f>IFERROR(VALUE(SUBSTITUTE(OpenPendingCases[[#This Row],[Price]]," AED","")),"")</f>
        <v/>
      </c>
      <c r="AL231" s="165">
        <f>IFERROR(VALUE(LEFT(OpenPendingCases[[#This Row],[Price]],FIND(" ",OpenPendingCases[[#This Row],[Price]])-1)),"")</f>
        <v/>
      </c>
      <c r="AM231" s="165">
        <f>IFERROR(VALUE(_xlfn.TEXTBEFORE(OpenPendingCases[[#This Row],[Price]]," AED")),"")</f>
        <v/>
      </c>
      <c r="AN231" s="165" t="n"/>
    </row>
    <row r="232" hidden="1" ht="18" customHeight="1" s="287">
      <c r="C232" s="133" t="n"/>
      <c r="D232" s="136">
        <f>IF($U232="Open Sale", IF(MAX($D$4:D231)+1=0, "", MAX($D$4:D231)+1), "")</f>
        <v/>
      </c>
      <c r="E232" s="136">
        <f>IF($U232="Pending Allocation", IF(MAX($E$4:E231)+1=0, "", MAX($E$4:E231)+1), "")</f>
        <v/>
      </c>
      <c r="F232" s="136" t="n"/>
      <c r="G232" s="136" t="n"/>
      <c r="H232" s="150" t="n"/>
      <c r="I232" s="150" t="n"/>
      <c r="J232" s="67">
        <f>IF(OpenPendingCases[[#This Row],[Timepiece Reference ]]="", "", IF(_xlfn.XLOOKUP(OpenPendingCases[[#This Row],[Timepiece Reference ]], Table1[[Timepiece Reference ]], Table1[CRC STOCK], "Not Found")="YES", "CRC Stock", "Boutique Stock"))</f>
        <v/>
      </c>
      <c r="K232" s="136">
        <f>IF(OpenPendingCases[[#This Row],[Timepiece Reference ]]="", "", IF(_xlfn.XLOOKUP(OpenPendingCases[[#This Row],[Timepiece Reference ]], Table1[[Timepiece Reference ]], Table1[CRC STOCK], "Not Found")="YES", "CRC Stock", "Boutique Stock"))</f>
        <v/>
      </c>
      <c r="L232" s="139" t="n"/>
      <c r="M232" s="140" t="n"/>
      <c r="N232" s="136" t="n"/>
      <c r="O232" s="133" t="n"/>
      <c r="P232" s="93">
        <f>IFERROR(VLOOKUP(TRIM(O232), Collection!$B$2:$D$1001, 2, FALSE), "")</f>
        <v/>
      </c>
      <c r="Q232" s="190">
        <f>IFERROR(VLOOKUP(TRIM(O232), Collection!$B$2:$D$1001, 3, FALSE), "")</f>
        <v/>
      </c>
      <c r="R232" s="153">
        <f>IFERROR(VALUE(SUBSTITUTE(SUBSTITUTE(Q232, "Price", ""), "AED", "")), "")</f>
        <v/>
      </c>
      <c r="S232" s="151" t="n"/>
      <c r="T232" s="158" t="n"/>
      <c r="U232" s="136" t="n"/>
      <c r="V232" s="136" t="n"/>
      <c r="W232" s="156">
        <f>IF(Z232 = "",
"",
TEXT(Z232, "mmmm"))</f>
        <v/>
      </c>
      <c r="X232" s="157" t="n"/>
      <c r="Y232" s="158" t="n"/>
      <c r="Z232" s="158" t="n"/>
      <c r="AA232" s="136">
        <f>IF(H232="", "", IF(U232="Open Sale", IF(TODAY()-H232=0, "0 Days", TEXT(TODAY()-H232, "0") &amp; " Days"), IF(U232="Closed Sale", AA232, "")))</f>
        <v/>
      </c>
      <c r="AB232" s="136">
        <f>IF(H232="", "", IF(OR(U232="Pending", U232="Pending Allocation"), CONCATENATE(TODAY()-H232, " Days"), IF(U232="Closed", "", "")))</f>
        <v/>
      </c>
      <c r="AC232" s="160">
        <f>IF(U232="Pending Allocation", IF(I232="", "", TODAY()-I232), "")</f>
        <v/>
      </c>
      <c r="AD232" s="159">
        <f>IF(U232="Open Sale", TEXT(TODAY()-I232, "0"),
IF(U232="Pending", "",
IF(U232="Closed Sale", "", "")))</f>
        <v/>
      </c>
      <c r="AE232" s="161" t="n"/>
      <c r="AF232" s="161" t="n"/>
      <c r="AG232" s="161" t="n"/>
      <c r="AH232" s="136" t="n"/>
      <c r="AI232" s="164">
        <f>IF(I232="","",TEXT(I232, "mmmm yyyy"))</f>
        <v/>
      </c>
      <c r="AJ232" s="164">
        <f>IF(AND(OpenPendingCases[[#This Row],[Sale Status	]]="Open Sale",OpenPendingCases[[#This Row],[Potential Same Month]]="High"),TEXT(OpenPendingCases[[#This Row],[Request Entry Date]], "[$-en-us]mmmm"),"")</f>
        <v/>
      </c>
      <c r="AK232" s="165">
        <f>IFERROR(VALUE(SUBSTITUTE(OpenPendingCases[[#This Row],[Price]]," AED","")),"")</f>
        <v/>
      </c>
      <c r="AL232" s="165">
        <f>IFERROR(VALUE(LEFT(OpenPendingCases[[#This Row],[Price]],FIND(" ",OpenPendingCases[[#This Row],[Price]])-1)),"")</f>
        <v/>
      </c>
      <c r="AM232" s="165">
        <f>IFERROR(VALUE(_xlfn.TEXTBEFORE(OpenPendingCases[[#This Row],[Price]]," AED")),"")</f>
        <v/>
      </c>
      <c r="AN232" s="165" t="n"/>
    </row>
    <row r="233" hidden="1" ht="18" customHeight="1" s="287">
      <c r="C233" s="133" t="n"/>
      <c r="D233" s="136">
        <f>IF($U233="Open Sale", IF(MAX($D$4:D232)+1=0, "", MAX($D$4:D232)+1), "")</f>
        <v/>
      </c>
      <c r="E233" s="136">
        <f>IF($U233="Pending Allocation", IF(MAX($E$4:E232)+1=0, "", MAX($E$4:E232)+1), "")</f>
        <v/>
      </c>
      <c r="F233" s="136" t="n"/>
      <c r="G233" s="136" t="n"/>
      <c r="H233" s="150" t="n"/>
      <c r="I233" s="150" t="n"/>
      <c r="J233" s="67">
        <f>IF(OpenPendingCases[[#This Row],[Timepiece Reference ]]="", "", IF(_xlfn.XLOOKUP(OpenPendingCases[[#This Row],[Timepiece Reference ]], Table1[[Timepiece Reference ]], Table1[CRC STOCK], "Not Found")="YES", "CRC Stock", "Boutique Stock"))</f>
        <v/>
      </c>
      <c r="K233" s="136">
        <f>IF(OpenPendingCases[[#This Row],[Timepiece Reference ]]="", "", IF(_xlfn.XLOOKUP(OpenPendingCases[[#This Row],[Timepiece Reference ]], Table1[[Timepiece Reference ]], Table1[CRC STOCK], "Not Found")="YES", "CRC Stock", "Boutique Stock"))</f>
        <v/>
      </c>
      <c r="L233" s="139" t="n"/>
      <c r="M233" s="140" t="n"/>
      <c r="N233" s="136" t="n"/>
      <c r="O233" s="133" t="n"/>
      <c r="P233" s="93">
        <f>IFERROR(VLOOKUP(TRIM(O233), Collection!$B$2:$D$1001, 2, FALSE), "")</f>
        <v/>
      </c>
      <c r="Q233" s="190">
        <f>IFERROR(VLOOKUP(TRIM(O233), Collection!$B$2:$D$1001, 3, FALSE), "")</f>
        <v/>
      </c>
      <c r="R233" s="153">
        <f>IFERROR(VALUE(SUBSTITUTE(SUBSTITUTE(Q233, "Price", ""), "AED", "")), "")</f>
        <v/>
      </c>
      <c r="S233" s="151" t="n"/>
      <c r="T233" s="158" t="n"/>
      <c r="U233" s="136" t="n"/>
      <c r="V233" s="136" t="n"/>
      <c r="W233" s="156">
        <f>IF(Z233 = "",
"",
TEXT(Z233, "mmmm"))</f>
        <v/>
      </c>
      <c r="X233" s="157" t="n"/>
      <c r="Y233" s="158" t="n"/>
      <c r="Z233" s="158" t="n"/>
      <c r="AA233" s="136">
        <f>IF(H233="", "", IF(U233="Open Sale", IF(TODAY()-H233=0, "0 Days", TEXT(TODAY()-H233, "0") &amp; " Days"), IF(U233="Closed Sale", AA233, "")))</f>
        <v/>
      </c>
      <c r="AB233" s="136">
        <f>IF(H233="", "", IF(OR(U233="Pending", U233="Pending Allocation"), CONCATENATE(TODAY()-H233, " Days"), IF(U233="Closed", "", "")))</f>
        <v/>
      </c>
      <c r="AC233" s="160">
        <f>IF(U233="Pending Allocation", IF(I233="", "", TODAY()-I233), "")</f>
        <v/>
      </c>
      <c r="AD233" s="159">
        <f>IF(U233="Open Sale", TEXT(TODAY()-I233, "0"),
IF(U233="Pending", "",
IF(U233="Closed Sale", "", "")))</f>
        <v/>
      </c>
      <c r="AE233" s="161" t="n"/>
      <c r="AF233" s="161" t="n"/>
      <c r="AG233" s="161" t="n"/>
      <c r="AH233" s="136" t="n"/>
      <c r="AI233" s="164">
        <f>IF(I233="","",TEXT(I233, "mmmm yyyy"))</f>
        <v/>
      </c>
      <c r="AJ233" s="164">
        <f>IF(AND(OpenPendingCases[[#This Row],[Sale Status	]]="Open Sale",OpenPendingCases[[#This Row],[Potential Same Month]]="High"),TEXT(OpenPendingCases[[#This Row],[Request Entry Date]], "[$-en-us]mmmm"),"")</f>
        <v/>
      </c>
      <c r="AK233" s="165">
        <f>IFERROR(VALUE(SUBSTITUTE(OpenPendingCases[[#This Row],[Price]]," AED","")),"")</f>
        <v/>
      </c>
      <c r="AL233" s="165">
        <f>IFERROR(VALUE(LEFT(OpenPendingCases[[#This Row],[Price]],FIND(" ",OpenPendingCases[[#This Row],[Price]])-1)),"")</f>
        <v/>
      </c>
      <c r="AM233" s="165">
        <f>IFERROR(VALUE(_xlfn.TEXTBEFORE(OpenPendingCases[[#This Row],[Price]]," AED")),"")</f>
        <v/>
      </c>
      <c r="AN233" s="165" t="n"/>
    </row>
    <row r="234" hidden="1" ht="18" customHeight="1" s="287">
      <c r="C234" s="133" t="n"/>
      <c r="D234" s="136">
        <f>IF($U234="Open Sale", IF(MAX($D$4:D233)+1=0, "", MAX($D$4:D233)+1), "")</f>
        <v/>
      </c>
      <c r="E234" s="136">
        <f>IF($U234="Pending Allocation", IF(MAX($E$4:E233)+1=0, "", MAX($E$4:E233)+1), "")</f>
        <v/>
      </c>
      <c r="F234" s="136" t="n"/>
      <c r="G234" s="136" t="n"/>
      <c r="H234" s="150" t="n"/>
      <c r="I234" s="150" t="n"/>
      <c r="J234" s="67">
        <f>IF(OpenPendingCases[[#This Row],[Timepiece Reference ]]="", "", IF(_xlfn.XLOOKUP(OpenPendingCases[[#This Row],[Timepiece Reference ]], Table1[[Timepiece Reference ]], Table1[CRC STOCK], "Not Found")="YES", "CRC Stock", "Boutique Stock"))</f>
        <v/>
      </c>
      <c r="K234" s="136">
        <f>IF(OpenPendingCases[[#This Row],[Timepiece Reference ]]="", "", IF(_xlfn.XLOOKUP(OpenPendingCases[[#This Row],[Timepiece Reference ]], Table1[[Timepiece Reference ]], Table1[CRC STOCK], "Not Found")="YES", "CRC Stock", "Boutique Stock"))</f>
        <v/>
      </c>
      <c r="L234" s="139" t="n"/>
      <c r="M234" s="140" t="n"/>
      <c r="N234" s="136" t="n"/>
      <c r="O234" s="133" t="n"/>
      <c r="P234" s="93">
        <f>IFERROR(VLOOKUP(TRIM(O234), Collection!$B$2:$D$1001, 2, FALSE), "")</f>
        <v/>
      </c>
      <c r="Q234" s="190">
        <f>IFERROR(VLOOKUP(TRIM(O234), Collection!$B$2:$D$1001, 3, FALSE), "")</f>
        <v/>
      </c>
      <c r="R234" s="153">
        <f>IFERROR(VALUE(SUBSTITUTE(SUBSTITUTE(Q234, "Price", ""), "AED", "")), "")</f>
        <v/>
      </c>
      <c r="S234" s="151" t="n"/>
      <c r="T234" s="158" t="n"/>
      <c r="U234" s="136" t="n"/>
      <c r="V234" s="136" t="n"/>
      <c r="W234" s="156">
        <f>IF(Z234 = "",
"",
TEXT(Z234, "mmmm"))</f>
        <v/>
      </c>
      <c r="X234" s="157" t="n"/>
      <c r="Y234" s="158" t="n"/>
      <c r="Z234" s="158" t="n"/>
      <c r="AA234" s="136">
        <f>IF(H234="", "", IF(U234="Open Sale", IF(TODAY()-H234=0, "0 Days", TEXT(TODAY()-H234, "0") &amp; " Days"), IF(U234="Closed Sale", AA234, "")))</f>
        <v/>
      </c>
      <c r="AB234" s="136">
        <f>IF(H234="", "", IF(OR(U234="Pending", U234="Pending Allocation"), CONCATENATE(TODAY()-H234, " Days"), IF(U234="Closed", "", "")))</f>
        <v/>
      </c>
      <c r="AC234" s="160">
        <f>IF(U234="Pending Allocation", IF(I234="", "", TODAY()-I234), "")</f>
        <v/>
      </c>
      <c r="AD234" s="159">
        <f>IF(U234="Open Sale", TEXT(TODAY()-I234, "0"),
IF(U234="Pending", "",
IF(U234="Closed Sale", "", "")))</f>
        <v/>
      </c>
      <c r="AE234" s="161" t="n"/>
      <c r="AF234" s="161" t="n"/>
      <c r="AG234" s="161" t="n"/>
      <c r="AH234" s="136" t="n"/>
      <c r="AI234" s="164">
        <f>IF(I234="","",TEXT(I234, "mmmm yyyy"))</f>
        <v/>
      </c>
      <c r="AJ234" s="164">
        <f>IF(AND(OpenPendingCases[[#This Row],[Sale Status	]]="Open Sale",OpenPendingCases[[#This Row],[Potential Same Month]]="High"),TEXT(OpenPendingCases[[#This Row],[Request Entry Date]], "[$-en-us]mmmm"),"")</f>
        <v/>
      </c>
      <c r="AK234" s="165">
        <f>IFERROR(VALUE(SUBSTITUTE(OpenPendingCases[[#This Row],[Price]]," AED","")),"")</f>
        <v/>
      </c>
      <c r="AL234" s="165">
        <f>IFERROR(VALUE(LEFT(OpenPendingCases[[#This Row],[Price]],FIND(" ",OpenPendingCases[[#This Row],[Price]])-1)),"")</f>
        <v/>
      </c>
      <c r="AM234" s="165">
        <f>IFERROR(VALUE(_xlfn.TEXTBEFORE(OpenPendingCases[[#This Row],[Price]]," AED")),"")</f>
        <v/>
      </c>
      <c r="AN234" s="165" t="n"/>
    </row>
    <row r="235" hidden="1" ht="18" customHeight="1" s="287">
      <c r="C235" s="133" t="n"/>
      <c r="D235" s="136">
        <f>IF($U235="Open Sale", IF(MAX($D$4:D234)+1=0, "", MAX($D$4:D234)+1), "")</f>
        <v/>
      </c>
      <c r="E235" s="136">
        <f>IF($U235="Pending Allocation", IF(MAX($E$4:E234)+1=0, "", MAX($E$4:E234)+1), "")</f>
        <v/>
      </c>
      <c r="F235" s="136" t="n"/>
      <c r="G235" s="136" t="n"/>
      <c r="H235" s="150" t="n"/>
      <c r="I235" s="150" t="n"/>
      <c r="J235" s="67">
        <f>IF(OpenPendingCases[[#This Row],[Timepiece Reference ]]="", "", IF(_xlfn.XLOOKUP(OpenPendingCases[[#This Row],[Timepiece Reference ]], Table1[[Timepiece Reference ]], Table1[CRC STOCK], "Not Found")="YES", "CRC Stock", "Boutique Stock"))</f>
        <v/>
      </c>
      <c r="K235" s="136">
        <f>IF(OpenPendingCases[[#This Row],[Timepiece Reference ]]="", "", IF(_xlfn.XLOOKUP(OpenPendingCases[[#This Row],[Timepiece Reference ]], Table1[[Timepiece Reference ]], Table1[CRC STOCK], "Not Found")="YES", "CRC Stock", "Boutique Stock"))</f>
        <v/>
      </c>
      <c r="L235" s="139" t="n"/>
      <c r="M235" s="140" t="n"/>
      <c r="N235" s="136" t="n"/>
      <c r="O235" s="133" t="n"/>
      <c r="P235" s="93">
        <f>IFERROR(VLOOKUP(TRIM(O235), Collection!$B$2:$D$1001, 2, FALSE), "")</f>
        <v/>
      </c>
      <c r="Q235" s="190">
        <f>IFERROR(VLOOKUP(TRIM(O235), Collection!$B$2:$D$1001, 3, FALSE), "")</f>
        <v/>
      </c>
      <c r="R235" s="153">
        <f>IFERROR(VALUE(SUBSTITUTE(SUBSTITUTE(Q235, "Price", ""), "AED", "")), "")</f>
        <v/>
      </c>
      <c r="S235" s="151" t="n"/>
      <c r="T235" s="158" t="n"/>
      <c r="U235" s="136" t="n"/>
      <c r="V235" s="136" t="n"/>
      <c r="W235" s="156">
        <f>IF(Z235 = "",
"",
TEXT(Z235, "mmmm"))</f>
        <v/>
      </c>
      <c r="X235" s="157" t="n"/>
      <c r="Y235" s="158" t="n"/>
      <c r="Z235" s="158" t="n"/>
      <c r="AA235" s="136">
        <f>IF(H235="", "", IF(U235="Open Sale", IF(TODAY()-H235=0, "0 Days", TEXT(TODAY()-H235, "0") &amp; " Days"), IF(U235="Closed Sale", AA235, "")))</f>
        <v/>
      </c>
      <c r="AB235" s="136">
        <f>IF(H235="", "", IF(OR(U235="Pending", U235="Pending Allocation"), CONCATENATE(TODAY()-H235, " Days"), IF(U235="Closed", "", "")))</f>
        <v/>
      </c>
      <c r="AC235" s="160">
        <f>IF(U235="Pending Allocation", IF(I235="", "", TODAY()-I235), "")</f>
        <v/>
      </c>
      <c r="AD235" s="159">
        <f>IF(U235="Open Sale", TEXT(TODAY()-I235, "0"),
IF(U235="Pending", "",
IF(U235="Closed Sale", "", "")))</f>
        <v/>
      </c>
      <c r="AE235" s="161" t="n"/>
      <c r="AF235" s="161" t="n"/>
      <c r="AG235" s="161" t="n"/>
      <c r="AH235" s="136" t="n"/>
      <c r="AI235" s="164">
        <f>IF(I235="","",TEXT(I235, "mmmm yyyy"))</f>
        <v/>
      </c>
      <c r="AJ235" s="164">
        <f>IF(AND(OpenPendingCases[[#This Row],[Sale Status	]]="Open Sale",OpenPendingCases[[#This Row],[Potential Same Month]]="High"),TEXT(OpenPendingCases[[#This Row],[Request Entry Date]], "[$-en-us]mmmm"),"")</f>
        <v/>
      </c>
      <c r="AK235" s="165">
        <f>IFERROR(VALUE(SUBSTITUTE(OpenPendingCases[[#This Row],[Price]]," AED","")),"")</f>
        <v/>
      </c>
      <c r="AL235" s="165">
        <f>IFERROR(VALUE(LEFT(OpenPendingCases[[#This Row],[Price]],FIND(" ",OpenPendingCases[[#This Row],[Price]])-1)),"")</f>
        <v/>
      </c>
      <c r="AM235" s="165">
        <f>IFERROR(VALUE(_xlfn.TEXTBEFORE(OpenPendingCases[[#This Row],[Price]]," AED")),"")</f>
        <v/>
      </c>
      <c r="AN235" s="165" t="n"/>
    </row>
    <row r="236" hidden="1" ht="18" customHeight="1" s="287">
      <c r="C236" s="133" t="n"/>
      <c r="D236" s="136">
        <f>IF($U236="Open Sale", IF(MAX($D$4:D235)+1=0, "", MAX($D$4:D235)+1), "")</f>
        <v/>
      </c>
      <c r="E236" s="136">
        <f>IF($U236="Pending Allocation", IF(MAX($E$4:E235)+1=0, "", MAX($E$4:E235)+1), "")</f>
        <v/>
      </c>
      <c r="F236" s="136" t="n"/>
      <c r="G236" s="136" t="n"/>
      <c r="H236" s="150" t="n"/>
      <c r="I236" s="150" t="n"/>
      <c r="J236" s="67">
        <f>IF(OpenPendingCases[[#This Row],[Timepiece Reference ]]="", "", IF(_xlfn.XLOOKUP(OpenPendingCases[[#This Row],[Timepiece Reference ]], Table1[[Timepiece Reference ]], Table1[CRC STOCK], "Not Found")="YES", "CRC Stock", "Boutique Stock"))</f>
        <v/>
      </c>
      <c r="K236" s="136">
        <f>IF(OpenPendingCases[[#This Row],[Timepiece Reference ]]="", "", IF(_xlfn.XLOOKUP(OpenPendingCases[[#This Row],[Timepiece Reference ]], Table1[[Timepiece Reference ]], Table1[CRC STOCK], "Not Found")="YES", "CRC Stock", "Boutique Stock"))</f>
        <v/>
      </c>
      <c r="L236" s="139" t="n"/>
      <c r="M236" s="140" t="n"/>
      <c r="N236" s="136" t="n"/>
      <c r="O236" s="133" t="n"/>
      <c r="P236" s="93">
        <f>IFERROR(VLOOKUP(TRIM(O236), Collection!$B$2:$D$1001, 2, FALSE), "")</f>
        <v/>
      </c>
      <c r="Q236" s="190">
        <f>IFERROR(VLOOKUP(TRIM(O236), Collection!$B$2:$D$1001, 3, FALSE), "")</f>
        <v/>
      </c>
      <c r="R236" s="153">
        <f>IFERROR(VALUE(SUBSTITUTE(SUBSTITUTE(Q236, "Price", ""), "AED", "")), "")</f>
        <v/>
      </c>
      <c r="S236" s="151" t="n"/>
      <c r="T236" s="158" t="n"/>
      <c r="U236" s="136" t="n"/>
      <c r="V236" s="136" t="n"/>
      <c r="W236" s="156">
        <f>IF(Z236 = "",
"",
TEXT(Z236, "mmmm"))</f>
        <v/>
      </c>
      <c r="X236" s="157" t="n"/>
      <c r="Y236" s="158" t="n"/>
      <c r="Z236" s="158" t="n"/>
      <c r="AA236" s="136">
        <f>IF(H236="", "", IF(U236="Open Sale", IF(TODAY()-H236=0, "0 Days", TEXT(TODAY()-H236, "0") &amp; " Days"), IF(U236="Closed Sale", AA236, "")))</f>
        <v/>
      </c>
      <c r="AB236" s="136">
        <f>IF(H236="", "", IF(OR(U236="Pending", U236="Pending Allocation"), CONCATENATE(TODAY()-H236, " Days"), IF(U236="Closed", "", "")))</f>
        <v/>
      </c>
      <c r="AC236" s="160">
        <f>IF(U236="Pending Allocation", IF(I236="", "", TODAY()-I236), "")</f>
        <v/>
      </c>
      <c r="AD236" s="159">
        <f>IF(U236="Open Sale", TEXT(TODAY()-I236, "0"),
IF(U236="Pending", "",
IF(U236="Closed Sale", "", "")))</f>
        <v/>
      </c>
      <c r="AE236" s="161" t="n"/>
      <c r="AF236" s="161" t="n"/>
      <c r="AG236" s="161" t="n"/>
      <c r="AH236" s="136" t="n"/>
      <c r="AI236" s="164">
        <f>IF(I236="","",TEXT(I236, "mmmm yyyy"))</f>
        <v/>
      </c>
      <c r="AJ236" s="164">
        <f>IF(AND(OpenPendingCases[[#This Row],[Sale Status	]]="Open Sale",OpenPendingCases[[#This Row],[Potential Same Month]]="High"),TEXT(OpenPendingCases[[#This Row],[Request Entry Date]], "[$-en-us]mmmm"),"")</f>
        <v/>
      </c>
      <c r="AK236" s="165">
        <f>IFERROR(VALUE(SUBSTITUTE(OpenPendingCases[[#This Row],[Price]]," AED","")),"")</f>
        <v/>
      </c>
      <c r="AL236" s="165">
        <f>IFERROR(VALUE(LEFT(OpenPendingCases[[#This Row],[Price]],FIND(" ",OpenPendingCases[[#This Row],[Price]])-1)),"")</f>
        <v/>
      </c>
      <c r="AM236" s="165">
        <f>IFERROR(VALUE(_xlfn.TEXTBEFORE(OpenPendingCases[[#This Row],[Price]]," AED")),"")</f>
        <v/>
      </c>
      <c r="AN236" s="165" t="n"/>
    </row>
    <row r="237" hidden="1" ht="18" customHeight="1" s="287">
      <c r="C237" s="133" t="n"/>
      <c r="D237" s="136">
        <f>IF($U237="Open Sale", IF(MAX($D$4:D236)+1=0, "", MAX($D$4:D236)+1), "")</f>
        <v/>
      </c>
      <c r="E237" s="136">
        <f>IF($U237="Pending Allocation", IF(MAX($E$4:E236)+1=0, "", MAX($E$4:E236)+1), "")</f>
        <v/>
      </c>
      <c r="F237" s="136" t="n"/>
      <c r="G237" s="136" t="n"/>
      <c r="H237" s="150" t="n"/>
      <c r="I237" s="150" t="n"/>
      <c r="J237" s="67">
        <f>IF(OpenPendingCases[[#This Row],[Timepiece Reference ]]="", "", IF(_xlfn.XLOOKUP(OpenPendingCases[[#This Row],[Timepiece Reference ]], Table1[[Timepiece Reference ]], Table1[CRC STOCK], "Not Found")="YES", "CRC Stock", "Boutique Stock"))</f>
        <v/>
      </c>
      <c r="K237" s="136">
        <f>IF(OpenPendingCases[[#This Row],[Timepiece Reference ]]="", "", IF(_xlfn.XLOOKUP(OpenPendingCases[[#This Row],[Timepiece Reference ]], Table1[[Timepiece Reference ]], Table1[CRC STOCK], "Not Found")="YES", "CRC Stock", "Boutique Stock"))</f>
        <v/>
      </c>
      <c r="L237" s="142" t="n"/>
      <c r="M237" s="140" t="n"/>
      <c r="N237" s="136" t="n"/>
      <c r="O237" s="133" t="n"/>
      <c r="P237" s="93">
        <f>IFERROR(VLOOKUP(TRIM(O237), Collection!$B$2:$D$1001, 2, FALSE), "")</f>
        <v/>
      </c>
      <c r="Q237" s="190">
        <f>IFERROR(VLOOKUP(TRIM(O237), Collection!$B$2:$D$1001, 3, FALSE), "")</f>
        <v/>
      </c>
      <c r="R237" s="153">
        <f>IFERROR(VALUE(SUBSTITUTE(SUBSTITUTE(Q237, "Price", ""), "AED", "")), "")</f>
        <v/>
      </c>
      <c r="S237" s="151" t="n"/>
      <c r="T237" s="158" t="n"/>
      <c r="U237" s="136" t="n"/>
      <c r="V237" s="136" t="n"/>
      <c r="W237" s="156">
        <f>IF(Z237 = "",
"",
TEXT(Z237, "mmmm"))</f>
        <v/>
      </c>
      <c r="X237" s="157" t="n"/>
      <c r="Y237" s="158" t="n"/>
      <c r="Z237" s="158" t="n"/>
      <c r="AA237" s="136">
        <f>IF(H237="", "", IF(U237="Open Sale", IF(TODAY()-H237=0, "0 Days", TEXT(TODAY()-H237, "0") &amp; " Days"), IF(U237="Closed Sale", AA237, "")))</f>
        <v/>
      </c>
      <c r="AB237" s="136">
        <f>IF(H237="", "", IF(OR(U237="Pending", U237="Pending Allocation"), CONCATENATE(TODAY()-H237, " Days"), IF(U237="Closed", "", "")))</f>
        <v/>
      </c>
      <c r="AC237" s="160">
        <f>IF(U237="Pending Allocation", IF(I237="", "", TODAY()-I237), "")</f>
        <v/>
      </c>
      <c r="AD237" s="159">
        <f>IF(U237="Open Sale", TEXT(TODAY()-I237, "0"),
IF(U237="Pending", "",
IF(U237="Closed Sale", "", "")))</f>
        <v/>
      </c>
      <c r="AE237" s="161" t="n"/>
      <c r="AF237" s="161" t="n"/>
      <c r="AG237" s="161" t="n"/>
      <c r="AH237" s="136" t="n"/>
      <c r="AI237" s="164">
        <f>IF(I237="","",TEXT(I237, "mmmm yyyy"))</f>
        <v/>
      </c>
      <c r="AJ237" s="164">
        <f>IF(AND(OpenPendingCases[[#This Row],[Sale Status	]]="Open Sale",OpenPendingCases[[#This Row],[Potential Same Month]]="High"),TEXT(OpenPendingCases[[#This Row],[Request Entry Date]], "[$-en-us]mmmm"),"")</f>
        <v/>
      </c>
      <c r="AK237" s="165">
        <f>IFERROR(VALUE(SUBSTITUTE(OpenPendingCases[[#This Row],[Price]]," AED","")),"")</f>
        <v/>
      </c>
      <c r="AL237" s="165">
        <f>IFERROR(VALUE(LEFT(OpenPendingCases[[#This Row],[Price]],FIND(" ",OpenPendingCases[[#This Row],[Price]])-1)),"")</f>
        <v/>
      </c>
      <c r="AM237" s="165">
        <f>IFERROR(VALUE(_xlfn.TEXTBEFORE(OpenPendingCases[[#This Row],[Price]]," AED")),"")</f>
        <v/>
      </c>
      <c r="AN237" s="165" t="n"/>
    </row>
    <row r="238" hidden="1" ht="18" customHeight="1" s="287">
      <c r="C238" s="133" t="n"/>
      <c r="D238" s="136">
        <f>IF($U238="Open Sale", IF(MAX($D$4:D237)+1=0, "", MAX($D$4:D237)+1), "")</f>
        <v/>
      </c>
      <c r="E238" s="136">
        <f>IF($U238="Pending Allocation", IF(MAX($E$4:E237)+1=0, "", MAX($E$4:E237)+1), "")</f>
        <v/>
      </c>
      <c r="F238" s="136" t="n"/>
      <c r="G238" s="136" t="n"/>
      <c r="H238" s="150" t="n"/>
      <c r="I238" s="150" t="n"/>
      <c r="J238" s="67">
        <f>IF(OpenPendingCases[[#This Row],[Timepiece Reference ]]="", "", IF(_xlfn.XLOOKUP(OpenPendingCases[[#This Row],[Timepiece Reference ]], Table1[[Timepiece Reference ]], Table1[CRC STOCK], "Not Found")="YES", "CRC Stock", "Boutique Stock"))</f>
        <v/>
      </c>
      <c r="K238" s="136">
        <f>IF(OpenPendingCases[[#This Row],[Timepiece Reference ]]="", "", IF(_xlfn.XLOOKUP(OpenPendingCases[[#This Row],[Timepiece Reference ]], Table1[[Timepiece Reference ]], Table1[CRC STOCK], "Not Found")="YES", "CRC Stock", "Boutique Stock"))</f>
        <v/>
      </c>
      <c r="L238" s="142" t="n"/>
      <c r="M238" s="140" t="n"/>
      <c r="N238" s="136" t="n"/>
      <c r="O238" s="133" t="n"/>
      <c r="P238" s="93">
        <f>IFERROR(VLOOKUP(TRIM(O238), Collection!$B$2:$D$1001, 2, FALSE), "")</f>
        <v/>
      </c>
      <c r="Q238" s="190">
        <f>IFERROR(VLOOKUP(TRIM(O238), Collection!$B$2:$D$1001, 3, FALSE), "")</f>
        <v/>
      </c>
      <c r="R238" s="153">
        <f>IFERROR(VALUE(SUBSTITUTE(SUBSTITUTE(Q238, "Price", ""), "AED", "")), "")</f>
        <v/>
      </c>
      <c r="S238" s="151" t="n"/>
      <c r="T238" s="158" t="n"/>
      <c r="U238" s="136" t="n"/>
      <c r="V238" s="136" t="n"/>
      <c r="W238" s="156">
        <f>IF(Z238 = "",
"",
TEXT(Z238, "mmmm"))</f>
        <v/>
      </c>
      <c r="X238" s="157" t="n"/>
      <c r="Y238" s="158" t="n"/>
      <c r="Z238" s="158" t="n"/>
      <c r="AA238" s="136">
        <f>IF(H238="", "", IF(U238="Open Sale", IF(TODAY()-H238=0, "0 Days", TEXT(TODAY()-H238, "0") &amp; " Days"), IF(U238="Closed Sale", AA238, "")))</f>
        <v/>
      </c>
      <c r="AB238" s="136">
        <f>IF(H238="", "", IF(OR(U238="Pending", U238="Pending Allocation"), CONCATENATE(TODAY()-H238, " Days"), IF(U238="Closed", "", "")))</f>
        <v/>
      </c>
      <c r="AC238" s="160">
        <f>IF(U238="Pending Allocation", IF(I238="", "", TODAY()-I238), "")</f>
        <v/>
      </c>
      <c r="AD238" s="159">
        <f>IF(U238="Open Sale", TEXT(TODAY()-I238, "0"),
IF(U238="Pending", "",
IF(U238="Closed Sale", "", "")))</f>
        <v/>
      </c>
      <c r="AE238" s="161" t="n"/>
      <c r="AF238" s="161" t="n"/>
      <c r="AG238" s="161" t="n"/>
      <c r="AH238" s="136" t="n"/>
      <c r="AI238" s="164">
        <f>IF(I238="","",TEXT(I238, "mmmm yyyy"))</f>
        <v/>
      </c>
      <c r="AJ238" s="164">
        <f>IF(AND(OpenPendingCases[[#This Row],[Sale Status	]]="Open Sale",OpenPendingCases[[#This Row],[Potential Same Month]]="High"),TEXT(OpenPendingCases[[#This Row],[Request Entry Date]], "[$-en-us]mmmm"),"")</f>
        <v/>
      </c>
      <c r="AK238" s="165">
        <f>IFERROR(VALUE(SUBSTITUTE(OpenPendingCases[[#This Row],[Price]]," AED","")),"")</f>
        <v/>
      </c>
      <c r="AL238" s="165">
        <f>IFERROR(VALUE(LEFT(OpenPendingCases[[#This Row],[Price]],FIND(" ",OpenPendingCases[[#This Row],[Price]])-1)),"")</f>
        <v/>
      </c>
      <c r="AM238" s="165">
        <f>IFERROR(VALUE(_xlfn.TEXTBEFORE(OpenPendingCases[[#This Row],[Price]]," AED")),"")</f>
        <v/>
      </c>
      <c r="AN238" s="165" t="n"/>
    </row>
    <row r="239" hidden="1" ht="18" customHeight="1" s="287">
      <c r="C239" s="133" t="n"/>
      <c r="D239" s="136">
        <f>IF($U239="Open Sale", IF(MAX($D$4:D238)+1=0, "", MAX($D$4:D238)+1), "")</f>
        <v/>
      </c>
      <c r="E239" s="136">
        <f>IF($U239="Pending Allocation", IF(MAX($E$4:E238)+1=0, "", MAX($E$4:E238)+1), "")</f>
        <v/>
      </c>
      <c r="F239" s="136" t="n"/>
      <c r="G239" s="136" t="n"/>
      <c r="H239" s="150" t="n"/>
      <c r="I239" s="150" t="n"/>
      <c r="J239" s="67">
        <f>IF(OpenPendingCases[[#This Row],[Timepiece Reference ]]="", "", IF(_xlfn.XLOOKUP(OpenPendingCases[[#This Row],[Timepiece Reference ]], Table1[[Timepiece Reference ]], Table1[CRC STOCK], "Not Found")="YES", "CRC Stock", "Boutique Stock"))</f>
        <v/>
      </c>
      <c r="K239" s="136">
        <f>IF(OpenPendingCases[[#This Row],[Timepiece Reference ]]="", "", IF(_xlfn.XLOOKUP(OpenPendingCases[[#This Row],[Timepiece Reference ]], Table1[[Timepiece Reference ]], Table1[CRC STOCK], "Not Found")="YES", "CRC Stock", "Boutique Stock"))</f>
        <v/>
      </c>
      <c r="L239" s="142" t="n"/>
      <c r="M239" s="140" t="n"/>
      <c r="N239" s="136" t="n"/>
      <c r="O239" s="133" t="n"/>
      <c r="P239" s="93">
        <f>IFERROR(VLOOKUP(TRIM(O239), Collection!$B$2:$D$1001, 2, FALSE), "")</f>
        <v/>
      </c>
      <c r="Q239" s="190">
        <f>IFERROR(VLOOKUP(TRIM(O239), Collection!$B$2:$D$1001, 3, FALSE), "")</f>
        <v/>
      </c>
      <c r="R239" s="153">
        <f>IFERROR(VALUE(SUBSTITUTE(SUBSTITUTE(Q239, "Price", ""), "AED", "")), "")</f>
        <v/>
      </c>
      <c r="S239" s="151" t="n"/>
      <c r="T239" s="158" t="n"/>
      <c r="U239" s="136" t="n"/>
      <c r="V239" s="136" t="n"/>
      <c r="W239" s="156">
        <f>IF(Z239 = "",
"",
TEXT(Z239, "mmmm"))</f>
        <v/>
      </c>
      <c r="X239" s="157" t="n"/>
      <c r="Y239" s="158" t="n"/>
      <c r="Z239" s="158" t="n"/>
      <c r="AA239" s="136">
        <f>IF(H239="", "", IF(U239="Open Sale", IF(TODAY()-H239=0, "0 Days", TEXT(TODAY()-H239, "0") &amp; " Days"), IF(U239="Closed Sale", AA239, "")))</f>
        <v/>
      </c>
      <c r="AB239" s="136">
        <f>IF(H239="", "", IF(OR(U239="Pending", U239="Pending Allocation"), CONCATENATE(TODAY()-H239, " Days"), IF(U239="Closed", "", "")))</f>
        <v/>
      </c>
      <c r="AC239" s="160">
        <f>IF(U239="Pending Allocation", IF(I239="", "", TODAY()-I239), "")</f>
        <v/>
      </c>
      <c r="AD239" s="159">
        <f>IF(U239="Open Sale", TEXT(TODAY()-I239, "0"),
IF(U239="Pending", "",
IF(U239="Closed Sale", "", "")))</f>
        <v/>
      </c>
      <c r="AE239" s="161" t="n"/>
      <c r="AF239" s="161" t="n"/>
      <c r="AG239" s="161" t="n"/>
      <c r="AH239" s="136" t="n"/>
      <c r="AI239" s="164">
        <f>IF(I239="","",TEXT(I239, "mmmm yyyy"))</f>
        <v/>
      </c>
      <c r="AJ239" s="164">
        <f>IF(AND(OpenPendingCases[[#This Row],[Sale Status	]]="Open Sale",OpenPendingCases[[#This Row],[Potential Same Month]]="High"),TEXT(OpenPendingCases[[#This Row],[Request Entry Date]], "[$-en-us]mmmm"),"")</f>
        <v/>
      </c>
      <c r="AK239" s="165">
        <f>IFERROR(VALUE(SUBSTITUTE(OpenPendingCases[[#This Row],[Price]]," AED","")),"")</f>
        <v/>
      </c>
      <c r="AL239" s="165">
        <f>IFERROR(VALUE(LEFT(OpenPendingCases[[#This Row],[Price]],FIND(" ",OpenPendingCases[[#This Row],[Price]])-1)),"")</f>
        <v/>
      </c>
      <c r="AM239" s="165">
        <f>IFERROR(VALUE(_xlfn.TEXTBEFORE(OpenPendingCases[[#This Row],[Price]]," AED")),"")</f>
        <v/>
      </c>
      <c r="AN239" s="165" t="n"/>
    </row>
    <row r="240" hidden="1" ht="18" customHeight="1" s="287">
      <c r="C240" s="133" t="n"/>
      <c r="D240" s="136">
        <f>IF($U240="Open Sale", IF(MAX($D$4:D239)+1=0, "", MAX($D$4:D239)+1), "")</f>
        <v/>
      </c>
      <c r="E240" s="136">
        <f>IF($U240="Pending Allocation", IF(MAX($E$4:E239)+1=0, "", MAX($E$4:E239)+1), "")</f>
        <v/>
      </c>
      <c r="F240" s="136" t="n"/>
      <c r="G240" s="136" t="n"/>
      <c r="H240" s="150" t="n"/>
      <c r="I240" s="150" t="n"/>
      <c r="J240" s="67">
        <f>IF(OpenPendingCases[[#This Row],[Timepiece Reference ]]="", "", IF(_xlfn.XLOOKUP(OpenPendingCases[[#This Row],[Timepiece Reference ]], Table1[[Timepiece Reference ]], Table1[CRC STOCK], "Not Found")="YES", "CRC Stock", "Boutique Stock"))</f>
        <v/>
      </c>
      <c r="K240" s="136">
        <f>IF(OpenPendingCases[[#This Row],[Timepiece Reference ]]="", "", IF(_xlfn.XLOOKUP(OpenPendingCases[[#This Row],[Timepiece Reference ]], Table1[[Timepiece Reference ]], Table1[CRC STOCK], "Not Found")="YES", "CRC Stock", "Boutique Stock"))</f>
        <v/>
      </c>
      <c r="L240" s="142" t="n"/>
      <c r="M240" s="140" t="n"/>
      <c r="N240" s="136" t="n"/>
      <c r="O240" s="133" t="n"/>
      <c r="P240" s="93">
        <f>IFERROR(VLOOKUP(TRIM(O240), Collection!$B$2:$D$1001, 2, FALSE), "")</f>
        <v/>
      </c>
      <c r="Q240" s="190">
        <f>IFERROR(VLOOKUP(TRIM(O240), Collection!$B$2:$D$1001, 3, FALSE), "")</f>
        <v/>
      </c>
      <c r="R240" s="153">
        <f>IFERROR(VALUE(SUBSTITUTE(SUBSTITUTE(Q240, "Price", ""), "AED", "")), "")</f>
        <v/>
      </c>
      <c r="S240" s="151" t="n"/>
      <c r="T240" s="158" t="n"/>
      <c r="U240" s="136" t="n"/>
      <c r="V240" s="136" t="n"/>
      <c r="W240" s="156">
        <f>IF(Z240 = "",
"",
TEXT(Z240, "mmmm"))</f>
        <v/>
      </c>
      <c r="X240" s="157" t="n"/>
      <c r="Y240" s="158" t="n"/>
      <c r="Z240" s="158" t="n"/>
      <c r="AA240" s="136">
        <f>IF(H240="", "", IF(U240="Open Sale", IF(TODAY()-H240=0, "0 Days", TEXT(TODAY()-H240, "0") &amp; " Days"), IF(U240="Closed Sale", AA240, "")))</f>
        <v/>
      </c>
      <c r="AB240" s="136">
        <f>IF(H240="", "", IF(OR(U240="Pending", U240="Pending Allocation"), CONCATENATE(TODAY()-H240, " Days"), IF(U240="Closed", "", "")))</f>
        <v/>
      </c>
      <c r="AC240" s="160">
        <f>IF(U240="Pending Allocation", IF(I240="", "", TODAY()-I240), "")</f>
        <v/>
      </c>
      <c r="AD240" s="159">
        <f>IF(U240="Open Sale", TEXT(TODAY()-I240, "0"),
IF(U240="Pending", "",
IF(U240="Closed Sale", "", "")))</f>
        <v/>
      </c>
      <c r="AE240" s="161" t="n"/>
      <c r="AF240" s="161" t="n"/>
      <c r="AG240" s="161" t="n"/>
      <c r="AH240" s="136" t="n"/>
      <c r="AI240" s="164">
        <f>IF(I240="","",TEXT(I240, "mmmm yyyy"))</f>
        <v/>
      </c>
      <c r="AJ240" s="164">
        <f>IF(AND(OpenPendingCases[[#This Row],[Sale Status	]]="Open Sale",OpenPendingCases[[#This Row],[Potential Same Month]]="High"),TEXT(OpenPendingCases[[#This Row],[Request Entry Date]], "[$-en-us]mmmm"),"")</f>
        <v/>
      </c>
      <c r="AK240" s="165">
        <f>IFERROR(VALUE(SUBSTITUTE(OpenPendingCases[[#This Row],[Price]]," AED","")),"")</f>
        <v/>
      </c>
      <c r="AL240" s="165">
        <f>IFERROR(VALUE(LEFT(OpenPendingCases[[#This Row],[Price]],FIND(" ",OpenPendingCases[[#This Row],[Price]])-1)),"")</f>
        <v/>
      </c>
      <c r="AM240" s="165">
        <f>IFERROR(VALUE(_xlfn.TEXTBEFORE(OpenPendingCases[[#This Row],[Price]]," AED")),"")</f>
        <v/>
      </c>
      <c r="AN240" s="165" t="n"/>
    </row>
    <row r="241" hidden="1" ht="18" customHeight="1" s="287">
      <c r="C241" s="133" t="n"/>
      <c r="D241" s="136">
        <f>IF($U241="Open Sale", IF(MAX($D$4:D240)+1=0, "", MAX($D$4:D240)+1), "")</f>
        <v/>
      </c>
      <c r="E241" s="136">
        <f>IF($U241="Pending Allocation", IF(MAX($E$4:E240)+1=0, "", MAX($E$4:E240)+1), "")</f>
        <v/>
      </c>
      <c r="F241" s="136" t="n"/>
      <c r="G241" s="136" t="n"/>
      <c r="H241" s="150" t="n"/>
      <c r="I241" s="150" t="n"/>
      <c r="J241" s="67">
        <f>IF(OpenPendingCases[[#This Row],[Timepiece Reference ]]="", "", IF(_xlfn.XLOOKUP(OpenPendingCases[[#This Row],[Timepiece Reference ]], Table1[[Timepiece Reference ]], Table1[CRC STOCK], "Not Found")="YES", "CRC Stock", "Boutique Stock"))</f>
        <v/>
      </c>
      <c r="K241" s="136">
        <f>IF(OpenPendingCases[[#This Row],[Timepiece Reference ]]="", "", IF(_xlfn.XLOOKUP(OpenPendingCases[[#This Row],[Timepiece Reference ]], Table1[[Timepiece Reference ]], Table1[CRC STOCK], "Not Found")="YES", "CRC Stock", "Boutique Stock"))</f>
        <v/>
      </c>
      <c r="L241" s="142" t="n"/>
      <c r="M241" s="140" t="n"/>
      <c r="N241" s="136" t="n"/>
      <c r="O241" s="133" t="n"/>
      <c r="P241" s="93">
        <f>IFERROR(VLOOKUP(TRIM(O241), Collection!$B$2:$D$1001, 2, FALSE), "")</f>
        <v/>
      </c>
      <c r="Q241" s="190">
        <f>IFERROR(VLOOKUP(TRIM(O241), Collection!$B$2:$D$1001, 3, FALSE), "")</f>
        <v/>
      </c>
      <c r="R241" s="153">
        <f>IFERROR(VALUE(SUBSTITUTE(SUBSTITUTE(Q241, "Price", ""), "AED", "")), "")</f>
        <v/>
      </c>
      <c r="S241" s="151" t="n"/>
      <c r="T241" s="158" t="n"/>
      <c r="U241" s="136" t="n"/>
      <c r="V241" s="136" t="n"/>
      <c r="W241" s="156">
        <f>IF(Z241 = "",
"",
TEXT(Z241, "mmmm"))</f>
        <v/>
      </c>
      <c r="X241" s="157" t="n"/>
      <c r="Y241" s="158" t="n"/>
      <c r="Z241" s="158" t="n"/>
      <c r="AA241" s="136">
        <f>IF(H241="", "", IF(U241="Open Sale", IF(TODAY()-H241=0, "0 Days", TEXT(TODAY()-H241, "0") &amp; " Days"), IF(U241="Closed Sale", AA241, "")))</f>
        <v/>
      </c>
      <c r="AB241" s="136">
        <f>IF(H241="", "", IF(OR(U241="Pending", U241="Pending Allocation"), CONCATENATE(TODAY()-H241, " Days"), IF(U241="Closed", "", "")))</f>
        <v/>
      </c>
      <c r="AC241" s="160">
        <f>IF(U241="Pending Allocation", IF(I241="", "", TODAY()-I241), "")</f>
        <v/>
      </c>
      <c r="AD241" s="159">
        <f>IF(U241="Open Sale", TEXT(TODAY()-I241, "0"),
IF(U241="Pending", "",
IF(U241="Closed Sale", "", "")))</f>
        <v/>
      </c>
      <c r="AE241" s="161" t="n"/>
      <c r="AF241" s="161" t="n"/>
      <c r="AG241" s="161" t="n"/>
      <c r="AH241" s="136" t="n"/>
      <c r="AI241" s="164">
        <f>IF(I241="","",TEXT(I241, "mmmm yyyy"))</f>
        <v/>
      </c>
      <c r="AJ241" s="164">
        <f>IF(AND(OpenPendingCases[[#This Row],[Sale Status	]]="Open Sale",OpenPendingCases[[#This Row],[Potential Same Month]]="High"),TEXT(OpenPendingCases[[#This Row],[Request Entry Date]], "[$-en-us]mmmm"),"")</f>
        <v/>
      </c>
      <c r="AK241" s="165">
        <f>IFERROR(VALUE(SUBSTITUTE(OpenPendingCases[[#This Row],[Price]]," AED","")),"")</f>
        <v/>
      </c>
      <c r="AL241" s="165">
        <f>IFERROR(VALUE(LEFT(OpenPendingCases[[#This Row],[Price]],FIND(" ",OpenPendingCases[[#This Row],[Price]])-1)),"")</f>
        <v/>
      </c>
      <c r="AM241" s="165">
        <f>IFERROR(VALUE(_xlfn.TEXTBEFORE(OpenPendingCases[[#This Row],[Price]]," AED")),"")</f>
        <v/>
      </c>
      <c r="AN241" s="165" t="n"/>
    </row>
    <row r="242" hidden="1" ht="18" customHeight="1" s="287">
      <c r="C242" s="133" t="n"/>
      <c r="D242" s="136">
        <f>IF($U242="Open Sale", IF(MAX($D$4:D241)+1=0, "", MAX($D$4:D241)+1), "")</f>
        <v/>
      </c>
      <c r="E242" s="136">
        <f>IF($U242="Pending Allocation", IF(MAX($E$4:E241)+1=0, "", MAX($E$4:E241)+1), "")</f>
        <v/>
      </c>
      <c r="F242" s="136" t="n"/>
      <c r="G242" s="136" t="n"/>
      <c r="H242" s="150" t="n"/>
      <c r="I242" s="150" t="n"/>
      <c r="J242" s="67">
        <f>IF(OpenPendingCases[[#This Row],[Timepiece Reference ]]="", "", IF(_xlfn.XLOOKUP(OpenPendingCases[[#This Row],[Timepiece Reference ]], Table1[[Timepiece Reference ]], Table1[CRC STOCK], "Not Found")="YES", "CRC Stock", "Boutique Stock"))</f>
        <v/>
      </c>
      <c r="K242" s="136">
        <f>IF(OpenPendingCases[[#This Row],[Timepiece Reference ]]="", "", IF(_xlfn.XLOOKUP(OpenPendingCases[[#This Row],[Timepiece Reference ]], Table1[[Timepiece Reference ]], Table1[CRC STOCK], "Not Found")="YES", "CRC Stock", "Boutique Stock"))</f>
        <v/>
      </c>
      <c r="L242" s="142" t="n"/>
      <c r="M242" s="140" t="n"/>
      <c r="N242" s="136" t="n"/>
      <c r="O242" s="133" t="n"/>
      <c r="P242" s="93">
        <f>IFERROR(VLOOKUP(TRIM(O242), Collection!$B$2:$D$1001, 2, FALSE), "")</f>
        <v/>
      </c>
      <c r="Q242" s="190">
        <f>IFERROR(VLOOKUP(TRIM(O242), Collection!$B$2:$D$1001, 3, FALSE), "")</f>
        <v/>
      </c>
      <c r="R242" s="153">
        <f>IFERROR(VALUE(SUBSTITUTE(SUBSTITUTE(Q242, "Price", ""), "AED", "")), "")</f>
        <v/>
      </c>
      <c r="S242" s="151" t="n"/>
      <c r="T242" s="158" t="n"/>
      <c r="U242" s="136" t="n"/>
      <c r="V242" s="136" t="n"/>
      <c r="W242" s="156">
        <f>IF(Z242 = "",
"",
TEXT(Z242, "mmmm"))</f>
        <v/>
      </c>
      <c r="X242" s="157" t="n"/>
      <c r="Y242" s="158" t="n"/>
      <c r="Z242" s="158" t="n"/>
      <c r="AA242" s="136">
        <f>IF(H242="", "", IF(U242="Open Sale", IF(TODAY()-H242=0, "0 Days", TEXT(TODAY()-H242, "0") &amp; " Days"), IF(U242="Closed Sale", AA242, "")))</f>
        <v/>
      </c>
      <c r="AB242" s="136">
        <f>IF(H242="", "", IF(OR(U242="Pending", U242="Pending Allocation"), CONCATENATE(TODAY()-H242, " Days"), IF(U242="Closed", "", "")))</f>
        <v/>
      </c>
      <c r="AC242" s="160">
        <f>IF(U242="Pending Allocation", IF(I242="", "", TODAY()-I242), "")</f>
        <v/>
      </c>
      <c r="AD242" s="159">
        <f>IF(U242="Open Sale", TEXT(TODAY()-I242, "0"),
IF(U242="Pending", "",
IF(U242="Closed Sale", "", "")))</f>
        <v/>
      </c>
      <c r="AE242" s="161" t="n"/>
      <c r="AF242" s="161" t="n"/>
      <c r="AG242" s="161" t="n"/>
      <c r="AH242" s="136" t="n"/>
      <c r="AI242" s="164">
        <f>IF(I242="","",TEXT(I242, "mmmm yyyy"))</f>
        <v/>
      </c>
      <c r="AJ242" s="164">
        <f>IF(AND(OpenPendingCases[[#This Row],[Sale Status	]]="Open Sale",OpenPendingCases[[#This Row],[Potential Same Month]]="High"),TEXT(OpenPendingCases[[#This Row],[Request Entry Date]], "[$-en-us]mmmm"),"")</f>
        <v/>
      </c>
      <c r="AK242" s="165">
        <f>IFERROR(VALUE(SUBSTITUTE(OpenPendingCases[[#This Row],[Price]]," AED","")),"")</f>
        <v/>
      </c>
      <c r="AL242" s="165">
        <f>IFERROR(VALUE(LEFT(OpenPendingCases[[#This Row],[Price]],FIND(" ",OpenPendingCases[[#This Row],[Price]])-1)),"")</f>
        <v/>
      </c>
      <c r="AM242" s="165">
        <f>IFERROR(VALUE(_xlfn.TEXTBEFORE(OpenPendingCases[[#This Row],[Price]]," AED")),"")</f>
        <v/>
      </c>
      <c r="AN242" s="165" t="n"/>
    </row>
    <row r="243" hidden="1" ht="18" customHeight="1" s="287">
      <c r="C243" s="133" t="n"/>
      <c r="D243" s="136">
        <f>IF($U243="Open Sale", IF(MAX($D$4:D242)+1=0, "", MAX($D$4:D242)+1), "")</f>
        <v/>
      </c>
      <c r="E243" s="136">
        <f>IF($U243="Pending Allocation", IF(MAX($E$4:E242)+1=0, "", MAX($E$4:E242)+1), "")</f>
        <v/>
      </c>
      <c r="F243" s="136" t="n"/>
      <c r="G243" s="136" t="n"/>
      <c r="H243" s="150" t="n"/>
      <c r="I243" s="150" t="n"/>
      <c r="J243" s="67">
        <f>IF(OpenPendingCases[[#This Row],[Timepiece Reference ]]="", "", IF(_xlfn.XLOOKUP(OpenPendingCases[[#This Row],[Timepiece Reference ]], Table1[[Timepiece Reference ]], Table1[CRC STOCK], "Not Found")="YES", "CRC Stock", "Boutique Stock"))</f>
        <v/>
      </c>
      <c r="K243" s="136">
        <f>IF(OpenPendingCases[[#This Row],[Timepiece Reference ]]="", "", IF(_xlfn.XLOOKUP(OpenPendingCases[[#This Row],[Timepiece Reference ]], Table1[[Timepiece Reference ]], Table1[CRC STOCK], "Not Found")="YES", "CRC Stock", "Boutique Stock"))</f>
        <v/>
      </c>
      <c r="L243" s="142" t="n"/>
      <c r="M243" s="140" t="n"/>
      <c r="N243" s="136" t="n"/>
      <c r="O243" s="133" t="n"/>
      <c r="P243" s="93">
        <f>IFERROR(VLOOKUP(TRIM(O243), Collection!$B$2:$D$1001, 2, FALSE), "")</f>
        <v/>
      </c>
      <c r="Q243" s="190">
        <f>IFERROR(VLOOKUP(TRIM(O243), Collection!$B$2:$D$1001, 3, FALSE), "")</f>
        <v/>
      </c>
      <c r="R243" s="153">
        <f>IFERROR(VALUE(SUBSTITUTE(SUBSTITUTE(Q243, "Price", ""), "AED", "")), "")</f>
        <v/>
      </c>
      <c r="S243" s="151" t="n"/>
      <c r="T243" s="158" t="n"/>
      <c r="U243" s="136" t="n"/>
      <c r="V243" s="136" t="n"/>
      <c r="W243" s="156">
        <f>IF(Z243 = "",
"",
TEXT(Z243, "mmmm"))</f>
        <v/>
      </c>
      <c r="X243" s="157" t="n"/>
      <c r="Y243" s="158" t="n"/>
      <c r="Z243" s="158" t="n"/>
      <c r="AA243" s="136">
        <f>IF(H243="", "", IF(U243="Open Sale", IF(TODAY()-H243=0, "0 Days", TEXT(TODAY()-H243, "0") &amp; " Days"), IF(U243="Closed Sale", AA243, "")))</f>
        <v/>
      </c>
      <c r="AB243" s="136">
        <f>IF(H243="", "", IF(OR(U243="Pending", U243="Pending Allocation"), CONCATENATE(TODAY()-H243, " Days"), IF(U243="Closed", "", "")))</f>
        <v/>
      </c>
      <c r="AC243" s="160">
        <f>IF(U243="Pending Allocation", IF(I243="", "", TODAY()-I243), "")</f>
        <v/>
      </c>
      <c r="AD243" s="159">
        <f>IF(U243="Open Sale", TEXT(TODAY()-I243, "0"),
IF(U243="Pending", "",
IF(U243="Closed Sale", "", "")))</f>
        <v/>
      </c>
      <c r="AE243" s="161" t="n"/>
      <c r="AF243" s="161" t="n"/>
      <c r="AG243" s="161" t="n"/>
      <c r="AH243" s="136" t="n"/>
      <c r="AI243" s="164">
        <f>IF(I243="","",TEXT(I243, "mmmm yyyy"))</f>
        <v/>
      </c>
      <c r="AJ243" s="164">
        <f>IF(AND(OpenPendingCases[[#This Row],[Sale Status	]]="Open Sale",OpenPendingCases[[#This Row],[Potential Same Month]]="High"),TEXT(OpenPendingCases[[#This Row],[Request Entry Date]], "[$-en-us]mmmm"),"")</f>
        <v/>
      </c>
      <c r="AK243" s="165">
        <f>IFERROR(VALUE(SUBSTITUTE(OpenPendingCases[[#This Row],[Price]]," AED","")),"")</f>
        <v/>
      </c>
      <c r="AL243" s="165">
        <f>IFERROR(VALUE(LEFT(OpenPendingCases[[#This Row],[Price]],FIND(" ",OpenPendingCases[[#This Row],[Price]])-1)),"")</f>
        <v/>
      </c>
      <c r="AM243" s="165">
        <f>IFERROR(VALUE(_xlfn.TEXTBEFORE(OpenPendingCases[[#This Row],[Price]]," AED")),"")</f>
        <v/>
      </c>
      <c r="AN243" s="165" t="n"/>
    </row>
    <row r="244" hidden="1" ht="18" customHeight="1" s="287">
      <c r="C244" s="133" t="n"/>
      <c r="D244" s="136">
        <f>IF($U244="Open Sale", IF(MAX($D$4:D243)+1=0, "", MAX($D$4:D243)+1), "")</f>
        <v/>
      </c>
      <c r="E244" s="136">
        <f>IF($U244="Pending Allocation", IF(MAX($E$4:E243)+1=0, "", MAX($E$4:E243)+1), "")</f>
        <v/>
      </c>
      <c r="F244" s="136" t="n"/>
      <c r="G244" s="136" t="n"/>
      <c r="H244" s="150" t="n"/>
      <c r="I244" s="150" t="n"/>
      <c r="J244" s="67">
        <f>IF(OpenPendingCases[[#This Row],[Timepiece Reference ]]="", "", IF(_xlfn.XLOOKUP(OpenPendingCases[[#This Row],[Timepiece Reference ]], Table1[[Timepiece Reference ]], Table1[CRC STOCK], "Not Found")="YES", "CRC Stock", "Boutique Stock"))</f>
        <v/>
      </c>
      <c r="K244" s="136">
        <f>IF(OpenPendingCases[[#This Row],[Timepiece Reference ]]="", "", IF(_xlfn.XLOOKUP(OpenPendingCases[[#This Row],[Timepiece Reference ]], Table1[[Timepiece Reference ]], Table1[CRC STOCK], "Not Found")="YES", "CRC Stock", "Boutique Stock"))</f>
        <v/>
      </c>
      <c r="L244" s="142" t="n"/>
      <c r="M244" s="140" t="n"/>
      <c r="N244" s="136" t="n"/>
      <c r="O244" s="133" t="n"/>
      <c r="P244" s="93">
        <f>IFERROR(VLOOKUP(TRIM(O244), Collection!$B$2:$D$1001, 2, FALSE), "")</f>
        <v/>
      </c>
      <c r="Q244" s="190">
        <f>IFERROR(VLOOKUP(TRIM(O244), Collection!$B$2:$D$1001, 3, FALSE), "")</f>
        <v/>
      </c>
      <c r="R244" s="153">
        <f>IFERROR(VALUE(SUBSTITUTE(SUBSTITUTE(Q244, "Price", ""), "AED", "")), "")</f>
        <v/>
      </c>
      <c r="S244" s="151" t="n"/>
      <c r="T244" s="158" t="n"/>
      <c r="U244" s="136" t="n"/>
      <c r="V244" s="136" t="n"/>
      <c r="W244" s="156">
        <f>IF(Z244 = "",
"",
TEXT(Z244, "mmmm"))</f>
        <v/>
      </c>
      <c r="X244" s="157" t="n"/>
      <c r="Y244" s="158" t="n"/>
      <c r="Z244" s="158" t="n"/>
      <c r="AA244" s="136">
        <f>IF(H244="", "", IF(U244="Open Sale", IF(TODAY()-H244=0, "0 Days", TEXT(TODAY()-H244, "0") &amp; " Days"), IF(U244="Closed Sale", AA244, "")))</f>
        <v/>
      </c>
      <c r="AB244" s="136">
        <f>IF(H244="", "", IF(OR(U244="Pending", U244="Pending Allocation"), CONCATENATE(TODAY()-H244, " Days"), IF(U244="Closed", "", "")))</f>
        <v/>
      </c>
      <c r="AC244" s="160">
        <f>IF(U244="Pending Allocation", IF(I244="", "", TODAY()-I244), "")</f>
        <v/>
      </c>
      <c r="AD244" s="159">
        <f>IF(U244="Open Sale", TEXT(TODAY()-I244, "0"),
IF(U244="Pending", "",
IF(U244="Closed Sale", "", "")))</f>
        <v/>
      </c>
      <c r="AE244" s="161" t="n"/>
      <c r="AF244" s="161" t="n"/>
      <c r="AG244" s="161" t="n"/>
      <c r="AH244" s="136" t="n"/>
      <c r="AI244" s="164">
        <f>IF(I244="","",TEXT(I244, "mmmm yyyy"))</f>
        <v/>
      </c>
      <c r="AJ244" s="164">
        <f>IF(AND(OpenPendingCases[[#This Row],[Sale Status	]]="Open Sale",OpenPendingCases[[#This Row],[Potential Same Month]]="High"),TEXT(OpenPendingCases[[#This Row],[Request Entry Date]], "[$-en-us]mmmm"),"")</f>
        <v/>
      </c>
      <c r="AK244" s="165">
        <f>IFERROR(VALUE(SUBSTITUTE(OpenPendingCases[[#This Row],[Price]]," AED","")),"")</f>
        <v/>
      </c>
      <c r="AL244" s="165">
        <f>IFERROR(VALUE(LEFT(OpenPendingCases[[#This Row],[Price]],FIND(" ",OpenPendingCases[[#This Row],[Price]])-1)),"")</f>
        <v/>
      </c>
      <c r="AM244" s="165">
        <f>IFERROR(VALUE(_xlfn.TEXTBEFORE(OpenPendingCases[[#This Row],[Price]]," AED")),"")</f>
        <v/>
      </c>
      <c r="AN244" s="165" t="n"/>
    </row>
    <row r="245" hidden="1" ht="18" customHeight="1" s="287">
      <c r="C245" s="133" t="n"/>
      <c r="D245" s="136">
        <f>IF($U245="Open Sale", IF(MAX($D$4:D244)+1=0, "", MAX($D$4:D244)+1), "")</f>
        <v/>
      </c>
      <c r="E245" s="136">
        <f>IF($U245="Pending Allocation", IF(MAX($E$4:E244)+1=0, "", MAX($E$4:E244)+1), "")</f>
        <v/>
      </c>
      <c r="F245" s="136" t="n"/>
      <c r="G245" s="136" t="n"/>
      <c r="H245" s="150" t="n"/>
      <c r="I245" s="150" t="n"/>
      <c r="J245" s="67">
        <f>IF(OpenPendingCases[[#This Row],[Timepiece Reference ]]="", "", IF(_xlfn.XLOOKUP(OpenPendingCases[[#This Row],[Timepiece Reference ]], Table1[[Timepiece Reference ]], Table1[CRC STOCK], "Not Found")="YES", "CRC Stock", "Boutique Stock"))</f>
        <v/>
      </c>
      <c r="K245" s="136">
        <f>IF(OpenPendingCases[[#This Row],[Timepiece Reference ]]="", "", IF(_xlfn.XLOOKUP(OpenPendingCases[[#This Row],[Timepiece Reference ]], Table1[[Timepiece Reference ]], Table1[CRC STOCK], "Not Found")="YES", "CRC Stock", "Boutique Stock"))</f>
        <v/>
      </c>
      <c r="L245" s="142" t="n"/>
      <c r="M245" s="140" t="n"/>
      <c r="N245" s="136" t="n"/>
      <c r="O245" s="133" t="n"/>
      <c r="P245" s="93">
        <f>IFERROR(VLOOKUP(TRIM(O245), Collection!$B$2:$D$1001, 2, FALSE), "")</f>
        <v/>
      </c>
      <c r="Q245" s="190">
        <f>IFERROR(VLOOKUP(TRIM(O245), Collection!$B$2:$D$1001, 3, FALSE), "")</f>
        <v/>
      </c>
      <c r="R245" s="153">
        <f>IFERROR(VALUE(SUBSTITUTE(SUBSTITUTE(Q245, "Price", ""), "AED", "")), "")</f>
        <v/>
      </c>
      <c r="S245" s="151" t="n"/>
      <c r="T245" s="158" t="n"/>
      <c r="U245" s="136" t="n"/>
      <c r="V245" s="136" t="n"/>
      <c r="W245" s="156">
        <f>IF(Z245 = "",
"",
TEXT(Z245, "mmmm"))</f>
        <v/>
      </c>
      <c r="X245" s="157" t="n"/>
      <c r="Y245" s="158" t="n"/>
      <c r="Z245" s="158" t="n"/>
      <c r="AA245" s="136">
        <f>IF(H245="", "", IF(U245="Open Sale", IF(TODAY()-H245=0, "0 Days", TEXT(TODAY()-H245, "0") &amp; " Days"), IF(U245="Closed Sale", AA245, "")))</f>
        <v/>
      </c>
      <c r="AB245" s="136">
        <f>IF(H245="", "", IF(OR(U245="Pending", U245="Pending Allocation"), CONCATENATE(TODAY()-H245, " Days"), IF(U245="Closed", "", "")))</f>
        <v/>
      </c>
      <c r="AC245" s="160">
        <f>IF(U245="Pending Allocation", IF(I245="", "", TODAY()-I245), "")</f>
        <v/>
      </c>
      <c r="AD245" s="159">
        <f>IF(U245="Open Sale", TEXT(TODAY()-I245, "0"),
IF(U245="Pending", "",
IF(U245="Closed Sale", "", "")))</f>
        <v/>
      </c>
      <c r="AE245" s="161" t="n"/>
      <c r="AF245" s="161" t="n"/>
      <c r="AG245" s="161" t="n"/>
      <c r="AH245" s="136" t="n"/>
      <c r="AI245" s="164">
        <f>IF(I245="","",TEXT(I245, "mmmm yyyy"))</f>
        <v/>
      </c>
      <c r="AJ245" s="164">
        <f>IF(AND(OpenPendingCases[[#This Row],[Sale Status	]]="Open Sale",OpenPendingCases[[#This Row],[Potential Same Month]]="High"),TEXT(OpenPendingCases[[#This Row],[Request Entry Date]], "[$-en-us]mmmm"),"")</f>
        <v/>
      </c>
      <c r="AK245" s="165">
        <f>IFERROR(VALUE(SUBSTITUTE(OpenPendingCases[[#This Row],[Price]]," AED","")),"")</f>
        <v/>
      </c>
      <c r="AL245" s="165">
        <f>IFERROR(VALUE(LEFT(OpenPendingCases[[#This Row],[Price]],FIND(" ",OpenPendingCases[[#This Row],[Price]])-1)),"")</f>
        <v/>
      </c>
      <c r="AM245" s="165">
        <f>IFERROR(VALUE(_xlfn.TEXTBEFORE(OpenPendingCases[[#This Row],[Price]]," AED")),"")</f>
        <v/>
      </c>
      <c r="AN245" s="165" t="n"/>
    </row>
    <row r="246" hidden="1" ht="18" customHeight="1" s="287">
      <c r="C246" s="133" t="n"/>
      <c r="D246" s="136">
        <f>IF($U246="Open Sale", IF(MAX($D$4:D245)+1=0, "", MAX($D$4:D245)+1), "")</f>
        <v/>
      </c>
      <c r="E246" s="136">
        <f>IF($U246="Pending Allocation", IF(MAX($E$4:E245)+1=0, "", MAX($E$4:E245)+1), "")</f>
        <v/>
      </c>
      <c r="F246" s="136" t="n"/>
      <c r="G246" s="136" t="n"/>
      <c r="H246" s="150" t="n"/>
      <c r="I246" s="150" t="n"/>
      <c r="J246" s="67">
        <f>IF(OpenPendingCases[[#This Row],[Timepiece Reference ]]="", "", IF(_xlfn.XLOOKUP(OpenPendingCases[[#This Row],[Timepiece Reference ]], Table1[[Timepiece Reference ]], Table1[CRC STOCK], "Not Found")="YES", "CRC Stock", "Boutique Stock"))</f>
        <v/>
      </c>
      <c r="K246" s="136">
        <f>IF(OpenPendingCases[[#This Row],[Timepiece Reference ]]="", "", IF(_xlfn.XLOOKUP(OpenPendingCases[[#This Row],[Timepiece Reference ]], Table1[[Timepiece Reference ]], Table1[CRC STOCK], "Not Found")="YES", "CRC Stock", "Boutique Stock"))</f>
        <v/>
      </c>
      <c r="L246" s="142" t="n"/>
      <c r="M246" s="140" t="n"/>
      <c r="N246" s="136" t="n"/>
      <c r="O246" s="133" t="n"/>
      <c r="P246" s="93">
        <f>IFERROR(VLOOKUP(TRIM(O246), Collection!$B$2:$D$1001, 2, FALSE), "")</f>
        <v/>
      </c>
      <c r="Q246" s="190">
        <f>IFERROR(VLOOKUP(TRIM(O246), Collection!$B$2:$D$1001, 3, FALSE), "")</f>
        <v/>
      </c>
      <c r="R246" s="153">
        <f>IFERROR(VALUE(SUBSTITUTE(SUBSTITUTE(Q246, "Price", ""), "AED", "")), "")</f>
        <v/>
      </c>
      <c r="S246" s="151" t="n"/>
      <c r="T246" s="158" t="n"/>
      <c r="U246" s="136" t="n"/>
      <c r="V246" s="136" t="n"/>
      <c r="W246" s="156">
        <f>IF(Z246 = "",
"",
TEXT(Z246, "mmmm"))</f>
        <v/>
      </c>
      <c r="X246" s="157" t="n"/>
      <c r="Y246" s="158" t="n"/>
      <c r="Z246" s="158" t="n"/>
      <c r="AA246" s="136">
        <f>IF(H246="", "", IF(U246="Open Sale", IF(TODAY()-H246=0, "0 Days", TEXT(TODAY()-H246, "0") &amp; " Days"), IF(U246="Closed Sale", AA246, "")))</f>
        <v/>
      </c>
      <c r="AB246" s="136">
        <f>IF(H246="", "", IF(OR(U246="Pending", U246="Pending Allocation"), CONCATENATE(TODAY()-H246, " Days"), IF(U246="Closed", "", "")))</f>
        <v/>
      </c>
      <c r="AC246" s="160">
        <f>IF(U246="Pending Allocation", IF(I246="", "", TODAY()-I246), "")</f>
        <v/>
      </c>
      <c r="AD246" s="159">
        <f>IF(U246="Open Sale", TEXT(TODAY()-I246, "0"),
IF(U246="Pending", "",
IF(U246="Closed Sale", "", "")))</f>
        <v/>
      </c>
      <c r="AE246" s="161" t="n"/>
      <c r="AF246" s="161" t="n"/>
      <c r="AG246" s="161" t="n"/>
      <c r="AH246" s="136" t="n"/>
      <c r="AI246" s="164">
        <f>IF(I246="","",TEXT(I246, "mmmm yyyy"))</f>
        <v/>
      </c>
      <c r="AJ246" s="164">
        <f>IF(AND(OpenPendingCases[[#This Row],[Sale Status	]]="Open Sale",OpenPendingCases[[#This Row],[Potential Same Month]]="High"),TEXT(OpenPendingCases[[#This Row],[Request Entry Date]], "[$-en-us]mmmm"),"")</f>
        <v/>
      </c>
      <c r="AK246" s="165">
        <f>IFERROR(VALUE(SUBSTITUTE(OpenPendingCases[[#This Row],[Price]]," AED","")),"")</f>
        <v/>
      </c>
      <c r="AL246" s="165">
        <f>IFERROR(VALUE(LEFT(OpenPendingCases[[#This Row],[Price]],FIND(" ",OpenPendingCases[[#This Row],[Price]])-1)),"")</f>
        <v/>
      </c>
      <c r="AM246" s="165">
        <f>IFERROR(VALUE(_xlfn.TEXTBEFORE(OpenPendingCases[[#This Row],[Price]]," AED")),"")</f>
        <v/>
      </c>
      <c r="AN246" s="165" t="n"/>
    </row>
    <row r="247" hidden="1" ht="18" customHeight="1" s="287">
      <c r="C247" s="133" t="n"/>
      <c r="D247" s="136">
        <f>IF($U247="Open Sale", IF(MAX($D$4:D246)+1=0, "", MAX($D$4:D246)+1), "")</f>
        <v/>
      </c>
      <c r="E247" s="136">
        <f>IF($U247="Pending Allocation", IF(MAX($E$4:E246)+1=0, "", MAX($E$4:E246)+1), "")</f>
        <v/>
      </c>
      <c r="F247" s="136" t="n"/>
      <c r="G247" s="136" t="n"/>
      <c r="H247" s="150" t="n"/>
      <c r="I247" s="150" t="n"/>
      <c r="J247" s="67">
        <f>IF(OpenPendingCases[[#This Row],[Timepiece Reference ]]="", "", IF(_xlfn.XLOOKUP(OpenPendingCases[[#This Row],[Timepiece Reference ]], Table1[[Timepiece Reference ]], Table1[CRC STOCK], "Not Found")="YES", "CRC Stock", "Boutique Stock"))</f>
        <v/>
      </c>
      <c r="K247" s="136">
        <f>IF(OpenPendingCases[[#This Row],[Timepiece Reference ]]="", "", IF(_xlfn.XLOOKUP(OpenPendingCases[[#This Row],[Timepiece Reference ]], Table1[[Timepiece Reference ]], Table1[CRC STOCK], "Not Found")="YES", "CRC Stock", "Boutique Stock"))</f>
        <v/>
      </c>
      <c r="L247" s="142" t="n"/>
      <c r="M247" s="140" t="n"/>
      <c r="N247" s="136" t="n"/>
      <c r="O247" s="133" t="n"/>
      <c r="P247" s="93">
        <f>IFERROR(VLOOKUP(TRIM(O247), Collection!$B$2:$D$1001, 2, FALSE), "")</f>
        <v/>
      </c>
      <c r="Q247" s="190">
        <f>IFERROR(VLOOKUP(TRIM(O247), Collection!$B$2:$D$1001, 3, FALSE), "")</f>
        <v/>
      </c>
      <c r="R247" s="153">
        <f>IFERROR(VALUE(SUBSTITUTE(SUBSTITUTE(Q247, "Price", ""), "AED", "")), "")</f>
        <v/>
      </c>
      <c r="S247" s="151" t="n"/>
      <c r="T247" s="158" t="n"/>
      <c r="U247" s="136" t="n"/>
      <c r="V247" s="136" t="n"/>
      <c r="W247" s="156">
        <f>IF(Z247 = "",
"",
TEXT(Z247, "mmmm"))</f>
        <v/>
      </c>
      <c r="X247" s="157" t="n"/>
      <c r="Y247" s="158" t="n"/>
      <c r="Z247" s="158" t="n"/>
      <c r="AA247" s="136">
        <f>IF(H247="", "", IF(U247="Open Sale", IF(TODAY()-H247=0, "0 Days", TEXT(TODAY()-H247, "0") &amp; " Days"), IF(U247="Closed Sale", AA247, "")))</f>
        <v/>
      </c>
      <c r="AB247" s="136">
        <f>IF(H247="", "", IF(OR(U247="Pending", U247="Pending Allocation"), CONCATENATE(TODAY()-H247, " Days"), IF(U247="Closed", "", "")))</f>
        <v/>
      </c>
      <c r="AC247" s="160">
        <f>IF(U247="Pending Allocation", IF(I247="", "", TODAY()-I247), "")</f>
        <v/>
      </c>
      <c r="AD247" s="159">
        <f>IF(U247="Open Sale", TEXT(TODAY()-I247, "0"),
IF(U247="Pending", "",
IF(U247="Closed Sale", "", "")))</f>
        <v/>
      </c>
      <c r="AE247" s="161" t="n"/>
      <c r="AF247" s="161" t="n"/>
      <c r="AG247" s="161" t="n"/>
      <c r="AH247" s="136" t="n"/>
      <c r="AI247" s="164">
        <f>IF(I247="","",TEXT(I247, "mmmm yyyy"))</f>
        <v/>
      </c>
      <c r="AJ247" s="164">
        <f>IF(AND(OpenPendingCases[[#This Row],[Sale Status	]]="Open Sale",OpenPendingCases[[#This Row],[Potential Same Month]]="High"),TEXT(OpenPendingCases[[#This Row],[Request Entry Date]], "[$-en-us]mmmm"),"")</f>
        <v/>
      </c>
      <c r="AK247" s="165">
        <f>IFERROR(VALUE(SUBSTITUTE(OpenPendingCases[[#This Row],[Price]]," AED","")),"")</f>
        <v/>
      </c>
      <c r="AL247" s="165">
        <f>IFERROR(VALUE(LEFT(OpenPendingCases[[#This Row],[Price]],FIND(" ",OpenPendingCases[[#This Row],[Price]])-1)),"")</f>
        <v/>
      </c>
      <c r="AM247" s="165">
        <f>IFERROR(VALUE(_xlfn.TEXTBEFORE(OpenPendingCases[[#This Row],[Price]]," AED")),"")</f>
        <v/>
      </c>
      <c r="AN247" s="165" t="n"/>
    </row>
    <row r="248" hidden="1" ht="18" customHeight="1" s="287">
      <c r="C248" s="133" t="n"/>
      <c r="D248" s="136">
        <f>IF($U248="Open Sale", IF(MAX($D$4:D247)+1=0, "", MAX($D$4:D247)+1), "")</f>
        <v/>
      </c>
      <c r="E248" s="136">
        <f>IF($U248="Pending Allocation", IF(MAX($E$4:E247)+1=0, "", MAX($E$4:E247)+1), "")</f>
        <v/>
      </c>
      <c r="F248" s="136" t="n"/>
      <c r="G248" s="136" t="n"/>
      <c r="H248" s="150" t="n"/>
      <c r="I248" s="150" t="n"/>
      <c r="J248" s="67">
        <f>IF(OpenPendingCases[[#This Row],[Timepiece Reference ]]="", "", IF(_xlfn.XLOOKUP(OpenPendingCases[[#This Row],[Timepiece Reference ]], Table1[[Timepiece Reference ]], Table1[CRC STOCK], "Not Found")="YES", "CRC Stock", "Boutique Stock"))</f>
        <v/>
      </c>
      <c r="K248" s="136">
        <f>IF(OpenPendingCases[[#This Row],[Timepiece Reference ]]="", "", IF(_xlfn.XLOOKUP(OpenPendingCases[[#This Row],[Timepiece Reference ]], Table1[[Timepiece Reference ]], Table1[CRC STOCK], "Not Found")="YES", "CRC Stock", "Boutique Stock"))</f>
        <v/>
      </c>
      <c r="L248" s="142" t="n"/>
      <c r="M248" s="140" t="n"/>
      <c r="N248" s="136" t="n"/>
      <c r="O248" s="133" t="n"/>
      <c r="P248" s="93">
        <f>IFERROR(VLOOKUP(TRIM(O248), Collection!$B$2:$D$1001, 2, FALSE), "")</f>
        <v/>
      </c>
      <c r="Q248" s="190">
        <f>IFERROR(VLOOKUP(TRIM(O248), Collection!$B$2:$D$1001, 3, FALSE), "")</f>
        <v/>
      </c>
      <c r="R248" s="153">
        <f>IFERROR(VALUE(SUBSTITUTE(SUBSTITUTE(Q248, "Price", ""), "AED", "")), "")</f>
        <v/>
      </c>
      <c r="S248" s="151" t="n"/>
      <c r="T248" s="158" t="n"/>
      <c r="U248" s="136" t="n"/>
      <c r="V248" s="136" t="n"/>
      <c r="W248" s="156">
        <f>IF(Z248 = "",
"",
TEXT(Z248, "mmmm"))</f>
        <v/>
      </c>
      <c r="X248" s="157" t="n"/>
      <c r="Y248" s="158" t="n"/>
      <c r="Z248" s="158" t="n"/>
      <c r="AA248" s="136">
        <f>IF(H248="", "", IF(U248="Open Sale", IF(TODAY()-H248=0, "0 Days", TEXT(TODAY()-H248, "0") &amp; " Days"), IF(U248="Closed Sale", AA248, "")))</f>
        <v/>
      </c>
      <c r="AB248" s="136">
        <f>IF(H248="", "", IF(OR(U248="Pending", U248="Pending Allocation"), CONCATENATE(TODAY()-H248, " Days"), IF(U248="Closed", "", "")))</f>
        <v/>
      </c>
      <c r="AC248" s="160">
        <f>IF(U248="Pending Allocation", IF(I248="", "", TODAY()-I248), "")</f>
        <v/>
      </c>
      <c r="AD248" s="159">
        <f>IF(U248="Open Sale", TEXT(TODAY()-I248, "0"),
IF(U248="Pending", "",
IF(U248="Closed Sale", "", "")))</f>
        <v/>
      </c>
      <c r="AE248" s="161" t="n"/>
      <c r="AF248" s="161" t="n"/>
      <c r="AG248" s="161" t="n"/>
      <c r="AH248" s="136" t="n"/>
      <c r="AI248" s="164">
        <f>IF(I248="","",TEXT(I248, "mmmm yyyy"))</f>
        <v/>
      </c>
      <c r="AJ248" s="164">
        <f>IF(AND(OpenPendingCases[[#This Row],[Sale Status	]]="Open Sale",OpenPendingCases[[#This Row],[Potential Same Month]]="High"),TEXT(OpenPendingCases[[#This Row],[Request Entry Date]], "[$-en-us]mmmm"),"")</f>
        <v/>
      </c>
      <c r="AK248" s="165">
        <f>IFERROR(VALUE(SUBSTITUTE(OpenPendingCases[[#This Row],[Price]]," AED","")),"")</f>
        <v/>
      </c>
      <c r="AL248" s="165">
        <f>IFERROR(VALUE(LEFT(OpenPendingCases[[#This Row],[Price]],FIND(" ",OpenPendingCases[[#This Row],[Price]])-1)),"")</f>
        <v/>
      </c>
      <c r="AM248" s="165">
        <f>IFERROR(VALUE(_xlfn.TEXTBEFORE(OpenPendingCases[[#This Row],[Price]]," AED")),"")</f>
        <v/>
      </c>
      <c r="AN248" s="165" t="n"/>
    </row>
    <row r="249" hidden="1" ht="18" customHeight="1" s="287">
      <c r="C249" s="133" t="n"/>
      <c r="D249" s="136">
        <f>IF($U249="Open Sale", IF(MAX($D$4:D248)+1=0, "", MAX($D$4:D248)+1), "")</f>
        <v/>
      </c>
      <c r="E249" s="136">
        <f>IF($U249="Pending Allocation", IF(MAX($E$4:E248)+1=0, "", MAX($E$4:E248)+1), "")</f>
        <v/>
      </c>
      <c r="F249" s="136" t="n"/>
      <c r="G249" s="136" t="n"/>
      <c r="H249" s="150" t="n"/>
      <c r="I249" s="150" t="n"/>
      <c r="J249" s="67">
        <f>IF(OpenPendingCases[[#This Row],[Timepiece Reference ]]="", "", IF(_xlfn.XLOOKUP(OpenPendingCases[[#This Row],[Timepiece Reference ]], Table1[[Timepiece Reference ]], Table1[CRC STOCK], "Not Found")="YES", "CRC Stock", "Boutique Stock"))</f>
        <v/>
      </c>
      <c r="K249" s="136">
        <f>IF(OpenPendingCases[[#This Row],[Timepiece Reference ]]="", "", IF(_xlfn.XLOOKUP(OpenPendingCases[[#This Row],[Timepiece Reference ]], Table1[[Timepiece Reference ]], Table1[CRC STOCK], "Not Found")="YES", "CRC Stock", "Boutique Stock"))</f>
        <v/>
      </c>
      <c r="L249" s="142" t="n"/>
      <c r="M249" s="140" t="n"/>
      <c r="N249" s="136" t="n"/>
      <c r="O249" s="133" t="n"/>
      <c r="P249" s="93">
        <f>IFERROR(VLOOKUP(TRIM(O249), Collection!$B$2:$D$1001, 2, FALSE), "")</f>
        <v/>
      </c>
      <c r="Q249" s="190">
        <f>IFERROR(VLOOKUP(TRIM(O249), Collection!$B$2:$D$1001, 3, FALSE), "")</f>
        <v/>
      </c>
      <c r="R249" s="153">
        <f>IFERROR(VALUE(SUBSTITUTE(SUBSTITUTE(Q249, "Price", ""), "AED", "")), "")</f>
        <v/>
      </c>
      <c r="S249" s="151" t="n"/>
      <c r="T249" s="158" t="n"/>
      <c r="U249" s="136" t="n"/>
      <c r="V249" s="136" t="n"/>
      <c r="W249" s="156">
        <f>IF(Z249 = "",
"",
TEXT(Z249, "mmmm"))</f>
        <v/>
      </c>
      <c r="X249" s="157" t="n"/>
      <c r="Y249" s="158" t="n"/>
      <c r="Z249" s="158" t="n"/>
      <c r="AA249" s="136">
        <f>IF(H249="", "", IF(U249="Open Sale", IF(TODAY()-H249=0, "0 Days", TEXT(TODAY()-H249, "0") &amp; " Days"), IF(U249="Closed Sale", AA249, "")))</f>
        <v/>
      </c>
      <c r="AB249" s="136">
        <f>IF(H249="", "", IF(OR(U249="Pending", U249="Pending Allocation"), CONCATENATE(TODAY()-H249, " Days"), IF(U249="Closed", "", "")))</f>
        <v/>
      </c>
      <c r="AC249" s="160">
        <f>IF(U249="Pending Allocation", IF(I249="", "", TODAY()-I249), "")</f>
        <v/>
      </c>
      <c r="AD249" s="159">
        <f>IF(U249="Open Sale", TEXT(TODAY()-I249, "0"),
IF(U249="Pending", "",
IF(U249="Closed Sale", "", "")))</f>
        <v/>
      </c>
      <c r="AE249" s="161" t="n"/>
      <c r="AF249" s="161" t="n"/>
      <c r="AG249" s="161" t="n"/>
      <c r="AH249" s="136" t="n"/>
      <c r="AI249" s="164">
        <f>IF(I249="","",TEXT(I249, "mmmm yyyy"))</f>
        <v/>
      </c>
      <c r="AJ249" s="164">
        <f>IF(AND(OpenPendingCases[[#This Row],[Sale Status	]]="Open Sale",OpenPendingCases[[#This Row],[Potential Same Month]]="High"),TEXT(OpenPendingCases[[#This Row],[Request Entry Date]], "[$-en-us]mmmm"),"")</f>
        <v/>
      </c>
      <c r="AK249" s="165">
        <f>IFERROR(VALUE(SUBSTITUTE(OpenPendingCases[[#This Row],[Price]]," AED","")),"")</f>
        <v/>
      </c>
      <c r="AL249" s="165">
        <f>IFERROR(VALUE(LEFT(OpenPendingCases[[#This Row],[Price]],FIND(" ",OpenPendingCases[[#This Row],[Price]])-1)),"")</f>
        <v/>
      </c>
      <c r="AM249" s="165">
        <f>IFERROR(VALUE(_xlfn.TEXTBEFORE(OpenPendingCases[[#This Row],[Price]]," AED")),"")</f>
        <v/>
      </c>
      <c r="AN249" s="165" t="n"/>
    </row>
    <row r="250" hidden="1" ht="18" customHeight="1" s="287">
      <c r="C250" s="133" t="n"/>
      <c r="D250" s="136">
        <f>IF($U250="Open Sale", IF(MAX($D$4:D249)+1=0, "", MAX($D$4:D249)+1), "")</f>
        <v/>
      </c>
      <c r="E250" s="136">
        <f>IF($U250="Pending Allocation", IF(MAX($E$4:E249)+1=0, "", MAX($E$4:E249)+1), "")</f>
        <v/>
      </c>
      <c r="F250" s="136" t="n"/>
      <c r="G250" s="136" t="n"/>
      <c r="H250" s="150" t="n"/>
      <c r="I250" s="150" t="n"/>
      <c r="J250" s="67">
        <f>IF(OpenPendingCases[[#This Row],[Timepiece Reference ]]="", "", IF(_xlfn.XLOOKUP(OpenPendingCases[[#This Row],[Timepiece Reference ]], Table1[[Timepiece Reference ]], Table1[CRC STOCK], "Not Found")="YES", "CRC Stock", "Boutique Stock"))</f>
        <v/>
      </c>
      <c r="K250" s="136">
        <f>IF(OpenPendingCases[[#This Row],[Timepiece Reference ]]="", "", IF(_xlfn.XLOOKUP(OpenPendingCases[[#This Row],[Timepiece Reference ]], Table1[[Timepiece Reference ]], Table1[CRC STOCK], "Not Found")="YES", "CRC Stock", "Boutique Stock"))</f>
        <v/>
      </c>
      <c r="L250" s="142" t="n"/>
      <c r="M250" s="140" t="n"/>
      <c r="N250" s="136" t="n"/>
      <c r="O250" s="133" t="n"/>
      <c r="P250" s="93">
        <f>IFERROR(VLOOKUP(TRIM(O250), Collection!$B$2:$D$1001, 2, FALSE), "")</f>
        <v/>
      </c>
      <c r="Q250" s="190">
        <f>IFERROR(VLOOKUP(TRIM(O250), Collection!$B$2:$D$1001, 3, FALSE), "")</f>
        <v/>
      </c>
      <c r="R250" s="153">
        <f>IFERROR(VALUE(SUBSTITUTE(SUBSTITUTE(Q250, "Price", ""), "AED", "")), "")</f>
        <v/>
      </c>
      <c r="S250" s="151" t="n"/>
      <c r="T250" s="158" t="n"/>
      <c r="U250" s="136" t="n"/>
      <c r="V250" s="136" t="n"/>
      <c r="W250" s="156">
        <f>IF(Z250 = "",
"",
TEXT(Z250, "mmmm"))</f>
        <v/>
      </c>
      <c r="X250" s="157" t="n"/>
      <c r="Y250" s="158" t="n"/>
      <c r="Z250" s="158" t="n"/>
      <c r="AA250" s="136">
        <f>IF(H250="", "", IF(U250="Open Sale", IF(TODAY()-H250=0, "0 Days", TEXT(TODAY()-H250, "0") &amp; " Days"), IF(U250="Closed Sale", AA250, "")))</f>
        <v/>
      </c>
      <c r="AB250" s="136">
        <f>IF(H250="", "", IF(OR(U250="Pending", U250="Pending Allocation"), CONCATENATE(TODAY()-H250, " Days"), IF(U250="Closed", "", "")))</f>
        <v/>
      </c>
      <c r="AC250" s="160">
        <f>IF(U250="Pending Allocation", IF(I250="", "", TODAY()-I250), "")</f>
        <v/>
      </c>
      <c r="AD250" s="159">
        <f>IF(U250="Open Sale", TEXT(TODAY()-I250, "0"),
IF(U250="Pending", "",
IF(U250="Closed Sale", "", "")))</f>
        <v/>
      </c>
      <c r="AE250" s="161" t="n"/>
      <c r="AF250" s="161" t="n"/>
      <c r="AG250" s="161" t="n"/>
      <c r="AH250" s="136" t="n"/>
      <c r="AI250" s="164">
        <f>IF(I250="","",TEXT(I250, "mmmm yyyy"))</f>
        <v/>
      </c>
      <c r="AJ250" s="164">
        <f>IF(AND(OpenPendingCases[[#This Row],[Sale Status	]]="Open Sale",OpenPendingCases[[#This Row],[Potential Same Month]]="High"),TEXT(OpenPendingCases[[#This Row],[Request Entry Date]], "[$-en-us]mmmm"),"")</f>
        <v/>
      </c>
      <c r="AK250" s="165">
        <f>IFERROR(VALUE(SUBSTITUTE(OpenPendingCases[[#This Row],[Price]]," AED","")),"")</f>
        <v/>
      </c>
      <c r="AL250" s="165">
        <f>IFERROR(VALUE(LEFT(OpenPendingCases[[#This Row],[Price]],FIND(" ",OpenPendingCases[[#This Row],[Price]])-1)),"")</f>
        <v/>
      </c>
      <c r="AM250" s="165">
        <f>IFERROR(VALUE(_xlfn.TEXTBEFORE(OpenPendingCases[[#This Row],[Price]]," AED")),"")</f>
        <v/>
      </c>
      <c r="AN250" s="165" t="n"/>
    </row>
    <row r="251" hidden="1" ht="18" customHeight="1" s="287">
      <c r="C251" s="133" t="n"/>
      <c r="D251" s="136">
        <f>IF($U251="Open Sale", IF(MAX($D$4:D250)+1=0, "", MAX($D$4:D250)+1), "")</f>
        <v/>
      </c>
      <c r="E251" s="136">
        <f>IF($U251="Pending Allocation", IF(MAX($E$4:E250)+1=0, "", MAX($E$4:E250)+1), "")</f>
        <v/>
      </c>
      <c r="F251" s="136" t="n"/>
      <c r="G251" s="136" t="n"/>
      <c r="H251" s="150" t="n"/>
      <c r="I251" s="150" t="n"/>
      <c r="J251" s="67">
        <f>IF(OpenPendingCases[[#This Row],[Timepiece Reference ]]="", "", IF(_xlfn.XLOOKUP(OpenPendingCases[[#This Row],[Timepiece Reference ]], Table1[[Timepiece Reference ]], Table1[CRC STOCK], "Not Found")="YES", "CRC Stock", "Boutique Stock"))</f>
        <v/>
      </c>
      <c r="K251" s="136">
        <f>IF(OpenPendingCases[[#This Row],[Timepiece Reference ]]="", "", IF(_xlfn.XLOOKUP(OpenPendingCases[[#This Row],[Timepiece Reference ]], Table1[[Timepiece Reference ]], Table1[CRC STOCK], "Not Found")="YES", "CRC Stock", "Boutique Stock"))</f>
        <v/>
      </c>
      <c r="L251" s="142" t="n"/>
      <c r="M251" s="140" t="n"/>
      <c r="N251" s="136" t="n"/>
      <c r="O251" s="133" t="n"/>
      <c r="P251" s="93">
        <f>IFERROR(VLOOKUP(TRIM(O251), Collection!$B$2:$D$1001, 2, FALSE), "")</f>
        <v/>
      </c>
      <c r="Q251" s="190">
        <f>IFERROR(VLOOKUP(TRIM(O251), Collection!$B$2:$D$1001, 3, FALSE), "")</f>
        <v/>
      </c>
      <c r="R251" s="153">
        <f>IFERROR(VALUE(SUBSTITUTE(SUBSTITUTE(Q251, "Price", ""), "AED", "")), "")</f>
        <v/>
      </c>
      <c r="S251" s="151" t="n"/>
      <c r="T251" s="158" t="n"/>
      <c r="U251" s="136" t="n"/>
      <c r="V251" s="136" t="n"/>
      <c r="W251" s="156">
        <f>IF(Z251 = "",
"",
TEXT(Z251, "mmmm"))</f>
        <v/>
      </c>
      <c r="X251" s="157" t="n"/>
      <c r="Y251" s="158" t="n"/>
      <c r="Z251" s="158" t="n"/>
      <c r="AA251" s="136">
        <f>IF(H251="", "", IF(U251="Open Sale", IF(TODAY()-H251=0, "0 Days", TEXT(TODAY()-H251, "0") &amp; " Days"), IF(U251="Closed Sale", AA251, "")))</f>
        <v/>
      </c>
      <c r="AB251" s="136">
        <f>IF(H251="", "", IF(OR(U251="Pending", U251="Pending Allocation"), CONCATENATE(TODAY()-H251, " Days"), IF(U251="Closed", "", "")))</f>
        <v/>
      </c>
      <c r="AC251" s="160">
        <f>IF(U251="Pending Allocation", IF(I251="", "", TODAY()-I251), "")</f>
        <v/>
      </c>
      <c r="AD251" s="159">
        <f>IF(U251="Open Sale", TEXT(TODAY()-I251, "0"),
IF(U251="Pending", "",
IF(U251="Closed Sale", "", "")))</f>
        <v/>
      </c>
      <c r="AE251" s="161" t="n"/>
      <c r="AF251" s="161" t="n"/>
      <c r="AG251" s="161" t="n"/>
      <c r="AH251" s="136" t="n"/>
      <c r="AI251" s="164">
        <f>IF(I251="","",TEXT(I251, "mmmm yyyy"))</f>
        <v/>
      </c>
      <c r="AJ251" s="164">
        <f>IF(AND(OpenPendingCases[[#This Row],[Sale Status	]]="Open Sale",OpenPendingCases[[#This Row],[Potential Same Month]]="High"),TEXT(OpenPendingCases[[#This Row],[Request Entry Date]], "[$-en-us]mmmm"),"")</f>
        <v/>
      </c>
      <c r="AK251" s="165">
        <f>IFERROR(VALUE(SUBSTITUTE(OpenPendingCases[[#This Row],[Price]]," AED","")),"")</f>
        <v/>
      </c>
      <c r="AL251" s="165">
        <f>IFERROR(VALUE(LEFT(OpenPendingCases[[#This Row],[Price]],FIND(" ",OpenPendingCases[[#This Row],[Price]])-1)),"")</f>
        <v/>
      </c>
      <c r="AM251" s="165">
        <f>IFERROR(VALUE(_xlfn.TEXTBEFORE(OpenPendingCases[[#This Row],[Price]]," AED")),"")</f>
        <v/>
      </c>
      <c r="AN251" s="165" t="n"/>
    </row>
    <row r="252" hidden="1" ht="18" customHeight="1" s="287">
      <c r="C252" s="133" t="n"/>
      <c r="D252" s="136">
        <f>IF($U252="Open Sale", IF(MAX($D$4:D251)+1=0, "", MAX($D$4:D251)+1), "")</f>
        <v/>
      </c>
      <c r="E252" s="136">
        <f>IF($U252="Pending Allocation", IF(MAX($E$4:E251)+1=0, "", MAX($E$4:E251)+1), "")</f>
        <v/>
      </c>
      <c r="F252" s="136" t="n"/>
      <c r="G252" s="136" t="n"/>
      <c r="H252" s="150" t="n"/>
      <c r="I252" s="150" t="n"/>
      <c r="J252" s="67">
        <f>IF(OpenPendingCases[[#This Row],[Timepiece Reference ]]="", "", IF(_xlfn.XLOOKUP(OpenPendingCases[[#This Row],[Timepiece Reference ]], Table1[[Timepiece Reference ]], Table1[CRC STOCK], "Not Found")="YES", "CRC Stock", "Boutique Stock"))</f>
        <v/>
      </c>
      <c r="K252" s="136">
        <f>IF(OpenPendingCases[[#This Row],[Timepiece Reference ]]="", "", IF(_xlfn.XLOOKUP(OpenPendingCases[[#This Row],[Timepiece Reference ]], Table1[[Timepiece Reference ]], Table1[CRC STOCK], "Not Found")="YES", "CRC Stock", "Boutique Stock"))</f>
        <v/>
      </c>
      <c r="L252" s="142" t="n"/>
      <c r="M252" s="140" t="n"/>
      <c r="N252" s="136" t="n"/>
      <c r="O252" s="133" t="n"/>
      <c r="P252" s="93">
        <f>IFERROR(VLOOKUP(TRIM(O252), Collection!$B$2:$D$1001, 2, FALSE), "")</f>
        <v/>
      </c>
      <c r="Q252" s="190">
        <f>IFERROR(VLOOKUP(TRIM(O252), Collection!$B$2:$D$1001, 3, FALSE), "")</f>
        <v/>
      </c>
      <c r="R252" s="153">
        <f>IFERROR(VALUE(SUBSTITUTE(SUBSTITUTE(Q252, "Price", ""), "AED", "")), "")</f>
        <v/>
      </c>
      <c r="S252" s="151" t="n"/>
      <c r="T252" s="158" t="n"/>
      <c r="U252" s="136" t="n"/>
      <c r="V252" s="136" t="n"/>
      <c r="W252" s="156">
        <f>IF(Z252 = "",
"",
TEXT(Z252, "mmmm"))</f>
        <v/>
      </c>
      <c r="X252" s="157" t="n"/>
      <c r="Y252" s="158" t="n"/>
      <c r="Z252" s="158" t="n"/>
      <c r="AA252" s="136">
        <f>IF(H252="", "", IF(U252="Open Sale", IF(TODAY()-H252=0, "0 Days", TEXT(TODAY()-H252, "0") &amp; " Days"), IF(U252="Closed Sale", AA252, "")))</f>
        <v/>
      </c>
      <c r="AB252" s="136">
        <f>IF(H252="", "", IF(OR(U252="Pending", U252="Pending Allocation"), CONCATENATE(TODAY()-H252, " Days"), IF(U252="Closed", "", "")))</f>
        <v/>
      </c>
      <c r="AC252" s="160">
        <f>IF(U252="Pending Allocation", IF(I252="", "", TODAY()-I252), "")</f>
        <v/>
      </c>
      <c r="AD252" s="159">
        <f>IF(U252="Open Sale", TEXT(TODAY()-I252, "0"),
IF(U252="Pending", "",
IF(U252="Closed Sale", "", "")))</f>
        <v/>
      </c>
      <c r="AE252" s="161" t="n"/>
      <c r="AF252" s="161" t="n"/>
      <c r="AG252" s="161" t="n"/>
      <c r="AH252" s="136" t="n"/>
      <c r="AI252" s="164">
        <f>IF(I252="","",TEXT(I252, "mmmm yyyy"))</f>
        <v/>
      </c>
      <c r="AJ252" s="164">
        <f>IF(AND(OpenPendingCases[[#This Row],[Sale Status	]]="Open Sale",OpenPendingCases[[#This Row],[Potential Same Month]]="High"),TEXT(OpenPendingCases[[#This Row],[Request Entry Date]], "[$-en-us]mmmm"),"")</f>
        <v/>
      </c>
      <c r="AK252" s="165">
        <f>IFERROR(VALUE(SUBSTITUTE(OpenPendingCases[[#This Row],[Price]]," AED","")),"")</f>
        <v/>
      </c>
      <c r="AL252" s="165">
        <f>IFERROR(VALUE(LEFT(OpenPendingCases[[#This Row],[Price]],FIND(" ",OpenPendingCases[[#This Row],[Price]])-1)),"")</f>
        <v/>
      </c>
      <c r="AM252" s="165">
        <f>IFERROR(VALUE(_xlfn.TEXTBEFORE(OpenPendingCases[[#This Row],[Price]]," AED")),"")</f>
        <v/>
      </c>
      <c r="AN252" s="165" t="n"/>
    </row>
    <row r="253" hidden="1" ht="18" customHeight="1" s="287">
      <c r="C253" s="133" t="n"/>
      <c r="D253" s="136">
        <f>IF($U253="Open Sale", IF(MAX($D$4:D252)+1=0, "", MAX($D$4:D252)+1), "")</f>
        <v/>
      </c>
      <c r="E253" s="136">
        <f>IF($U253="Pending Allocation", IF(MAX($E$4:E252)+1=0, "", MAX($E$4:E252)+1), "")</f>
        <v/>
      </c>
      <c r="F253" s="136" t="n"/>
      <c r="G253" s="136" t="n"/>
      <c r="H253" s="150" t="n"/>
      <c r="I253" s="150" t="n"/>
      <c r="J253" s="67">
        <f>IF(OpenPendingCases[[#This Row],[Timepiece Reference ]]="", "", IF(_xlfn.XLOOKUP(OpenPendingCases[[#This Row],[Timepiece Reference ]], Table1[[Timepiece Reference ]], Table1[CRC STOCK], "Not Found")="YES", "CRC Stock", "Boutique Stock"))</f>
        <v/>
      </c>
      <c r="K253" s="136">
        <f>IF(OpenPendingCases[[#This Row],[Timepiece Reference ]]="", "", IF(_xlfn.XLOOKUP(OpenPendingCases[[#This Row],[Timepiece Reference ]], Table1[[Timepiece Reference ]], Table1[CRC STOCK], "Not Found")="YES", "CRC Stock", "Boutique Stock"))</f>
        <v/>
      </c>
      <c r="L253" s="142" t="n"/>
      <c r="M253" s="140" t="n"/>
      <c r="N253" s="136" t="n"/>
      <c r="O253" s="133" t="n"/>
      <c r="P253" s="93">
        <f>IFERROR(VLOOKUP(TRIM(O253), Collection!$B$2:$D$1001, 2, FALSE), "")</f>
        <v/>
      </c>
      <c r="Q253" s="190">
        <f>IFERROR(VLOOKUP(TRIM(O253), Collection!$B$2:$D$1001, 3, FALSE), "")</f>
        <v/>
      </c>
      <c r="R253" s="153">
        <f>IFERROR(VALUE(SUBSTITUTE(SUBSTITUTE(Q253, "Price", ""), "AED", "")), "")</f>
        <v/>
      </c>
      <c r="S253" s="151" t="n"/>
      <c r="T253" s="158" t="n"/>
      <c r="U253" s="136" t="n"/>
      <c r="V253" s="136" t="n"/>
      <c r="W253" s="156">
        <f>IF(Z253 = "",
"",
TEXT(Z253, "mmmm"))</f>
        <v/>
      </c>
      <c r="X253" s="157" t="n"/>
      <c r="Y253" s="158" t="n"/>
      <c r="Z253" s="158" t="n"/>
      <c r="AA253" s="136">
        <f>IF(H253="", "", IF(U253="Open Sale", IF(TODAY()-H253=0, "0 Days", TEXT(TODAY()-H253, "0") &amp; " Days"), IF(U253="Closed Sale", AA253, "")))</f>
        <v/>
      </c>
      <c r="AB253" s="136">
        <f>IF(H253="", "", IF(OR(U253="Pending", U253="Pending Allocation"), CONCATENATE(TODAY()-H253, " Days"), IF(U253="Closed", "", "")))</f>
        <v/>
      </c>
      <c r="AC253" s="160">
        <f>IF(U253="Pending Allocation", IF(I253="", "", TODAY()-I253), "")</f>
        <v/>
      </c>
      <c r="AD253" s="159">
        <f>IF(U253="Open Sale", TEXT(TODAY()-I253, "0"),
IF(U253="Pending", "",
IF(U253="Closed Sale", "", "")))</f>
        <v/>
      </c>
      <c r="AE253" s="161" t="n"/>
      <c r="AF253" s="161" t="n"/>
      <c r="AG253" s="161" t="n"/>
      <c r="AH253" s="136" t="n"/>
      <c r="AI253" s="164">
        <f>IF(I253="","",TEXT(I253, "mmmm yyyy"))</f>
        <v/>
      </c>
      <c r="AJ253" s="164">
        <f>IF(AND(OpenPendingCases[[#This Row],[Sale Status	]]="Open Sale",OpenPendingCases[[#This Row],[Potential Same Month]]="High"),TEXT(OpenPendingCases[[#This Row],[Request Entry Date]], "[$-en-us]mmmm"),"")</f>
        <v/>
      </c>
      <c r="AK253" s="165">
        <f>IFERROR(VALUE(SUBSTITUTE(OpenPendingCases[[#This Row],[Price]]," AED","")),"")</f>
        <v/>
      </c>
      <c r="AL253" s="165">
        <f>IFERROR(VALUE(LEFT(OpenPendingCases[[#This Row],[Price]],FIND(" ",OpenPendingCases[[#This Row],[Price]])-1)),"")</f>
        <v/>
      </c>
      <c r="AM253" s="165">
        <f>IFERROR(VALUE(_xlfn.TEXTBEFORE(OpenPendingCases[[#This Row],[Price]]," AED")),"")</f>
        <v/>
      </c>
      <c r="AN253" s="165" t="n"/>
    </row>
    <row r="254" hidden="1" ht="18" customHeight="1" s="287">
      <c r="C254" s="133" t="n"/>
      <c r="D254" s="136">
        <f>IF($U254="Open Sale", IF(MAX($D$4:D253)+1=0, "", MAX($D$4:D253)+1), "")</f>
        <v/>
      </c>
      <c r="E254" s="136">
        <f>IF($U254="Pending Allocation", IF(MAX($E$4:E253)+1=0, "", MAX($E$4:E253)+1), "")</f>
        <v/>
      </c>
      <c r="F254" s="136" t="n"/>
      <c r="G254" s="136" t="n"/>
      <c r="H254" s="150" t="n"/>
      <c r="I254" s="150" t="n"/>
      <c r="J254" s="67">
        <f>IF(OpenPendingCases[[#This Row],[Timepiece Reference ]]="", "", IF(_xlfn.XLOOKUP(OpenPendingCases[[#This Row],[Timepiece Reference ]], Table1[[Timepiece Reference ]], Table1[CRC STOCK], "Not Found")="YES", "CRC Stock", "Boutique Stock"))</f>
        <v/>
      </c>
      <c r="K254" s="136">
        <f>IF(OpenPendingCases[[#This Row],[Timepiece Reference ]]="", "", IF(_xlfn.XLOOKUP(OpenPendingCases[[#This Row],[Timepiece Reference ]], Table1[[Timepiece Reference ]], Table1[CRC STOCK], "Not Found")="YES", "CRC Stock", "Boutique Stock"))</f>
        <v/>
      </c>
      <c r="L254" s="142" t="n"/>
      <c r="M254" s="140" t="n"/>
      <c r="N254" s="136" t="n"/>
      <c r="O254" s="133" t="n"/>
      <c r="P254" s="93">
        <f>IFERROR(VLOOKUP(TRIM(O254), Collection!$B$2:$D$1001, 2, FALSE), "")</f>
        <v/>
      </c>
      <c r="Q254" s="190">
        <f>IFERROR(VLOOKUP(TRIM(O254), Collection!$B$2:$D$1001, 3, FALSE), "")</f>
        <v/>
      </c>
      <c r="R254" s="153">
        <f>IFERROR(VALUE(SUBSTITUTE(SUBSTITUTE(Q254, "Price", ""), "AED", "")), "")</f>
        <v/>
      </c>
      <c r="S254" s="151" t="n"/>
      <c r="T254" s="158" t="n"/>
      <c r="U254" s="136" t="n"/>
      <c r="V254" s="136" t="n"/>
      <c r="W254" s="156">
        <f>IF(Z254 = "",
"",
TEXT(Z254, "mmmm"))</f>
        <v/>
      </c>
      <c r="X254" s="157" t="n"/>
      <c r="Y254" s="158" t="n"/>
      <c r="Z254" s="158" t="n"/>
      <c r="AA254" s="136">
        <f>IF(H254="", "", IF(U254="Open Sale", IF(TODAY()-H254=0, "0 Days", TEXT(TODAY()-H254, "0") &amp; " Days"), IF(U254="Closed Sale", AA254, "")))</f>
        <v/>
      </c>
      <c r="AB254" s="136">
        <f>IF(H254="", "", IF(OR(U254="Pending", U254="Pending Allocation"), CONCATENATE(TODAY()-H254, " Days"), IF(U254="Closed", "", "")))</f>
        <v/>
      </c>
      <c r="AC254" s="160">
        <f>IF(U254="Pending Allocation", IF(I254="", "", TODAY()-I254), "")</f>
        <v/>
      </c>
      <c r="AD254" s="159">
        <f>IF(U254="Open Sale", TEXT(TODAY()-I254, "0"),
IF(U254="Pending", "",
IF(U254="Closed Sale", "", "")))</f>
        <v/>
      </c>
      <c r="AE254" s="161" t="n"/>
      <c r="AF254" s="161" t="n"/>
      <c r="AG254" s="161" t="n"/>
      <c r="AH254" s="136" t="n"/>
      <c r="AI254" s="164">
        <f>IF(I254="","",TEXT(I254, "mmmm yyyy"))</f>
        <v/>
      </c>
      <c r="AJ254" s="164">
        <f>IF(AND(OpenPendingCases[[#This Row],[Sale Status	]]="Open Sale",OpenPendingCases[[#This Row],[Potential Same Month]]="High"),TEXT(OpenPendingCases[[#This Row],[Request Entry Date]], "[$-en-us]mmmm"),"")</f>
        <v/>
      </c>
      <c r="AK254" s="165">
        <f>IFERROR(VALUE(SUBSTITUTE(OpenPendingCases[[#This Row],[Price]]," AED","")),"")</f>
        <v/>
      </c>
      <c r="AL254" s="165">
        <f>IFERROR(VALUE(LEFT(OpenPendingCases[[#This Row],[Price]],FIND(" ",OpenPendingCases[[#This Row],[Price]])-1)),"")</f>
        <v/>
      </c>
      <c r="AM254" s="165">
        <f>IFERROR(VALUE(_xlfn.TEXTBEFORE(OpenPendingCases[[#This Row],[Price]]," AED")),"")</f>
        <v/>
      </c>
      <c r="AN254" s="165" t="n"/>
    </row>
    <row r="255" hidden="1" ht="18" customHeight="1" s="287">
      <c r="C255" s="133" t="n"/>
      <c r="D255" s="136">
        <f>IF($U255="Open Sale", IF(MAX($D$4:D254)+1=0, "", MAX($D$4:D254)+1), "")</f>
        <v/>
      </c>
      <c r="E255" s="136">
        <f>IF($U255="Pending Allocation", IF(MAX($E$4:E254)+1=0, "", MAX($E$4:E254)+1), "")</f>
        <v/>
      </c>
      <c r="F255" s="136" t="n"/>
      <c r="G255" s="136" t="n"/>
      <c r="H255" s="150" t="n"/>
      <c r="I255" s="150" t="n"/>
      <c r="J255" s="67">
        <f>IF(OpenPendingCases[[#This Row],[Timepiece Reference ]]="", "", IF(_xlfn.XLOOKUP(OpenPendingCases[[#This Row],[Timepiece Reference ]], Table1[[Timepiece Reference ]], Table1[CRC STOCK], "Not Found")="YES", "CRC Stock", "Boutique Stock"))</f>
        <v/>
      </c>
      <c r="K255" s="136">
        <f>IF(OpenPendingCases[[#This Row],[Timepiece Reference ]]="", "", IF(_xlfn.XLOOKUP(OpenPendingCases[[#This Row],[Timepiece Reference ]], Table1[[Timepiece Reference ]], Table1[CRC STOCK], "Not Found")="YES", "CRC Stock", "Boutique Stock"))</f>
        <v/>
      </c>
      <c r="L255" s="142" t="n"/>
      <c r="M255" s="140" t="n"/>
      <c r="N255" s="136" t="n"/>
      <c r="O255" s="133" t="n"/>
      <c r="P255" s="93">
        <f>IFERROR(VLOOKUP(TRIM(O255), Collection!$B$2:$D$1001, 2, FALSE), "")</f>
        <v/>
      </c>
      <c r="Q255" s="190">
        <f>IFERROR(VLOOKUP(TRIM(O255), Collection!$B$2:$D$1001, 3, FALSE), "")</f>
        <v/>
      </c>
      <c r="R255" s="153">
        <f>IFERROR(VALUE(SUBSTITUTE(SUBSTITUTE(Q255, "Price", ""), "AED", "")), "")</f>
        <v/>
      </c>
      <c r="S255" s="151" t="n"/>
      <c r="T255" s="158" t="n"/>
      <c r="U255" s="136" t="n"/>
      <c r="V255" s="136" t="n"/>
      <c r="W255" s="156">
        <f>IF(Z255 = "",
"",
TEXT(Z255, "mmmm"))</f>
        <v/>
      </c>
      <c r="X255" s="157" t="n"/>
      <c r="Y255" s="158" t="n"/>
      <c r="Z255" s="158" t="n"/>
      <c r="AA255" s="136">
        <f>IF(H255="", "", IF(U255="Open Sale", IF(TODAY()-H255=0, "0 Days", TEXT(TODAY()-H255, "0") &amp; " Days"), IF(U255="Closed Sale", AA255, "")))</f>
        <v/>
      </c>
      <c r="AB255" s="136">
        <f>IF(H255="", "", IF(OR(U255="Pending", U255="Pending Allocation"), CONCATENATE(TODAY()-H255, " Days"), IF(U255="Closed", "", "")))</f>
        <v/>
      </c>
      <c r="AC255" s="160">
        <f>IF(U255="Pending Allocation", IF(I255="", "", TODAY()-I255), "")</f>
        <v/>
      </c>
      <c r="AD255" s="159">
        <f>IF(U255="Open Sale", TEXT(TODAY()-I255, "0"),
IF(U255="Pending", "",
IF(U255="Closed Sale", "", "")))</f>
        <v/>
      </c>
      <c r="AE255" s="161" t="n"/>
      <c r="AF255" s="161" t="n"/>
      <c r="AG255" s="161" t="n"/>
      <c r="AH255" s="136" t="n"/>
      <c r="AI255" s="164">
        <f>IF(I255="","",TEXT(I255, "mmmm yyyy"))</f>
        <v/>
      </c>
      <c r="AJ255" s="164">
        <f>IF(AND(OpenPendingCases[[#This Row],[Sale Status	]]="Open Sale",OpenPendingCases[[#This Row],[Potential Same Month]]="High"),TEXT(OpenPendingCases[[#This Row],[Request Entry Date]], "[$-en-us]mmmm"),"")</f>
        <v/>
      </c>
      <c r="AK255" s="165">
        <f>IFERROR(VALUE(SUBSTITUTE(OpenPendingCases[[#This Row],[Price]]," AED","")),"")</f>
        <v/>
      </c>
      <c r="AL255" s="165">
        <f>IFERROR(VALUE(LEFT(OpenPendingCases[[#This Row],[Price]],FIND(" ",OpenPendingCases[[#This Row],[Price]])-1)),"")</f>
        <v/>
      </c>
      <c r="AM255" s="165">
        <f>IFERROR(VALUE(_xlfn.TEXTBEFORE(OpenPendingCases[[#This Row],[Price]]," AED")),"")</f>
        <v/>
      </c>
      <c r="AN255" s="165" t="n"/>
    </row>
    <row r="256" hidden="1" ht="18" customHeight="1" s="287">
      <c r="C256" s="133" t="n"/>
      <c r="D256" s="136">
        <f>IF($U256="Open Sale", IF(MAX($D$4:D255)+1=0, "", MAX($D$4:D255)+1), "")</f>
        <v/>
      </c>
      <c r="E256" s="136">
        <f>IF($U256="Pending Allocation", IF(MAX($E$4:E255)+1=0, "", MAX($E$4:E255)+1), "")</f>
        <v/>
      </c>
      <c r="F256" s="136" t="n"/>
      <c r="G256" s="136" t="n"/>
      <c r="H256" s="150" t="n"/>
      <c r="I256" s="150" t="n"/>
      <c r="J256" s="67">
        <f>IF(OpenPendingCases[[#This Row],[Timepiece Reference ]]="", "", IF(_xlfn.XLOOKUP(OpenPendingCases[[#This Row],[Timepiece Reference ]], Table1[[Timepiece Reference ]], Table1[CRC STOCK], "Not Found")="YES", "CRC Stock", "Boutique Stock"))</f>
        <v/>
      </c>
      <c r="K256" s="136">
        <f>IF(OpenPendingCases[[#This Row],[Timepiece Reference ]]="", "", IF(_xlfn.XLOOKUP(OpenPendingCases[[#This Row],[Timepiece Reference ]], Table1[[Timepiece Reference ]], Table1[CRC STOCK], "Not Found")="YES", "CRC Stock", "Boutique Stock"))</f>
        <v/>
      </c>
      <c r="L256" s="142" t="n"/>
      <c r="M256" s="140" t="n"/>
      <c r="N256" s="136" t="n"/>
      <c r="O256" s="133" t="n"/>
      <c r="P256" s="93">
        <f>IFERROR(VLOOKUP(TRIM(O256), Collection!$B$2:$D$1001, 2, FALSE), "")</f>
        <v/>
      </c>
      <c r="Q256" s="190">
        <f>IFERROR(VLOOKUP(TRIM(O256), Collection!$B$2:$D$1001, 3, FALSE), "")</f>
        <v/>
      </c>
      <c r="R256" s="153">
        <f>IFERROR(VALUE(SUBSTITUTE(SUBSTITUTE(Q256, "Price", ""), "AED", "")), "")</f>
        <v/>
      </c>
      <c r="S256" s="151" t="n"/>
      <c r="T256" s="158" t="n"/>
      <c r="U256" s="136" t="n"/>
      <c r="V256" s="136" t="n"/>
      <c r="W256" s="156">
        <f>IF(Z256 = "",
"",
TEXT(Z256, "mmmm"))</f>
        <v/>
      </c>
      <c r="X256" s="157" t="n"/>
      <c r="Y256" s="158" t="n"/>
      <c r="Z256" s="158" t="n"/>
      <c r="AA256" s="136">
        <f>IF(H256="", "", IF(U256="Open Sale", IF(TODAY()-H256=0, "0 Days", TEXT(TODAY()-H256, "0") &amp; " Days"), IF(U256="Closed Sale", AA256, "")))</f>
        <v/>
      </c>
      <c r="AB256" s="136">
        <f>IF(H256="", "", IF(OR(U256="Pending", U256="Pending Allocation"), CONCATENATE(TODAY()-H256, " Days"), IF(U256="Closed", "", "")))</f>
        <v/>
      </c>
      <c r="AC256" s="160">
        <f>IF(U256="Pending Allocation", IF(I256="", "", TODAY()-I256), "")</f>
        <v/>
      </c>
      <c r="AD256" s="159">
        <f>IF(U256="Open Sale", TEXT(TODAY()-I256, "0"),
IF(U256="Pending", "",
IF(U256="Closed Sale", "", "")))</f>
        <v/>
      </c>
      <c r="AE256" s="161" t="n"/>
      <c r="AF256" s="161" t="n"/>
      <c r="AG256" s="161" t="n"/>
      <c r="AH256" s="136" t="n"/>
      <c r="AI256" s="164">
        <f>IF(I256="","",TEXT(I256, "mmmm yyyy"))</f>
        <v/>
      </c>
      <c r="AJ256" s="164">
        <f>IF(AND(OpenPendingCases[[#This Row],[Sale Status	]]="Open Sale",OpenPendingCases[[#This Row],[Potential Same Month]]="High"),TEXT(OpenPendingCases[[#This Row],[Request Entry Date]], "[$-en-us]mmmm"),"")</f>
        <v/>
      </c>
      <c r="AK256" s="165">
        <f>IFERROR(VALUE(SUBSTITUTE(OpenPendingCases[[#This Row],[Price]]," AED","")),"")</f>
        <v/>
      </c>
      <c r="AL256" s="165">
        <f>IFERROR(VALUE(LEFT(OpenPendingCases[[#This Row],[Price]],FIND(" ",OpenPendingCases[[#This Row],[Price]])-1)),"")</f>
        <v/>
      </c>
      <c r="AM256" s="165">
        <f>IFERROR(VALUE(_xlfn.TEXTBEFORE(OpenPendingCases[[#This Row],[Price]]," AED")),"")</f>
        <v/>
      </c>
      <c r="AN256" s="165" t="n"/>
    </row>
    <row r="257" hidden="1" ht="18" customHeight="1" s="287">
      <c r="C257" s="133" t="n"/>
      <c r="D257" s="136">
        <f>IF($U257="Open Sale", IF(MAX($D$4:D256)+1=0, "", MAX($D$4:D256)+1), "")</f>
        <v/>
      </c>
      <c r="E257" s="136">
        <f>IF($U257="Pending Allocation", IF(MAX($E$4:E256)+1=0, "", MAX($E$4:E256)+1), "")</f>
        <v/>
      </c>
      <c r="F257" s="136" t="n"/>
      <c r="G257" s="136" t="n"/>
      <c r="H257" s="150" t="n"/>
      <c r="I257" s="150" t="n"/>
      <c r="J257" s="67">
        <f>IF(OpenPendingCases[[#This Row],[Timepiece Reference ]]="", "", IF(_xlfn.XLOOKUP(OpenPendingCases[[#This Row],[Timepiece Reference ]], Table1[[Timepiece Reference ]], Table1[CRC STOCK], "Not Found")="YES", "CRC Stock", "Boutique Stock"))</f>
        <v/>
      </c>
      <c r="K257" s="136">
        <f>IF(OpenPendingCases[[#This Row],[Timepiece Reference ]]="", "", IF(_xlfn.XLOOKUP(OpenPendingCases[[#This Row],[Timepiece Reference ]], Table1[[Timepiece Reference ]], Table1[CRC STOCK], "Not Found")="YES", "CRC Stock", "Boutique Stock"))</f>
        <v/>
      </c>
      <c r="L257" s="142" t="n"/>
      <c r="M257" s="140" t="n"/>
      <c r="N257" s="136" t="n"/>
      <c r="O257" s="133" t="n"/>
      <c r="P257" s="93">
        <f>IFERROR(VLOOKUP(TRIM(O257), Collection!$B$2:$D$1001, 2, FALSE), "")</f>
        <v/>
      </c>
      <c r="Q257" s="190">
        <f>IFERROR(VLOOKUP(TRIM(O257), Collection!$B$2:$D$1001, 3, FALSE), "")</f>
        <v/>
      </c>
      <c r="R257" s="153">
        <f>IFERROR(VALUE(SUBSTITUTE(SUBSTITUTE(Q257, "Price", ""), "AED", "")), "")</f>
        <v/>
      </c>
      <c r="S257" s="151" t="n"/>
      <c r="T257" s="158" t="n"/>
      <c r="U257" s="136" t="n"/>
      <c r="V257" s="136" t="n"/>
      <c r="W257" s="156">
        <f>IF(Z257 = "",
"",
TEXT(Z257, "mmmm"))</f>
        <v/>
      </c>
      <c r="X257" s="157" t="n"/>
      <c r="Y257" s="158" t="n"/>
      <c r="Z257" s="158" t="n"/>
      <c r="AA257" s="136">
        <f>IF(H257="", "", IF(U257="Open Sale", IF(TODAY()-H257=0, "0 Days", TEXT(TODAY()-H257, "0") &amp; " Days"), IF(U257="Closed Sale", AA257, "")))</f>
        <v/>
      </c>
      <c r="AB257" s="136">
        <f>IF(H257="", "", IF(OR(U257="Pending", U257="Pending Allocation"), CONCATENATE(TODAY()-H257, " Days"), IF(U257="Closed", "", "")))</f>
        <v/>
      </c>
      <c r="AC257" s="160">
        <f>IF(U257="Pending Allocation", IF(I257="", "", TODAY()-I257), "")</f>
        <v/>
      </c>
      <c r="AD257" s="159">
        <f>IF(U257="Open Sale", TEXT(TODAY()-I257, "0"),
IF(U257="Pending", "",
IF(U257="Closed Sale", "", "")))</f>
        <v/>
      </c>
      <c r="AE257" s="161" t="n"/>
      <c r="AF257" s="161" t="n"/>
      <c r="AG257" s="161" t="n"/>
      <c r="AH257" s="136" t="n"/>
      <c r="AI257" s="164">
        <f>IF(I257="","",TEXT(I257, "mmmm yyyy"))</f>
        <v/>
      </c>
      <c r="AJ257" s="164">
        <f>IF(AND(OpenPendingCases[[#This Row],[Sale Status	]]="Open Sale",OpenPendingCases[[#This Row],[Potential Same Month]]="High"),TEXT(OpenPendingCases[[#This Row],[Request Entry Date]], "[$-en-us]mmmm"),"")</f>
        <v/>
      </c>
      <c r="AK257" s="165">
        <f>IFERROR(VALUE(SUBSTITUTE(OpenPendingCases[[#This Row],[Price]]," AED","")),"")</f>
        <v/>
      </c>
      <c r="AL257" s="165">
        <f>IFERROR(VALUE(LEFT(OpenPendingCases[[#This Row],[Price]],FIND(" ",OpenPendingCases[[#This Row],[Price]])-1)),"")</f>
        <v/>
      </c>
      <c r="AM257" s="165">
        <f>IFERROR(VALUE(_xlfn.TEXTBEFORE(OpenPendingCases[[#This Row],[Price]]," AED")),"")</f>
        <v/>
      </c>
      <c r="AN257" s="165" t="n"/>
    </row>
    <row r="258" hidden="1" ht="18" customHeight="1" s="287">
      <c r="C258" s="133" t="n"/>
      <c r="D258" s="136">
        <f>IF($U258="Open Sale", IF(MAX($D$4:D257)+1=0, "", MAX($D$4:D257)+1), "")</f>
        <v/>
      </c>
      <c r="E258" s="136">
        <f>IF($U258="Pending Allocation", IF(MAX($E$4:E257)+1=0, "", MAX($E$4:E257)+1), "")</f>
        <v/>
      </c>
      <c r="F258" s="136" t="n"/>
      <c r="G258" s="136" t="n"/>
      <c r="H258" s="150" t="n"/>
      <c r="I258" s="150" t="n"/>
      <c r="J258" s="67">
        <f>IF(OpenPendingCases[[#This Row],[Timepiece Reference ]]="", "", IF(_xlfn.XLOOKUP(OpenPendingCases[[#This Row],[Timepiece Reference ]], Table1[[Timepiece Reference ]], Table1[CRC STOCK], "Not Found")="YES", "CRC Stock", "Boutique Stock"))</f>
        <v/>
      </c>
      <c r="K258" s="136">
        <f>IF(OpenPendingCases[[#This Row],[Timepiece Reference ]]="", "", IF(_xlfn.XLOOKUP(OpenPendingCases[[#This Row],[Timepiece Reference ]], Table1[[Timepiece Reference ]], Table1[CRC STOCK], "Not Found")="YES", "CRC Stock", "Boutique Stock"))</f>
        <v/>
      </c>
      <c r="L258" s="142" t="n"/>
      <c r="M258" s="140" t="n"/>
      <c r="N258" s="136" t="n"/>
      <c r="O258" s="133" t="n"/>
      <c r="P258" s="93">
        <f>IFERROR(VLOOKUP(TRIM(O258), Collection!$B$2:$D$1001, 2, FALSE), "")</f>
        <v/>
      </c>
      <c r="Q258" s="190">
        <f>IFERROR(VLOOKUP(TRIM(O258), Collection!$B$2:$D$1001, 3, FALSE), "")</f>
        <v/>
      </c>
      <c r="R258" s="153">
        <f>IFERROR(VALUE(SUBSTITUTE(SUBSTITUTE(Q258, "Price", ""), "AED", "")), "")</f>
        <v/>
      </c>
      <c r="S258" s="151" t="n"/>
      <c r="T258" s="158" t="n"/>
      <c r="U258" s="136" t="n"/>
      <c r="V258" s="136" t="n"/>
      <c r="W258" s="156">
        <f>IF(Z258 = "",
"",
TEXT(Z258, "mmmm"))</f>
        <v/>
      </c>
      <c r="X258" s="157" t="n"/>
      <c r="Y258" s="158" t="n"/>
      <c r="Z258" s="158" t="n"/>
      <c r="AA258" s="136">
        <f>IF(H258="", "", IF(U258="Open Sale", IF(TODAY()-H258=0, "0 Days", TEXT(TODAY()-H258, "0") &amp; " Days"), IF(U258="Closed Sale", AA258, "")))</f>
        <v/>
      </c>
      <c r="AB258" s="136">
        <f>IF(H258="", "", IF(OR(U258="Pending", U258="Pending Allocation"), CONCATENATE(TODAY()-H258, " Days"), IF(U258="Closed", "", "")))</f>
        <v/>
      </c>
      <c r="AC258" s="160">
        <f>IF(U258="Pending Allocation", IF(I258="", "", TODAY()-I258), "")</f>
        <v/>
      </c>
      <c r="AD258" s="159">
        <f>IF(U258="Open Sale", TEXT(TODAY()-I258, "0"),
IF(U258="Pending", "",
IF(U258="Closed Sale", "", "")))</f>
        <v/>
      </c>
      <c r="AE258" s="161" t="n"/>
      <c r="AF258" s="161" t="n"/>
      <c r="AG258" s="161" t="n"/>
      <c r="AH258" s="136" t="n"/>
      <c r="AI258" s="164">
        <f>IF(I258="","",TEXT(I258, "mmmm yyyy"))</f>
        <v/>
      </c>
      <c r="AJ258" s="164">
        <f>IF(AND(OpenPendingCases[[#This Row],[Sale Status	]]="Open Sale",OpenPendingCases[[#This Row],[Potential Same Month]]="High"),TEXT(OpenPendingCases[[#This Row],[Request Entry Date]], "[$-en-us]mmmm"),"")</f>
        <v/>
      </c>
      <c r="AK258" s="165">
        <f>IFERROR(VALUE(SUBSTITUTE(OpenPendingCases[[#This Row],[Price]]," AED","")),"")</f>
        <v/>
      </c>
      <c r="AL258" s="165">
        <f>IFERROR(VALUE(LEFT(OpenPendingCases[[#This Row],[Price]],FIND(" ",OpenPendingCases[[#This Row],[Price]])-1)),"")</f>
        <v/>
      </c>
      <c r="AM258" s="165">
        <f>IFERROR(VALUE(_xlfn.TEXTBEFORE(OpenPendingCases[[#This Row],[Price]]," AED")),"")</f>
        <v/>
      </c>
      <c r="AN258" s="165" t="n"/>
    </row>
    <row r="259" hidden="1" ht="18" customHeight="1" s="287">
      <c r="C259" s="133" t="n"/>
      <c r="D259" s="136">
        <f>IF($U259="Open Sale", IF(MAX($D$4:D258)+1=0, "", MAX($D$4:D258)+1), "")</f>
        <v/>
      </c>
      <c r="E259" s="136">
        <f>IF($U259="Pending Allocation", IF(MAX($E$4:E258)+1=0, "", MAX($E$4:E258)+1), "")</f>
        <v/>
      </c>
      <c r="F259" s="136" t="n"/>
      <c r="G259" s="136" t="n"/>
      <c r="H259" s="150" t="n"/>
      <c r="I259" s="150" t="n"/>
      <c r="J259" s="67">
        <f>IF(OpenPendingCases[[#This Row],[Timepiece Reference ]]="", "", IF(_xlfn.XLOOKUP(OpenPendingCases[[#This Row],[Timepiece Reference ]], Table1[[Timepiece Reference ]], Table1[CRC STOCK], "Not Found")="YES", "CRC Stock", "Boutique Stock"))</f>
        <v/>
      </c>
      <c r="K259" s="136">
        <f>IF(OpenPendingCases[[#This Row],[Timepiece Reference ]]="", "", IF(_xlfn.XLOOKUP(OpenPendingCases[[#This Row],[Timepiece Reference ]], Table1[[Timepiece Reference ]], Table1[CRC STOCK], "Not Found")="YES", "CRC Stock", "Boutique Stock"))</f>
        <v/>
      </c>
      <c r="L259" s="142" t="n"/>
      <c r="M259" s="140" t="n"/>
      <c r="N259" s="136" t="n"/>
      <c r="O259" s="133" t="n"/>
      <c r="P259" s="93">
        <f>IFERROR(VLOOKUP(TRIM(O259), Collection!$B$2:$D$1001, 2, FALSE), "")</f>
        <v/>
      </c>
      <c r="Q259" s="190">
        <f>IFERROR(VLOOKUP(TRIM(O259), Collection!$B$2:$D$1001, 3, FALSE), "")</f>
        <v/>
      </c>
      <c r="R259" s="153">
        <f>IFERROR(VALUE(SUBSTITUTE(SUBSTITUTE(Q259, "Price", ""), "AED", "")), "")</f>
        <v/>
      </c>
      <c r="S259" s="151" t="n"/>
      <c r="T259" s="158" t="n"/>
      <c r="U259" s="136" t="n"/>
      <c r="V259" s="136" t="n"/>
      <c r="W259" s="156">
        <f>IF(Z259 = "",
"",
TEXT(Z259, "mmmm"))</f>
        <v/>
      </c>
      <c r="X259" s="157" t="n"/>
      <c r="Y259" s="158" t="n"/>
      <c r="Z259" s="158" t="n"/>
      <c r="AA259" s="136">
        <f>IF(H259="", "", IF(U259="Open Sale", IF(TODAY()-H259=0, "0 Days", TEXT(TODAY()-H259, "0") &amp; " Days"), IF(U259="Closed Sale", AA259, "")))</f>
        <v/>
      </c>
      <c r="AB259" s="136">
        <f>IF(H259="", "", IF(OR(U259="Pending", U259="Pending Allocation"), CONCATENATE(TODAY()-H259, " Days"), IF(U259="Closed", "", "")))</f>
        <v/>
      </c>
      <c r="AC259" s="160">
        <f>IF(U259="Pending Allocation", IF(I259="", "", TODAY()-I259), "")</f>
        <v/>
      </c>
      <c r="AD259" s="159">
        <f>IF(U259="Open Sale", TEXT(TODAY()-I259, "0"),
   IF(U259="Pending", "",
      IF(U259="Closed Sale", "", "")))</f>
        <v/>
      </c>
      <c r="AE259" s="161" t="n"/>
      <c r="AF259" s="161" t="n"/>
      <c r="AG259" s="161" t="n"/>
      <c r="AH259" s="136" t="n"/>
      <c r="AI259" s="164">
        <f>IF(I259="","",TEXT(I259, "mmmm yyyy"))</f>
        <v/>
      </c>
      <c r="AJ259" s="164">
        <f>IF(AND(OpenPendingCases[[#This Row],[Sale Status	]]="Open Sale",OpenPendingCases[[#This Row],[Potential Same Month]]="High"),TEXT(OpenPendingCases[[#This Row],[Request Entry Date]], "[$-en-us]mmmm"),"")</f>
        <v/>
      </c>
      <c r="AK259" s="165">
        <f>IFERROR(VALUE(SUBSTITUTE(OpenPendingCases[[#This Row],[Price]]," AED","")),"")</f>
        <v/>
      </c>
      <c r="AL259" s="165">
        <f>IFERROR(VALUE(LEFT(OpenPendingCases[[#This Row],[Price]],FIND(" ",OpenPendingCases[[#This Row],[Price]])-1)),"")</f>
        <v/>
      </c>
      <c r="AM259" s="165">
        <f>IFERROR(VALUE(_xlfn.TEXTBEFORE(OpenPendingCases[[#This Row],[Price]]," AED")),"")</f>
        <v/>
      </c>
      <c r="AN259" s="165" t="n"/>
    </row>
    <row r="260" hidden="1" ht="18" customHeight="1" s="287">
      <c r="C260" s="133" t="n"/>
      <c r="D260" s="136">
        <f>IF($U260="Open Sale", IF(MAX($D$4:D259)+1=0, "", MAX($D$4:D259)+1), "")</f>
        <v/>
      </c>
      <c r="E260" s="136">
        <f>IF($U260="Pending Allocation", IF(MAX($E$4:E259)+1=0, "", MAX($E$4:E259)+1), "")</f>
        <v/>
      </c>
      <c r="F260" s="136" t="n"/>
      <c r="G260" s="136" t="n"/>
      <c r="H260" s="150" t="n"/>
      <c r="I260" s="150" t="n"/>
      <c r="J260" s="67">
        <f>IF(OpenPendingCases[[#This Row],[Timepiece Reference ]]="", "", IF(_xlfn.XLOOKUP(OpenPendingCases[[#This Row],[Timepiece Reference ]], Table1[[Timepiece Reference ]], Table1[CRC STOCK], "Not Found")="YES", "CRC Stock", "Boutique Stock"))</f>
        <v/>
      </c>
      <c r="K260" s="136">
        <f>IF(OpenPendingCases[[#This Row],[Timepiece Reference ]]="", "", IF(_xlfn.XLOOKUP(OpenPendingCases[[#This Row],[Timepiece Reference ]], Table1[[Timepiece Reference ]], Table1[CRC STOCK], "Not Found")="YES", "CRC Stock", "Boutique Stock"))</f>
        <v/>
      </c>
      <c r="L260" s="142" t="n"/>
      <c r="M260" s="140" t="n"/>
      <c r="N260" s="136" t="n"/>
      <c r="O260" s="133" t="n"/>
      <c r="P260" s="93">
        <f>IFERROR(VLOOKUP(TRIM(O260), Collection!$B$2:$D$1001, 2, FALSE), "")</f>
        <v/>
      </c>
      <c r="Q260" s="190">
        <f>IFERROR(VLOOKUP(TRIM(O260), Collection!$B$2:$D$1001, 3, FALSE), "")</f>
        <v/>
      </c>
      <c r="R260" s="153">
        <f>IFERROR(VALUE(SUBSTITUTE(SUBSTITUTE(Q260, "Price", ""), "AED", "")), "")</f>
        <v/>
      </c>
      <c r="S260" s="151" t="n"/>
      <c r="T260" s="158" t="n"/>
      <c r="U260" s="136" t="n"/>
      <c r="V260" s="136" t="n"/>
      <c r="W260" s="156">
        <f>IF(Z260 = "",
     "",
     TEXT(Z260, "mmmm"))</f>
        <v/>
      </c>
      <c r="X260" s="157" t="n"/>
      <c r="Y260" s="158" t="n"/>
      <c r="Z260" s="158" t="n"/>
      <c r="AA260" s="136">
        <f>IF(H260="", "", IF(U260="Open Sale", IF(TODAY()-H260=0, "0 Days", TEXT(TODAY()-H260, "0") &amp; " Days"), IF(U260="Closed Sale", AA260, "")))</f>
        <v/>
      </c>
      <c r="AB260" s="136">
        <f>IF(H260="", "", IF(OR(U260="Pending", U260="Pending Allocation"), CONCATENATE(TODAY()-H260, " Days"), IF(U260="Closed", "", "")))</f>
        <v/>
      </c>
      <c r="AC260" s="160">
        <f>IF(U260="Pending Allocation", IF(I260="", "", TODAY()-I260), "")</f>
        <v/>
      </c>
      <c r="AD260" s="159">
        <f>IF(U260="Open Sale", TEXT(TODAY()-I260, "0"),
IF(U260="Pending", "",
IF(U260="Closed Sale", "", "")))</f>
        <v/>
      </c>
      <c r="AE260" s="161" t="n"/>
      <c r="AF260" s="161" t="n"/>
      <c r="AG260" s="161" t="n"/>
      <c r="AH260" s="136" t="n"/>
      <c r="AI260" s="164">
        <f>IF(I260="","",TEXT(I260, "mmmm yyyy"))</f>
        <v/>
      </c>
      <c r="AJ260" s="164">
        <f>IF(AND(OpenPendingCases[[#This Row],[Sale Status	]]="Open Sale",OpenPendingCases[[#This Row],[Potential Same Month]]="High"),TEXT(OpenPendingCases[[#This Row],[Request Entry Date]], "[$-en-us]mmmm"),"")</f>
        <v/>
      </c>
      <c r="AK260" s="165">
        <f>IFERROR(VALUE(SUBSTITUTE(OpenPendingCases[[#This Row],[Price]]," AED","")),"")</f>
        <v/>
      </c>
      <c r="AL260" s="165">
        <f>IFERROR(VALUE(LEFT(OpenPendingCases[[#This Row],[Price]],FIND(" ",OpenPendingCases[[#This Row],[Price]])-1)),"")</f>
        <v/>
      </c>
      <c r="AM260" s="165">
        <f>IFERROR(VALUE(_xlfn.TEXTBEFORE(OpenPendingCases[[#This Row],[Price]]," AED")),"")</f>
        <v/>
      </c>
      <c r="AN260" s="165" t="n"/>
    </row>
    <row r="261" hidden="1" ht="18" customHeight="1" s="287">
      <c r="C261" s="133" t="n"/>
      <c r="D261" s="136">
        <f>IF($U261="Open Sale", IF(MAX($D$4:D260)+1=0, "", MAX($D$4:D260)+1), "")</f>
        <v/>
      </c>
      <c r="E261" s="136">
        <f>IF($U261="Pending Allocation", IF(MAX($E$4:E260)+1=0, "", MAX($E$4:E260)+1), "")</f>
        <v/>
      </c>
      <c r="F261" s="136" t="n"/>
      <c r="G261" s="136" t="n"/>
      <c r="H261" s="150" t="n"/>
      <c r="I261" s="150" t="n"/>
      <c r="J261" s="67">
        <f>IF(OpenPendingCases[[#This Row],[Timepiece Reference ]]="", "", IF(_xlfn.XLOOKUP(OpenPendingCases[[#This Row],[Timepiece Reference ]], Table1[[Timepiece Reference ]], Table1[CRC STOCK], "Not Found")="YES", "CRC Stock", "Boutique Stock"))</f>
        <v/>
      </c>
      <c r="K261" s="136">
        <f>IF(OpenPendingCases[[#This Row],[Timepiece Reference ]]="", "", IF(_xlfn.XLOOKUP(OpenPendingCases[[#This Row],[Timepiece Reference ]], Table1[[Timepiece Reference ]], Table1[CRC STOCK], "Not Found")="YES", "CRC Stock", "Boutique Stock"))</f>
        <v/>
      </c>
      <c r="L261" s="142" t="n"/>
      <c r="M261" s="140" t="n"/>
      <c r="N261" s="136" t="n"/>
      <c r="O261" s="133" t="n"/>
      <c r="P261" s="93">
        <f>IFERROR(VLOOKUP(TRIM(O261), Collection!$B$2:$D$1001, 2, FALSE), "")</f>
        <v/>
      </c>
      <c r="Q261" s="190">
        <f>IFERROR(VLOOKUP(TRIM(O261), Collection!$B$2:$D$1001, 3, FALSE), "")</f>
        <v/>
      </c>
      <c r="R261" s="153">
        <f>IFERROR(VALUE(SUBSTITUTE(SUBSTITUTE(Q261, "Price", ""), "AED", "")), "")</f>
        <v/>
      </c>
      <c r="S261" s="151" t="n"/>
      <c r="T261" s="158" t="n"/>
      <c r="U261" s="136" t="n"/>
      <c r="V261" s="136" t="n"/>
      <c r="W261" s="156">
        <f>IF(Z261 = "",
"",
TEXT(Z261, "mmmm"))</f>
        <v/>
      </c>
      <c r="X261" s="157" t="n"/>
      <c r="Y261" s="158" t="n"/>
      <c r="Z261" s="158" t="n"/>
      <c r="AA261" s="136">
        <f>IF(H261="", "", IF(U261="Open Sale", IF(TODAY()-H261=0, "0 Days", TEXT(TODAY()-H261, "0") &amp; " Days"), IF(U261="Closed Sale", AA261, "")))</f>
        <v/>
      </c>
      <c r="AB261" s="136">
        <f>IF(H261="", "", IF(OR(U261="Pending", U261="Pending Allocation"), CONCATENATE(TODAY()-H261, " Days"), IF(U261="Closed", "", "")))</f>
        <v/>
      </c>
      <c r="AC261" s="160">
        <f>IF(U261="Pending Allocation", IF(I261="", "", TODAY()-I261), "")</f>
        <v/>
      </c>
      <c r="AD261" s="159">
        <f>IF(U261="Open Sale", TEXT(TODAY()-I261, "0"),
IF(U261="Pending", "",
IF(U261="Closed Sale", "", "")))</f>
        <v/>
      </c>
      <c r="AE261" s="161" t="n"/>
      <c r="AF261" s="161" t="n"/>
      <c r="AG261" s="161" t="n"/>
      <c r="AH261" s="136" t="n"/>
      <c r="AI261" s="164">
        <f>IF(I261="","",TEXT(I261, "mmmm yyyy"))</f>
        <v/>
      </c>
      <c r="AJ261" s="164">
        <f>IF(AND(OpenPendingCases[[#This Row],[Sale Status	]]="Open Sale",OpenPendingCases[[#This Row],[Potential Same Month]]="High"),TEXT(OpenPendingCases[[#This Row],[Request Entry Date]], "[$-en-us]mmmm"),"")</f>
        <v/>
      </c>
      <c r="AK261" s="165">
        <f>IFERROR(VALUE(SUBSTITUTE(OpenPendingCases[[#This Row],[Price]]," AED","")),"")</f>
        <v/>
      </c>
      <c r="AL261" s="165">
        <f>IFERROR(VALUE(LEFT(OpenPendingCases[[#This Row],[Price]],FIND(" ",OpenPendingCases[[#This Row],[Price]])-1)),"")</f>
        <v/>
      </c>
      <c r="AM261" s="165">
        <f>IFERROR(VALUE(_xlfn.TEXTBEFORE(OpenPendingCases[[#This Row],[Price]]," AED")),"")</f>
        <v/>
      </c>
      <c r="AN261" s="165" t="n"/>
    </row>
    <row r="262" hidden="1" ht="18" customHeight="1" s="287">
      <c r="C262" s="133" t="n"/>
      <c r="D262" s="136">
        <f>IF($U262="Open Sale", IF(MAX($D$4:D261)+1=0, "", MAX($D$4:D261)+1), "")</f>
        <v/>
      </c>
      <c r="E262" s="136">
        <f>IF($U262="Pending Allocation", IF(MAX($E$4:E261)+1=0, "", MAX($E$4:E261)+1), "")</f>
        <v/>
      </c>
      <c r="F262" s="136" t="n"/>
      <c r="G262" s="136" t="n"/>
      <c r="H262" s="150" t="n"/>
      <c r="I262" s="150" t="n"/>
      <c r="J262" s="67">
        <f>IF(OpenPendingCases[[#This Row],[Timepiece Reference ]]="", "", IF(_xlfn.XLOOKUP(OpenPendingCases[[#This Row],[Timepiece Reference ]], Table1[[Timepiece Reference ]], Table1[CRC STOCK], "Not Found")="YES", "CRC Stock", "Boutique Stock"))</f>
        <v/>
      </c>
      <c r="K262" s="136">
        <f>IF(OpenPendingCases[[#This Row],[Timepiece Reference ]]="", "", IF(_xlfn.XLOOKUP(OpenPendingCases[[#This Row],[Timepiece Reference ]], Table1[[Timepiece Reference ]], Table1[CRC STOCK], "Not Found")="YES", "CRC Stock", "Boutique Stock"))</f>
        <v/>
      </c>
      <c r="L262" s="142" t="n"/>
      <c r="M262" s="140" t="n"/>
      <c r="N262" s="136" t="n"/>
      <c r="O262" s="133" t="n"/>
      <c r="P262" s="93">
        <f>IFERROR(VLOOKUP(TRIM(O262), Collection!$B$2:$D$1001, 2, FALSE), "")</f>
        <v/>
      </c>
      <c r="Q262" s="190">
        <f>IFERROR(VLOOKUP(TRIM(O262), Collection!$B$2:$D$1001, 3, FALSE), "")</f>
        <v/>
      </c>
      <c r="R262" s="153">
        <f>IFERROR(VALUE(SUBSTITUTE(SUBSTITUTE(Q262, "Price", ""), "AED", "")), "")</f>
        <v/>
      </c>
      <c r="S262" s="151" t="n"/>
      <c r="T262" s="158" t="n"/>
      <c r="U262" s="136" t="n"/>
      <c r="V262" s="136" t="n"/>
      <c r="W262" s="156">
        <f>IF(Z262 = "",
"",
TEXT(Z262, "mmmm"))</f>
        <v/>
      </c>
      <c r="X262" s="157" t="n"/>
      <c r="Y262" s="158" t="n"/>
      <c r="Z262" s="158" t="n"/>
      <c r="AA262" s="136">
        <f>IF(H262="", "", IF(U262="Open Sale", IF(TODAY()-H262=0, "0 Days", TEXT(TODAY()-H262, "0") &amp; " Days"), IF(U262="Closed Sale", AA262, "")))</f>
        <v/>
      </c>
      <c r="AB262" s="136">
        <f>IF(H262="", "", IF(OR(U262="Pending", U262="Pending Allocation"), CONCATENATE(TODAY()-H262, " Days"), IF(U262="Closed", "", "")))</f>
        <v/>
      </c>
      <c r="AC262" s="160">
        <f>IF(U262="Pending Allocation", IF(I262="", "", TODAY()-I262), "")</f>
        <v/>
      </c>
      <c r="AD262" s="159">
        <f>IF(U262="Open Sale", TEXT(TODAY()-I262, "0"),
IF(U262="Pending", "",
IF(U262="Closed Sale", "", "")))</f>
        <v/>
      </c>
      <c r="AE262" s="161" t="n"/>
      <c r="AF262" s="161" t="n"/>
      <c r="AG262" s="161" t="n"/>
      <c r="AH262" s="136" t="n"/>
      <c r="AI262" s="164">
        <f>IF(I262="","",TEXT(I262, "mmmm yyyy"))</f>
        <v/>
      </c>
      <c r="AJ262" s="164">
        <f>IF(AND(OpenPendingCases[[#This Row],[Sale Status	]]="Open Sale",OpenPendingCases[[#This Row],[Potential Same Month]]="High"),TEXT(OpenPendingCases[[#This Row],[Request Entry Date]], "[$-en-us]mmmm"),"")</f>
        <v/>
      </c>
      <c r="AK262" s="165">
        <f>IFERROR(VALUE(SUBSTITUTE(OpenPendingCases[[#This Row],[Price]]," AED","")),"")</f>
        <v/>
      </c>
      <c r="AL262" s="165">
        <f>IFERROR(VALUE(LEFT(OpenPendingCases[[#This Row],[Price]],FIND(" ",OpenPendingCases[[#This Row],[Price]])-1)),"")</f>
        <v/>
      </c>
      <c r="AM262" s="165">
        <f>IFERROR(VALUE(_xlfn.TEXTBEFORE(OpenPendingCases[[#This Row],[Price]]," AED")),"")</f>
        <v/>
      </c>
      <c r="AN262" s="165" t="n"/>
    </row>
    <row r="263" hidden="1" ht="18" customHeight="1" s="287">
      <c r="C263" s="133" t="n"/>
      <c r="D263" s="136">
        <f>IF($U263="Open Sale", IF(MAX($D$4:D262)+1=0, "", MAX($D$4:D262)+1), "")</f>
        <v/>
      </c>
      <c r="E263" s="136">
        <f>IF($U263="Pending Allocation", IF(MAX($E$4:E262)+1=0, "", MAX($E$4:E262)+1), "")</f>
        <v/>
      </c>
      <c r="F263" s="136" t="n"/>
      <c r="G263" s="136" t="n"/>
      <c r="H263" s="150" t="n"/>
      <c r="I263" s="150" t="n"/>
      <c r="J263" s="67">
        <f>IF(OpenPendingCases[[#This Row],[Timepiece Reference ]]="", "", IF(_xlfn.XLOOKUP(OpenPendingCases[[#This Row],[Timepiece Reference ]], Table1[[Timepiece Reference ]], Table1[CRC STOCK], "Not Found")="YES", "CRC Stock", "Boutique Stock"))</f>
        <v/>
      </c>
      <c r="K263" s="136">
        <f>IF(OpenPendingCases[[#This Row],[Timepiece Reference ]]="", "", IF(_xlfn.XLOOKUP(OpenPendingCases[[#This Row],[Timepiece Reference ]], Table1[[Timepiece Reference ]], Table1[CRC STOCK], "Not Found")="YES", "CRC Stock", "Boutique Stock"))</f>
        <v/>
      </c>
      <c r="L263" s="142" t="n"/>
      <c r="M263" s="140" t="n"/>
      <c r="N263" s="136" t="n"/>
      <c r="O263" s="133" t="n"/>
      <c r="P263" s="93">
        <f>IFERROR(VLOOKUP(TRIM(O263), Collection!$B$2:$D$1001, 2, FALSE), "")</f>
        <v/>
      </c>
      <c r="Q263" s="190">
        <f>IFERROR(VLOOKUP(TRIM(O263), Collection!$B$2:$D$1001, 3, FALSE), "")</f>
        <v/>
      </c>
      <c r="R263" s="153">
        <f>IFERROR(VALUE(SUBSTITUTE(SUBSTITUTE(Q263, "Price", ""), "AED", "")), "")</f>
        <v/>
      </c>
      <c r="S263" s="151" t="n"/>
      <c r="T263" s="158" t="n"/>
      <c r="U263" s="136" t="n"/>
      <c r="V263" s="136" t="n"/>
      <c r="W263" s="156">
        <f>IF(Z263 = "",
"",
TEXT(Z263, "mmmm"))</f>
        <v/>
      </c>
      <c r="X263" s="157" t="n"/>
      <c r="Y263" s="158" t="n"/>
      <c r="Z263" s="158" t="n"/>
      <c r="AA263" s="136">
        <f>IF(H263="", "", IF(U263="Open Sale", IF(TODAY()-H263=0, "0 Days", TEXT(TODAY()-H263, "0") &amp; " Days"), IF(U263="Closed Sale", AA263, "")))</f>
        <v/>
      </c>
      <c r="AB263" s="136">
        <f>IF(H263="", "", IF(OR(U263="Pending", U263="Pending Allocation"), CONCATENATE(TODAY()-H263, " Days"), IF(U263="Closed", "", "")))</f>
        <v/>
      </c>
      <c r="AC263" s="160">
        <f>IF(U263="Pending Allocation", IF(I263="", "", TODAY()-I263), "")</f>
        <v/>
      </c>
      <c r="AD263" s="159">
        <f>IF(U263="Open Sale", TEXT(TODAY()-I263, "0"),
IF(U263="Pending", "",
IF(U263="Closed Sale", "", "")))</f>
        <v/>
      </c>
      <c r="AE263" s="161" t="n"/>
      <c r="AF263" s="161" t="n"/>
      <c r="AG263" s="161" t="n"/>
      <c r="AH263" s="136" t="n"/>
      <c r="AI263" s="164">
        <f>IF(I263="","",TEXT(I263, "mmmm yyyy"))</f>
        <v/>
      </c>
      <c r="AJ263" s="164">
        <f>IF(AND(OpenPendingCases[[#This Row],[Sale Status	]]="Open Sale",OpenPendingCases[[#This Row],[Potential Same Month]]="High"),TEXT(OpenPendingCases[[#This Row],[Request Entry Date]], "[$-en-us]mmmm"),"")</f>
        <v/>
      </c>
      <c r="AK263" s="165">
        <f>IFERROR(VALUE(SUBSTITUTE(OpenPendingCases[[#This Row],[Price]]," AED","")),"")</f>
        <v/>
      </c>
      <c r="AL263" s="165">
        <f>IFERROR(VALUE(LEFT(OpenPendingCases[[#This Row],[Price]],FIND(" ",OpenPendingCases[[#This Row],[Price]])-1)),"")</f>
        <v/>
      </c>
      <c r="AM263" s="165">
        <f>IFERROR(VALUE(_xlfn.TEXTBEFORE(OpenPendingCases[[#This Row],[Price]]," AED")),"")</f>
        <v/>
      </c>
      <c r="AN263" s="165" t="n"/>
    </row>
    <row r="264" hidden="1" ht="18" customHeight="1" s="287">
      <c r="C264" s="133" t="n"/>
      <c r="D264" s="136">
        <f>IF($U264="Open Sale", IF(MAX($D$4:D263)+1=0, "", MAX($D$4:D263)+1), "")</f>
        <v/>
      </c>
      <c r="E264" s="136">
        <f>IF($U264="Pending Allocation", IF(MAX($E$4:E263)+1=0, "", MAX($E$4:E263)+1), "")</f>
        <v/>
      </c>
      <c r="F264" s="136" t="n"/>
      <c r="G264" s="136" t="n"/>
      <c r="H264" s="150" t="n"/>
      <c r="I264" s="150" t="n"/>
      <c r="J264" s="67">
        <f>IF(OpenPendingCases[[#This Row],[Timepiece Reference ]]="", "", IF(_xlfn.XLOOKUP(OpenPendingCases[[#This Row],[Timepiece Reference ]], Table1[[Timepiece Reference ]], Table1[CRC STOCK], "Not Found")="YES", "CRC Stock", "Boutique Stock"))</f>
        <v/>
      </c>
      <c r="K264" s="136">
        <f>IF(OpenPendingCases[[#This Row],[Timepiece Reference ]]="", "", IF(_xlfn.XLOOKUP(OpenPendingCases[[#This Row],[Timepiece Reference ]], Table1[[Timepiece Reference ]], Table1[CRC STOCK], "Not Found")="YES", "CRC Stock", "Boutique Stock"))</f>
        <v/>
      </c>
      <c r="L264" s="142" t="n"/>
      <c r="M264" s="140" t="n"/>
      <c r="N264" s="136" t="n"/>
      <c r="O264" s="133" t="n"/>
      <c r="P264" s="93">
        <f>IFERROR(VLOOKUP(TRIM(O264), Collection!$B$2:$D$1001, 2, FALSE), "")</f>
        <v/>
      </c>
      <c r="Q264" s="190">
        <f>IFERROR(VLOOKUP(TRIM(O264), Collection!$B$2:$D$1001, 3, FALSE), "")</f>
        <v/>
      </c>
      <c r="R264" s="153">
        <f>IFERROR(VALUE(SUBSTITUTE(SUBSTITUTE(Q264, "Price", ""), "AED", "")), "")</f>
        <v/>
      </c>
      <c r="S264" s="151" t="n"/>
      <c r="T264" s="158" t="n"/>
      <c r="U264" s="136" t="n"/>
      <c r="V264" s="136" t="n"/>
      <c r="W264" s="156">
        <f>IF(Z264 = "",
"",
TEXT(Z264, "mmmm"))</f>
        <v/>
      </c>
      <c r="X264" s="157" t="n"/>
      <c r="Y264" s="158" t="n"/>
      <c r="Z264" s="158" t="n"/>
      <c r="AA264" s="136">
        <f>IF(H264="", "", IF(U264="Open Sale", IF(TODAY()-H264=0, "0 Days", TEXT(TODAY()-H264, "0") &amp; " Days"), IF(U264="Closed Sale", AA264, "")))</f>
        <v/>
      </c>
      <c r="AB264" s="136">
        <f>IF(H264="", "", IF(OR(U264="Pending", U264="Pending Allocation"), CONCATENATE(TODAY()-H264, " Days"), IF(U264="Closed", "", "")))</f>
        <v/>
      </c>
      <c r="AC264" s="160">
        <f>IF(U264="Pending Allocation", IF(I264="", "", TODAY()-I264), "")</f>
        <v/>
      </c>
      <c r="AD264" s="159">
        <f>IF(U264="Open Sale", TEXT(TODAY()-I264, "0"),
IF(U264="Pending", "",
IF(U264="Closed Sale", "", "")))</f>
        <v/>
      </c>
      <c r="AE264" s="161" t="n"/>
      <c r="AF264" s="161" t="n"/>
      <c r="AG264" s="161" t="n"/>
      <c r="AH264" s="136" t="n"/>
      <c r="AI264" s="164">
        <f>IF(I264="","",TEXT(I264, "mmmm yyyy"))</f>
        <v/>
      </c>
      <c r="AJ264" s="164">
        <f>IF(AND(OpenPendingCases[[#This Row],[Sale Status	]]="Open Sale",OpenPendingCases[[#This Row],[Potential Same Month]]="High"),TEXT(OpenPendingCases[[#This Row],[Request Entry Date]], "[$-en-us]mmmm"),"")</f>
        <v/>
      </c>
      <c r="AK264" s="165">
        <f>IFERROR(VALUE(SUBSTITUTE(OpenPendingCases[[#This Row],[Price]]," AED","")),"")</f>
        <v/>
      </c>
      <c r="AL264" s="165">
        <f>IFERROR(VALUE(LEFT(OpenPendingCases[[#This Row],[Price]],FIND(" ",OpenPendingCases[[#This Row],[Price]])-1)),"")</f>
        <v/>
      </c>
      <c r="AM264" s="165">
        <f>IFERROR(VALUE(_xlfn.TEXTBEFORE(OpenPendingCases[[#This Row],[Price]]," AED")),"")</f>
        <v/>
      </c>
      <c r="AN264" s="165" t="n"/>
    </row>
    <row r="265" hidden="1" ht="18" customHeight="1" s="287">
      <c r="C265" s="133" t="n"/>
      <c r="D265" s="136">
        <f>IF($U265="Open Sale", IF(MAX($D$4:D264)+1=0, "", MAX($D$4:D264)+1), "")</f>
        <v/>
      </c>
      <c r="E265" s="136">
        <f>IF($U265="Pending Allocation", IF(MAX($E$4:E264)+1=0, "", MAX($E$4:E264)+1), "")</f>
        <v/>
      </c>
      <c r="F265" s="136" t="n"/>
      <c r="G265" s="136" t="n"/>
      <c r="H265" s="150" t="n"/>
      <c r="I265" s="150" t="n"/>
      <c r="J265" s="67">
        <f>IF(OpenPendingCases[[#This Row],[Timepiece Reference ]]="", "", IF(_xlfn.XLOOKUP(OpenPendingCases[[#This Row],[Timepiece Reference ]], Table1[[Timepiece Reference ]], Table1[CRC STOCK], "Not Found")="YES", "CRC Stock", "Boutique Stock"))</f>
        <v/>
      </c>
      <c r="K265" s="136">
        <f>IF(OpenPendingCases[[#This Row],[Timepiece Reference ]]="", "", IF(_xlfn.XLOOKUP(OpenPendingCases[[#This Row],[Timepiece Reference ]], Table1[[Timepiece Reference ]], Table1[CRC STOCK], "Not Found")="YES", "CRC Stock", "Boutique Stock"))</f>
        <v/>
      </c>
      <c r="L265" s="142" t="n"/>
      <c r="M265" s="140" t="n"/>
      <c r="N265" s="136" t="n"/>
      <c r="O265" s="133" t="n"/>
      <c r="P265" s="93">
        <f>IFERROR(VLOOKUP(TRIM(O265), Collection!$B$2:$D$1001, 2, FALSE), "")</f>
        <v/>
      </c>
      <c r="Q265" s="190">
        <f>IFERROR(VLOOKUP(TRIM(O265), Collection!$B$2:$D$1001, 3, FALSE), "")</f>
        <v/>
      </c>
      <c r="R265" s="153">
        <f>IFERROR(VALUE(SUBSTITUTE(SUBSTITUTE(Q265, "Price", ""), "AED", "")), "")</f>
        <v/>
      </c>
      <c r="S265" s="151" t="n"/>
      <c r="T265" s="158" t="n"/>
      <c r="U265" s="136" t="n"/>
      <c r="V265" s="136" t="n"/>
      <c r="W265" s="156">
        <f>IF(Z265 = "",
"",
TEXT(Z265, "mmmm"))</f>
        <v/>
      </c>
      <c r="X265" s="157" t="n"/>
      <c r="Y265" s="158" t="n"/>
      <c r="Z265" s="158" t="n"/>
      <c r="AA265" s="136">
        <f>IF(H265="", "", IF(U265="Open Sale", IF(TODAY()-H265=0, "0 Days", TEXT(TODAY()-H265, "0") &amp; " Days"), IF(U265="Closed Sale", AA265, "")))</f>
        <v/>
      </c>
      <c r="AB265" s="136">
        <f>IF(H265="", "", IF(OR(U265="Pending", U265="Pending Allocation"), CONCATENATE(TODAY()-H265, " Days"), IF(U265="Closed", "", "")))</f>
        <v/>
      </c>
      <c r="AC265" s="160">
        <f>IF(U265="Pending Allocation", IF(I265="", "", TODAY()-I265), "")</f>
        <v/>
      </c>
      <c r="AD265" s="159">
        <f>IF(U265="Open Sale", TEXT(TODAY()-I265, "0"),
IF(U265="Pending", "",
IF(U265="Closed Sale", "", "")))</f>
        <v/>
      </c>
      <c r="AE265" s="161" t="n"/>
      <c r="AF265" s="161" t="n"/>
      <c r="AG265" s="161" t="n"/>
      <c r="AH265" s="136" t="n"/>
      <c r="AI265" s="164">
        <f>IF(I265="","",TEXT(I265, "mmmm yyyy"))</f>
        <v/>
      </c>
      <c r="AJ265" s="164">
        <f>IF(AND(OpenPendingCases[[#This Row],[Sale Status	]]="Open Sale",OpenPendingCases[[#This Row],[Potential Same Month]]="High"),TEXT(OpenPendingCases[[#This Row],[Request Entry Date]], "[$-en-us]mmmm"),"")</f>
        <v/>
      </c>
      <c r="AK265" s="165">
        <f>IFERROR(VALUE(SUBSTITUTE(OpenPendingCases[[#This Row],[Price]]," AED","")),"")</f>
        <v/>
      </c>
      <c r="AL265" s="165">
        <f>IFERROR(VALUE(LEFT(OpenPendingCases[[#This Row],[Price]],FIND(" ",OpenPendingCases[[#This Row],[Price]])-1)),"")</f>
        <v/>
      </c>
      <c r="AM265" s="165">
        <f>IFERROR(VALUE(_xlfn.TEXTBEFORE(OpenPendingCases[[#This Row],[Price]]," AED")),"")</f>
        <v/>
      </c>
      <c r="AN265" s="165" t="n"/>
    </row>
    <row r="266" hidden="1" ht="18" customHeight="1" s="287">
      <c r="C266" s="133" t="n"/>
      <c r="D266" s="136">
        <f>IF($U266="Open Sale", IF(MAX($D$4:D265)+1=0, "", MAX($D$4:D265)+1), "")</f>
        <v/>
      </c>
      <c r="E266" s="136">
        <f>IF($U266="Pending Allocation", IF(MAX($E$4:E265)+1=0, "", MAX($E$4:E265)+1), "")</f>
        <v/>
      </c>
      <c r="F266" s="136" t="n"/>
      <c r="G266" s="136" t="n"/>
      <c r="H266" s="150" t="n"/>
      <c r="I266" s="150" t="n"/>
      <c r="J266" s="67">
        <f>IF(OpenPendingCases[[#This Row],[Timepiece Reference ]]="", "", IF(_xlfn.XLOOKUP(OpenPendingCases[[#This Row],[Timepiece Reference ]], Table1[[Timepiece Reference ]], Table1[CRC STOCK], "Not Found")="YES", "CRC Stock", "Boutique Stock"))</f>
        <v/>
      </c>
      <c r="K266" s="136">
        <f>IF(OpenPendingCases[[#This Row],[Timepiece Reference ]]="", "", IF(_xlfn.XLOOKUP(OpenPendingCases[[#This Row],[Timepiece Reference ]], Table1[[Timepiece Reference ]], Table1[CRC STOCK], "Not Found")="YES", "CRC Stock", "Boutique Stock"))</f>
        <v/>
      </c>
      <c r="L266" s="142" t="n"/>
      <c r="M266" s="140" t="n"/>
      <c r="N266" s="136" t="n"/>
      <c r="O266" s="133" t="n"/>
      <c r="P266" s="93">
        <f>IFERROR(VLOOKUP(TRIM(O266), Collection!$B$2:$D$1001, 2, FALSE), "")</f>
        <v/>
      </c>
      <c r="Q266" s="190">
        <f>IFERROR(VLOOKUP(TRIM(O266), Collection!$B$2:$D$1001, 3, FALSE), "")</f>
        <v/>
      </c>
      <c r="R266" s="153">
        <f>IFERROR(VALUE(SUBSTITUTE(SUBSTITUTE(Q266, "Price", ""), "AED", "")), "")</f>
        <v/>
      </c>
      <c r="S266" s="151" t="n"/>
      <c r="T266" s="158" t="n"/>
      <c r="U266" s="136" t="n"/>
      <c r="V266" s="136" t="n"/>
      <c r="W266" s="156">
        <f>IF(Z266 = "",
"",
TEXT(Z266, "mmmm"))</f>
        <v/>
      </c>
      <c r="X266" s="157" t="n"/>
      <c r="Y266" s="158" t="n"/>
      <c r="Z266" s="158" t="n"/>
      <c r="AA266" s="136">
        <f>IF(H266="", "", IF(U266="Open Sale", IF(TODAY()-H266=0, "0 Days", TEXT(TODAY()-H266, "0") &amp; " Days"), IF(U266="Closed Sale", AA266, "")))</f>
        <v/>
      </c>
      <c r="AB266" s="136">
        <f>IF(H266="", "", IF(OR(U266="Pending", U266="Pending Allocation"), CONCATENATE(TODAY()-H266, " Days"), IF(U266="Closed", "", "")))</f>
        <v/>
      </c>
      <c r="AC266" s="160">
        <f>IF(U266="Pending Allocation", IF(I266="", "", TODAY()-I266), "")</f>
        <v/>
      </c>
      <c r="AD266" s="159">
        <f>IF(U266="Open Sale", TEXT(TODAY()-I266, "0"),
IF(U266="Pending", "",
IF(U266="Closed Sale", "", "")))</f>
        <v/>
      </c>
      <c r="AE266" s="161" t="n"/>
      <c r="AF266" s="161" t="n"/>
      <c r="AG266" s="161" t="n"/>
      <c r="AH266" s="136" t="n"/>
      <c r="AI266" s="164">
        <f>IF(I266="","",TEXT(I266, "mmmm yyyy"))</f>
        <v/>
      </c>
      <c r="AJ266" s="164">
        <f>IF(AND(OpenPendingCases[[#This Row],[Sale Status	]]="Open Sale",OpenPendingCases[[#This Row],[Potential Same Month]]="High"),TEXT(OpenPendingCases[[#This Row],[Request Entry Date]], "[$-en-us]mmmm"),"")</f>
        <v/>
      </c>
      <c r="AK266" s="165">
        <f>IFERROR(VALUE(SUBSTITUTE(OpenPendingCases[[#This Row],[Price]]," AED","")),"")</f>
        <v/>
      </c>
      <c r="AL266" s="165">
        <f>IFERROR(VALUE(LEFT(OpenPendingCases[[#This Row],[Price]],FIND(" ",OpenPendingCases[[#This Row],[Price]])-1)),"")</f>
        <v/>
      </c>
      <c r="AM266" s="165">
        <f>IFERROR(VALUE(_xlfn.TEXTBEFORE(OpenPendingCases[[#This Row],[Price]]," AED")),"")</f>
        <v/>
      </c>
      <c r="AN266" s="165" t="n"/>
    </row>
    <row r="267" hidden="1" ht="18" customHeight="1" s="287">
      <c r="C267" s="133" t="n"/>
      <c r="D267" s="136">
        <f>IF($U267="Open Sale", IF(MAX($D$4:D266)+1=0, "", MAX($D$4:D266)+1), "")</f>
        <v/>
      </c>
      <c r="E267" s="136">
        <f>IF($U267="Pending Allocation", IF(MAX($E$4:E266)+1=0, "", MAX($E$4:E266)+1), "")</f>
        <v/>
      </c>
      <c r="F267" s="136" t="n"/>
      <c r="G267" s="136" t="n"/>
      <c r="H267" s="150" t="n"/>
      <c r="I267" s="150" t="n"/>
      <c r="J267" s="67">
        <f>IF(OpenPendingCases[[#This Row],[Timepiece Reference ]]="", "", IF(_xlfn.XLOOKUP(OpenPendingCases[[#This Row],[Timepiece Reference ]], Table1[[Timepiece Reference ]], Table1[CRC STOCK], "Not Found")="YES", "CRC Stock", "Boutique Stock"))</f>
        <v/>
      </c>
      <c r="K267" s="136">
        <f>IF(OpenPendingCases[[#This Row],[Timepiece Reference ]]="", "", IF(_xlfn.XLOOKUP(OpenPendingCases[[#This Row],[Timepiece Reference ]], Table1[[Timepiece Reference ]], Table1[CRC STOCK], "Not Found")="YES", "CRC Stock", "Boutique Stock"))</f>
        <v/>
      </c>
      <c r="L267" s="142" t="n"/>
      <c r="M267" s="140" t="n"/>
      <c r="N267" s="136" t="n"/>
      <c r="O267" s="133" t="n"/>
      <c r="P267" s="93">
        <f>IFERROR(VLOOKUP(TRIM(O267), Collection!$B$2:$D$1001, 2, FALSE), "")</f>
        <v/>
      </c>
      <c r="Q267" s="190">
        <f>IFERROR(VLOOKUP(TRIM(O267), Collection!$B$2:$D$1001, 3, FALSE), "")</f>
        <v/>
      </c>
      <c r="R267" s="153">
        <f>IFERROR(VALUE(SUBSTITUTE(SUBSTITUTE(Q267, "Price", ""), "AED", "")), "")</f>
        <v/>
      </c>
      <c r="S267" s="151" t="n"/>
      <c r="T267" s="158" t="n"/>
      <c r="U267" s="136" t="n"/>
      <c r="V267" s="136" t="n"/>
      <c r="W267" s="156">
        <f>IF(Z267 = "",
"",
TEXT(Z267, "mmmm"))</f>
        <v/>
      </c>
      <c r="X267" s="157" t="n"/>
      <c r="Y267" s="158" t="n"/>
      <c r="Z267" s="158" t="n"/>
      <c r="AA267" s="136">
        <f>IF(H267="", "", IF(U267="Open Sale", IF(TODAY()-H267=0, "0 Days", TEXT(TODAY()-H267, "0") &amp; " Days"), IF(U267="Closed Sale", AA267, "")))</f>
        <v/>
      </c>
      <c r="AB267" s="136">
        <f>IF(H267="", "", IF(OR(U267="Pending", U267="Pending Allocation"), CONCATENATE(TODAY()-H267, " Days"), IF(U267="Closed", "", "")))</f>
        <v/>
      </c>
      <c r="AC267" s="160">
        <f>IF(U267="Pending Allocation", IF(I267="", "", TODAY()-I267), "")</f>
        <v/>
      </c>
      <c r="AD267" s="159">
        <f>IF(U267="Open Sale", TEXT(TODAY()-I267, "0"),
IF(U267="Pending", "",
IF(U267="Closed Sale", "", "")))</f>
        <v/>
      </c>
      <c r="AE267" s="161" t="n"/>
      <c r="AF267" s="161" t="n"/>
      <c r="AG267" s="161" t="n"/>
      <c r="AH267" s="136" t="n"/>
      <c r="AI267" s="164">
        <f>IF(I267="","",TEXT(I267, "mmmm yyyy"))</f>
        <v/>
      </c>
      <c r="AJ267" s="164">
        <f>IF(AND(OpenPendingCases[[#This Row],[Sale Status	]]="Open Sale",OpenPendingCases[[#This Row],[Potential Same Month]]="High"),TEXT(OpenPendingCases[[#This Row],[Request Entry Date]], "[$-en-us]mmmm"),"")</f>
        <v/>
      </c>
      <c r="AK267" s="165">
        <f>IFERROR(VALUE(SUBSTITUTE(OpenPendingCases[[#This Row],[Price]]," AED","")),"")</f>
        <v/>
      </c>
      <c r="AL267" s="165">
        <f>IFERROR(VALUE(LEFT(OpenPendingCases[[#This Row],[Price]],FIND(" ",OpenPendingCases[[#This Row],[Price]])-1)),"")</f>
        <v/>
      </c>
      <c r="AM267" s="165">
        <f>IFERROR(VALUE(_xlfn.TEXTBEFORE(OpenPendingCases[[#This Row],[Price]]," AED")),"")</f>
        <v/>
      </c>
      <c r="AN267" s="165" t="n"/>
    </row>
    <row r="268" hidden="1" ht="18" customHeight="1" s="287">
      <c r="C268" s="133" t="n"/>
      <c r="D268" s="136">
        <f>IF($U268="Open Sale", IF(MAX($D$4:D267)+1=0, "", MAX($D$4:D267)+1), "")</f>
        <v/>
      </c>
      <c r="E268" s="136">
        <f>IF($U268="Pending Allocation", IF(MAX($E$4:E267)+1=0, "", MAX($E$4:E267)+1), "")</f>
        <v/>
      </c>
      <c r="F268" s="136" t="n"/>
      <c r="G268" s="136" t="n"/>
      <c r="H268" s="150" t="n"/>
      <c r="I268" s="150" t="n"/>
      <c r="J268" s="67">
        <f>IF(OpenPendingCases[[#This Row],[Timepiece Reference ]]="", "", IF(_xlfn.XLOOKUP(OpenPendingCases[[#This Row],[Timepiece Reference ]], Table1[[Timepiece Reference ]], Table1[CRC STOCK], "Not Found")="YES", "CRC Stock", "Boutique Stock"))</f>
        <v/>
      </c>
      <c r="K268" s="136">
        <f>IF(OpenPendingCases[[#This Row],[Timepiece Reference ]]="", "", IF(_xlfn.XLOOKUP(OpenPendingCases[[#This Row],[Timepiece Reference ]], Table1[[Timepiece Reference ]], Table1[CRC STOCK], "Not Found")="YES", "CRC Stock", "Boutique Stock"))</f>
        <v/>
      </c>
      <c r="L268" s="142" t="n"/>
      <c r="M268" s="140" t="n"/>
      <c r="N268" s="136" t="n"/>
      <c r="O268" s="133" t="n"/>
      <c r="P268" s="93">
        <f>IFERROR(VLOOKUP(TRIM(O268), Collection!$B$2:$D$1001, 2, FALSE), "")</f>
        <v/>
      </c>
      <c r="Q268" s="190">
        <f>IFERROR(VLOOKUP(TRIM(O268), Collection!$B$2:$D$1001, 3, FALSE), "")</f>
        <v/>
      </c>
      <c r="R268" s="153">
        <f>IFERROR(VALUE(SUBSTITUTE(SUBSTITUTE(Q268, "Price", ""), "AED", "")), "")</f>
        <v/>
      </c>
      <c r="S268" s="151" t="n"/>
      <c r="T268" s="158" t="n"/>
      <c r="U268" s="136" t="n"/>
      <c r="V268" s="136" t="n"/>
      <c r="W268" s="156">
        <f>IF(Z268 = "",
"",
TEXT(Z268, "mmmm"))</f>
        <v/>
      </c>
      <c r="X268" s="157" t="n"/>
      <c r="Y268" s="158" t="n"/>
      <c r="Z268" s="158" t="n"/>
      <c r="AA268" s="136">
        <f>IF(H268="", "", IF(U268="Open Sale", IF(TODAY()-H268=0, "0 Days", TEXT(TODAY()-H268, "0") &amp; " Days"), IF(U268="Closed Sale", AA268, "")))</f>
        <v/>
      </c>
      <c r="AB268" s="136">
        <f>IF(H268="", "", IF(OR(U268="Pending", U268="Pending Allocation"), CONCATENATE(TODAY()-H268, " Days"), IF(U268="Closed", "", "")))</f>
        <v/>
      </c>
      <c r="AC268" s="160">
        <f>IF(U268="Pending Allocation", IF(I268="", "", TODAY()-I268), "")</f>
        <v/>
      </c>
      <c r="AD268" s="159">
        <f>IF(U268="Open Sale", TEXT(TODAY()-I268, "0"),
IF(U268="Pending", "",
IF(U268="Closed Sale", "", "")))</f>
        <v/>
      </c>
      <c r="AE268" s="161" t="n"/>
      <c r="AF268" s="161" t="n"/>
      <c r="AG268" s="161" t="n"/>
      <c r="AH268" s="136" t="n"/>
      <c r="AI268" s="164">
        <f>IF(I268="","",TEXT(I268, "mmmm yyyy"))</f>
        <v/>
      </c>
      <c r="AJ268" s="164">
        <f>IF(AND(OpenPendingCases[[#This Row],[Sale Status	]]="Open Sale",OpenPendingCases[[#This Row],[Potential Same Month]]="High"),TEXT(OpenPendingCases[[#This Row],[Request Entry Date]], "[$-en-us]mmmm"),"")</f>
        <v/>
      </c>
      <c r="AK268" s="165">
        <f>IFERROR(VALUE(SUBSTITUTE(OpenPendingCases[[#This Row],[Price]]," AED","")),"")</f>
        <v/>
      </c>
      <c r="AL268" s="165">
        <f>IFERROR(VALUE(LEFT(OpenPendingCases[[#This Row],[Price]],FIND(" ",OpenPendingCases[[#This Row],[Price]])-1)),"")</f>
        <v/>
      </c>
      <c r="AM268" s="165">
        <f>IFERROR(VALUE(_xlfn.TEXTBEFORE(OpenPendingCases[[#This Row],[Price]]," AED")),"")</f>
        <v/>
      </c>
      <c r="AN268" s="165" t="n"/>
    </row>
    <row r="269" hidden="1" ht="18" customHeight="1" s="287">
      <c r="C269" s="133" t="n"/>
      <c r="D269" s="136">
        <f>IF($U269="Open Sale", IF(MAX($D$4:D268)+1=0, "", MAX($D$4:D268)+1), "")</f>
        <v/>
      </c>
      <c r="E269" s="136">
        <f>IF($U269="Pending Allocation", IF(MAX($E$4:E268)+1=0, "", MAX($E$4:E268)+1), "")</f>
        <v/>
      </c>
      <c r="F269" s="136" t="n"/>
      <c r="G269" s="136" t="n"/>
      <c r="H269" s="150" t="n"/>
      <c r="I269" s="150" t="n"/>
      <c r="J269" s="67">
        <f>IF(OpenPendingCases[[#This Row],[Timepiece Reference ]]="", "", IF(_xlfn.XLOOKUP(OpenPendingCases[[#This Row],[Timepiece Reference ]], Table1[[Timepiece Reference ]], Table1[CRC STOCK], "Not Found")="YES", "CRC Stock", "Boutique Stock"))</f>
        <v/>
      </c>
      <c r="K269" s="136">
        <f>IF(OpenPendingCases[[#This Row],[Timepiece Reference ]]="", "", IF(_xlfn.XLOOKUP(OpenPendingCases[[#This Row],[Timepiece Reference ]], Table1[[Timepiece Reference ]], Table1[CRC STOCK], "Not Found")="YES", "CRC Stock", "Boutique Stock"))</f>
        <v/>
      </c>
      <c r="L269" s="142" t="n"/>
      <c r="M269" s="140" t="n"/>
      <c r="N269" s="136" t="n"/>
      <c r="O269" s="133" t="n"/>
      <c r="P269" s="93">
        <f>IFERROR(VLOOKUP(TRIM(O269), Collection!$B$2:$D$1001, 2, FALSE), "")</f>
        <v/>
      </c>
      <c r="Q269" s="190">
        <f>IFERROR(VLOOKUP(TRIM(O269), Collection!$B$2:$D$1001, 3, FALSE), "")</f>
        <v/>
      </c>
      <c r="R269" s="153">
        <f>IFERROR(VALUE(SUBSTITUTE(SUBSTITUTE(Q269, "Price", ""), "AED", "")), "")</f>
        <v/>
      </c>
      <c r="S269" s="151" t="n"/>
      <c r="T269" s="158" t="n"/>
      <c r="U269" s="136" t="n"/>
      <c r="V269" s="136" t="n"/>
      <c r="W269" s="156">
        <f>IF(Z269 = "",
"",
TEXT(Z269, "mmmm"))</f>
        <v/>
      </c>
      <c r="X269" s="157" t="n"/>
      <c r="Y269" s="158" t="n"/>
      <c r="Z269" s="158" t="n"/>
      <c r="AA269" s="136">
        <f>IF(H269="", "", IF(U269="Open Sale", IF(TODAY()-H269=0, "0 Days", TEXT(TODAY()-H269, "0") &amp; " Days"), IF(U269="Closed Sale", AA269, "")))</f>
        <v/>
      </c>
      <c r="AB269" s="136">
        <f>IF(H269="", "", IF(OR(U269="Pending", U269="Pending Allocation"), CONCATENATE(TODAY()-H269, " Days"), IF(U269="Closed", "", "")))</f>
        <v/>
      </c>
      <c r="AC269" s="160">
        <f>IF(U269="Pending Allocation", IF(I269="", "", TODAY()-I269), "")</f>
        <v/>
      </c>
      <c r="AD269" s="159">
        <f>IF(U269="Open Sale", TEXT(TODAY()-I269, "0"),
IF(U269="Pending", "",
IF(U269="Closed Sale", "", "")))</f>
        <v/>
      </c>
      <c r="AE269" s="161" t="n"/>
      <c r="AF269" s="161" t="n"/>
      <c r="AG269" s="161" t="n"/>
      <c r="AH269" s="136" t="n"/>
      <c r="AI269" s="164">
        <f>IF(I269="","",TEXT(I269, "mmmm yyyy"))</f>
        <v/>
      </c>
      <c r="AJ269" s="164">
        <f>IF(AND(OpenPendingCases[[#This Row],[Sale Status	]]="Open Sale",OpenPendingCases[[#This Row],[Potential Same Month]]="High"),TEXT(OpenPendingCases[[#This Row],[Request Entry Date]], "[$-en-us]mmmm"),"")</f>
        <v/>
      </c>
      <c r="AK269" s="165">
        <f>IFERROR(VALUE(SUBSTITUTE(OpenPendingCases[[#This Row],[Price]]," AED","")),"")</f>
        <v/>
      </c>
      <c r="AL269" s="165">
        <f>IFERROR(VALUE(LEFT(OpenPendingCases[[#This Row],[Price]],FIND(" ",OpenPendingCases[[#This Row],[Price]])-1)),"")</f>
        <v/>
      </c>
      <c r="AM269" s="165">
        <f>IFERROR(VALUE(_xlfn.TEXTBEFORE(OpenPendingCases[[#This Row],[Price]]," AED")),"")</f>
        <v/>
      </c>
      <c r="AN269" s="165" t="n"/>
    </row>
    <row r="270" hidden="1" ht="18" customHeight="1" s="287">
      <c r="C270" s="133" t="n"/>
      <c r="D270" s="136">
        <f>IF($U270="Open Sale", IF(MAX($D$4:D269)+1=0, "", MAX($D$4:D269)+1), "")</f>
        <v/>
      </c>
      <c r="E270" s="136">
        <f>IF($U270="Pending Allocation", IF(MAX($E$4:E269)+1=0, "", MAX($E$4:E269)+1), "")</f>
        <v/>
      </c>
      <c r="F270" s="136" t="n"/>
      <c r="G270" s="136" t="n"/>
      <c r="H270" s="150" t="n"/>
      <c r="I270" s="150" t="n"/>
      <c r="J270" s="67">
        <f>IF(OpenPendingCases[[#This Row],[Timepiece Reference ]]="", "", IF(_xlfn.XLOOKUP(OpenPendingCases[[#This Row],[Timepiece Reference ]], Table1[[Timepiece Reference ]], Table1[CRC STOCK], "Not Found")="YES", "CRC Stock", "Boutique Stock"))</f>
        <v/>
      </c>
      <c r="K270" s="136">
        <f>IF(OpenPendingCases[[#This Row],[Timepiece Reference ]]="", "", IF(_xlfn.XLOOKUP(OpenPendingCases[[#This Row],[Timepiece Reference ]], Table1[[Timepiece Reference ]], Table1[CRC STOCK], "Not Found")="YES", "CRC Stock", "Boutique Stock"))</f>
        <v/>
      </c>
      <c r="L270" s="142" t="n"/>
      <c r="M270" s="140" t="n"/>
      <c r="N270" s="136" t="n"/>
      <c r="O270" s="133" t="n"/>
      <c r="P270" s="93">
        <f>IFERROR(VLOOKUP(TRIM(O270), Collection!$B$2:$D$1001, 2, FALSE), "")</f>
        <v/>
      </c>
      <c r="Q270" s="190">
        <f>IFERROR(VLOOKUP(TRIM(O270), Collection!$B$2:$D$1001, 3, FALSE), "")</f>
        <v/>
      </c>
      <c r="R270" s="153">
        <f>IFERROR(VALUE(SUBSTITUTE(SUBSTITUTE(Q270, "Price", ""), "AED", "")), "")</f>
        <v/>
      </c>
      <c r="S270" s="151" t="n"/>
      <c r="T270" s="158" t="n"/>
      <c r="U270" s="136" t="n"/>
      <c r="V270" s="136" t="n"/>
      <c r="W270" s="156">
        <f>IF(Z270 = "",
"",
TEXT(Z270, "mmmm"))</f>
        <v/>
      </c>
      <c r="X270" s="157" t="n"/>
      <c r="Y270" s="158" t="n"/>
      <c r="Z270" s="158" t="n"/>
      <c r="AA270" s="136">
        <f>IF(H270="", "", IF(U270="Open Sale", IF(TODAY()-H270=0, "0 Days", TEXT(TODAY()-H270, "0") &amp; " Days"), IF(U270="Closed Sale", AA270, "")))</f>
        <v/>
      </c>
      <c r="AB270" s="136">
        <f>IF(H270="", "", IF(OR(U270="Pending", U270="Pending Allocation"), CONCATENATE(TODAY()-H270, " Days"), IF(U270="Closed", "", "")))</f>
        <v/>
      </c>
      <c r="AC270" s="160">
        <f>IF(U270="Pending Allocation", IF(I270="", "", TODAY()-I270), "")</f>
        <v/>
      </c>
      <c r="AD270" s="159">
        <f>IF(U270="Open Sale", TEXT(TODAY()-I270, "0"),
IF(U270="Pending", "",
IF(U270="Closed Sale", "", "")))</f>
        <v/>
      </c>
      <c r="AE270" s="161" t="n"/>
      <c r="AF270" s="161" t="n"/>
      <c r="AG270" s="161" t="n"/>
      <c r="AH270" s="136" t="n"/>
      <c r="AI270" s="164">
        <f>IF(I270="","",TEXT(I270, "mmmm yyyy"))</f>
        <v/>
      </c>
      <c r="AJ270" s="164">
        <f>IF(AND(OpenPendingCases[[#This Row],[Sale Status	]]="Open Sale",OpenPendingCases[[#This Row],[Potential Same Month]]="High"),TEXT(OpenPendingCases[[#This Row],[Request Entry Date]], "[$-en-us]mmmm"),"")</f>
        <v/>
      </c>
      <c r="AK270" s="165">
        <f>IFERROR(VALUE(SUBSTITUTE(OpenPendingCases[[#This Row],[Price]]," AED","")),"")</f>
        <v/>
      </c>
      <c r="AL270" s="165">
        <f>IFERROR(VALUE(LEFT(OpenPendingCases[[#This Row],[Price]],FIND(" ",OpenPendingCases[[#This Row],[Price]])-1)),"")</f>
        <v/>
      </c>
      <c r="AM270" s="165">
        <f>IFERROR(VALUE(_xlfn.TEXTBEFORE(OpenPendingCases[[#This Row],[Price]]," AED")),"")</f>
        <v/>
      </c>
      <c r="AN270" s="165" t="n"/>
    </row>
    <row r="271" hidden="1" ht="18" customHeight="1" s="287">
      <c r="C271" s="133" t="n"/>
      <c r="D271" s="136">
        <f>IF($U271="Open Sale", IF(MAX($D$4:D270)+1=0, "", MAX($D$4:D270)+1), "")</f>
        <v/>
      </c>
      <c r="E271" s="136">
        <f>IF($U271="Pending Allocation", IF(MAX($E$4:E270)+1=0, "", MAX($E$4:E270)+1), "")</f>
        <v/>
      </c>
      <c r="F271" s="136" t="n"/>
      <c r="G271" s="136" t="n"/>
      <c r="H271" s="150" t="n"/>
      <c r="I271" s="150" t="n"/>
      <c r="J271" s="67">
        <f>IF(OpenPendingCases[[#This Row],[Timepiece Reference ]]="", "", IF(_xlfn.XLOOKUP(OpenPendingCases[[#This Row],[Timepiece Reference ]], Table1[[Timepiece Reference ]], Table1[CRC STOCK], "Not Found")="YES", "CRC Stock", "Boutique Stock"))</f>
        <v/>
      </c>
      <c r="K271" s="136">
        <f>IF(OpenPendingCases[[#This Row],[Timepiece Reference ]]="", "", IF(_xlfn.XLOOKUP(OpenPendingCases[[#This Row],[Timepiece Reference ]], Table1[[Timepiece Reference ]], Table1[CRC STOCK], "Not Found")="YES", "CRC Stock", "Boutique Stock"))</f>
        <v/>
      </c>
      <c r="L271" s="142" t="n"/>
      <c r="M271" s="140" t="n"/>
      <c r="N271" s="136" t="n"/>
      <c r="O271" s="133" t="n"/>
      <c r="P271" s="93">
        <f>IFERROR(VLOOKUP(TRIM(O271), Collection!$B$2:$D$1001, 2, FALSE), "")</f>
        <v/>
      </c>
      <c r="Q271" s="190">
        <f>IFERROR(VLOOKUP(TRIM(O271), Collection!$B$2:$D$1001, 3, FALSE), "")</f>
        <v/>
      </c>
      <c r="R271" s="153">
        <f>IFERROR(VALUE(SUBSTITUTE(SUBSTITUTE(Q271, "Price", ""), "AED", "")), "")</f>
        <v/>
      </c>
      <c r="S271" s="151" t="n"/>
      <c r="T271" s="158" t="n"/>
      <c r="U271" s="136" t="n"/>
      <c r="V271" s="136" t="n"/>
      <c r="W271" s="156">
        <f>IF(Z271 = "",
"",
TEXT(Z271, "mmmm"))</f>
        <v/>
      </c>
      <c r="X271" s="157" t="n"/>
      <c r="Y271" s="158" t="n"/>
      <c r="Z271" s="158" t="n"/>
      <c r="AA271" s="136">
        <f>IF(H271="", "", IF(U271="Open Sale", IF(TODAY()-H271=0, "0 Days", TEXT(TODAY()-H271, "0") &amp; " Days"), IF(U271="Closed Sale", AA271, "")))</f>
        <v/>
      </c>
      <c r="AB271" s="136">
        <f>IF(H271="", "", IF(OR(U271="Pending", U271="Pending Allocation"), CONCATENATE(TODAY()-H271, " Days"), IF(U271="Closed", "", "")))</f>
        <v/>
      </c>
      <c r="AC271" s="160">
        <f>IF(U271="Pending Allocation", IF(I271="", "", TODAY()-I271), "")</f>
        <v/>
      </c>
      <c r="AD271" s="159">
        <f>IF(U271="Open Sale", TEXT(TODAY()-I271, "0"),
IF(U271="Pending", "",
IF(U271="Closed Sale", "", "")))</f>
        <v/>
      </c>
      <c r="AE271" s="161" t="n"/>
      <c r="AF271" s="161" t="n"/>
      <c r="AG271" s="161" t="n"/>
      <c r="AH271" s="136" t="n"/>
      <c r="AI271" s="164">
        <f>IF(I271="","",TEXT(I271, "mmmm yyyy"))</f>
        <v/>
      </c>
      <c r="AJ271" s="164">
        <f>IF(AND(OpenPendingCases[[#This Row],[Sale Status	]]="Open Sale",OpenPendingCases[[#This Row],[Potential Same Month]]="High"),TEXT(OpenPendingCases[[#This Row],[Request Entry Date]], "[$-en-us]mmmm"),"")</f>
        <v/>
      </c>
      <c r="AK271" s="165">
        <f>IFERROR(VALUE(SUBSTITUTE(OpenPendingCases[[#This Row],[Price]]," AED","")),"")</f>
        <v/>
      </c>
      <c r="AL271" s="165">
        <f>IFERROR(VALUE(LEFT(OpenPendingCases[[#This Row],[Price]],FIND(" ",OpenPendingCases[[#This Row],[Price]])-1)),"")</f>
        <v/>
      </c>
      <c r="AM271" s="165">
        <f>IFERROR(VALUE(_xlfn.TEXTBEFORE(OpenPendingCases[[#This Row],[Price]]," AED")),"")</f>
        <v/>
      </c>
      <c r="AN271" s="165" t="n"/>
    </row>
    <row r="272" hidden="1" ht="18" customHeight="1" s="287">
      <c r="C272" s="133" t="n"/>
      <c r="D272" s="136">
        <f>IF($U272="Open Sale", IF(MAX($D$4:D271)+1=0, "", MAX($D$4:D271)+1), "")</f>
        <v/>
      </c>
      <c r="E272" s="136">
        <f>IF($U272="Pending Allocation", IF(MAX($E$4:E271)+1=0, "", MAX($E$4:E271)+1), "")</f>
        <v/>
      </c>
      <c r="F272" s="136" t="n"/>
      <c r="G272" s="136" t="n"/>
      <c r="H272" s="150" t="n"/>
      <c r="I272" s="150" t="n"/>
      <c r="J272" s="67">
        <f>IF(OpenPendingCases[[#This Row],[Timepiece Reference ]]="", "", IF(_xlfn.XLOOKUP(OpenPendingCases[[#This Row],[Timepiece Reference ]], Table1[[Timepiece Reference ]], Table1[CRC STOCK], "Not Found")="YES", "CRC Stock", "Boutique Stock"))</f>
        <v/>
      </c>
      <c r="K272" s="136">
        <f>IF(OpenPendingCases[[#This Row],[Timepiece Reference ]]="", "", IF(_xlfn.XLOOKUP(OpenPendingCases[[#This Row],[Timepiece Reference ]], Table1[[Timepiece Reference ]], Table1[CRC STOCK], "Not Found")="YES", "CRC Stock", "Boutique Stock"))</f>
        <v/>
      </c>
      <c r="L272" s="142" t="n"/>
      <c r="M272" s="140" t="n"/>
      <c r="N272" s="136" t="n"/>
      <c r="O272" s="133" t="n"/>
      <c r="P272" s="93">
        <f>IFERROR(VLOOKUP(TRIM(O272), Collection!$B$2:$D$1001, 2, FALSE), "")</f>
        <v/>
      </c>
      <c r="Q272" s="190">
        <f>IFERROR(VLOOKUP(TRIM(O272), Collection!$B$2:$D$1001, 3, FALSE), "")</f>
        <v/>
      </c>
      <c r="R272" s="153">
        <f>IFERROR(VALUE(SUBSTITUTE(SUBSTITUTE(Q272, "Price", ""), "AED", "")), "")</f>
        <v/>
      </c>
      <c r="S272" s="151" t="n"/>
      <c r="T272" s="158" t="n"/>
      <c r="U272" s="136" t="n"/>
      <c r="V272" s="136" t="n"/>
      <c r="W272" s="156">
        <f>IF(Z272 = "",
"",
TEXT(Z272, "mmmm"))</f>
        <v/>
      </c>
      <c r="X272" s="157" t="n"/>
      <c r="Y272" s="158" t="n"/>
      <c r="Z272" s="158" t="n"/>
      <c r="AA272" s="136">
        <f>IF(H272="", "", IF(U272="Open Sale", IF(TODAY()-H272=0, "0 Days", TEXT(TODAY()-H272, "0") &amp; " Days"), IF(U272="Closed Sale", AA272, "")))</f>
        <v/>
      </c>
      <c r="AB272" s="136">
        <f>IF(H272="", "", IF(OR(U272="Pending", U272="Pending Allocation"), CONCATENATE(TODAY()-H272, " Days"), IF(U272="Closed", "", "")))</f>
        <v/>
      </c>
      <c r="AC272" s="160">
        <f>IF(U272="Pending Allocation", IF(I272="", "", TODAY()-I272), "")</f>
        <v/>
      </c>
      <c r="AD272" s="159">
        <f>IF(U272="Open Sale", TEXT(TODAY()-I272, "0"),
IF(U272="Pending", "",
IF(U272="Closed Sale", "", "")))</f>
        <v/>
      </c>
      <c r="AE272" s="161" t="n"/>
      <c r="AF272" s="161" t="n"/>
      <c r="AG272" s="161" t="n"/>
      <c r="AH272" s="136" t="n"/>
      <c r="AI272" s="164">
        <f>IF(I272="","",TEXT(I272, "mmmm yyyy"))</f>
        <v/>
      </c>
      <c r="AJ272" s="164">
        <f>IF(AND(OpenPendingCases[[#This Row],[Sale Status	]]="Open Sale",OpenPendingCases[[#This Row],[Potential Same Month]]="High"),TEXT(OpenPendingCases[[#This Row],[Request Entry Date]], "[$-en-us]mmmm"),"")</f>
        <v/>
      </c>
      <c r="AK272" s="165">
        <f>IFERROR(VALUE(SUBSTITUTE(OpenPendingCases[[#This Row],[Price]]," AED","")),"")</f>
        <v/>
      </c>
      <c r="AL272" s="165">
        <f>IFERROR(VALUE(LEFT(OpenPendingCases[[#This Row],[Price]],FIND(" ",OpenPendingCases[[#This Row],[Price]])-1)),"")</f>
        <v/>
      </c>
      <c r="AM272" s="165">
        <f>IFERROR(VALUE(_xlfn.TEXTBEFORE(OpenPendingCases[[#This Row],[Price]]," AED")),"")</f>
        <v/>
      </c>
      <c r="AN272" s="165" t="n"/>
    </row>
    <row r="273" hidden="1" ht="18" customHeight="1" s="287">
      <c r="C273" s="133" t="n"/>
      <c r="D273" s="136">
        <f>IF($U273="Open Sale", IF(MAX($D$4:D272)+1=0, "", MAX($D$4:D272)+1), "")</f>
        <v/>
      </c>
      <c r="E273" s="136">
        <f>IF($U273="Pending Allocation", IF(MAX($E$4:E272)+1=0, "", MAX($E$4:E272)+1), "")</f>
        <v/>
      </c>
      <c r="F273" s="136" t="n"/>
      <c r="G273" s="136" t="n"/>
      <c r="H273" s="150" t="n"/>
      <c r="I273" s="150" t="n"/>
      <c r="J273" s="67">
        <f>IF(OpenPendingCases[[#This Row],[Timepiece Reference ]]="", "", IF(_xlfn.XLOOKUP(OpenPendingCases[[#This Row],[Timepiece Reference ]], Table1[[Timepiece Reference ]], Table1[CRC STOCK], "Not Found")="YES", "CRC Stock", "Boutique Stock"))</f>
        <v/>
      </c>
      <c r="K273" s="136">
        <f>IF(OpenPendingCases[[#This Row],[Timepiece Reference ]]="", "", IF(_xlfn.XLOOKUP(OpenPendingCases[[#This Row],[Timepiece Reference ]], Table1[[Timepiece Reference ]], Table1[CRC STOCK], "Not Found")="YES", "CRC Stock", "Boutique Stock"))</f>
        <v/>
      </c>
      <c r="L273" s="142" t="n"/>
      <c r="M273" s="140" t="n"/>
      <c r="N273" s="136" t="n"/>
      <c r="O273" s="133" t="n"/>
      <c r="P273" s="93">
        <f>IFERROR(VLOOKUP(TRIM(O273), Collection!$B$2:$D$1001, 2, FALSE), "")</f>
        <v/>
      </c>
      <c r="Q273" s="190">
        <f>IFERROR(VLOOKUP(TRIM(O273), Collection!$B$2:$D$1001, 3, FALSE), "")</f>
        <v/>
      </c>
      <c r="R273" s="153">
        <f>IFERROR(VALUE(SUBSTITUTE(SUBSTITUTE(Q273, "Price", ""), "AED", "")), "")</f>
        <v/>
      </c>
      <c r="S273" s="151" t="n"/>
      <c r="T273" s="158" t="n"/>
      <c r="U273" s="136" t="n"/>
      <c r="V273" s="136" t="n"/>
      <c r="W273" s="156">
        <f>IF(Z273 = "",
"",
TEXT(Z273, "mmmm"))</f>
        <v/>
      </c>
      <c r="X273" s="157" t="n"/>
      <c r="Y273" s="158" t="n"/>
      <c r="Z273" s="158" t="n"/>
      <c r="AA273" s="136">
        <f>IF(H273="", "", IF(U273="Open Sale", IF(TODAY()-H273=0, "0 Days", TEXT(TODAY()-H273, "0") &amp; " Days"), IF(U273="Closed Sale", AA273, "")))</f>
        <v/>
      </c>
      <c r="AB273" s="136">
        <f>IF(H273="", "", IF(OR(U273="Pending", U273="Pending Allocation"), CONCATENATE(TODAY()-H273, " Days"), IF(U273="Closed", "", "")))</f>
        <v/>
      </c>
      <c r="AC273" s="160">
        <f>IF(U273="Pending Allocation", IF(I273="", "", TODAY()-I273), "")</f>
        <v/>
      </c>
      <c r="AD273" s="159">
        <f>IF(U273="Open Sale", TEXT(TODAY()-I273, "0"),
IF(U273="Pending", "",
IF(U273="Closed Sale", "", "")))</f>
        <v/>
      </c>
      <c r="AE273" s="161" t="n"/>
      <c r="AF273" s="161" t="n"/>
      <c r="AG273" s="161" t="n"/>
      <c r="AH273" s="136" t="n"/>
      <c r="AI273" s="164">
        <f>IF(I273="","",TEXT(I273, "mmmm yyyy"))</f>
        <v/>
      </c>
      <c r="AJ273" s="164">
        <f>IF(AND(OpenPendingCases[[#This Row],[Sale Status	]]="Open Sale",OpenPendingCases[[#This Row],[Potential Same Month]]="High"),TEXT(OpenPendingCases[[#This Row],[Request Entry Date]], "[$-en-us]mmmm"),"")</f>
        <v/>
      </c>
      <c r="AK273" s="165">
        <f>IFERROR(VALUE(SUBSTITUTE(OpenPendingCases[[#This Row],[Price]]," AED","")),"")</f>
        <v/>
      </c>
      <c r="AL273" s="165">
        <f>IFERROR(VALUE(LEFT(OpenPendingCases[[#This Row],[Price]],FIND(" ",OpenPendingCases[[#This Row],[Price]])-1)),"")</f>
        <v/>
      </c>
      <c r="AM273" s="165">
        <f>IFERROR(VALUE(_xlfn.TEXTBEFORE(OpenPendingCases[[#This Row],[Price]]," AED")),"")</f>
        <v/>
      </c>
      <c r="AN273" s="165" t="n"/>
    </row>
    <row r="274" hidden="1" ht="18" customHeight="1" s="287">
      <c r="C274" s="133" t="n"/>
      <c r="D274" s="136">
        <f>IF($U274="Open Sale", IF(MAX($D$4:D273)+1=0, "", MAX($D$4:D273)+1), "")</f>
        <v/>
      </c>
      <c r="E274" s="136">
        <f>IF($U274="Pending Allocation", IF(MAX($E$4:E273)+1=0, "", MAX($E$4:E273)+1), "")</f>
        <v/>
      </c>
      <c r="F274" s="136" t="n"/>
      <c r="G274" s="136" t="n"/>
      <c r="H274" s="150" t="n"/>
      <c r="I274" s="150" t="n"/>
      <c r="J274" s="67">
        <f>IF(OpenPendingCases[[#This Row],[Timepiece Reference ]]="", "", IF(_xlfn.XLOOKUP(OpenPendingCases[[#This Row],[Timepiece Reference ]], Table1[[Timepiece Reference ]], Table1[CRC STOCK], "Not Found")="YES", "CRC Stock", "Boutique Stock"))</f>
        <v/>
      </c>
      <c r="K274" s="136">
        <f>IF(OpenPendingCases[[#This Row],[Timepiece Reference ]]="", "", IF(_xlfn.XLOOKUP(OpenPendingCases[[#This Row],[Timepiece Reference ]], Table1[[Timepiece Reference ]], Table1[CRC STOCK], "Not Found")="YES", "CRC Stock", "Boutique Stock"))</f>
        <v/>
      </c>
      <c r="L274" s="142" t="n"/>
      <c r="M274" s="140" t="n"/>
      <c r="N274" s="136" t="n"/>
      <c r="O274" s="133" t="n"/>
      <c r="P274" s="93">
        <f>IFERROR(VLOOKUP(TRIM(O274), Collection!$B$2:$D$1001, 2, FALSE), "")</f>
        <v/>
      </c>
      <c r="Q274" s="190">
        <f>IFERROR(VLOOKUP(TRIM(O274), Collection!$B$2:$D$1001, 3, FALSE), "")</f>
        <v/>
      </c>
      <c r="R274" s="153">
        <f>IFERROR(VALUE(SUBSTITUTE(SUBSTITUTE(Q274, "Price", ""), "AED", "")), "")</f>
        <v/>
      </c>
      <c r="S274" s="151" t="n"/>
      <c r="T274" s="158" t="n"/>
      <c r="U274" s="136" t="n"/>
      <c r="V274" s="136" t="n"/>
      <c r="W274" s="156">
        <f>IF(Z274 = "",
"",
TEXT(Z274, "mmmm"))</f>
        <v/>
      </c>
      <c r="X274" s="157" t="n"/>
      <c r="Y274" s="158" t="n"/>
      <c r="Z274" s="158" t="n"/>
      <c r="AA274" s="136">
        <f>IF(H274="", "", IF(U274="Open Sale", IF(TODAY()-H274=0, "0 Days", TEXT(TODAY()-H274, "0") &amp; " Days"), IF(U274="Closed Sale", AA274, "")))</f>
        <v/>
      </c>
      <c r="AB274" s="136">
        <f>IF(H274="", "", IF(OR(U274="Pending", U274="Pending Allocation"), CONCATENATE(TODAY()-H274, " Days"), IF(U274="Closed", "", "")))</f>
        <v/>
      </c>
      <c r="AC274" s="160">
        <f>IF(U274="Pending Allocation", IF(I274="", "", TODAY()-I274), "")</f>
        <v/>
      </c>
      <c r="AD274" s="159">
        <f>IF(U274="Open Sale", TEXT(TODAY()-I274, "0"),
IF(U274="Pending", "",
IF(U274="Closed Sale", "", "")))</f>
        <v/>
      </c>
      <c r="AE274" s="161" t="n"/>
      <c r="AF274" s="161" t="n"/>
      <c r="AG274" s="161" t="n"/>
      <c r="AH274" s="136" t="n"/>
      <c r="AI274" s="164">
        <f>IF(I274="","",TEXT(I274, "mmmm yyyy"))</f>
        <v/>
      </c>
      <c r="AJ274" s="164">
        <f>IF(AND(OpenPendingCases[[#This Row],[Sale Status	]]="Open Sale",OpenPendingCases[[#This Row],[Potential Same Month]]="High"),TEXT(OpenPendingCases[[#This Row],[Request Entry Date]], "[$-en-us]mmmm"),"")</f>
        <v/>
      </c>
      <c r="AK274" s="165">
        <f>IFERROR(VALUE(SUBSTITUTE(OpenPendingCases[[#This Row],[Price]]," AED","")),"")</f>
        <v/>
      </c>
      <c r="AL274" s="165">
        <f>IFERROR(VALUE(LEFT(OpenPendingCases[[#This Row],[Price]],FIND(" ",OpenPendingCases[[#This Row],[Price]])-1)),"")</f>
        <v/>
      </c>
      <c r="AM274" s="165">
        <f>IFERROR(VALUE(_xlfn.TEXTBEFORE(OpenPendingCases[[#This Row],[Price]]," AED")),"")</f>
        <v/>
      </c>
      <c r="AN274" s="165" t="n"/>
    </row>
    <row r="275" hidden="1" ht="18" customHeight="1" s="287">
      <c r="C275" s="133" t="n"/>
      <c r="D275" s="136">
        <f>IF($U275="Open Sale", IF(MAX($D$4:D274)+1=0, "", MAX($D$4:D274)+1), "")</f>
        <v/>
      </c>
      <c r="E275" s="136">
        <f>IF($U275="Pending Allocation", IF(MAX($E$4:E274)+1=0, "", MAX($E$4:E274)+1), "")</f>
        <v/>
      </c>
      <c r="F275" s="136" t="n"/>
      <c r="G275" s="136" t="n"/>
      <c r="H275" s="150" t="n"/>
      <c r="I275" s="150" t="n"/>
      <c r="J275" s="67">
        <f>IF(OpenPendingCases[[#This Row],[Timepiece Reference ]]="", "", IF(_xlfn.XLOOKUP(OpenPendingCases[[#This Row],[Timepiece Reference ]], Table1[[Timepiece Reference ]], Table1[CRC STOCK], "Not Found")="YES", "CRC Stock", "Boutique Stock"))</f>
        <v/>
      </c>
      <c r="K275" s="136">
        <f>IF(OpenPendingCases[[#This Row],[Timepiece Reference ]]="", "", IF(_xlfn.XLOOKUP(OpenPendingCases[[#This Row],[Timepiece Reference ]], Table1[[Timepiece Reference ]], Table1[CRC STOCK], "Not Found")="YES", "CRC Stock", "Boutique Stock"))</f>
        <v/>
      </c>
      <c r="L275" s="142" t="n"/>
      <c r="M275" s="140" t="n"/>
      <c r="N275" s="136" t="n"/>
      <c r="O275" s="133" t="n"/>
      <c r="P275" s="93">
        <f>IFERROR(VLOOKUP(TRIM(O275), Collection!$B$2:$D$1001, 2, FALSE), "")</f>
        <v/>
      </c>
      <c r="Q275" s="190">
        <f>IFERROR(VLOOKUP(TRIM(O275), Collection!$B$2:$D$1001, 3, FALSE), "")</f>
        <v/>
      </c>
      <c r="R275" s="153">
        <f>IFERROR(VALUE(SUBSTITUTE(SUBSTITUTE(Q275, "Price", ""), "AED", "")), "")</f>
        <v/>
      </c>
      <c r="S275" s="151" t="n"/>
      <c r="T275" s="158" t="n"/>
      <c r="U275" s="136" t="n"/>
      <c r="V275" s="136" t="n"/>
      <c r="W275" s="156">
        <f>IF(Z275 = "",
"",
TEXT(Z275, "mmmm"))</f>
        <v/>
      </c>
      <c r="X275" s="157" t="n"/>
      <c r="Y275" s="158" t="n"/>
      <c r="Z275" s="158" t="n"/>
      <c r="AA275" s="136">
        <f>IF(H275="", "", IF(U275="Open Sale", IF(TODAY()-H275=0, "0 Days", TEXT(TODAY()-H275, "0") &amp; " Days"), IF(U275="Closed Sale", AA275, "")))</f>
        <v/>
      </c>
      <c r="AB275" s="136">
        <f>IF(H275="", "", IF(OR(U275="Pending", U275="Pending Allocation"), CONCATENATE(TODAY()-H275, " Days"), IF(U275="Closed", "", "")))</f>
        <v/>
      </c>
      <c r="AC275" s="160">
        <f>IF(U275="Pending Allocation", IF(I275="", "", TODAY()-I275), "")</f>
        <v/>
      </c>
      <c r="AD275" s="159">
        <f>IF(U275="Open Sale", TEXT(TODAY()-I275, "0"),
IF(U275="Pending", "",
IF(U275="Closed Sale", "", "")))</f>
        <v/>
      </c>
      <c r="AE275" s="161" t="n"/>
      <c r="AF275" s="161" t="n"/>
      <c r="AG275" s="161" t="n"/>
      <c r="AH275" s="136" t="n"/>
      <c r="AI275" s="164">
        <f>IF(I275="","",TEXT(I275, "mmmm yyyy"))</f>
        <v/>
      </c>
      <c r="AJ275" s="164">
        <f>IF(AND(OpenPendingCases[[#This Row],[Sale Status	]]="Open Sale",OpenPendingCases[[#This Row],[Potential Same Month]]="High"),TEXT(OpenPendingCases[[#This Row],[Request Entry Date]], "[$-en-us]mmmm"),"")</f>
        <v/>
      </c>
      <c r="AK275" s="165">
        <f>IFERROR(VALUE(SUBSTITUTE(OpenPendingCases[[#This Row],[Price]]," AED","")),"")</f>
        <v/>
      </c>
      <c r="AL275" s="165">
        <f>IFERROR(VALUE(LEFT(OpenPendingCases[[#This Row],[Price]],FIND(" ",OpenPendingCases[[#This Row],[Price]])-1)),"")</f>
        <v/>
      </c>
      <c r="AM275" s="165">
        <f>IFERROR(VALUE(_xlfn.TEXTBEFORE(OpenPendingCases[[#This Row],[Price]]," AED")),"")</f>
        <v/>
      </c>
      <c r="AN275" s="165" t="n"/>
    </row>
    <row r="276" hidden="1" ht="18" customHeight="1" s="287">
      <c r="C276" s="133" t="n"/>
      <c r="D276" s="136">
        <f>IF($U276="Open Sale", IF(MAX($D$4:D275)+1=0, "", MAX($D$4:D275)+1), "")</f>
        <v/>
      </c>
      <c r="E276" s="136">
        <f>IF($U276="Pending Allocation", IF(MAX($E$4:E275)+1=0, "", MAX($E$4:E275)+1), "")</f>
        <v/>
      </c>
      <c r="F276" s="136" t="n"/>
      <c r="G276" s="136" t="n"/>
      <c r="H276" s="150" t="n"/>
      <c r="I276" s="150" t="n"/>
      <c r="J276" s="67">
        <f>IF(OpenPendingCases[[#This Row],[Timepiece Reference ]]="", "", IF(_xlfn.XLOOKUP(OpenPendingCases[[#This Row],[Timepiece Reference ]], Table1[[Timepiece Reference ]], Table1[CRC STOCK], "Not Found")="YES", "CRC Stock", "Boutique Stock"))</f>
        <v/>
      </c>
      <c r="K276" s="136">
        <f>IF(OpenPendingCases[[#This Row],[Timepiece Reference ]]="", "", IF(_xlfn.XLOOKUP(OpenPendingCases[[#This Row],[Timepiece Reference ]], Table1[[Timepiece Reference ]], Table1[CRC STOCK], "Not Found")="YES", "CRC Stock", "Boutique Stock"))</f>
        <v/>
      </c>
      <c r="L276" s="142" t="n"/>
      <c r="M276" s="140" t="n"/>
      <c r="N276" s="136" t="n"/>
      <c r="O276" s="133" t="n"/>
      <c r="P276" s="93">
        <f>IFERROR(VLOOKUP(TRIM(O276), Collection!$B$2:$D$1001, 2, FALSE), "")</f>
        <v/>
      </c>
      <c r="Q276" s="190">
        <f>IFERROR(VLOOKUP(TRIM(O276), Collection!$B$2:$D$1001, 3, FALSE), "")</f>
        <v/>
      </c>
      <c r="R276" s="153">
        <f>IFERROR(VALUE(SUBSTITUTE(SUBSTITUTE(Q276, "Price", ""), "AED", "")), "")</f>
        <v/>
      </c>
      <c r="S276" s="151" t="n"/>
      <c r="T276" s="158" t="n"/>
      <c r="U276" s="136" t="n"/>
      <c r="V276" s="136" t="n"/>
      <c r="W276" s="156">
        <f>IF(Z276 = "",
"",
TEXT(Z276, "mmmm"))</f>
        <v/>
      </c>
      <c r="X276" s="157" t="n"/>
      <c r="Y276" s="158" t="n"/>
      <c r="Z276" s="158" t="n"/>
      <c r="AA276" s="136">
        <f>IF(H276="", "", IF(U276="Open Sale", IF(TODAY()-H276=0, "0 Days", TEXT(TODAY()-H276, "0") &amp; " Days"), IF(U276="Closed Sale", AA276, "")))</f>
        <v/>
      </c>
      <c r="AB276" s="136">
        <f>IF(H276="", "", IF(OR(U276="Pending", U276="Pending Allocation"), CONCATENATE(TODAY()-H276, " Days"), IF(U276="Closed", "", "")))</f>
        <v/>
      </c>
      <c r="AC276" s="160">
        <f>IF(U276="Pending Allocation", IF(I276="", "", TODAY()-I276), "")</f>
        <v/>
      </c>
      <c r="AD276" s="159">
        <f>IF(U276="Open Sale", TEXT(TODAY()-I276, "0"),
IF(U276="Pending", "",
IF(U276="Closed Sale", "", "")))</f>
        <v/>
      </c>
      <c r="AE276" s="161" t="n"/>
      <c r="AF276" s="161" t="n"/>
      <c r="AG276" s="161" t="n"/>
      <c r="AH276" s="136" t="n"/>
      <c r="AI276" s="164">
        <f>IF(I276="","",TEXT(I276, "mmmm yyyy"))</f>
        <v/>
      </c>
      <c r="AJ276" s="164">
        <f>IF(AND(OpenPendingCases[[#This Row],[Sale Status	]]="Open Sale",OpenPendingCases[[#This Row],[Potential Same Month]]="High"),TEXT(OpenPendingCases[[#This Row],[Request Entry Date]], "[$-en-us]mmmm"),"")</f>
        <v/>
      </c>
      <c r="AK276" s="165">
        <f>IFERROR(VALUE(SUBSTITUTE(OpenPendingCases[[#This Row],[Price]]," AED","")),"")</f>
        <v/>
      </c>
      <c r="AL276" s="165">
        <f>IFERROR(VALUE(LEFT(OpenPendingCases[[#This Row],[Price]],FIND(" ",OpenPendingCases[[#This Row],[Price]])-1)),"")</f>
        <v/>
      </c>
      <c r="AM276" s="165">
        <f>IFERROR(VALUE(_xlfn.TEXTBEFORE(OpenPendingCases[[#This Row],[Price]]," AED")),"")</f>
        <v/>
      </c>
      <c r="AN276" s="165" t="n"/>
    </row>
    <row r="277" hidden="1" ht="18" customHeight="1" s="287">
      <c r="C277" s="133" t="n"/>
      <c r="D277" s="136">
        <f>IF($U277="Open Sale", IF(MAX($D$4:D276)+1=0, "", MAX($D$4:D276)+1), "")</f>
        <v/>
      </c>
      <c r="E277" s="136">
        <f>IF($U277="Pending Allocation", IF(MAX($E$4:E276)+1=0, "", MAX($E$4:E276)+1), "")</f>
        <v/>
      </c>
      <c r="F277" s="136" t="n"/>
      <c r="G277" s="136" t="n"/>
      <c r="H277" s="150" t="n"/>
      <c r="I277" s="150" t="n"/>
      <c r="J277" s="67">
        <f>IF(OpenPendingCases[[#This Row],[Timepiece Reference ]]="", "", IF(_xlfn.XLOOKUP(OpenPendingCases[[#This Row],[Timepiece Reference ]], Table1[[Timepiece Reference ]], Table1[CRC STOCK], "Not Found")="YES", "CRC Stock", "Boutique Stock"))</f>
        <v/>
      </c>
      <c r="K277" s="136">
        <f>IF(OpenPendingCases[[#This Row],[Timepiece Reference ]]="", "", IF(_xlfn.XLOOKUP(OpenPendingCases[[#This Row],[Timepiece Reference ]], Table1[[Timepiece Reference ]], Table1[CRC STOCK], "Not Found")="YES", "CRC Stock", "Boutique Stock"))</f>
        <v/>
      </c>
      <c r="L277" s="142" t="n"/>
      <c r="M277" s="140" t="n"/>
      <c r="N277" s="136" t="n"/>
      <c r="O277" s="133" t="n"/>
      <c r="P277" s="93">
        <f>IFERROR(VLOOKUP(TRIM(O277), Collection!$B$2:$D$1001, 2, FALSE), "")</f>
        <v/>
      </c>
      <c r="Q277" s="190">
        <f>IFERROR(VLOOKUP(TRIM(O277), Collection!$B$2:$D$1001, 3, FALSE), "")</f>
        <v/>
      </c>
      <c r="R277" s="153">
        <f>IFERROR(VALUE(SUBSTITUTE(SUBSTITUTE(Q277, "Price", ""), "AED", "")), "")</f>
        <v/>
      </c>
      <c r="S277" s="151" t="n"/>
      <c r="T277" s="158" t="n"/>
      <c r="U277" s="136" t="n"/>
      <c r="V277" s="136" t="n"/>
      <c r="W277" s="156">
        <f>IF(Z277 = "",
"",
TEXT(Z277, "mmmm"))</f>
        <v/>
      </c>
      <c r="X277" s="157" t="n"/>
      <c r="Y277" s="158" t="n"/>
      <c r="Z277" s="158" t="n"/>
      <c r="AA277" s="136">
        <f>IF(H277="", "", IF(U277="Open Sale", IF(TODAY()-H277=0, "0 Days", TEXT(TODAY()-H277, "0") &amp; " Days"), IF(U277="Closed Sale", AA277, "")))</f>
        <v/>
      </c>
      <c r="AB277" s="136">
        <f>IF(H277="", "", IF(OR(U277="Pending", U277="Pending Allocation"), CONCATENATE(TODAY()-H277, " Days"), IF(U277="Closed", "", "")))</f>
        <v/>
      </c>
      <c r="AC277" s="160">
        <f>IF(U277="Pending Allocation", IF(I277="", "", TODAY()-I277), "")</f>
        <v/>
      </c>
      <c r="AD277" s="159">
        <f>IF(U277="Open Sale", TEXT(TODAY()-I277, "0"),
IF(U277="Pending", "",
IF(U277="Closed Sale", "", "")))</f>
        <v/>
      </c>
      <c r="AE277" s="161" t="n"/>
      <c r="AF277" s="161" t="n"/>
      <c r="AG277" s="161" t="n"/>
      <c r="AH277" s="136" t="n"/>
      <c r="AI277" s="164">
        <f>IF(I277="","",TEXT(I277, "mmmm yyyy"))</f>
        <v/>
      </c>
      <c r="AJ277" s="164">
        <f>IF(AND(OpenPendingCases[[#This Row],[Sale Status	]]="Open Sale",OpenPendingCases[[#This Row],[Potential Same Month]]="High"),TEXT(OpenPendingCases[[#This Row],[Request Entry Date]], "[$-en-us]mmmm"),"")</f>
        <v/>
      </c>
      <c r="AK277" s="165">
        <f>IFERROR(VALUE(SUBSTITUTE(OpenPendingCases[[#This Row],[Price]]," AED","")),"")</f>
        <v/>
      </c>
      <c r="AL277" s="165">
        <f>IFERROR(VALUE(LEFT(OpenPendingCases[[#This Row],[Price]],FIND(" ",OpenPendingCases[[#This Row],[Price]])-1)),"")</f>
        <v/>
      </c>
      <c r="AM277" s="165">
        <f>IFERROR(VALUE(_xlfn.TEXTBEFORE(OpenPendingCases[[#This Row],[Price]]," AED")),"")</f>
        <v/>
      </c>
      <c r="AN277" s="165" t="n"/>
    </row>
    <row r="278" hidden="1" ht="18" customHeight="1" s="287">
      <c r="C278" s="133" t="n"/>
      <c r="D278" s="136">
        <f>IF($U278="Open Sale", IF(MAX($D$4:D277)+1=0, "", MAX($D$4:D277)+1), "")</f>
        <v/>
      </c>
      <c r="E278" s="136">
        <f>IF($U278="Pending Allocation", IF(MAX($E$4:E277)+1=0, "", MAX($E$4:E277)+1), "")</f>
        <v/>
      </c>
      <c r="F278" s="136" t="n"/>
      <c r="G278" s="136" t="n"/>
      <c r="H278" s="150" t="n"/>
      <c r="I278" s="150" t="n"/>
      <c r="J278" s="67">
        <f>IF(OpenPendingCases[[#This Row],[Timepiece Reference ]]="", "", IF(_xlfn.XLOOKUP(OpenPendingCases[[#This Row],[Timepiece Reference ]], Table1[[Timepiece Reference ]], Table1[CRC STOCK], "Not Found")="YES", "CRC Stock", "Boutique Stock"))</f>
        <v/>
      </c>
      <c r="K278" s="136">
        <f>IF(OpenPendingCases[[#This Row],[Timepiece Reference ]]="", "", IF(_xlfn.XLOOKUP(OpenPendingCases[[#This Row],[Timepiece Reference ]], Table1[[Timepiece Reference ]], Table1[CRC STOCK], "Not Found")="YES", "CRC Stock", "Boutique Stock"))</f>
        <v/>
      </c>
      <c r="L278" s="142" t="n"/>
      <c r="M278" s="140" t="n"/>
      <c r="N278" s="136" t="n"/>
      <c r="O278" s="133" t="n"/>
      <c r="P278" s="93">
        <f>IFERROR(VLOOKUP(TRIM(O278), Collection!$B$2:$D$1001, 2, FALSE), "")</f>
        <v/>
      </c>
      <c r="Q278" s="190">
        <f>IFERROR(VLOOKUP(TRIM(O278), Collection!$B$2:$D$1001, 3, FALSE), "")</f>
        <v/>
      </c>
      <c r="R278" s="153">
        <f>IFERROR(VALUE(SUBSTITUTE(SUBSTITUTE(Q278, "Price", ""), "AED", "")), "")</f>
        <v/>
      </c>
      <c r="S278" s="151" t="n"/>
      <c r="T278" s="158" t="n"/>
      <c r="U278" s="136" t="n"/>
      <c r="V278" s="136" t="n"/>
      <c r="W278" s="156">
        <f>IF(Z278 = "",
"",
TEXT(Z278, "mmmm"))</f>
        <v/>
      </c>
      <c r="X278" s="157" t="n"/>
      <c r="Y278" s="158" t="n"/>
      <c r="Z278" s="158" t="n"/>
      <c r="AA278" s="136">
        <f>IF(H278="", "", IF(U278="Open Sale", IF(TODAY()-H278=0, "0 Days", TEXT(TODAY()-H278, "0") &amp; " Days"), IF(U278="Closed Sale", AA278, "")))</f>
        <v/>
      </c>
      <c r="AB278" s="136">
        <f>IF(H278="", "", IF(OR(U278="Pending", U278="Pending Allocation"), CONCATENATE(TODAY()-H278, " Days"), IF(U278="Closed", "", "")))</f>
        <v/>
      </c>
      <c r="AC278" s="160">
        <f>IF(U278="Pending Allocation", IF(I278="", "", TODAY()-I278), "")</f>
        <v/>
      </c>
      <c r="AD278" s="159">
        <f>IF(U278="Open Sale", TEXT(TODAY()-I278, "0"),
IF(U278="Pending", "",
IF(U278="Closed Sale", "", "")))</f>
        <v/>
      </c>
      <c r="AE278" s="161" t="n"/>
      <c r="AF278" s="161" t="n"/>
      <c r="AG278" s="161" t="n"/>
      <c r="AH278" s="136" t="n"/>
      <c r="AI278" s="164">
        <f>IF(I278="","",TEXT(I278, "mmmm yyyy"))</f>
        <v/>
      </c>
      <c r="AJ278" s="164">
        <f>IF(AND(OpenPendingCases[[#This Row],[Sale Status	]]="Open Sale",OpenPendingCases[[#This Row],[Potential Same Month]]="High"),TEXT(OpenPendingCases[[#This Row],[Request Entry Date]], "[$-en-us]mmmm"),"")</f>
        <v/>
      </c>
      <c r="AK278" s="165">
        <f>IFERROR(VALUE(SUBSTITUTE(OpenPendingCases[[#This Row],[Price]]," AED","")),"")</f>
        <v/>
      </c>
      <c r="AL278" s="165">
        <f>IFERROR(VALUE(LEFT(OpenPendingCases[[#This Row],[Price]],FIND(" ",OpenPendingCases[[#This Row],[Price]])-1)),"")</f>
        <v/>
      </c>
      <c r="AM278" s="165">
        <f>IFERROR(VALUE(_xlfn.TEXTBEFORE(OpenPendingCases[[#This Row],[Price]]," AED")),"")</f>
        <v/>
      </c>
      <c r="AN278" s="165" t="n"/>
    </row>
    <row r="279" hidden="1" ht="18" customHeight="1" s="287">
      <c r="C279" s="133" t="n"/>
      <c r="D279" s="136">
        <f>IF($U279="Open Sale", IF(MAX($D$4:D278)+1=0, "", MAX($D$4:D278)+1), "")</f>
        <v/>
      </c>
      <c r="E279" s="136">
        <f>IF($U279="Pending Allocation", IF(MAX($E$4:E278)+1=0, "", MAX($E$4:E278)+1), "")</f>
        <v/>
      </c>
      <c r="F279" s="136" t="n"/>
      <c r="G279" s="136" t="n"/>
      <c r="H279" s="150" t="n"/>
      <c r="I279" s="150" t="n"/>
      <c r="J279" s="67">
        <f>IF(OpenPendingCases[[#This Row],[Timepiece Reference ]]="", "", IF(_xlfn.XLOOKUP(OpenPendingCases[[#This Row],[Timepiece Reference ]], Table1[[Timepiece Reference ]], Table1[CRC STOCK], "Not Found")="YES", "CRC Stock", "Boutique Stock"))</f>
        <v/>
      </c>
      <c r="K279" s="136">
        <f>IF(OpenPendingCases[[#This Row],[Timepiece Reference ]]="", "", IF(_xlfn.XLOOKUP(OpenPendingCases[[#This Row],[Timepiece Reference ]], Table1[[Timepiece Reference ]], Table1[CRC STOCK], "Not Found")="YES", "CRC Stock", "Boutique Stock"))</f>
        <v/>
      </c>
      <c r="L279" s="142" t="n"/>
      <c r="M279" s="140" t="n"/>
      <c r="N279" s="136" t="n"/>
      <c r="O279" s="133" t="n"/>
      <c r="P279" s="93">
        <f>IFERROR(VLOOKUP(TRIM(O279), Collection!$B$2:$D$1001, 2, FALSE), "")</f>
        <v/>
      </c>
      <c r="Q279" s="190">
        <f>IFERROR(VLOOKUP(TRIM(O279), Collection!$B$2:$D$1001, 3, FALSE), "")</f>
        <v/>
      </c>
      <c r="R279" s="153">
        <f>IFERROR(VALUE(SUBSTITUTE(SUBSTITUTE(Q279, "Price", ""), "AED", "")), "")</f>
        <v/>
      </c>
      <c r="S279" s="151" t="n"/>
      <c r="T279" s="158" t="n"/>
      <c r="U279" s="136" t="n"/>
      <c r="V279" s="136" t="n"/>
      <c r="W279" s="156">
        <f>IF(Z279 = "",
"",
TEXT(Z279, "mmmm"))</f>
        <v/>
      </c>
      <c r="X279" s="157" t="n"/>
      <c r="Y279" s="158" t="n"/>
      <c r="Z279" s="158" t="n"/>
      <c r="AA279" s="136">
        <f>IF(H279="", "", IF(U279="Open Sale", IF(TODAY()-H279=0, "0 Days", TEXT(TODAY()-H279, "0") &amp; " Days"), IF(U279="Closed Sale", AA279, "")))</f>
        <v/>
      </c>
      <c r="AB279" s="136">
        <f>IF(H279="", "", IF(OR(U279="Pending", U279="Pending Allocation"), CONCATENATE(TODAY()-H279, " Days"), IF(U279="Closed", "", "")))</f>
        <v/>
      </c>
      <c r="AC279" s="160">
        <f>IF(U279="Pending Allocation", IF(I279="", "", TODAY()-I279), "")</f>
        <v/>
      </c>
      <c r="AD279" s="159">
        <f>IF(U279="Open Sale", TEXT(TODAY()-I279, "0"),
IF(U279="Pending", "",
IF(U279="Closed Sale", "", "")))</f>
        <v/>
      </c>
      <c r="AE279" s="161" t="n"/>
      <c r="AF279" s="161" t="n"/>
      <c r="AG279" s="161" t="n"/>
      <c r="AH279" s="136" t="n"/>
      <c r="AI279" s="164">
        <f>IF(I279="","",TEXT(I279, "mmmm yyyy"))</f>
        <v/>
      </c>
      <c r="AJ279" s="164">
        <f>IF(AND(OpenPendingCases[[#This Row],[Sale Status	]]="Open Sale",OpenPendingCases[[#This Row],[Potential Same Month]]="High"),TEXT(OpenPendingCases[[#This Row],[Request Entry Date]], "[$-en-us]mmmm"),"")</f>
        <v/>
      </c>
      <c r="AK279" s="165">
        <f>IFERROR(VALUE(SUBSTITUTE(OpenPendingCases[[#This Row],[Price]]," AED","")),"")</f>
        <v/>
      </c>
      <c r="AL279" s="165">
        <f>IFERROR(VALUE(LEFT(OpenPendingCases[[#This Row],[Price]],FIND(" ",OpenPendingCases[[#This Row],[Price]])-1)),"")</f>
        <v/>
      </c>
      <c r="AM279" s="165">
        <f>IFERROR(VALUE(_xlfn.TEXTBEFORE(OpenPendingCases[[#This Row],[Price]]," AED")),"")</f>
        <v/>
      </c>
      <c r="AN279" s="165" t="n"/>
    </row>
    <row r="280" hidden="1" ht="18" customHeight="1" s="287">
      <c r="C280" s="133" t="n"/>
      <c r="D280" s="136">
        <f>IF($U280="Open Sale", IF(MAX($D$4:D279)+1=0, "", MAX($D$4:D279)+1), "")</f>
        <v/>
      </c>
      <c r="E280" s="136">
        <f>IF($U280="Pending Allocation", IF(MAX($E$4:E279)+1=0, "", MAX($E$4:E279)+1), "")</f>
        <v/>
      </c>
      <c r="F280" s="136" t="n"/>
      <c r="G280" s="136" t="n"/>
      <c r="H280" s="150" t="n"/>
      <c r="I280" s="150" t="n"/>
      <c r="J280" s="67">
        <f>IF(OpenPendingCases[[#This Row],[Timepiece Reference ]]="", "", IF(_xlfn.XLOOKUP(OpenPendingCases[[#This Row],[Timepiece Reference ]], Table1[[Timepiece Reference ]], Table1[CRC STOCK], "Not Found")="YES", "CRC Stock", "Boutique Stock"))</f>
        <v/>
      </c>
      <c r="K280" s="136">
        <f>IF(OpenPendingCases[[#This Row],[Timepiece Reference ]]="", "", IF(_xlfn.XLOOKUP(OpenPendingCases[[#This Row],[Timepiece Reference ]], Table1[[Timepiece Reference ]], Table1[CRC STOCK], "Not Found")="YES", "CRC Stock", "Boutique Stock"))</f>
        <v/>
      </c>
      <c r="L280" s="142" t="n"/>
      <c r="M280" s="140" t="n"/>
      <c r="N280" s="136" t="n"/>
      <c r="O280" s="133" t="n"/>
      <c r="P280" s="93">
        <f>IFERROR(VLOOKUP(TRIM(O280), Collection!$B$2:$D$1001, 2, FALSE), "")</f>
        <v/>
      </c>
      <c r="Q280" s="190">
        <f>IFERROR(VLOOKUP(TRIM(O280), Collection!$B$2:$D$1001, 3, FALSE), "")</f>
        <v/>
      </c>
      <c r="R280" s="153">
        <f>IFERROR(VALUE(SUBSTITUTE(SUBSTITUTE(Q280, "Price", ""), "AED", "")), "")</f>
        <v/>
      </c>
      <c r="S280" s="151" t="n"/>
      <c r="T280" s="158" t="n"/>
      <c r="U280" s="136" t="n"/>
      <c r="V280" s="136" t="n"/>
      <c r="W280" s="156">
        <f>IF(Z280 = "",
"",
TEXT(Z280, "mmmm"))</f>
        <v/>
      </c>
      <c r="X280" s="157" t="n"/>
      <c r="Y280" s="158" t="n"/>
      <c r="Z280" s="158" t="n"/>
      <c r="AA280" s="136">
        <f>IF(H280="", "", IF(U280="Open Sale", IF(TODAY()-H280=0, "0 Days", TEXT(TODAY()-H280, "0") &amp; " Days"), IF(U280="Closed Sale", AA280, "")))</f>
        <v/>
      </c>
      <c r="AB280" s="136">
        <f>IF(H280="", "", IF(OR(U280="Pending", U280="Pending Allocation"), CONCATENATE(TODAY()-H280, " Days"), IF(U280="Closed", "", "")))</f>
        <v/>
      </c>
      <c r="AC280" s="160">
        <f>IF(U280="Pending Allocation", IF(I280="", "", TODAY()-I280), "")</f>
        <v/>
      </c>
      <c r="AD280" s="159">
        <f>IF(U280="Open Sale", TEXT(TODAY()-I280, "0"),
IF(U280="Pending", "",
IF(U280="Closed Sale", "", "")))</f>
        <v/>
      </c>
      <c r="AE280" s="161" t="n"/>
      <c r="AF280" s="161" t="n"/>
      <c r="AG280" s="161" t="n"/>
      <c r="AH280" s="136" t="n"/>
      <c r="AI280" s="164">
        <f>IF(I280="","",TEXT(I280, "mmmm yyyy"))</f>
        <v/>
      </c>
      <c r="AJ280" s="164">
        <f>IF(AND(OpenPendingCases[[#This Row],[Sale Status	]]="Open Sale",OpenPendingCases[[#This Row],[Potential Same Month]]="High"),TEXT(OpenPendingCases[[#This Row],[Request Entry Date]], "[$-en-us]mmmm"),"")</f>
        <v/>
      </c>
      <c r="AK280" s="165">
        <f>IFERROR(VALUE(SUBSTITUTE(OpenPendingCases[[#This Row],[Price]]," AED","")),"")</f>
        <v/>
      </c>
      <c r="AL280" s="165">
        <f>IFERROR(VALUE(LEFT(OpenPendingCases[[#This Row],[Price]],FIND(" ",OpenPendingCases[[#This Row],[Price]])-1)),"")</f>
        <v/>
      </c>
      <c r="AM280" s="165">
        <f>IFERROR(VALUE(_xlfn.TEXTBEFORE(OpenPendingCases[[#This Row],[Price]]," AED")),"")</f>
        <v/>
      </c>
      <c r="AN280" s="165" t="n"/>
    </row>
    <row r="281" hidden="1" ht="18" customHeight="1" s="287">
      <c r="C281" s="133" t="n"/>
      <c r="D281" s="136">
        <f>IF($U281="Open Sale", IF(MAX($D$4:D280)+1=0, "", MAX($D$4:D280)+1), "")</f>
        <v/>
      </c>
      <c r="E281" s="136">
        <f>IF($U281="Pending Allocation", IF(MAX($E$4:E280)+1=0, "", MAX($E$4:E280)+1), "")</f>
        <v/>
      </c>
      <c r="F281" s="136" t="n"/>
      <c r="G281" s="136" t="n"/>
      <c r="H281" s="150" t="n"/>
      <c r="I281" s="150" t="n"/>
      <c r="J281" s="67">
        <f>IF(OpenPendingCases[[#This Row],[Timepiece Reference ]]="", "", IF(_xlfn.XLOOKUP(OpenPendingCases[[#This Row],[Timepiece Reference ]], Table1[[Timepiece Reference ]], Table1[CRC STOCK], "Not Found")="YES", "CRC Stock", "Boutique Stock"))</f>
        <v/>
      </c>
      <c r="K281" s="136">
        <f>IF(OpenPendingCases[[#This Row],[Timepiece Reference ]]="", "", IF(_xlfn.XLOOKUP(OpenPendingCases[[#This Row],[Timepiece Reference ]], Table1[[Timepiece Reference ]], Table1[CRC STOCK], "Not Found")="YES", "CRC Stock", "Boutique Stock"))</f>
        <v/>
      </c>
      <c r="L281" s="142" t="n"/>
      <c r="M281" s="140" t="n"/>
      <c r="N281" s="136" t="n"/>
      <c r="O281" s="133" t="n"/>
      <c r="P281" s="93">
        <f>IFERROR(VLOOKUP(TRIM(O281), Collection!$B$2:$D$1001, 2, FALSE), "")</f>
        <v/>
      </c>
      <c r="Q281" s="190">
        <f>IFERROR(VLOOKUP(TRIM(O281), Collection!$B$2:$D$1001, 3, FALSE), "")</f>
        <v/>
      </c>
      <c r="R281" s="153">
        <f>IFERROR(VALUE(SUBSTITUTE(SUBSTITUTE(Q281, "Price", ""), "AED", "")), "")</f>
        <v/>
      </c>
      <c r="S281" s="151" t="n"/>
      <c r="T281" s="158" t="n"/>
      <c r="U281" s="136" t="n"/>
      <c r="V281" s="136" t="n"/>
      <c r="W281" s="156">
        <f>IF(Z281 = "",
"",
TEXT(Z281, "mmmm"))</f>
        <v/>
      </c>
      <c r="X281" s="157" t="n"/>
      <c r="Y281" s="158" t="n"/>
      <c r="Z281" s="158" t="n"/>
      <c r="AA281" s="136">
        <f>IF(H281="", "", IF(U281="Open Sale", IF(TODAY()-H281=0, "0 Days", TEXT(TODAY()-H281, "0") &amp; " Days"), IF(U281="Closed Sale", AA281, "")))</f>
        <v/>
      </c>
      <c r="AB281" s="136">
        <f>IF(H281="", "", IF(OR(U281="Pending", U281="Pending Allocation"), CONCATENATE(TODAY()-H281, " Days"), IF(U281="Closed", "", "")))</f>
        <v/>
      </c>
      <c r="AC281" s="160">
        <f>IF(U281="Pending Allocation", IF(I281="", "", TODAY()-I281), "")</f>
        <v/>
      </c>
      <c r="AD281" s="159">
        <f>IF(U281="Open Sale", TEXT(TODAY()-I281, "0"),
IF(U281="Pending", "",
IF(U281="Closed Sale", "", "")))</f>
        <v/>
      </c>
      <c r="AE281" s="161" t="n"/>
      <c r="AF281" s="161" t="n"/>
      <c r="AG281" s="161" t="n"/>
      <c r="AH281" s="136" t="n"/>
      <c r="AI281" s="164">
        <f>IF(I281="","",TEXT(I281, "mmmm yyyy"))</f>
        <v/>
      </c>
      <c r="AJ281" s="164">
        <f>IF(AND(OpenPendingCases[[#This Row],[Sale Status	]]="Open Sale",OpenPendingCases[[#This Row],[Potential Same Month]]="High"),TEXT(OpenPendingCases[[#This Row],[Request Entry Date]], "[$-en-us]mmmm"),"")</f>
        <v/>
      </c>
      <c r="AK281" s="165">
        <f>IFERROR(VALUE(SUBSTITUTE(OpenPendingCases[[#This Row],[Price]]," AED","")),"")</f>
        <v/>
      </c>
      <c r="AL281" s="165">
        <f>IFERROR(VALUE(LEFT(OpenPendingCases[[#This Row],[Price]],FIND(" ",OpenPendingCases[[#This Row],[Price]])-1)),"")</f>
        <v/>
      </c>
      <c r="AM281" s="165">
        <f>IFERROR(VALUE(_xlfn.TEXTBEFORE(OpenPendingCases[[#This Row],[Price]]," AED")),"")</f>
        <v/>
      </c>
      <c r="AN281" s="165" t="n"/>
    </row>
    <row r="282" hidden="1" ht="18" customHeight="1" s="287">
      <c r="C282" s="133" t="n"/>
      <c r="D282" s="136">
        <f>IF($U282="Open Sale", IF(MAX($D$4:D281)+1=0, "", MAX($D$4:D281)+1), "")</f>
        <v/>
      </c>
      <c r="E282" s="136">
        <f>IF($U282="Pending Allocation", IF(MAX($E$4:E281)+1=0, "", MAX($E$4:E281)+1), "")</f>
        <v/>
      </c>
      <c r="F282" s="136" t="n"/>
      <c r="G282" s="136" t="n"/>
      <c r="H282" s="150" t="n"/>
      <c r="I282" s="150" t="n"/>
      <c r="J282" s="67">
        <f>IF(OpenPendingCases[[#This Row],[Timepiece Reference ]]="", "", IF(_xlfn.XLOOKUP(OpenPendingCases[[#This Row],[Timepiece Reference ]], Table1[[Timepiece Reference ]], Table1[CRC STOCK], "Not Found")="YES", "CRC Stock", "Boutique Stock"))</f>
        <v/>
      </c>
      <c r="K282" s="136">
        <f>IF(OpenPendingCases[[#This Row],[Timepiece Reference ]]="", "", IF(_xlfn.XLOOKUP(OpenPendingCases[[#This Row],[Timepiece Reference ]], Table1[[Timepiece Reference ]], Table1[CRC STOCK], "Not Found")="YES", "CRC Stock", "Boutique Stock"))</f>
        <v/>
      </c>
      <c r="L282" s="142" t="n"/>
      <c r="M282" s="140" t="n"/>
      <c r="N282" s="136" t="n"/>
      <c r="O282" s="133" t="n"/>
      <c r="P282" s="93">
        <f>IFERROR(VLOOKUP(TRIM(O282), Collection!$B$2:$D$1001, 2, FALSE), "")</f>
        <v/>
      </c>
      <c r="Q282" s="190">
        <f>IFERROR(VLOOKUP(TRIM(O282), Collection!$B$2:$D$1001, 3, FALSE), "")</f>
        <v/>
      </c>
      <c r="R282" s="153">
        <f>IFERROR(VALUE(SUBSTITUTE(SUBSTITUTE(Q282, "Price", ""), "AED", "")), "")</f>
        <v/>
      </c>
      <c r="S282" s="151" t="n"/>
      <c r="T282" s="158" t="n"/>
      <c r="U282" s="136" t="n"/>
      <c r="V282" s="136" t="n"/>
      <c r="W282" s="156">
        <f>IF(Z282 = "",
"",
TEXT(Z282, "mmmm"))</f>
        <v/>
      </c>
      <c r="X282" s="157" t="n"/>
      <c r="Y282" s="158" t="n"/>
      <c r="Z282" s="158" t="n"/>
      <c r="AA282" s="136">
        <f>IF(H282="", "", IF(U282="Open Sale", IF(TODAY()-H282=0, "0 Days", TEXT(TODAY()-H282, "0") &amp; " Days"), IF(U282="Closed Sale", AA282, "")))</f>
        <v/>
      </c>
      <c r="AB282" s="136">
        <f>IF(H282="", "", IF(OR(U282="Pending", U282="Pending Allocation"), CONCATENATE(TODAY()-H282, " Days"), IF(U282="Closed", "", "")))</f>
        <v/>
      </c>
      <c r="AC282" s="160">
        <f>IF(U282="Pending Allocation", IF(I282="", "", TODAY()-I282), "")</f>
        <v/>
      </c>
      <c r="AD282" s="159">
        <f>IF(U282="Open Sale", TEXT(TODAY()-I282, "0"),
IF(U282="Pending", "",
IF(U282="Closed Sale", "", "")))</f>
        <v/>
      </c>
      <c r="AE282" s="161" t="n"/>
      <c r="AF282" s="161" t="n"/>
      <c r="AG282" s="161" t="n"/>
      <c r="AH282" s="136" t="n"/>
      <c r="AI282" s="164">
        <f>IF(I282="","",TEXT(I282, "mmmm yyyy"))</f>
        <v/>
      </c>
      <c r="AJ282" s="164">
        <f>IF(AND(OpenPendingCases[[#This Row],[Sale Status	]]="Open Sale",OpenPendingCases[[#This Row],[Potential Same Month]]="High"),TEXT(OpenPendingCases[[#This Row],[Request Entry Date]], "[$-en-us]mmmm"),"")</f>
        <v/>
      </c>
      <c r="AK282" s="165">
        <f>IFERROR(VALUE(SUBSTITUTE(OpenPendingCases[[#This Row],[Price]]," AED","")),"")</f>
        <v/>
      </c>
      <c r="AL282" s="165">
        <f>IFERROR(VALUE(LEFT(OpenPendingCases[[#This Row],[Price]],FIND(" ",OpenPendingCases[[#This Row],[Price]])-1)),"")</f>
        <v/>
      </c>
      <c r="AM282" s="165">
        <f>IFERROR(VALUE(_xlfn.TEXTBEFORE(OpenPendingCases[[#This Row],[Price]]," AED")),"")</f>
        <v/>
      </c>
      <c r="AN282" s="165" t="n"/>
    </row>
    <row r="283" hidden="1" ht="18" customHeight="1" s="287">
      <c r="C283" s="133" t="n"/>
      <c r="D283" s="136">
        <f>IF($U283="Open Sale", IF(MAX($D$4:D282)+1=0, "", MAX($D$4:D282)+1), "")</f>
        <v/>
      </c>
      <c r="E283" s="136">
        <f>IF($U283="Pending Allocation", IF(MAX($E$4:E282)+1=0, "", MAX($E$4:E282)+1), "")</f>
        <v/>
      </c>
      <c r="F283" s="136" t="n"/>
      <c r="G283" s="136" t="n"/>
      <c r="H283" s="150" t="n"/>
      <c r="I283" s="150" t="n"/>
      <c r="J283" s="67">
        <f>IF(OpenPendingCases[[#This Row],[Timepiece Reference ]]="", "", IF(_xlfn.XLOOKUP(OpenPendingCases[[#This Row],[Timepiece Reference ]], Table1[[Timepiece Reference ]], Table1[CRC STOCK], "Not Found")="YES", "CRC Stock", "Boutique Stock"))</f>
        <v/>
      </c>
      <c r="K283" s="136">
        <f>IF(OpenPendingCases[[#This Row],[Timepiece Reference ]]="", "", IF(_xlfn.XLOOKUP(OpenPendingCases[[#This Row],[Timepiece Reference ]], Table1[[Timepiece Reference ]], Table1[CRC STOCK], "Not Found")="YES", "CRC Stock", "Boutique Stock"))</f>
        <v/>
      </c>
      <c r="L283" s="142" t="n"/>
      <c r="M283" s="140" t="n"/>
      <c r="N283" s="136" t="n"/>
      <c r="O283" s="133" t="n"/>
      <c r="P283" s="93">
        <f>IFERROR(VLOOKUP(TRIM(O283), Collection!$B$2:$D$1001, 2, FALSE), "")</f>
        <v/>
      </c>
      <c r="Q283" s="190">
        <f>IFERROR(VLOOKUP(TRIM(O283), Collection!$B$2:$D$1001, 3, FALSE), "")</f>
        <v/>
      </c>
      <c r="R283" s="153">
        <f>IFERROR(VALUE(SUBSTITUTE(SUBSTITUTE(Q283, "Price", ""), "AED", "")), "")</f>
        <v/>
      </c>
      <c r="S283" s="151" t="n"/>
      <c r="T283" s="158" t="n"/>
      <c r="U283" s="136" t="n"/>
      <c r="V283" s="136" t="n"/>
      <c r="W283" s="156">
        <f>IF(Z283 = "",
"",
TEXT(Z283, "mmmm"))</f>
        <v/>
      </c>
      <c r="X283" s="157" t="n"/>
      <c r="Y283" s="158" t="n"/>
      <c r="Z283" s="158" t="n"/>
      <c r="AA283" s="136">
        <f>IF(H283="", "", IF(U283="Open Sale", IF(TODAY()-H283=0, "0 Days", TEXT(TODAY()-H283, "0") &amp; " Days"), IF(U283="Closed Sale", AA283, "")))</f>
        <v/>
      </c>
      <c r="AB283" s="136">
        <f>IF(H283="", "", IF(OR(U283="Pending", U283="Pending Allocation"), CONCATENATE(TODAY()-H283, " Days"), IF(U283="Closed", "", "")))</f>
        <v/>
      </c>
      <c r="AC283" s="160">
        <f>IF(U283="Pending Allocation", IF(I283="", "", TODAY()-I283), "")</f>
        <v/>
      </c>
      <c r="AD283" s="159">
        <f>IF(U283="Open Sale", TEXT(TODAY()-I283, "0"),
IF(U283="Pending", "",
IF(U283="Closed Sale", "", "")))</f>
        <v/>
      </c>
      <c r="AE283" s="161" t="n"/>
      <c r="AF283" s="161" t="n"/>
      <c r="AG283" s="161" t="n"/>
      <c r="AH283" s="136" t="n"/>
      <c r="AI283" s="164">
        <f>IF(I283="","",TEXT(I283, "mmmm yyyy"))</f>
        <v/>
      </c>
      <c r="AJ283" s="164">
        <f>IF(AND(OpenPendingCases[[#This Row],[Sale Status	]]="Open Sale",OpenPendingCases[[#This Row],[Potential Same Month]]="High"),TEXT(OpenPendingCases[[#This Row],[Request Entry Date]], "[$-en-us]mmmm"),"")</f>
        <v/>
      </c>
      <c r="AK283" s="165">
        <f>IFERROR(VALUE(SUBSTITUTE(OpenPendingCases[[#This Row],[Price]]," AED","")),"")</f>
        <v/>
      </c>
      <c r="AL283" s="165">
        <f>IFERROR(VALUE(LEFT(OpenPendingCases[[#This Row],[Price]],FIND(" ",OpenPendingCases[[#This Row],[Price]])-1)),"")</f>
        <v/>
      </c>
      <c r="AM283" s="165">
        <f>IFERROR(VALUE(_xlfn.TEXTBEFORE(OpenPendingCases[[#This Row],[Price]]," AED")),"")</f>
        <v/>
      </c>
      <c r="AN283" s="165" t="n"/>
    </row>
    <row r="284" hidden="1" ht="18" customHeight="1" s="287">
      <c r="C284" s="133" t="n"/>
      <c r="D284" s="136">
        <f>IF($U284="Open Sale", IF(MAX($D$4:D283)+1=0, "", MAX($D$4:D283)+1), "")</f>
        <v/>
      </c>
      <c r="E284" s="136">
        <f>IF($U284="Pending Allocation", IF(MAX($E$4:E283)+1=0, "", MAX($E$4:E283)+1), "")</f>
        <v/>
      </c>
      <c r="F284" s="136" t="n"/>
      <c r="G284" s="136" t="n"/>
      <c r="H284" s="150" t="n"/>
      <c r="I284" s="150" t="n"/>
      <c r="J284" s="67">
        <f>IF(OpenPendingCases[[#This Row],[Timepiece Reference ]]="", "", IF(_xlfn.XLOOKUP(OpenPendingCases[[#This Row],[Timepiece Reference ]], Table1[[Timepiece Reference ]], Table1[CRC STOCK], "Not Found")="YES", "CRC Stock", "Boutique Stock"))</f>
        <v/>
      </c>
      <c r="K284" s="136">
        <f>IF(OpenPendingCases[[#This Row],[Timepiece Reference ]]="", "", IF(_xlfn.XLOOKUP(OpenPendingCases[[#This Row],[Timepiece Reference ]], Table1[[Timepiece Reference ]], Table1[CRC STOCK], "Not Found")="YES", "CRC Stock", "Boutique Stock"))</f>
        <v/>
      </c>
      <c r="L284" s="142" t="n"/>
      <c r="M284" s="140" t="n"/>
      <c r="N284" s="136" t="n"/>
      <c r="O284" s="133" t="n"/>
      <c r="P284" s="93">
        <f>IFERROR(VLOOKUP(TRIM(O284), Collection!$B$2:$D$1001, 2, FALSE), "")</f>
        <v/>
      </c>
      <c r="Q284" s="190">
        <f>IFERROR(VLOOKUP(TRIM(O284), Collection!$B$2:$D$1001, 3, FALSE), "")</f>
        <v/>
      </c>
      <c r="R284" s="153">
        <f>IFERROR(VALUE(SUBSTITUTE(SUBSTITUTE(Q284, "Price", ""), "AED", "")), "")</f>
        <v/>
      </c>
      <c r="S284" s="151" t="n"/>
      <c r="T284" s="158" t="n"/>
      <c r="U284" s="136" t="n"/>
      <c r="V284" s="136" t="n"/>
      <c r="W284" s="156">
        <f>IF(Z284 = "",
"",
TEXT(Z284, "mmmm"))</f>
        <v/>
      </c>
      <c r="X284" s="157" t="n"/>
      <c r="Y284" s="158" t="n"/>
      <c r="Z284" s="158" t="n"/>
      <c r="AA284" s="136">
        <f>IF(H284="", "", IF(U284="Open Sale", IF(TODAY()-H284=0, "0 Days", TEXT(TODAY()-H284, "0") &amp; " Days"), IF(U284="Closed Sale", AA284, "")))</f>
        <v/>
      </c>
      <c r="AB284" s="136">
        <f>IF(H284="", "", IF(OR(U284="Pending", U284="Pending Allocation"), CONCATENATE(TODAY()-H284, " Days"), IF(U284="Closed", "", "")))</f>
        <v/>
      </c>
      <c r="AC284" s="160">
        <f>IF(U284="Pending Allocation", IF(I284="", "", TODAY()-I284), "")</f>
        <v/>
      </c>
      <c r="AD284" s="159">
        <f>IF(U284="Open Sale", TEXT(TODAY()-I284, "0"),
IF(U284="Pending", "",
IF(U284="Closed Sale", "", "")))</f>
        <v/>
      </c>
      <c r="AE284" s="161" t="n"/>
      <c r="AF284" s="161" t="n"/>
      <c r="AG284" s="161" t="n"/>
      <c r="AH284" s="136" t="n"/>
      <c r="AI284" s="164">
        <f>IF(I284="","",TEXT(I284, "mmmm yyyy"))</f>
        <v/>
      </c>
      <c r="AJ284" s="164">
        <f>IF(AND(OpenPendingCases[[#This Row],[Sale Status	]]="Open Sale",OpenPendingCases[[#This Row],[Potential Same Month]]="High"),TEXT(OpenPendingCases[[#This Row],[Request Entry Date]], "[$-en-us]mmmm"),"")</f>
        <v/>
      </c>
      <c r="AK284" s="165">
        <f>IFERROR(VALUE(SUBSTITUTE(OpenPendingCases[[#This Row],[Price]]," AED","")),"")</f>
        <v/>
      </c>
      <c r="AL284" s="165">
        <f>IFERROR(VALUE(LEFT(OpenPendingCases[[#This Row],[Price]],FIND(" ",OpenPendingCases[[#This Row],[Price]])-1)),"")</f>
        <v/>
      </c>
      <c r="AM284" s="165">
        <f>IFERROR(VALUE(_xlfn.TEXTBEFORE(OpenPendingCases[[#This Row],[Price]]," AED")),"")</f>
        <v/>
      </c>
      <c r="AN284" s="165" t="n"/>
    </row>
    <row r="285" hidden="1" ht="18" customHeight="1" s="287">
      <c r="C285" s="133" t="n"/>
      <c r="D285" s="136">
        <f>IF($U285="Open Sale", IF(MAX($D$4:D284)+1=0, "", MAX($D$4:D284)+1), "")</f>
        <v/>
      </c>
      <c r="E285" s="136">
        <f>IF($U285="Pending Allocation", IF(MAX($E$4:E284)+1=0, "", MAX($E$4:E284)+1), "")</f>
        <v/>
      </c>
      <c r="F285" s="136" t="n"/>
      <c r="G285" s="136" t="n"/>
      <c r="H285" s="150" t="n"/>
      <c r="I285" s="150" t="n"/>
      <c r="J285" s="67">
        <f>IF(OpenPendingCases[[#This Row],[Timepiece Reference ]]="", "", IF(_xlfn.XLOOKUP(OpenPendingCases[[#This Row],[Timepiece Reference ]], Table1[[Timepiece Reference ]], Table1[CRC STOCK], "Not Found")="YES", "CRC Stock", "Boutique Stock"))</f>
        <v/>
      </c>
      <c r="K285" s="136">
        <f>IF(OpenPendingCases[[#This Row],[Timepiece Reference ]]="", "", IF(_xlfn.XLOOKUP(OpenPendingCases[[#This Row],[Timepiece Reference ]], Table1[[Timepiece Reference ]], Table1[CRC STOCK], "Not Found")="YES", "CRC Stock", "Boutique Stock"))</f>
        <v/>
      </c>
      <c r="L285" s="142" t="n"/>
      <c r="M285" s="140" t="n"/>
      <c r="N285" s="136" t="n"/>
      <c r="O285" s="133" t="n"/>
      <c r="P285" s="93">
        <f>IFERROR(VLOOKUP(TRIM(O285), Collection!$B$2:$D$1001, 2, FALSE), "")</f>
        <v/>
      </c>
      <c r="Q285" s="190">
        <f>IFERROR(VLOOKUP(TRIM(O285), Collection!$B$2:$D$1001, 3, FALSE), "")</f>
        <v/>
      </c>
      <c r="R285" s="153">
        <f>IFERROR(VALUE(SUBSTITUTE(SUBSTITUTE(Q285, "Price", ""), "AED", "")), "")</f>
        <v/>
      </c>
      <c r="S285" s="151" t="n"/>
      <c r="T285" s="158" t="n"/>
      <c r="U285" s="136" t="n"/>
      <c r="V285" s="136" t="n"/>
      <c r="W285" s="156">
        <f>IF(Z285 = "",
"",
TEXT(Z285, "mmmm"))</f>
        <v/>
      </c>
      <c r="X285" s="157" t="n"/>
      <c r="Y285" s="158" t="n"/>
      <c r="Z285" s="158" t="n"/>
      <c r="AA285" s="136">
        <f>IF(H285="", "", IF(U285="Open Sale", IF(TODAY()-H285=0, "0 Days", TEXT(TODAY()-H285, "0") &amp; " Days"), IF(U285="Closed Sale", AA285, "")))</f>
        <v/>
      </c>
      <c r="AB285" s="136">
        <f>IF(H285="", "", IF(OR(U285="Pending", U285="Pending Allocation"), CONCATENATE(TODAY()-H285, " Days"), IF(U285="Closed", "", "")))</f>
        <v/>
      </c>
      <c r="AC285" s="160">
        <f>IF(U285="Pending Allocation", IF(I285="", "", TODAY()-I285), "")</f>
        <v/>
      </c>
      <c r="AD285" s="159">
        <f>IF(U285="Open Sale", TEXT(TODAY()-I285, "0"),
IF(U285="Pending", "",
IF(U285="Closed Sale", "", "")))</f>
        <v/>
      </c>
      <c r="AE285" s="161" t="n"/>
      <c r="AF285" s="161" t="n"/>
      <c r="AG285" s="161" t="n"/>
      <c r="AH285" s="136" t="n"/>
      <c r="AI285" s="164">
        <f>IF(I285="","",TEXT(I285, "mmmm yyyy"))</f>
        <v/>
      </c>
      <c r="AJ285" s="164">
        <f>IF(AND(OpenPendingCases[[#This Row],[Sale Status	]]="Open Sale",OpenPendingCases[[#This Row],[Potential Same Month]]="High"),TEXT(OpenPendingCases[[#This Row],[Request Entry Date]], "[$-en-us]mmmm"),"")</f>
        <v/>
      </c>
      <c r="AK285" s="165">
        <f>IFERROR(VALUE(SUBSTITUTE(OpenPendingCases[[#This Row],[Price]]," AED","")),"")</f>
        <v/>
      </c>
      <c r="AL285" s="165">
        <f>IFERROR(VALUE(LEFT(OpenPendingCases[[#This Row],[Price]],FIND(" ",OpenPendingCases[[#This Row],[Price]])-1)),"")</f>
        <v/>
      </c>
      <c r="AM285" s="165">
        <f>IFERROR(VALUE(_xlfn.TEXTBEFORE(OpenPendingCases[[#This Row],[Price]]," AED")),"")</f>
        <v/>
      </c>
      <c r="AN285" s="165" t="n"/>
    </row>
    <row r="286" hidden="1" ht="18" customHeight="1" s="287">
      <c r="C286" s="133" t="n"/>
      <c r="D286" s="136">
        <f>IF($U286="Open Sale", IF(MAX($D$4:D285)+1=0, "", MAX($D$4:D285)+1), "")</f>
        <v/>
      </c>
      <c r="E286" s="136">
        <f>IF($U286="Pending Allocation", IF(MAX($E$4:E285)+1=0, "", MAX($E$4:E285)+1), "")</f>
        <v/>
      </c>
      <c r="F286" s="136" t="n"/>
      <c r="G286" s="136" t="n"/>
      <c r="H286" s="150" t="n"/>
      <c r="I286" s="150" t="n"/>
      <c r="J286" s="67">
        <f>IF(OpenPendingCases[[#This Row],[Timepiece Reference ]]="", "", IF(_xlfn.XLOOKUP(OpenPendingCases[[#This Row],[Timepiece Reference ]], Table1[[Timepiece Reference ]], Table1[CRC STOCK], "Not Found")="YES", "CRC Stock", "Boutique Stock"))</f>
        <v/>
      </c>
      <c r="K286" s="136">
        <f>IF(OpenPendingCases[[#This Row],[Timepiece Reference ]]="", "", IF(_xlfn.XLOOKUP(OpenPendingCases[[#This Row],[Timepiece Reference ]], Table1[[Timepiece Reference ]], Table1[CRC STOCK], "Not Found")="YES", "CRC Stock", "Boutique Stock"))</f>
        <v/>
      </c>
      <c r="L286" s="142" t="n"/>
      <c r="M286" s="140" t="n"/>
      <c r="N286" s="136" t="n"/>
      <c r="O286" s="133" t="n"/>
      <c r="P286" s="93">
        <f>IFERROR(VLOOKUP(TRIM(O286), Collection!$B$2:$D$1001, 2, FALSE), "")</f>
        <v/>
      </c>
      <c r="Q286" s="190">
        <f>IFERROR(VLOOKUP(TRIM(O286), Collection!$B$2:$D$1001, 3, FALSE), "")</f>
        <v/>
      </c>
      <c r="R286" s="153">
        <f>IFERROR(VALUE(SUBSTITUTE(SUBSTITUTE(Q286, "Price", ""), "AED", "")), "")</f>
        <v/>
      </c>
      <c r="S286" s="151" t="n"/>
      <c r="T286" s="158" t="n"/>
      <c r="U286" s="136" t="n"/>
      <c r="V286" s="136" t="n"/>
      <c r="W286" s="156">
        <f>IF(Z286 = "",
"",
TEXT(Z286, "mmmm"))</f>
        <v/>
      </c>
      <c r="X286" s="157" t="n"/>
      <c r="Y286" s="158" t="n"/>
      <c r="Z286" s="158" t="n"/>
      <c r="AA286" s="136">
        <f>IF(H286="", "", IF(U286="Open Sale", IF(TODAY()-H286=0, "0 Days", TEXT(TODAY()-H286, "0") &amp; " Days"), IF(U286="Closed Sale", AA286, "")))</f>
        <v/>
      </c>
      <c r="AB286" s="136">
        <f>IF(H286="", "", IF(OR(U286="Pending", U286="Pending Allocation"), CONCATENATE(TODAY()-H286, " Days"), IF(U286="Closed", "", "")))</f>
        <v/>
      </c>
      <c r="AC286" s="160">
        <f>IF(U286="Pending Allocation", IF(I286="", "", TODAY()-I286), "")</f>
        <v/>
      </c>
      <c r="AD286" s="159">
        <f>IF(U286="Open Sale", TEXT(TODAY()-I286, "0"),
IF(U286="Pending", "",
IF(U286="Closed Sale", "", "")))</f>
        <v/>
      </c>
      <c r="AE286" s="161" t="n"/>
      <c r="AF286" s="161" t="n"/>
      <c r="AG286" s="161" t="n"/>
      <c r="AH286" s="136" t="n"/>
      <c r="AI286" s="164">
        <f>IF(I286="","",TEXT(I286, "mmmm yyyy"))</f>
        <v/>
      </c>
      <c r="AJ286" s="164">
        <f>IF(AND(OpenPendingCases[[#This Row],[Sale Status	]]="Open Sale",OpenPendingCases[[#This Row],[Potential Same Month]]="High"),TEXT(OpenPendingCases[[#This Row],[Request Entry Date]], "[$-en-us]mmmm"),"")</f>
        <v/>
      </c>
      <c r="AK286" s="165">
        <f>IFERROR(VALUE(SUBSTITUTE(OpenPendingCases[[#This Row],[Price]]," AED","")),"")</f>
        <v/>
      </c>
      <c r="AL286" s="165">
        <f>IFERROR(VALUE(LEFT(OpenPendingCases[[#This Row],[Price]],FIND(" ",OpenPendingCases[[#This Row],[Price]])-1)),"")</f>
        <v/>
      </c>
      <c r="AM286" s="165">
        <f>IFERROR(VALUE(_xlfn.TEXTBEFORE(OpenPendingCases[[#This Row],[Price]]," AED")),"")</f>
        <v/>
      </c>
      <c r="AN286" s="165" t="n"/>
    </row>
    <row r="287" hidden="1" ht="18" customHeight="1" s="287">
      <c r="C287" s="133" t="n"/>
      <c r="D287" s="136">
        <f>IF($U287="Open Sale", IF(MAX($D$4:D286)+1=0, "", MAX($D$4:D286)+1), "")</f>
        <v/>
      </c>
      <c r="E287" s="136">
        <f>IF($U287="Pending Allocation", IF(MAX($E$4:E286)+1=0, "", MAX($E$4:E286)+1), "")</f>
        <v/>
      </c>
      <c r="F287" s="136" t="n"/>
      <c r="G287" s="136" t="n"/>
      <c r="H287" s="150" t="n"/>
      <c r="I287" s="150" t="n"/>
      <c r="J287" s="67">
        <f>IF(OpenPendingCases[[#This Row],[Timepiece Reference ]]="", "", IF(_xlfn.XLOOKUP(OpenPendingCases[[#This Row],[Timepiece Reference ]], Table1[[Timepiece Reference ]], Table1[CRC STOCK], "Not Found")="YES", "CRC Stock", "Boutique Stock"))</f>
        <v/>
      </c>
      <c r="K287" s="136">
        <f>IF(OpenPendingCases[[#This Row],[Timepiece Reference ]]="", "", IF(_xlfn.XLOOKUP(OpenPendingCases[[#This Row],[Timepiece Reference ]], Table1[[Timepiece Reference ]], Table1[CRC STOCK], "Not Found")="YES", "CRC Stock", "Boutique Stock"))</f>
        <v/>
      </c>
      <c r="L287" s="142" t="n"/>
      <c r="M287" s="140" t="n"/>
      <c r="N287" s="136" t="n"/>
      <c r="O287" s="133" t="n"/>
      <c r="P287" s="93">
        <f>IFERROR(VLOOKUP(TRIM(O287), Collection!$B$2:$D$1001, 2, FALSE), "")</f>
        <v/>
      </c>
      <c r="Q287" s="190">
        <f>IFERROR(VLOOKUP(TRIM(O287), Collection!$B$2:$D$1001, 3, FALSE), "")</f>
        <v/>
      </c>
      <c r="R287" s="153">
        <f>IFERROR(VALUE(SUBSTITUTE(SUBSTITUTE(Q287, "Price", ""), "AED", "")), "")</f>
        <v/>
      </c>
      <c r="S287" s="151" t="n"/>
      <c r="T287" s="158" t="n"/>
      <c r="U287" s="136" t="n"/>
      <c r="V287" s="136" t="n"/>
      <c r="W287" s="156">
        <f>IF(Z287 = "",
"",
TEXT(Z287, "mmmm"))</f>
        <v/>
      </c>
      <c r="X287" s="157" t="n"/>
      <c r="Y287" s="158" t="n"/>
      <c r="Z287" s="158" t="n"/>
      <c r="AA287" s="136">
        <f>IF(H287="", "", IF(U287="Open Sale", IF(TODAY()-H287=0, "0 Days", TEXT(TODAY()-H287, "0") &amp; " Days"), IF(U287="Closed Sale", AA287, "")))</f>
        <v/>
      </c>
      <c r="AB287" s="136">
        <f>IF(H287="", "", IF(OR(U287="Pending", U287="Pending Allocation"), CONCATENATE(TODAY()-H287, " Days"), IF(U287="Closed", "", "")))</f>
        <v/>
      </c>
      <c r="AC287" s="160">
        <f>IF(U287="Pending Allocation", IF(I287="", "", TODAY()-I287), "")</f>
        <v/>
      </c>
      <c r="AD287" s="159">
        <f>IF(U287="Open Sale", TEXT(TODAY()-I287, "0"),
IF(U287="Pending", "",
IF(U287="Closed Sale", "", "")))</f>
        <v/>
      </c>
      <c r="AE287" s="161" t="n"/>
      <c r="AF287" s="161" t="n"/>
      <c r="AG287" s="161" t="n"/>
      <c r="AH287" s="136" t="n"/>
      <c r="AI287" s="164">
        <f>IF(I287="","",TEXT(I287, "mmmm yyyy"))</f>
        <v/>
      </c>
      <c r="AJ287" s="164">
        <f>IF(AND(OpenPendingCases[[#This Row],[Sale Status	]]="Open Sale",OpenPendingCases[[#This Row],[Potential Same Month]]="High"),TEXT(OpenPendingCases[[#This Row],[Request Entry Date]], "[$-en-us]mmmm"),"")</f>
        <v/>
      </c>
      <c r="AK287" s="165">
        <f>IFERROR(VALUE(SUBSTITUTE(OpenPendingCases[[#This Row],[Price]]," AED","")),"")</f>
        <v/>
      </c>
      <c r="AL287" s="165">
        <f>IFERROR(VALUE(LEFT(OpenPendingCases[[#This Row],[Price]],FIND(" ",OpenPendingCases[[#This Row],[Price]])-1)),"")</f>
        <v/>
      </c>
      <c r="AM287" s="165">
        <f>IFERROR(VALUE(_xlfn.TEXTBEFORE(OpenPendingCases[[#This Row],[Price]]," AED")),"")</f>
        <v/>
      </c>
      <c r="AN287" s="165" t="n"/>
    </row>
    <row r="288" hidden="1" ht="18" customHeight="1" s="287">
      <c r="C288" s="133" t="n"/>
      <c r="D288" s="136">
        <f>IF($U288="Open Sale", IF(MAX($D$4:D287)+1=0, "", MAX($D$4:D287)+1), "")</f>
        <v/>
      </c>
      <c r="E288" s="136">
        <f>IF($U288="Pending Allocation", IF(MAX($E$4:E287)+1=0, "", MAX($E$4:E287)+1), "")</f>
        <v/>
      </c>
      <c r="F288" s="136" t="n"/>
      <c r="G288" s="136" t="n"/>
      <c r="H288" s="150" t="n"/>
      <c r="I288" s="150" t="n"/>
      <c r="J288" s="67">
        <f>IF(OpenPendingCases[[#This Row],[Timepiece Reference ]]="", "", IF(_xlfn.XLOOKUP(OpenPendingCases[[#This Row],[Timepiece Reference ]], Table1[[Timepiece Reference ]], Table1[CRC STOCK], "Not Found")="YES", "CRC Stock", "Boutique Stock"))</f>
        <v/>
      </c>
      <c r="K288" s="136">
        <f>IF(OpenPendingCases[[#This Row],[Timepiece Reference ]]="", "", IF(_xlfn.XLOOKUP(OpenPendingCases[[#This Row],[Timepiece Reference ]], Table1[[Timepiece Reference ]], Table1[CRC STOCK], "Not Found")="YES", "CRC Stock", "Boutique Stock"))</f>
        <v/>
      </c>
      <c r="L288" s="142" t="n"/>
      <c r="M288" s="140" t="n"/>
      <c r="N288" s="136" t="n"/>
      <c r="O288" s="133" t="n"/>
      <c r="P288" s="93">
        <f>IFERROR(VLOOKUP(TRIM(O288), Collection!$B$2:$D$1001, 2, FALSE), "")</f>
        <v/>
      </c>
      <c r="Q288" s="190">
        <f>IFERROR(VLOOKUP(TRIM(O288), Collection!$B$2:$D$1001, 3, FALSE), "")</f>
        <v/>
      </c>
      <c r="R288" s="153">
        <f>IFERROR(VALUE(SUBSTITUTE(SUBSTITUTE(Q288, "Price", ""), "AED", "")), "")</f>
        <v/>
      </c>
      <c r="S288" s="151" t="n"/>
      <c r="T288" s="158" t="n"/>
      <c r="U288" s="136" t="n"/>
      <c r="V288" s="136" t="n"/>
      <c r="W288" s="156">
        <f>IF(Z288 = "",
"",
TEXT(Z288, "mmmm"))</f>
        <v/>
      </c>
      <c r="X288" s="157" t="n"/>
      <c r="Y288" s="158" t="n"/>
      <c r="Z288" s="158" t="n"/>
      <c r="AA288" s="136">
        <f>IF(H288="", "", IF(U288="Open Sale", IF(TODAY()-H288=0, "0 Days", TEXT(TODAY()-H288, "0") &amp; " Days"), IF(U288="Closed Sale", AA288, "")))</f>
        <v/>
      </c>
      <c r="AB288" s="136">
        <f>IF(H288="", "", IF(OR(U288="Pending", U288="Pending Allocation"), CONCATENATE(TODAY()-H288, " Days"), IF(U288="Closed", "", "")))</f>
        <v/>
      </c>
      <c r="AC288" s="160">
        <f>IF(U288="Pending Allocation", IF(I288="", "", TODAY()-I288), "")</f>
        <v/>
      </c>
      <c r="AD288" s="159">
        <f>IF(U288="Open Sale", TEXT(TODAY()-I288, "0"),
IF(U288="Pending", "",
IF(U288="Closed Sale", "", "")))</f>
        <v/>
      </c>
      <c r="AE288" s="161" t="n"/>
      <c r="AF288" s="161" t="n"/>
      <c r="AG288" s="161" t="n"/>
      <c r="AH288" s="136" t="n"/>
      <c r="AI288" s="164">
        <f>IF(I288="","",TEXT(I288, "mmmm yyyy"))</f>
        <v/>
      </c>
      <c r="AJ288" s="164">
        <f>IF(AND(OpenPendingCases[[#This Row],[Sale Status	]]="Open Sale",OpenPendingCases[[#This Row],[Potential Same Month]]="High"),TEXT(OpenPendingCases[[#This Row],[Request Entry Date]], "[$-en-us]mmmm"),"")</f>
        <v/>
      </c>
      <c r="AK288" s="165">
        <f>IFERROR(VALUE(SUBSTITUTE(OpenPendingCases[[#This Row],[Price]]," AED","")),"")</f>
        <v/>
      </c>
      <c r="AL288" s="165">
        <f>IFERROR(VALUE(LEFT(OpenPendingCases[[#This Row],[Price]],FIND(" ",OpenPendingCases[[#This Row],[Price]])-1)),"")</f>
        <v/>
      </c>
      <c r="AM288" s="165">
        <f>IFERROR(VALUE(_xlfn.TEXTBEFORE(OpenPendingCases[[#This Row],[Price]]," AED")),"")</f>
        <v/>
      </c>
      <c r="AN288" s="165" t="n"/>
    </row>
    <row r="289" hidden="1" ht="18" customHeight="1" s="287">
      <c r="C289" s="133" t="n"/>
      <c r="D289" s="136">
        <f>IF($U289="Open Sale", IF(MAX($D$4:D288)+1=0, "", MAX($D$4:D288)+1), "")</f>
        <v/>
      </c>
      <c r="E289" s="136">
        <f>IF($U289="Pending Allocation", IF(MAX($E$4:E288)+1=0, "", MAX($E$4:E288)+1), "")</f>
        <v/>
      </c>
      <c r="F289" s="136" t="n"/>
      <c r="G289" s="136" t="n"/>
      <c r="H289" s="150" t="n"/>
      <c r="I289" s="150" t="n"/>
      <c r="J289" s="67">
        <f>IF(OpenPendingCases[[#This Row],[Timepiece Reference ]]="", "", IF(_xlfn.XLOOKUP(OpenPendingCases[[#This Row],[Timepiece Reference ]], Table1[[Timepiece Reference ]], Table1[CRC STOCK], "Not Found")="YES", "CRC Stock", "Boutique Stock"))</f>
        <v/>
      </c>
      <c r="K289" s="136">
        <f>IF(OpenPendingCases[[#This Row],[Timepiece Reference ]]="", "", IF(_xlfn.XLOOKUP(OpenPendingCases[[#This Row],[Timepiece Reference ]], Table1[[Timepiece Reference ]], Table1[CRC STOCK], "Not Found")="YES", "CRC Stock", "Boutique Stock"))</f>
        <v/>
      </c>
      <c r="L289" s="142" t="n"/>
      <c r="M289" s="140" t="n"/>
      <c r="N289" s="136" t="n"/>
      <c r="O289" s="133" t="n"/>
      <c r="P289" s="93">
        <f>IFERROR(VLOOKUP(TRIM(O289), Collection!$B$2:$D$1001, 2, FALSE), "")</f>
        <v/>
      </c>
      <c r="Q289" s="190">
        <f>IFERROR(VLOOKUP(TRIM(O289), Collection!$B$2:$D$1001, 3, FALSE), "")</f>
        <v/>
      </c>
      <c r="R289" s="153">
        <f>IFERROR(VALUE(SUBSTITUTE(SUBSTITUTE(Q289, "Price", ""), "AED", "")), "")</f>
        <v/>
      </c>
      <c r="S289" s="151" t="n"/>
      <c r="T289" s="158" t="n"/>
      <c r="U289" s="136" t="n"/>
      <c r="V289" s="136" t="n"/>
      <c r="W289" s="156">
        <f>IF(Z289 = "",
"",
TEXT(Z289, "mmmm"))</f>
        <v/>
      </c>
      <c r="X289" s="157" t="n"/>
      <c r="Y289" s="158" t="n"/>
      <c r="Z289" s="158" t="n"/>
      <c r="AA289" s="136">
        <f>IF(H289="", "", IF(U289="Open Sale", IF(TODAY()-H289=0, "0 Days", TEXT(TODAY()-H289, "0") &amp; " Days"), IF(U289="Closed Sale", AA289, "")))</f>
        <v/>
      </c>
      <c r="AB289" s="136">
        <f>IF(H289="", "", IF(OR(U289="Pending", U289="Pending Allocation"), CONCATENATE(TODAY()-H289, " Days"), IF(U289="Closed", "", "")))</f>
        <v/>
      </c>
      <c r="AC289" s="160">
        <f>IF(U289="Pending Allocation", IF(I289="", "", TODAY()-I289), "")</f>
        <v/>
      </c>
      <c r="AD289" s="159">
        <f>IF(U289="Open Sale", TEXT(TODAY()-I289, "0"),
IF(U289="Pending", "",
IF(U289="Closed Sale", "", "")))</f>
        <v/>
      </c>
      <c r="AE289" s="161" t="n"/>
      <c r="AF289" s="161" t="n"/>
      <c r="AG289" s="161" t="n"/>
      <c r="AH289" s="136" t="n"/>
      <c r="AI289" s="164">
        <f>IF(I289="","",TEXT(I289, "mmmm yyyy"))</f>
        <v/>
      </c>
      <c r="AJ289" s="164">
        <f>IF(AND(OpenPendingCases[[#This Row],[Sale Status	]]="Open Sale",OpenPendingCases[[#This Row],[Potential Same Month]]="High"),TEXT(OpenPendingCases[[#This Row],[Request Entry Date]], "[$-en-us]mmmm"),"")</f>
        <v/>
      </c>
      <c r="AK289" s="165">
        <f>IFERROR(VALUE(SUBSTITUTE(OpenPendingCases[[#This Row],[Price]]," AED","")),"")</f>
        <v/>
      </c>
      <c r="AL289" s="165">
        <f>IFERROR(VALUE(LEFT(OpenPendingCases[[#This Row],[Price]],FIND(" ",OpenPendingCases[[#This Row],[Price]])-1)),"")</f>
        <v/>
      </c>
      <c r="AM289" s="165">
        <f>IFERROR(VALUE(_xlfn.TEXTBEFORE(OpenPendingCases[[#This Row],[Price]]," AED")),"")</f>
        <v/>
      </c>
      <c r="AN289" s="165" t="n"/>
    </row>
    <row r="290" hidden="1" ht="18" customHeight="1" s="287">
      <c r="C290" s="133" t="n"/>
      <c r="D290" s="136">
        <f>IF($U290="Open Sale", IF(MAX($D$4:D289)+1=0, "", MAX($D$4:D289)+1), "")</f>
        <v/>
      </c>
      <c r="E290" s="136">
        <f>IF($U290="Pending Allocation", IF(MAX($E$4:E289)+1=0, "", MAX($E$4:E289)+1), "")</f>
        <v/>
      </c>
      <c r="F290" s="136" t="n"/>
      <c r="G290" s="136" t="n"/>
      <c r="H290" s="150" t="n"/>
      <c r="I290" s="150" t="n"/>
      <c r="J290" s="67">
        <f>IF(OpenPendingCases[[#This Row],[Timepiece Reference ]]="", "", IF(_xlfn.XLOOKUP(OpenPendingCases[[#This Row],[Timepiece Reference ]], Table1[[Timepiece Reference ]], Table1[CRC STOCK], "Not Found")="YES", "CRC Stock", "Boutique Stock"))</f>
        <v/>
      </c>
      <c r="K290" s="136">
        <f>IF(OpenPendingCases[[#This Row],[Timepiece Reference ]]="", "", IF(_xlfn.XLOOKUP(OpenPendingCases[[#This Row],[Timepiece Reference ]], Table1[[Timepiece Reference ]], Table1[CRC STOCK], "Not Found")="YES", "CRC Stock", "Boutique Stock"))</f>
        <v/>
      </c>
      <c r="L290" s="142" t="n"/>
      <c r="M290" s="140" t="n"/>
      <c r="N290" s="136" t="n"/>
      <c r="O290" s="133" t="n"/>
      <c r="P290" s="93">
        <f>IFERROR(VLOOKUP(TRIM(O290), Collection!$B$2:$D$1001, 2, FALSE), "")</f>
        <v/>
      </c>
      <c r="Q290" s="190">
        <f>IFERROR(VLOOKUP(TRIM(O290), Collection!$B$2:$D$1001, 3, FALSE), "")</f>
        <v/>
      </c>
      <c r="R290" s="153">
        <f>IFERROR(VALUE(SUBSTITUTE(SUBSTITUTE(Q290, "Price", ""), "AED", "")), "")</f>
        <v/>
      </c>
      <c r="S290" s="151" t="n"/>
      <c r="T290" s="158" t="n"/>
      <c r="U290" s="136" t="n"/>
      <c r="V290" s="136" t="n"/>
      <c r="W290" s="156">
        <f>IF(Z290 = "",
"",
TEXT(Z290, "mmmm"))</f>
        <v/>
      </c>
      <c r="X290" s="157" t="n"/>
      <c r="Y290" s="158" t="n"/>
      <c r="Z290" s="158" t="n"/>
      <c r="AA290" s="136">
        <f>IF(H290="", "", IF(U290="Open Sale", IF(TODAY()-H290=0, "0 Days", TEXT(TODAY()-H290, "0") &amp; " Days"), IF(U290="Closed Sale", AA290, "")))</f>
        <v/>
      </c>
      <c r="AB290" s="136">
        <f>IF(H290="", "", IF(OR(U290="Pending", U290="Pending Allocation"), CONCATENATE(TODAY()-H290, " Days"), IF(U290="Closed", "", "")))</f>
        <v/>
      </c>
      <c r="AC290" s="160">
        <f>IF(U290="Pending Allocation", IF(I290="", "", TODAY()-I290), "")</f>
        <v/>
      </c>
      <c r="AD290" s="159">
        <f>IF(U290="Open Sale", TEXT(TODAY()-I290, "0"),
IF(U290="Pending", "",
IF(U290="Closed Sale", "", "")))</f>
        <v/>
      </c>
      <c r="AE290" s="161" t="n"/>
      <c r="AF290" s="161" t="n"/>
      <c r="AG290" s="161" t="n"/>
      <c r="AH290" s="136" t="n"/>
      <c r="AI290" s="164">
        <f>IF(I290="","",TEXT(I290, "mmmm yyyy"))</f>
        <v/>
      </c>
      <c r="AJ290" s="164">
        <f>IF(AND(OpenPendingCases[[#This Row],[Sale Status	]]="Open Sale",OpenPendingCases[[#This Row],[Potential Same Month]]="High"),TEXT(OpenPendingCases[[#This Row],[Request Entry Date]], "[$-en-us]mmmm"),"")</f>
        <v/>
      </c>
      <c r="AK290" s="165">
        <f>IFERROR(VALUE(SUBSTITUTE(OpenPendingCases[[#This Row],[Price]]," AED","")),"")</f>
        <v/>
      </c>
      <c r="AL290" s="165">
        <f>IFERROR(VALUE(LEFT(OpenPendingCases[[#This Row],[Price]],FIND(" ",OpenPendingCases[[#This Row],[Price]])-1)),"")</f>
        <v/>
      </c>
      <c r="AM290" s="165">
        <f>IFERROR(VALUE(_xlfn.TEXTBEFORE(OpenPendingCases[[#This Row],[Price]]," AED")),"")</f>
        <v/>
      </c>
      <c r="AN290" s="165" t="n"/>
    </row>
    <row r="291" hidden="1" ht="18" customHeight="1" s="287">
      <c r="C291" s="133" t="n"/>
      <c r="D291" s="136">
        <f>IF($U291="Open Sale", IF(MAX($D$4:D290)+1=0, "", MAX($D$4:D290)+1), "")</f>
        <v/>
      </c>
      <c r="E291" s="136">
        <f>IF($U291="Pending Allocation", IF(MAX($E$4:E290)+1=0, "", MAX($E$4:E290)+1), "")</f>
        <v/>
      </c>
      <c r="F291" s="136" t="n"/>
      <c r="G291" s="136" t="n"/>
      <c r="H291" s="150" t="n"/>
      <c r="I291" s="150" t="n"/>
      <c r="J291" s="67">
        <f>IF(OpenPendingCases[[#This Row],[Timepiece Reference ]]="", "", IF(_xlfn.XLOOKUP(OpenPendingCases[[#This Row],[Timepiece Reference ]], Table1[[Timepiece Reference ]], Table1[CRC STOCK], "Not Found")="YES", "CRC Stock", "Boutique Stock"))</f>
        <v/>
      </c>
      <c r="K291" s="136">
        <f>IF(OpenPendingCases[[#This Row],[Timepiece Reference ]]="", "", IF(_xlfn.XLOOKUP(OpenPendingCases[[#This Row],[Timepiece Reference ]], Table1[[Timepiece Reference ]], Table1[CRC STOCK], "Not Found")="YES", "CRC Stock", "Boutique Stock"))</f>
        <v/>
      </c>
      <c r="L291" s="142" t="n"/>
      <c r="M291" s="140" t="n"/>
      <c r="N291" s="136" t="n"/>
      <c r="O291" s="133" t="n"/>
      <c r="P291" s="93">
        <f>IFERROR(VLOOKUP(TRIM(O291), Collection!$B$2:$D$1001, 2, FALSE), "")</f>
        <v/>
      </c>
      <c r="Q291" s="190">
        <f>IFERROR(VLOOKUP(TRIM(O291), Collection!$B$2:$D$1001, 3, FALSE), "")</f>
        <v/>
      </c>
      <c r="R291" s="153">
        <f>IFERROR(VALUE(SUBSTITUTE(SUBSTITUTE(Q291, "Price", ""), "AED", "")), "")</f>
        <v/>
      </c>
      <c r="S291" s="151" t="n"/>
      <c r="T291" s="158" t="n"/>
      <c r="U291" s="136" t="n"/>
      <c r="V291" s="136" t="n"/>
      <c r="W291" s="156">
        <f>IF(Z291 = "",
"",
TEXT(Z291, "mmmm"))</f>
        <v/>
      </c>
      <c r="X291" s="157" t="n"/>
      <c r="Y291" s="158" t="n"/>
      <c r="Z291" s="158" t="n"/>
      <c r="AA291" s="136">
        <f>IF(H291="", "", IF(U291="Open Sale", IF(TODAY()-H291=0, "0 Days", TEXT(TODAY()-H291, "0") &amp; " Days"), IF(U291="Closed Sale", AA291, "")))</f>
        <v/>
      </c>
      <c r="AB291" s="136">
        <f>IF(H291="", "", IF(OR(U291="Pending", U291="Pending Allocation"), CONCATENATE(TODAY()-H291, " Days"), IF(U291="Closed", "", "")))</f>
        <v/>
      </c>
      <c r="AC291" s="160">
        <f>IF(U291="Pending Allocation", IF(I291="", "", TODAY()-I291), "")</f>
        <v/>
      </c>
      <c r="AD291" s="159">
        <f>IF(U291="Open Sale", TEXT(TODAY()-I291, "0"),
IF(U291="Pending", "",
IF(U291="Closed Sale", "", "")))</f>
        <v/>
      </c>
      <c r="AE291" s="161" t="n"/>
      <c r="AF291" s="161" t="n"/>
      <c r="AG291" s="161" t="n"/>
      <c r="AH291" s="136" t="n"/>
      <c r="AI291" s="164">
        <f>IF(I291="","",TEXT(I291, "mmmm yyyy"))</f>
        <v/>
      </c>
      <c r="AJ291" s="164">
        <f>IF(AND(OpenPendingCases[[#This Row],[Sale Status	]]="Open Sale",OpenPendingCases[[#This Row],[Potential Same Month]]="High"),TEXT(OpenPendingCases[[#This Row],[Request Entry Date]], "[$-en-us]mmmm"),"")</f>
        <v/>
      </c>
      <c r="AK291" s="165">
        <f>IFERROR(VALUE(SUBSTITUTE(OpenPendingCases[[#This Row],[Price]]," AED","")),"")</f>
        <v/>
      </c>
      <c r="AL291" s="165">
        <f>IFERROR(VALUE(LEFT(OpenPendingCases[[#This Row],[Price]],FIND(" ",OpenPendingCases[[#This Row],[Price]])-1)),"")</f>
        <v/>
      </c>
      <c r="AM291" s="165">
        <f>IFERROR(VALUE(_xlfn.TEXTBEFORE(OpenPendingCases[[#This Row],[Price]]," AED")),"")</f>
        <v/>
      </c>
      <c r="AN291" s="165" t="n"/>
    </row>
    <row r="292" hidden="1" ht="18" customHeight="1" s="287">
      <c r="C292" s="133" t="n"/>
      <c r="D292" s="136">
        <f>IF($U292="Open Sale", IF(MAX($D$4:D291)+1=0, "", MAX($D$4:D291)+1), "")</f>
        <v/>
      </c>
      <c r="E292" s="136">
        <f>IF($U292="Pending Allocation", IF(MAX($E$4:E291)+1=0, "", MAX($E$4:E291)+1), "")</f>
        <v/>
      </c>
      <c r="F292" s="136" t="n"/>
      <c r="G292" s="136" t="n"/>
      <c r="H292" s="150" t="n"/>
      <c r="I292" s="150" t="n"/>
      <c r="J292" s="67">
        <f>IF(OpenPendingCases[[#This Row],[Timepiece Reference ]]="", "", IF(_xlfn.XLOOKUP(OpenPendingCases[[#This Row],[Timepiece Reference ]], Table1[[Timepiece Reference ]], Table1[CRC STOCK], "Not Found")="YES", "CRC Stock", "Boutique Stock"))</f>
        <v/>
      </c>
      <c r="K292" s="136">
        <f>IF(OpenPendingCases[[#This Row],[Timepiece Reference ]]="", "", IF(_xlfn.XLOOKUP(OpenPendingCases[[#This Row],[Timepiece Reference ]], Table1[[Timepiece Reference ]], Table1[CRC STOCK], "Not Found")="YES", "CRC Stock", "Boutique Stock"))</f>
        <v/>
      </c>
      <c r="L292" s="142" t="n"/>
      <c r="M292" s="140" t="n"/>
      <c r="N292" s="136" t="n"/>
      <c r="O292" s="133" t="n"/>
      <c r="P292" s="93">
        <f>IFERROR(VLOOKUP(TRIM(O292), Collection!$B$2:$D$1001, 2, FALSE), "")</f>
        <v/>
      </c>
      <c r="Q292" s="190">
        <f>IFERROR(VLOOKUP(TRIM(O292), Collection!$B$2:$D$1001, 3, FALSE), "")</f>
        <v/>
      </c>
      <c r="R292" s="153">
        <f>IFERROR(VALUE(SUBSTITUTE(SUBSTITUTE(Q292, "Price", ""), "AED", "")), "")</f>
        <v/>
      </c>
      <c r="S292" s="151" t="n"/>
      <c r="T292" s="158" t="n"/>
      <c r="U292" s="136" t="n"/>
      <c r="V292" s="136" t="n"/>
      <c r="W292" s="156">
        <f>IF(Z292 = "",
"",
TEXT(Z292, "mmmm"))</f>
        <v/>
      </c>
      <c r="X292" s="157" t="n"/>
      <c r="Y292" s="158" t="n"/>
      <c r="Z292" s="158" t="n"/>
      <c r="AA292" s="136">
        <f>IF(H292="", "", IF(U292="Open Sale", IF(TODAY()-H292=0, "0 Days", TEXT(TODAY()-H292, "0") &amp; " Days"), IF(U292="Closed Sale", AA292, "")))</f>
        <v/>
      </c>
      <c r="AB292" s="136">
        <f>IF(H292="", "", IF(OR(U292="Pending", U292="Pending Allocation"), CONCATENATE(TODAY()-H292, " Days"), IF(U292="Closed", "", "")))</f>
        <v/>
      </c>
      <c r="AC292" s="160">
        <f>IF(U292="Pending Allocation", IF(I292="", "", TODAY()-I292), "")</f>
        <v/>
      </c>
      <c r="AD292" s="159">
        <f>IF(U292="Open Sale", TEXT(TODAY()-I292, "0"),
IF(U292="Pending", "",
IF(U292="Closed Sale", "", "")))</f>
        <v/>
      </c>
      <c r="AE292" s="161" t="n"/>
      <c r="AF292" s="161" t="n"/>
      <c r="AG292" s="161" t="n"/>
      <c r="AH292" s="136" t="n"/>
      <c r="AI292" s="164">
        <f>IF(I292="","",TEXT(I292, "mmmm yyyy"))</f>
        <v/>
      </c>
      <c r="AJ292" s="164">
        <f>IF(AND(OpenPendingCases[[#This Row],[Sale Status	]]="Open Sale",OpenPendingCases[[#This Row],[Potential Same Month]]="High"),TEXT(OpenPendingCases[[#This Row],[Request Entry Date]], "[$-en-us]mmmm"),"")</f>
        <v/>
      </c>
      <c r="AK292" s="165">
        <f>IFERROR(VALUE(SUBSTITUTE(OpenPendingCases[[#This Row],[Price]]," AED","")),"")</f>
        <v/>
      </c>
      <c r="AL292" s="165">
        <f>IFERROR(VALUE(LEFT(OpenPendingCases[[#This Row],[Price]],FIND(" ",OpenPendingCases[[#This Row],[Price]])-1)),"")</f>
        <v/>
      </c>
      <c r="AM292" s="165">
        <f>IFERROR(VALUE(_xlfn.TEXTBEFORE(OpenPendingCases[[#This Row],[Price]]," AED")),"")</f>
        <v/>
      </c>
      <c r="AN292" s="165" t="n"/>
    </row>
    <row r="293" hidden="1" ht="18" customHeight="1" s="287">
      <c r="C293" s="133" t="n"/>
      <c r="D293" s="136">
        <f>IF($U293="Open Sale", IF(MAX($D$4:D292)+1=0, "", MAX($D$4:D292)+1), "")</f>
        <v/>
      </c>
      <c r="E293" s="136">
        <f>IF($U293="Pending Allocation", IF(MAX($E$4:E292)+1=0, "", MAX($E$4:E292)+1), "")</f>
        <v/>
      </c>
      <c r="F293" s="136" t="n"/>
      <c r="G293" s="136" t="n"/>
      <c r="H293" s="150" t="n"/>
      <c r="I293" s="150" t="n"/>
      <c r="J293" s="67">
        <f>IF(OpenPendingCases[[#This Row],[Timepiece Reference ]]="", "", IF(_xlfn.XLOOKUP(OpenPendingCases[[#This Row],[Timepiece Reference ]], Table1[[Timepiece Reference ]], Table1[CRC STOCK], "Not Found")="YES", "CRC Stock", "Boutique Stock"))</f>
        <v/>
      </c>
      <c r="K293" s="136">
        <f>IF(OpenPendingCases[[#This Row],[Timepiece Reference ]]="", "", IF(_xlfn.XLOOKUP(OpenPendingCases[[#This Row],[Timepiece Reference ]], Table1[[Timepiece Reference ]], Table1[CRC STOCK], "Not Found")="YES", "CRC Stock", "Boutique Stock"))</f>
        <v/>
      </c>
      <c r="L293" s="142" t="n"/>
      <c r="M293" s="140" t="n"/>
      <c r="N293" s="136" t="n"/>
      <c r="O293" s="133" t="n"/>
      <c r="P293" s="93">
        <f>IFERROR(VLOOKUP(TRIM(O293), Collection!$B$2:$D$1001, 2, FALSE), "")</f>
        <v/>
      </c>
      <c r="Q293" s="190">
        <f>IFERROR(VLOOKUP(TRIM(O293), Collection!$B$2:$D$1001, 3, FALSE), "")</f>
        <v/>
      </c>
      <c r="R293" s="153">
        <f>IFERROR(VALUE(SUBSTITUTE(SUBSTITUTE(Q293, "Price", ""), "AED", "")), "")</f>
        <v/>
      </c>
      <c r="S293" s="151" t="n"/>
      <c r="T293" s="158" t="n"/>
      <c r="U293" s="136" t="n"/>
      <c r="V293" s="136" t="n"/>
      <c r="W293" s="156">
        <f>IF(Z293 = "",
"",
TEXT(Z293, "mmmm"))</f>
        <v/>
      </c>
      <c r="X293" s="157" t="n"/>
      <c r="Y293" s="158" t="n"/>
      <c r="Z293" s="158" t="n"/>
      <c r="AA293" s="136">
        <f>IF(H293="", "", IF(U293="Open Sale", IF(TODAY()-H293=0, "0 Days", TEXT(TODAY()-H293, "0") &amp; " Days"), IF(U293="Closed Sale", AA293, "")))</f>
        <v/>
      </c>
      <c r="AB293" s="136">
        <f>IF(H293="", "", IF(OR(U293="Pending", U293="Pending Allocation"), CONCATENATE(TODAY()-H293, " Days"), IF(U293="Closed", "", "")))</f>
        <v/>
      </c>
      <c r="AC293" s="160">
        <f>IF(U293="Pending Allocation", IF(I293="", "", TODAY()-I293), "")</f>
        <v/>
      </c>
      <c r="AD293" s="159">
        <f>IF(U293="Open Sale", TEXT(TODAY()-I293, "0"),
IF(U293="Pending", "",
IF(U293="Closed Sale", "", "")))</f>
        <v/>
      </c>
      <c r="AE293" s="161" t="n"/>
      <c r="AF293" s="161" t="n"/>
      <c r="AG293" s="161" t="n"/>
      <c r="AH293" s="136" t="n"/>
      <c r="AI293" s="164">
        <f>IF(I293="","",TEXT(I293, "mmmm yyyy"))</f>
        <v/>
      </c>
      <c r="AJ293" s="164">
        <f>IF(AND(OpenPendingCases[[#This Row],[Sale Status	]]="Open Sale",OpenPendingCases[[#This Row],[Potential Same Month]]="High"),TEXT(OpenPendingCases[[#This Row],[Request Entry Date]], "[$-en-us]mmmm"),"")</f>
        <v/>
      </c>
      <c r="AK293" s="165">
        <f>IFERROR(VALUE(SUBSTITUTE(OpenPendingCases[[#This Row],[Price]]," AED","")),"")</f>
        <v/>
      </c>
      <c r="AL293" s="165">
        <f>IFERROR(VALUE(LEFT(OpenPendingCases[[#This Row],[Price]],FIND(" ",OpenPendingCases[[#This Row],[Price]])-1)),"")</f>
        <v/>
      </c>
      <c r="AM293" s="165">
        <f>IFERROR(VALUE(_xlfn.TEXTBEFORE(OpenPendingCases[[#This Row],[Price]]," AED")),"")</f>
        <v/>
      </c>
      <c r="AN293" s="165" t="n"/>
    </row>
    <row r="294" hidden="1" ht="18" customHeight="1" s="287">
      <c r="C294" s="133" t="n"/>
      <c r="D294" s="136">
        <f>IF($U294="Open Sale", IF(MAX($D$4:D293)+1=0, "", MAX($D$4:D293)+1), "")</f>
        <v/>
      </c>
      <c r="E294" s="136">
        <f>IF($U294="Pending Allocation", IF(MAX($E$4:E293)+1=0, "", MAX($E$4:E293)+1), "")</f>
        <v/>
      </c>
      <c r="F294" s="136" t="n"/>
      <c r="G294" s="136" t="n"/>
      <c r="H294" s="150" t="n"/>
      <c r="I294" s="150" t="n"/>
      <c r="J294" s="67">
        <f>IF(OpenPendingCases[[#This Row],[Timepiece Reference ]]="", "", IF(_xlfn.XLOOKUP(OpenPendingCases[[#This Row],[Timepiece Reference ]], Table1[[Timepiece Reference ]], Table1[CRC STOCK], "Not Found")="YES", "CRC Stock", "Boutique Stock"))</f>
        <v/>
      </c>
      <c r="K294" s="136">
        <f>IF(OpenPendingCases[[#This Row],[Timepiece Reference ]]="", "", IF(_xlfn.XLOOKUP(OpenPendingCases[[#This Row],[Timepiece Reference ]], Table1[[Timepiece Reference ]], Table1[CRC STOCK], "Not Found")="YES", "CRC Stock", "Boutique Stock"))</f>
        <v/>
      </c>
      <c r="L294" s="142" t="n"/>
      <c r="M294" s="140" t="n"/>
      <c r="N294" s="136" t="n"/>
      <c r="O294" s="133" t="n"/>
      <c r="P294" s="93">
        <f>IFERROR(VLOOKUP(TRIM(O294), Collection!$B$2:$D$1001, 2, FALSE), "")</f>
        <v/>
      </c>
      <c r="Q294" s="190">
        <f>IFERROR(VLOOKUP(TRIM(O294), Collection!$B$2:$D$1001, 3, FALSE), "")</f>
        <v/>
      </c>
      <c r="R294" s="153">
        <f>IFERROR(VALUE(SUBSTITUTE(SUBSTITUTE(Q294, "Price", ""), "AED", "")), "")</f>
        <v/>
      </c>
      <c r="S294" s="151" t="n"/>
      <c r="T294" s="158" t="n"/>
      <c r="U294" s="136" t="n"/>
      <c r="V294" s="136" t="n"/>
      <c r="W294" s="156">
        <f>IF(Z294 = "",
"",
TEXT(Z294, "mmmm"))</f>
        <v/>
      </c>
      <c r="X294" s="157" t="n"/>
      <c r="Y294" s="158" t="n"/>
      <c r="Z294" s="158" t="n"/>
      <c r="AA294" s="136">
        <f>IF(H294="", "", IF(U294="Open Sale", IF(TODAY()-H294=0, "0 Days", TEXT(TODAY()-H294, "0") &amp; " Days"), IF(U294="Closed Sale", AA294, "")))</f>
        <v/>
      </c>
      <c r="AB294" s="136">
        <f>IF(H294="", "", IF(OR(U294="Pending", U294="Pending Allocation"), CONCATENATE(TODAY()-H294, " Days"), IF(U294="Closed", "", "")))</f>
        <v/>
      </c>
      <c r="AC294" s="160">
        <f>IF(U294="Pending Allocation", IF(I294="", "", TODAY()-I294), "")</f>
        <v/>
      </c>
      <c r="AD294" s="159">
        <f>IF(U294="Open Sale", TEXT(TODAY()-I294, "0"),
IF(U294="Pending", "",
IF(U294="Closed Sale", "", "")))</f>
        <v/>
      </c>
      <c r="AE294" s="161" t="n"/>
      <c r="AF294" s="161" t="n"/>
      <c r="AG294" s="161" t="n"/>
      <c r="AH294" s="136" t="n"/>
      <c r="AI294" s="164">
        <f>IF(I294="","",TEXT(I294, "mmmm yyyy"))</f>
        <v/>
      </c>
      <c r="AJ294" s="164">
        <f>IF(AND(OpenPendingCases[[#This Row],[Sale Status	]]="Open Sale",OpenPendingCases[[#This Row],[Potential Same Month]]="High"),TEXT(OpenPendingCases[[#This Row],[Request Entry Date]], "[$-en-us]mmmm"),"")</f>
        <v/>
      </c>
      <c r="AK294" s="165">
        <f>IFERROR(VALUE(SUBSTITUTE(OpenPendingCases[[#This Row],[Price]]," AED","")),"")</f>
        <v/>
      </c>
      <c r="AL294" s="165">
        <f>IFERROR(VALUE(LEFT(OpenPendingCases[[#This Row],[Price]],FIND(" ",OpenPendingCases[[#This Row],[Price]])-1)),"")</f>
        <v/>
      </c>
      <c r="AM294" s="165">
        <f>IFERROR(VALUE(_xlfn.TEXTBEFORE(OpenPendingCases[[#This Row],[Price]]," AED")),"")</f>
        <v/>
      </c>
      <c r="AN294" s="165" t="n"/>
    </row>
    <row r="295" hidden="1" ht="18" customHeight="1" s="287">
      <c r="C295" s="133" t="n"/>
      <c r="D295" s="136">
        <f>IF($U295="Open Sale", IF(MAX($D$4:D294)+1=0, "", MAX($D$4:D294)+1), "")</f>
        <v/>
      </c>
      <c r="E295" s="136">
        <f>IF($U295="Pending Allocation", IF(MAX($E$4:E294)+1=0, "", MAX($E$4:E294)+1), "")</f>
        <v/>
      </c>
      <c r="F295" s="136" t="n"/>
      <c r="G295" s="136" t="n"/>
      <c r="H295" s="150" t="n"/>
      <c r="I295" s="150" t="n"/>
      <c r="J295" s="67">
        <f>IF(OpenPendingCases[[#This Row],[Timepiece Reference ]]="", "", IF(_xlfn.XLOOKUP(OpenPendingCases[[#This Row],[Timepiece Reference ]], Table1[[Timepiece Reference ]], Table1[CRC STOCK], "Not Found")="YES", "CRC Stock", "Boutique Stock"))</f>
        <v/>
      </c>
      <c r="K295" s="136">
        <f>IF(OpenPendingCases[[#This Row],[Timepiece Reference ]]="", "", IF(_xlfn.XLOOKUP(OpenPendingCases[[#This Row],[Timepiece Reference ]], Table1[[Timepiece Reference ]], Table1[CRC STOCK], "Not Found")="YES", "CRC Stock", "Boutique Stock"))</f>
        <v/>
      </c>
      <c r="L295" s="142" t="n"/>
      <c r="M295" s="140" t="n"/>
      <c r="N295" s="136" t="n"/>
      <c r="O295" s="133" t="n"/>
      <c r="P295" s="93">
        <f>IFERROR(VLOOKUP(TRIM(O295), Collection!$B$2:$D$1001, 2, FALSE), "")</f>
        <v/>
      </c>
      <c r="Q295" s="190">
        <f>IFERROR(VLOOKUP(TRIM(O295), Collection!$B$2:$D$1001, 3, FALSE), "")</f>
        <v/>
      </c>
      <c r="R295" s="153">
        <f>IFERROR(VALUE(SUBSTITUTE(SUBSTITUTE(Q295, "Price", ""), "AED", "")), "")</f>
        <v/>
      </c>
      <c r="S295" s="151" t="n"/>
      <c r="T295" s="158" t="n"/>
      <c r="U295" s="136" t="n"/>
      <c r="V295" s="136" t="n"/>
      <c r="W295" s="156">
        <f>IF(Z295 = "",
"",
TEXT(Z295, "mmmm"))</f>
        <v/>
      </c>
      <c r="X295" s="157" t="n"/>
      <c r="Y295" s="158" t="n"/>
      <c r="Z295" s="158" t="n"/>
      <c r="AA295" s="136">
        <f>IF(H295="", "", IF(U295="Open Sale", IF(TODAY()-H295=0, "0 Days", TEXT(TODAY()-H295, "0") &amp; " Days"), IF(U295="Closed Sale", AA295, "")))</f>
        <v/>
      </c>
      <c r="AB295" s="136">
        <f>IF(H295="", "", IF(OR(U295="Pending", U295="Pending Allocation"), CONCATENATE(TODAY()-H295, " Days"), IF(U295="Closed", "", "")))</f>
        <v/>
      </c>
      <c r="AC295" s="160">
        <f>IF(U295="Pending Allocation", IF(I295="", "", TODAY()-I295), "")</f>
        <v/>
      </c>
      <c r="AD295" s="159">
        <f>IF(U295="Open Sale", TEXT(TODAY()-I295, "0"),
IF(U295="Pending", "",
IF(U295="Closed Sale", "", "")))</f>
        <v/>
      </c>
      <c r="AE295" s="161" t="n"/>
      <c r="AF295" s="161" t="n"/>
      <c r="AG295" s="161" t="n"/>
      <c r="AH295" s="136" t="n"/>
      <c r="AI295" s="164">
        <f>IF(I295="","",TEXT(I295, "mmmm yyyy"))</f>
        <v/>
      </c>
      <c r="AJ295" s="164">
        <f>IF(AND(OpenPendingCases[[#This Row],[Sale Status	]]="Open Sale",OpenPendingCases[[#This Row],[Potential Same Month]]="High"),TEXT(OpenPendingCases[[#This Row],[Request Entry Date]], "[$-en-us]mmmm"),"")</f>
        <v/>
      </c>
      <c r="AK295" s="165">
        <f>IFERROR(VALUE(SUBSTITUTE(OpenPendingCases[[#This Row],[Price]]," AED","")),"")</f>
        <v/>
      </c>
      <c r="AL295" s="165">
        <f>IFERROR(VALUE(LEFT(OpenPendingCases[[#This Row],[Price]],FIND(" ",OpenPendingCases[[#This Row],[Price]])-1)),"")</f>
        <v/>
      </c>
      <c r="AM295" s="165">
        <f>IFERROR(VALUE(_xlfn.TEXTBEFORE(OpenPendingCases[[#This Row],[Price]]," AED")),"")</f>
        <v/>
      </c>
      <c r="AN295" s="165" t="n"/>
    </row>
    <row r="296" hidden="1" ht="18" customHeight="1" s="287">
      <c r="C296" s="133" t="n"/>
      <c r="D296" s="136">
        <f>IF($U296="Open Sale", IF(MAX($D$4:D295)+1=0, "", MAX($D$4:D295)+1), "")</f>
        <v/>
      </c>
      <c r="E296" s="136">
        <f>IF($U296="Pending Allocation", IF(MAX($E$4:E295)+1=0, "", MAX($E$4:E295)+1), "")</f>
        <v/>
      </c>
      <c r="F296" s="136" t="n"/>
      <c r="G296" s="136" t="n"/>
      <c r="H296" s="150" t="n"/>
      <c r="I296" s="150" t="n"/>
      <c r="J296" s="67">
        <f>IF(OpenPendingCases[[#This Row],[Timepiece Reference ]]="", "", IF(_xlfn.XLOOKUP(OpenPendingCases[[#This Row],[Timepiece Reference ]], Table1[[Timepiece Reference ]], Table1[CRC STOCK], "Not Found")="YES", "CRC Stock", "Boutique Stock"))</f>
        <v/>
      </c>
      <c r="K296" s="136">
        <f>IF(OpenPendingCases[[#This Row],[Timepiece Reference ]]="", "", IF(_xlfn.XLOOKUP(OpenPendingCases[[#This Row],[Timepiece Reference ]], Table1[[Timepiece Reference ]], Table1[CRC STOCK], "Not Found")="YES", "CRC Stock", "Boutique Stock"))</f>
        <v/>
      </c>
      <c r="L296" s="142" t="n"/>
      <c r="M296" s="140" t="n"/>
      <c r="N296" s="136" t="n"/>
      <c r="O296" s="133" t="n"/>
      <c r="P296" s="93">
        <f>IFERROR(VLOOKUP(TRIM(O296), Collection!$B$2:$D$1001, 2, FALSE), "")</f>
        <v/>
      </c>
      <c r="Q296" s="190">
        <f>IFERROR(VLOOKUP(TRIM(O296), Collection!$B$2:$D$1001, 3, FALSE), "")</f>
        <v/>
      </c>
      <c r="R296" s="153">
        <f>IFERROR(VALUE(SUBSTITUTE(SUBSTITUTE(Q296, "Price", ""), "AED", "")), "")</f>
        <v/>
      </c>
      <c r="S296" s="151" t="n"/>
      <c r="T296" s="158" t="n"/>
      <c r="U296" s="136" t="n"/>
      <c r="V296" s="136" t="n"/>
      <c r="W296" s="156">
        <f>IF(Z296 = "",
"",
TEXT(Z296, "mmmm"))</f>
        <v/>
      </c>
      <c r="X296" s="157" t="n"/>
      <c r="Y296" s="158" t="n"/>
      <c r="Z296" s="158" t="n"/>
      <c r="AA296" s="136">
        <f>IF(H296="", "", IF(U296="Open Sale", IF(TODAY()-H296=0, "0 Days", TEXT(TODAY()-H296, "0") &amp; " Days"), IF(U296="Closed Sale", AA296, "")))</f>
        <v/>
      </c>
      <c r="AB296" s="136">
        <f>IF(H296="", "", IF(OR(U296="Pending", U296="Pending Allocation"), CONCATENATE(TODAY()-H296, " Days"), IF(U296="Closed", "", "")))</f>
        <v/>
      </c>
      <c r="AC296" s="160">
        <f>IF(U296="Pending Allocation", IF(I296="", "", TODAY()-I296), "")</f>
        <v/>
      </c>
      <c r="AD296" s="159">
        <f>IF(U296="Open Sale", TEXT(TODAY()-I296, "0"),
IF(U296="Pending", "",
IF(U296="Closed Sale", "", "")))</f>
        <v/>
      </c>
      <c r="AE296" s="161" t="n"/>
      <c r="AF296" s="161" t="n"/>
      <c r="AG296" s="161" t="n"/>
      <c r="AH296" s="136" t="n"/>
      <c r="AI296" s="164">
        <f>IF(I296="","",TEXT(I296, "mmmm yyyy"))</f>
        <v/>
      </c>
      <c r="AJ296" s="164">
        <f>IF(AND(OpenPendingCases[[#This Row],[Sale Status	]]="Open Sale",OpenPendingCases[[#This Row],[Potential Same Month]]="High"),TEXT(OpenPendingCases[[#This Row],[Request Entry Date]], "[$-en-us]mmmm"),"")</f>
        <v/>
      </c>
      <c r="AK296" s="165">
        <f>IFERROR(VALUE(SUBSTITUTE(OpenPendingCases[[#This Row],[Price]]," AED","")),"")</f>
        <v/>
      </c>
      <c r="AL296" s="165">
        <f>IFERROR(VALUE(LEFT(OpenPendingCases[[#This Row],[Price]],FIND(" ",OpenPendingCases[[#This Row],[Price]])-1)),"")</f>
        <v/>
      </c>
      <c r="AM296" s="165">
        <f>IFERROR(VALUE(_xlfn.TEXTBEFORE(OpenPendingCases[[#This Row],[Price]]," AED")),"")</f>
        <v/>
      </c>
      <c r="AN296" s="165" t="n"/>
    </row>
    <row r="297" hidden="1" ht="18" customHeight="1" s="287">
      <c r="C297" s="133" t="n"/>
      <c r="D297" s="136">
        <f>IF($U297="Open Sale", IF(MAX($D$4:D296)+1=0, "", MAX($D$4:D296)+1), "")</f>
        <v/>
      </c>
      <c r="E297" s="136">
        <f>IF($U297="Pending Allocation", IF(MAX($E$4:E296)+1=0, "", MAX($E$4:E296)+1), "")</f>
        <v/>
      </c>
      <c r="F297" s="136" t="n"/>
      <c r="G297" s="136" t="n"/>
      <c r="H297" s="150" t="n"/>
      <c r="I297" s="150" t="n"/>
      <c r="J297" s="67">
        <f>IF(OpenPendingCases[[#This Row],[Timepiece Reference ]]="", "", IF(_xlfn.XLOOKUP(OpenPendingCases[[#This Row],[Timepiece Reference ]], Table1[[Timepiece Reference ]], Table1[CRC STOCK], "Not Found")="YES", "CRC Stock", "Boutique Stock"))</f>
        <v/>
      </c>
      <c r="K297" s="136">
        <f>IF(OpenPendingCases[[#This Row],[Timepiece Reference ]]="", "", IF(_xlfn.XLOOKUP(OpenPendingCases[[#This Row],[Timepiece Reference ]], Table1[[Timepiece Reference ]], Table1[CRC STOCK], "Not Found")="YES", "CRC Stock", "Boutique Stock"))</f>
        <v/>
      </c>
      <c r="L297" s="142" t="n"/>
      <c r="M297" s="140" t="n"/>
      <c r="N297" s="136" t="n"/>
      <c r="O297" s="133" t="n"/>
      <c r="P297" s="93">
        <f>IFERROR(VLOOKUP(TRIM(O297), Collection!$B$2:$D$1001, 2, FALSE), "")</f>
        <v/>
      </c>
      <c r="Q297" s="190">
        <f>IFERROR(VLOOKUP(TRIM(O297), Collection!$B$2:$D$1001, 3, FALSE), "")</f>
        <v/>
      </c>
      <c r="R297" s="153">
        <f>IFERROR(VALUE(SUBSTITUTE(SUBSTITUTE(Q297, "Price", ""), "AED", "")), "")</f>
        <v/>
      </c>
      <c r="S297" s="151" t="n"/>
      <c r="T297" s="158" t="n"/>
      <c r="U297" s="136" t="n"/>
      <c r="V297" s="136" t="n"/>
      <c r="W297" s="156">
        <f>IF(Z297 = "",
"",
TEXT(Z297, "mmmm"))</f>
        <v/>
      </c>
      <c r="X297" s="157" t="n"/>
      <c r="Y297" s="158" t="n"/>
      <c r="Z297" s="158" t="n"/>
      <c r="AA297" s="136">
        <f>IF(H297="", "", IF(U297="Open Sale", IF(TODAY()-H297=0, "0 Days", TEXT(TODAY()-H297, "0") &amp; " Days"), IF(U297="Closed Sale", AA297, "")))</f>
        <v/>
      </c>
      <c r="AB297" s="136">
        <f>IF(H297="", "", IF(OR(U297="Pending", U297="Pending Allocation"), CONCATENATE(TODAY()-H297, " Days"), IF(U297="Closed", "", "")))</f>
        <v/>
      </c>
      <c r="AC297" s="160">
        <f>IF(U297="Pending Allocation", IF(I297="", "", TODAY()-I297), "")</f>
        <v/>
      </c>
      <c r="AD297" s="159">
        <f>IF(U297="Open Sale", TEXT(TODAY()-I297, "0"),
IF(U297="Pending", "",
IF(U297="Closed Sale", "", "")))</f>
        <v/>
      </c>
      <c r="AE297" s="161" t="n"/>
      <c r="AF297" s="161" t="n"/>
      <c r="AG297" s="161" t="n"/>
      <c r="AH297" s="136" t="n"/>
      <c r="AI297" s="164">
        <f>IF(I297="","",TEXT(I297, "mmmm yyyy"))</f>
        <v/>
      </c>
      <c r="AJ297" s="164">
        <f>IF(AND(OpenPendingCases[[#This Row],[Sale Status	]]="Open Sale",OpenPendingCases[[#This Row],[Potential Same Month]]="High"),TEXT(OpenPendingCases[[#This Row],[Request Entry Date]], "[$-en-us]mmmm"),"")</f>
        <v/>
      </c>
      <c r="AK297" s="165">
        <f>IFERROR(VALUE(SUBSTITUTE(OpenPendingCases[[#This Row],[Price]]," AED","")),"")</f>
        <v/>
      </c>
      <c r="AL297" s="165">
        <f>IFERROR(VALUE(LEFT(OpenPendingCases[[#This Row],[Price]],FIND(" ",OpenPendingCases[[#This Row],[Price]])-1)),"")</f>
        <v/>
      </c>
      <c r="AM297" s="165">
        <f>IFERROR(VALUE(_xlfn.TEXTBEFORE(OpenPendingCases[[#This Row],[Price]]," AED")),"")</f>
        <v/>
      </c>
      <c r="AN297" s="165" t="n"/>
    </row>
    <row r="298" hidden="1" ht="18" customHeight="1" s="287">
      <c r="C298" s="133" t="n"/>
      <c r="D298" s="136">
        <f>IF($U298="Open Sale", IF(MAX($D$4:D297)+1=0, "", MAX($D$4:D297)+1), "")</f>
        <v/>
      </c>
      <c r="E298" s="136">
        <f>IF($U298="Pending Allocation", IF(MAX($E$4:E297)+1=0, "", MAX($E$4:E297)+1), "")</f>
        <v/>
      </c>
      <c r="F298" s="136" t="n"/>
      <c r="G298" s="136" t="n"/>
      <c r="H298" s="150" t="n"/>
      <c r="I298" s="150" t="n"/>
      <c r="J298" s="67">
        <f>IF(OpenPendingCases[[#This Row],[Timepiece Reference ]]="", "", IF(_xlfn.XLOOKUP(OpenPendingCases[[#This Row],[Timepiece Reference ]], Table1[[Timepiece Reference ]], Table1[CRC STOCK], "Not Found")="YES", "CRC Stock", "Boutique Stock"))</f>
        <v/>
      </c>
      <c r="K298" s="136">
        <f>IF(OpenPendingCases[[#This Row],[Timepiece Reference ]]="", "", IF(_xlfn.XLOOKUP(OpenPendingCases[[#This Row],[Timepiece Reference ]], Table1[[Timepiece Reference ]], Table1[CRC STOCK], "Not Found")="YES", "CRC Stock", "Boutique Stock"))</f>
        <v/>
      </c>
      <c r="L298" s="142" t="n"/>
      <c r="M298" s="140" t="n"/>
      <c r="N298" s="136" t="n"/>
      <c r="O298" s="133" t="n"/>
      <c r="P298" s="93">
        <f>IFERROR(VLOOKUP(TRIM(O298), Collection!$B$2:$D$1001, 2, FALSE), "")</f>
        <v/>
      </c>
      <c r="Q298" s="190">
        <f>IFERROR(VLOOKUP(TRIM(O298), Collection!$B$2:$D$1001, 3, FALSE), "")</f>
        <v/>
      </c>
      <c r="R298" s="153">
        <f>IFERROR(VALUE(SUBSTITUTE(SUBSTITUTE(Q298, "Price", ""), "AED", "")), "")</f>
        <v/>
      </c>
      <c r="S298" s="151" t="n"/>
      <c r="T298" s="158" t="n"/>
      <c r="U298" s="136" t="n"/>
      <c r="V298" s="136" t="n"/>
      <c r="W298" s="156">
        <f>IF(Z298 = "",
"",
TEXT(Z298, "mmmm"))</f>
        <v/>
      </c>
      <c r="X298" s="157" t="n"/>
      <c r="Y298" s="158" t="n"/>
      <c r="Z298" s="158" t="n"/>
      <c r="AA298" s="136">
        <f>IF(H298="", "", IF(U298="Open Sale", IF(TODAY()-H298=0, "0 Days", TEXT(TODAY()-H298, "0") &amp; " Days"), IF(U298="Closed Sale", AA298, "")))</f>
        <v/>
      </c>
      <c r="AB298" s="136">
        <f>IF(H298="", "", IF(OR(U298="Pending", U298="Pending Allocation"), CONCATENATE(TODAY()-H298, " Days"), IF(U298="Closed", "", "")))</f>
        <v/>
      </c>
      <c r="AC298" s="160">
        <f>IF(U298="Pending Allocation", IF(I298="", "", TODAY()-I298), "")</f>
        <v/>
      </c>
      <c r="AD298" s="159">
        <f>IF(U298="Open Sale", TEXT(TODAY()-I298, "0"),
IF(U298="Pending", "",
IF(U298="Closed Sale", "", "")))</f>
        <v/>
      </c>
      <c r="AE298" s="161" t="n"/>
      <c r="AF298" s="161" t="n"/>
      <c r="AG298" s="161" t="n"/>
      <c r="AH298" s="136" t="n"/>
      <c r="AI298" s="164">
        <f>IF(I298="","",TEXT(I298, "mmmm yyyy"))</f>
        <v/>
      </c>
      <c r="AJ298" s="164">
        <f>IF(AND(OpenPendingCases[[#This Row],[Sale Status	]]="Open Sale",OpenPendingCases[[#This Row],[Potential Same Month]]="High"),TEXT(OpenPendingCases[[#This Row],[Request Entry Date]], "[$-en-us]mmmm"),"")</f>
        <v/>
      </c>
      <c r="AK298" s="165">
        <f>IFERROR(VALUE(SUBSTITUTE(OpenPendingCases[[#This Row],[Price]]," AED","")),"")</f>
        <v/>
      </c>
      <c r="AL298" s="165">
        <f>IFERROR(VALUE(LEFT(OpenPendingCases[[#This Row],[Price]],FIND(" ",OpenPendingCases[[#This Row],[Price]])-1)),"")</f>
        <v/>
      </c>
      <c r="AM298" s="165">
        <f>IFERROR(VALUE(_xlfn.TEXTBEFORE(OpenPendingCases[[#This Row],[Price]]," AED")),"")</f>
        <v/>
      </c>
      <c r="AN298" s="165" t="n"/>
    </row>
    <row r="299" hidden="1" ht="18" customHeight="1" s="287">
      <c r="C299" s="133" t="n"/>
      <c r="D299" s="136">
        <f>IF($U299="Open Sale", IF(MAX($D$4:D298)+1=0, "", MAX($D$4:D298)+1), "")</f>
        <v/>
      </c>
      <c r="E299" s="136">
        <f>IF($U299="Pending Allocation", IF(MAX($E$4:E298)+1=0, "", MAX($E$4:E298)+1), "")</f>
        <v/>
      </c>
      <c r="F299" s="136" t="n"/>
      <c r="G299" s="136" t="n"/>
      <c r="H299" s="150" t="n"/>
      <c r="I299" s="150" t="n"/>
      <c r="J299" s="67">
        <f>IF(OpenPendingCases[[#This Row],[Timepiece Reference ]]="", "", IF(_xlfn.XLOOKUP(OpenPendingCases[[#This Row],[Timepiece Reference ]], Table1[[Timepiece Reference ]], Table1[CRC STOCK], "Not Found")="YES", "CRC Stock", "Boutique Stock"))</f>
        <v/>
      </c>
      <c r="K299" s="136">
        <f>IF(OpenPendingCases[[#This Row],[Timepiece Reference ]]="", "", IF(_xlfn.XLOOKUP(OpenPendingCases[[#This Row],[Timepiece Reference ]], Table1[[Timepiece Reference ]], Table1[CRC STOCK], "Not Found")="YES", "CRC Stock", "Boutique Stock"))</f>
        <v/>
      </c>
      <c r="L299" s="142" t="n"/>
      <c r="M299" s="140" t="n"/>
      <c r="N299" s="136" t="n"/>
      <c r="O299" s="133" t="n"/>
      <c r="P299" s="93">
        <f>IFERROR(VLOOKUP(TRIM(O299), Collection!$B$2:$D$1001, 2, FALSE), "")</f>
        <v/>
      </c>
      <c r="Q299" s="190">
        <f>IFERROR(VLOOKUP(TRIM(O299), Collection!$B$2:$D$1001, 3, FALSE), "")</f>
        <v/>
      </c>
      <c r="R299" s="153">
        <f>IFERROR(VALUE(SUBSTITUTE(SUBSTITUTE(Q299, "Price", ""), "AED", "")), "")</f>
        <v/>
      </c>
      <c r="S299" s="151" t="n"/>
      <c r="T299" s="158" t="n"/>
      <c r="U299" s="136" t="n"/>
      <c r="V299" s="136" t="n"/>
      <c r="W299" s="156">
        <f>IF(Z299 = "",
"",
TEXT(Z299, "mmmm"))</f>
        <v/>
      </c>
      <c r="X299" s="157" t="n"/>
      <c r="Y299" s="158" t="n"/>
      <c r="Z299" s="158" t="n"/>
      <c r="AA299" s="136">
        <f>IF(H299="", "", IF(U299="Open Sale", IF(TODAY()-H299=0, "0 Days", TEXT(TODAY()-H299, "0") &amp; " Days"), IF(U299="Closed Sale", AA299, "")))</f>
        <v/>
      </c>
      <c r="AB299" s="136">
        <f>IF(H299="", "", IF(OR(U299="Pending", U299="Pending Allocation"), CONCATENATE(TODAY()-H299, " Days"), IF(U299="Closed", "", "")))</f>
        <v/>
      </c>
      <c r="AC299" s="160">
        <f>IF(U299="Pending Allocation", IF(I299="", "", TODAY()-I299), "")</f>
        <v/>
      </c>
      <c r="AD299" s="159">
        <f>IF(U299="Open Sale", TEXT(TODAY()-I299, "0"),
IF(U299="Pending", "",
IF(U299="Closed Sale", "", "")))</f>
        <v/>
      </c>
      <c r="AE299" s="161" t="n"/>
      <c r="AF299" s="161" t="n"/>
      <c r="AG299" s="161" t="n"/>
      <c r="AH299" s="136" t="n"/>
      <c r="AI299" s="164">
        <f>IF(I299="","",TEXT(I299, "mmmm yyyy"))</f>
        <v/>
      </c>
      <c r="AJ299" s="164">
        <f>IF(AND(OpenPendingCases[[#This Row],[Sale Status	]]="Open Sale",OpenPendingCases[[#This Row],[Potential Same Month]]="High"),TEXT(OpenPendingCases[[#This Row],[Request Entry Date]], "[$-en-us]mmmm"),"")</f>
        <v/>
      </c>
      <c r="AK299" s="165">
        <f>IFERROR(VALUE(SUBSTITUTE(OpenPendingCases[[#This Row],[Price]]," AED","")),"")</f>
        <v/>
      </c>
      <c r="AL299" s="165">
        <f>IFERROR(VALUE(LEFT(OpenPendingCases[[#This Row],[Price]],FIND(" ",OpenPendingCases[[#This Row],[Price]])-1)),"")</f>
        <v/>
      </c>
      <c r="AM299" s="165">
        <f>IFERROR(VALUE(_xlfn.TEXTBEFORE(OpenPendingCases[[#This Row],[Price]]," AED")),"")</f>
        <v/>
      </c>
      <c r="AN299" s="165" t="n"/>
    </row>
    <row r="300" hidden="1" ht="18" customHeight="1" s="287">
      <c r="C300" s="133" t="n"/>
      <c r="D300" s="136">
        <f>IF($U300="Open Sale", IF(MAX($D$4:D299)+1=0, "", MAX($D$4:D299)+1), "")</f>
        <v/>
      </c>
      <c r="E300" s="136">
        <f>IF($U300="Pending Allocation", IF(MAX($E$4:E299)+1=0, "", MAX($E$4:E299)+1), "")</f>
        <v/>
      </c>
      <c r="F300" s="136" t="n"/>
      <c r="G300" s="136" t="n"/>
      <c r="H300" s="150" t="n"/>
      <c r="I300" s="150" t="n"/>
      <c r="J300" s="67">
        <f>IF(OpenPendingCases[[#This Row],[Timepiece Reference ]]="", "", IF(_xlfn.XLOOKUP(OpenPendingCases[[#This Row],[Timepiece Reference ]], Table1[[Timepiece Reference ]], Table1[CRC STOCK], "Not Found")="YES", "CRC Stock", "Boutique Stock"))</f>
        <v/>
      </c>
      <c r="K300" s="136">
        <f>IF(OpenPendingCases[[#This Row],[Timepiece Reference ]]="", "", IF(_xlfn.XLOOKUP(OpenPendingCases[[#This Row],[Timepiece Reference ]], Table1[[Timepiece Reference ]], Table1[CRC STOCK], "Not Found")="YES", "CRC Stock", "Boutique Stock"))</f>
        <v/>
      </c>
      <c r="L300" s="142" t="n"/>
      <c r="M300" s="140" t="n"/>
      <c r="N300" s="136" t="n"/>
      <c r="O300" s="133" t="n"/>
      <c r="P300" s="93">
        <f>IFERROR(VLOOKUP(TRIM(O300), Collection!$B$2:$D$1001, 2, FALSE), "")</f>
        <v/>
      </c>
      <c r="Q300" s="190">
        <f>IFERROR(VLOOKUP(TRIM(O300), Collection!$B$2:$D$1001, 3, FALSE), "")</f>
        <v/>
      </c>
      <c r="R300" s="153">
        <f>IFERROR(VALUE(SUBSTITUTE(SUBSTITUTE(Q300, "Price", ""), "AED", "")), "")</f>
        <v/>
      </c>
      <c r="S300" s="151" t="n"/>
      <c r="T300" s="158" t="n"/>
      <c r="U300" s="136" t="n"/>
      <c r="V300" s="136" t="n"/>
      <c r="W300" s="156">
        <f>IF(Z300 = "",
"",
TEXT(Z300, "mmmm"))</f>
        <v/>
      </c>
      <c r="X300" s="157" t="n"/>
      <c r="Y300" s="158" t="n"/>
      <c r="Z300" s="158" t="n"/>
      <c r="AA300" s="136">
        <f>IF(H300="", "", IF(U300="Open Sale", IF(TODAY()-H300=0, "0 Days", TEXT(TODAY()-H300, "0") &amp; " Days"), IF(U300="Closed Sale", AA300, "")))</f>
        <v/>
      </c>
      <c r="AB300" s="136">
        <f>IF(H300="", "", IF(OR(U300="Pending", U300="Pending Allocation"), CONCATENATE(TODAY()-H300, " Days"), IF(U300="Closed", "", "")))</f>
        <v/>
      </c>
      <c r="AC300" s="160">
        <f>IF(U300="Pending Allocation", IF(I300="", "", TODAY()-I300), "")</f>
        <v/>
      </c>
      <c r="AD300" s="159">
        <f>IF(U300="Open Sale", TEXT(TODAY()-I300, "0"),
IF(U300="Pending", "",
IF(U300="Closed Sale", "", "")))</f>
        <v/>
      </c>
      <c r="AE300" s="161" t="n"/>
      <c r="AF300" s="161" t="n"/>
      <c r="AG300" s="161" t="n"/>
      <c r="AH300" s="136" t="n"/>
      <c r="AI300" s="164">
        <f>IF(I300="","",TEXT(I300, "mmmm yyyy"))</f>
        <v/>
      </c>
      <c r="AJ300" s="164">
        <f>IF(AND(OpenPendingCases[[#This Row],[Sale Status	]]="Open Sale",OpenPendingCases[[#This Row],[Potential Same Month]]="High"),TEXT(OpenPendingCases[[#This Row],[Request Entry Date]], "[$-en-us]mmmm"),"")</f>
        <v/>
      </c>
      <c r="AK300" s="165">
        <f>IFERROR(VALUE(SUBSTITUTE(OpenPendingCases[[#This Row],[Price]]," AED","")),"")</f>
        <v/>
      </c>
      <c r="AL300" s="165">
        <f>IFERROR(VALUE(LEFT(OpenPendingCases[[#This Row],[Price]],FIND(" ",OpenPendingCases[[#This Row],[Price]])-1)),"")</f>
        <v/>
      </c>
      <c r="AM300" s="165">
        <f>IFERROR(VALUE(_xlfn.TEXTBEFORE(OpenPendingCases[[#This Row],[Price]]," AED")),"")</f>
        <v/>
      </c>
      <c r="AN300" s="165" t="n"/>
    </row>
    <row r="301" hidden="1" ht="18" customHeight="1" s="287">
      <c r="C301" s="133" t="n"/>
      <c r="D301" s="136">
        <f>IF($U301="Open Sale", IF(MAX($D$4:D300)+1=0, "", MAX($D$4:D300)+1), "")</f>
        <v/>
      </c>
      <c r="E301" s="136">
        <f>IF($U301="Pending Allocation", IF(MAX($E$4:E300)+1=0, "", MAX($E$4:E300)+1), "")</f>
        <v/>
      </c>
      <c r="F301" s="136" t="n"/>
      <c r="G301" s="136" t="n"/>
      <c r="H301" s="150" t="n"/>
      <c r="I301" s="150" t="n"/>
      <c r="J301" s="67">
        <f>IF(OpenPendingCases[[#This Row],[Timepiece Reference ]]="", "", IF(_xlfn.XLOOKUP(OpenPendingCases[[#This Row],[Timepiece Reference ]], Table1[[Timepiece Reference ]], Table1[CRC STOCK], "Not Found")="YES", "CRC Stock", "Boutique Stock"))</f>
        <v/>
      </c>
      <c r="K301" s="136">
        <f>IF(OpenPendingCases[[#This Row],[Timepiece Reference ]]="", "", IF(_xlfn.XLOOKUP(OpenPendingCases[[#This Row],[Timepiece Reference ]], Table1[[Timepiece Reference ]], Table1[CRC STOCK], "Not Found")="YES", "CRC Stock", "Boutique Stock"))</f>
        <v/>
      </c>
      <c r="L301" s="142" t="n"/>
      <c r="M301" s="140" t="n"/>
      <c r="N301" s="136" t="n"/>
      <c r="O301" s="133" t="n"/>
      <c r="P301" s="93">
        <f>IFERROR(VLOOKUP(TRIM(O301), Collection!$B$2:$D$1001, 2, FALSE), "")</f>
        <v/>
      </c>
      <c r="Q301" s="190">
        <f>IFERROR(VLOOKUP(TRIM(O301), Collection!$B$2:$D$1001, 3, FALSE), "")</f>
        <v/>
      </c>
      <c r="R301" s="153">
        <f>IFERROR(VALUE(SUBSTITUTE(SUBSTITUTE(Q301, "Price", ""), "AED", "")), "")</f>
        <v/>
      </c>
      <c r="S301" s="151" t="n"/>
      <c r="T301" s="158" t="n"/>
      <c r="U301" s="136" t="n"/>
      <c r="V301" s="136" t="n"/>
      <c r="W301" s="156">
        <f>IF(Z301 = "",
"",
TEXT(Z301, "mmmm"))</f>
        <v/>
      </c>
      <c r="X301" s="157" t="n"/>
      <c r="Y301" s="158" t="n"/>
      <c r="Z301" s="158" t="n"/>
      <c r="AA301" s="136">
        <f>IF(H301="", "", IF(U301="Open Sale", IF(TODAY()-H301=0, "0 Days", TEXT(TODAY()-H301, "0") &amp; " Days"), IF(U301="Closed Sale", AA301, "")))</f>
        <v/>
      </c>
      <c r="AB301" s="136">
        <f>IF(H301="", "", IF(OR(U301="Pending", U301="Pending Allocation"), CONCATENATE(TODAY()-H301, " Days"), IF(U301="Closed", "", "")))</f>
        <v/>
      </c>
      <c r="AC301" s="160">
        <f>IF(U301="Pending Allocation", IF(I301="", "", TODAY()-I301), "")</f>
        <v/>
      </c>
      <c r="AD301" s="159">
        <f>IF(U301="Open Sale", TEXT(TODAY()-I301, "0"),
IF(U301="Pending", "",
IF(U301="Closed Sale", "", "")))</f>
        <v/>
      </c>
      <c r="AE301" s="161" t="n"/>
      <c r="AF301" s="161" t="n"/>
      <c r="AG301" s="161" t="n"/>
      <c r="AH301" s="136" t="n"/>
      <c r="AI301" s="164">
        <f>IF(I301="","",TEXT(I301, "mmmm yyyy"))</f>
        <v/>
      </c>
      <c r="AJ301" s="164">
        <f>IF(AND(OpenPendingCases[[#This Row],[Sale Status	]]="Open Sale",OpenPendingCases[[#This Row],[Potential Same Month]]="High"),TEXT(OpenPendingCases[[#This Row],[Request Entry Date]], "[$-en-us]mmmm"),"")</f>
        <v/>
      </c>
      <c r="AK301" s="165">
        <f>IFERROR(VALUE(SUBSTITUTE(OpenPendingCases[[#This Row],[Price]]," AED","")),"")</f>
        <v/>
      </c>
      <c r="AL301" s="165">
        <f>IFERROR(VALUE(LEFT(OpenPendingCases[[#This Row],[Price]],FIND(" ",OpenPendingCases[[#This Row],[Price]])-1)),"")</f>
        <v/>
      </c>
      <c r="AM301" s="165">
        <f>IFERROR(VALUE(_xlfn.TEXTBEFORE(OpenPendingCases[[#This Row],[Price]]," AED")),"")</f>
        <v/>
      </c>
      <c r="AN301" s="165" t="n"/>
    </row>
    <row r="302" hidden="1" ht="18" customHeight="1" s="287">
      <c r="C302" s="133" t="n"/>
      <c r="D302" s="136">
        <f>IF($U302="Open Sale", IF(MAX($D$4:D301)+1=0, "", MAX($D$4:D301)+1), "")</f>
        <v/>
      </c>
      <c r="E302" s="136">
        <f>IF($U302="Pending Allocation", IF(MAX($E$4:E301)+1=0, "", MAX($E$4:E301)+1), "")</f>
        <v/>
      </c>
      <c r="F302" s="136" t="n"/>
      <c r="G302" s="136" t="n"/>
      <c r="H302" s="150" t="n"/>
      <c r="I302" s="150" t="n"/>
      <c r="J302" s="67">
        <f>IF(OpenPendingCases[[#This Row],[Timepiece Reference ]]="", "", IF(_xlfn.XLOOKUP(OpenPendingCases[[#This Row],[Timepiece Reference ]], Table1[[Timepiece Reference ]], Table1[CRC STOCK], "Not Found")="YES", "CRC Stock", "Boutique Stock"))</f>
        <v/>
      </c>
      <c r="K302" s="136">
        <f>IF(OpenPendingCases[[#This Row],[Timepiece Reference ]]="", "", IF(_xlfn.XLOOKUP(OpenPendingCases[[#This Row],[Timepiece Reference ]], Table1[[Timepiece Reference ]], Table1[CRC STOCK], "Not Found")="YES", "CRC Stock", "Boutique Stock"))</f>
        <v/>
      </c>
      <c r="L302" s="142" t="n"/>
      <c r="M302" s="140" t="n"/>
      <c r="N302" s="136" t="n"/>
      <c r="O302" s="133" t="n"/>
      <c r="P302" s="93">
        <f>IFERROR(VLOOKUP(TRIM(O302), Collection!$B$2:$D$1001, 2, FALSE), "")</f>
        <v/>
      </c>
      <c r="Q302" s="190">
        <f>IFERROR(VLOOKUP(TRIM(O302), Collection!$B$2:$D$1001, 3, FALSE), "")</f>
        <v/>
      </c>
      <c r="R302" s="153">
        <f>IFERROR(VALUE(SUBSTITUTE(SUBSTITUTE(Q302, "Price", ""), "AED", "")), "")</f>
        <v/>
      </c>
      <c r="S302" s="151" t="n"/>
      <c r="T302" s="158" t="n"/>
      <c r="U302" s="136" t="n"/>
      <c r="V302" s="136" t="n"/>
      <c r="W302" s="156">
        <f>IF(Z302 = "",
"",
TEXT(Z302, "mmmm"))</f>
        <v/>
      </c>
      <c r="X302" s="157" t="n"/>
      <c r="Y302" s="158" t="n"/>
      <c r="Z302" s="158" t="n"/>
      <c r="AA302" s="136">
        <f>IF(H302="", "", IF(U302="Open Sale", IF(TODAY()-H302=0, "0 Days", TEXT(TODAY()-H302, "0") &amp; " Days"), IF(U302="Closed Sale", AA302, "")))</f>
        <v/>
      </c>
      <c r="AB302" s="136">
        <f>IF(H302="", "", IF(OR(U302="Pending", U302="Pending Allocation"), CONCATENATE(TODAY()-H302, " Days"), IF(U302="Closed", "", "")))</f>
        <v/>
      </c>
      <c r="AC302" s="160">
        <f>IF(U302="Pending Allocation", IF(I302="", "", TODAY()-I302), "")</f>
        <v/>
      </c>
      <c r="AD302" s="159">
        <f>IF(U302="Open Sale", TEXT(TODAY()-I302, "0"),
IF(U302="Pending", "",
IF(U302="Closed Sale", "", "")))</f>
        <v/>
      </c>
      <c r="AE302" s="161" t="n"/>
      <c r="AF302" s="161" t="n"/>
      <c r="AG302" s="161" t="n"/>
      <c r="AH302" s="136" t="n"/>
      <c r="AI302" s="164">
        <f>IF(I302="","",TEXT(I302, "mmmm yyyy"))</f>
        <v/>
      </c>
      <c r="AJ302" s="164">
        <f>IF(AND(OpenPendingCases[[#This Row],[Sale Status	]]="Open Sale",OpenPendingCases[[#This Row],[Potential Same Month]]="High"),TEXT(OpenPendingCases[[#This Row],[Request Entry Date]], "[$-en-us]mmmm"),"")</f>
        <v/>
      </c>
      <c r="AK302" s="165">
        <f>IFERROR(VALUE(SUBSTITUTE(OpenPendingCases[[#This Row],[Price]]," AED","")),"")</f>
        <v/>
      </c>
      <c r="AL302" s="165">
        <f>IFERROR(VALUE(LEFT(OpenPendingCases[[#This Row],[Price]],FIND(" ",OpenPendingCases[[#This Row],[Price]])-1)),"")</f>
        <v/>
      </c>
      <c r="AM302" s="165">
        <f>IFERROR(VALUE(_xlfn.TEXTBEFORE(OpenPendingCases[[#This Row],[Price]]," AED")),"")</f>
        <v/>
      </c>
      <c r="AN302" s="165" t="n"/>
    </row>
    <row r="303" hidden="1" ht="18" customHeight="1" s="287">
      <c r="C303" s="133" t="n"/>
      <c r="D303" s="136">
        <f>IF($U303="Open Sale", IF(MAX($D$4:D302)+1=0, "", MAX($D$4:D302)+1), "")</f>
        <v/>
      </c>
      <c r="E303" s="136">
        <f>IF($U303="Pending Allocation", IF(MAX($E$4:E302)+1=0, "", MAX($E$4:E302)+1), "")</f>
        <v/>
      </c>
      <c r="F303" s="136" t="n"/>
      <c r="G303" s="136" t="n"/>
      <c r="H303" s="150" t="n"/>
      <c r="I303" s="150" t="n"/>
      <c r="J303" s="67">
        <f>IF(OpenPendingCases[[#This Row],[Timepiece Reference ]]="", "", IF(_xlfn.XLOOKUP(OpenPendingCases[[#This Row],[Timepiece Reference ]], Table1[[Timepiece Reference ]], Table1[CRC STOCK], "Not Found")="YES", "CRC Stock", "Boutique Stock"))</f>
        <v/>
      </c>
      <c r="K303" s="136">
        <f>IF(OpenPendingCases[[#This Row],[Timepiece Reference ]]="", "", IF(_xlfn.XLOOKUP(OpenPendingCases[[#This Row],[Timepiece Reference ]], Table1[[Timepiece Reference ]], Table1[CRC STOCK], "Not Found")="YES", "CRC Stock", "Boutique Stock"))</f>
        <v/>
      </c>
      <c r="L303" s="142" t="n"/>
      <c r="M303" s="140" t="n"/>
      <c r="N303" s="136" t="n"/>
      <c r="O303" s="133" t="n"/>
      <c r="P303" s="93">
        <f>IFERROR(VLOOKUP(TRIM(O303), Collection!$B$2:$D$1001, 2, FALSE), "")</f>
        <v/>
      </c>
      <c r="Q303" s="190">
        <f>IFERROR(VLOOKUP(TRIM(O303), Collection!$B$2:$D$1001, 3, FALSE), "")</f>
        <v/>
      </c>
      <c r="R303" s="153">
        <f>IFERROR(VALUE(SUBSTITUTE(SUBSTITUTE(Q303, "Price", ""), "AED", "")), "")</f>
        <v/>
      </c>
      <c r="S303" s="151" t="n"/>
      <c r="T303" s="158" t="n"/>
      <c r="U303" s="136" t="n"/>
      <c r="V303" s="136" t="n"/>
      <c r="W303" s="156">
        <f>IF(Z303 = "",
"",
TEXT(Z303, "mmmm"))</f>
        <v/>
      </c>
      <c r="X303" s="157" t="n"/>
      <c r="Y303" s="158" t="n"/>
      <c r="Z303" s="158" t="n"/>
      <c r="AA303" s="136">
        <f>IF(H303="", "", IF(U303="Open Sale", IF(TODAY()-H303=0, "0 Days", TEXT(TODAY()-H303, "0") &amp; " Days"), IF(U303="Closed Sale", AA303, "")))</f>
        <v/>
      </c>
      <c r="AB303" s="136">
        <f>IF(H303="", "", IF(OR(U303="Pending", U303="Pending Allocation"), CONCATENATE(TODAY()-H303, " Days"), IF(U303="Closed", "", "")))</f>
        <v/>
      </c>
      <c r="AC303" s="160">
        <f>IF(U303="Pending Allocation", IF(I303="", "", TODAY()-I303), "")</f>
        <v/>
      </c>
      <c r="AD303" s="159">
        <f>IF(U303="Open Sale", TEXT(TODAY()-I303, "0"),
IF(U303="Pending", "",
IF(U303="Closed Sale", "", "")))</f>
        <v/>
      </c>
      <c r="AE303" s="161" t="n"/>
      <c r="AF303" s="161" t="n"/>
      <c r="AG303" s="161" t="n"/>
      <c r="AH303" s="136" t="n"/>
      <c r="AI303" s="164">
        <f>IF(I303="","",TEXT(I303, "mmmm yyyy"))</f>
        <v/>
      </c>
      <c r="AJ303" s="164">
        <f>IF(AND(OpenPendingCases[[#This Row],[Sale Status	]]="Open Sale",OpenPendingCases[[#This Row],[Potential Same Month]]="High"),TEXT(OpenPendingCases[[#This Row],[Request Entry Date]], "[$-en-us]mmmm"),"")</f>
        <v/>
      </c>
      <c r="AK303" s="165">
        <f>IFERROR(VALUE(SUBSTITUTE(OpenPendingCases[[#This Row],[Price]]," AED","")),"")</f>
        <v/>
      </c>
      <c r="AL303" s="165">
        <f>IFERROR(VALUE(LEFT(OpenPendingCases[[#This Row],[Price]],FIND(" ",OpenPendingCases[[#This Row],[Price]])-1)),"")</f>
        <v/>
      </c>
      <c r="AM303" s="165">
        <f>IFERROR(VALUE(_xlfn.TEXTBEFORE(OpenPendingCases[[#This Row],[Price]]," AED")),"")</f>
        <v/>
      </c>
      <c r="AN303" s="165" t="n"/>
    </row>
    <row r="304" hidden="1" ht="18" customHeight="1" s="287">
      <c r="C304" s="133" t="n"/>
      <c r="D304" s="136">
        <f>IF($U304="Open Sale", IF(MAX($D$4:D303)+1=0, "", MAX($D$4:D303)+1), "")</f>
        <v/>
      </c>
      <c r="E304" s="136">
        <f>IF($U304="Pending Allocation", IF(MAX($E$4:E303)+1=0, "", MAX($E$4:E303)+1), "")</f>
        <v/>
      </c>
      <c r="F304" s="136" t="n"/>
      <c r="G304" s="136" t="n"/>
      <c r="H304" s="150" t="n"/>
      <c r="I304" s="150" t="n"/>
      <c r="J304" s="67">
        <f>IF(OpenPendingCases[[#This Row],[Timepiece Reference ]]="", "", IF(_xlfn.XLOOKUP(OpenPendingCases[[#This Row],[Timepiece Reference ]], Table1[[Timepiece Reference ]], Table1[CRC STOCK], "Not Found")="YES", "CRC Stock", "Boutique Stock"))</f>
        <v/>
      </c>
      <c r="K304" s="136">
        <f>IF(OpenPendingCases[[#This Row],[Timepiece Reference ]]="", "", IF(_xlfn.XLOOKUP(OpenPendingCases[[#This Row],[Timepiece Reference ]], Table1[[Timepiece Reference ]], Table1[CRC STOCK], "Not Found")="YES", "CRC Stock", "Boutique Stock"))</f>
        <v/>
      </c>
      <c r="L304" s="142" t="n"/>
      <c r="M304" s="140" t="n"/>
      <c r="N304" s="136" t="n"/>
      <c r="O304" s="133" t="n"/>
      <c r="P304" s="93">
        <f>IFERROR(VLOOKUP(TRIM(O304), Collection!$B$2:$D$1001, 2, FALSE), "")</f>
        <v/>
      </c>
      <c r="Q304" s="190">
        <f>IFERROR(VLOOKUP(TRIM(O304), Collection!$B$2:$D$1001, 3, FALSE), "")</f>
        <v/>
      </c>
      <c r="R304" s="153">
        <f>IFERROR(VALUE(SUBSTITUTE(SUBSTITUTE(Q304, "Price", ""), "AED", "")), "")</f>
        <v/>
      </c>
      <c r="S304" s="151" t="n"/>
      <c r="T304" s="158" t="n"/>
      <c r="U304" s="136" t="n"/>
      <c r="V304" s="136" t="n"/>
      <c r="W304" s="156">
        <f>IF(Z304 = "",
"",
TEXT(Z304, "mmmm"))</f>
        <v/>
      </c>
      <c r="X304" s="157" t="n"/>
      <c r="Y304" s="158" t="n"/>
      <c r="Z304" s="158" t="n"/>
      <c r="AA304" s="136">
        <f>IF(H304="", "", IF(U304="Open Sale", IF(TODAY()-H304=0, "0 Days", TEXT(TODAY()-H304, "0") &amp; " Days"), IF(U304="Closed Sale", AA304, "")))</f>
        <v/>
      </c>
      <c r="AB304" s="136">
        <f>IF(H304="", "", IF(OR(U304="Pending", U304="Pending Allocation"), CONCATENATE(TODAY()-H304, " Days"), IF(U304="Closed", "", "")))</f>
        <v/>
      </c>
      <c r="AC304" s="160">
        <f>IF(U304="Pending Allocation", IF(I304="", "", TODAY()-I304), "")</f>
        <v/>
      </c>
      <c r="AD304" s="159">
        <f>IF(U304="Open Sale", TEXT(TODAY()-I304, "0"),
IF(U304="Pending", "",
IF(U304="Closed Sale", "", "")))</f>
        <v/>
      </c>
      <c r="AE304" s="161" t="n"/>
      <c r="AF304" s="161" t="n"/>
      <c r="AG304" s="161" t="n"/>
      <c r="AH304" s="136" t="n"/>
      <c r="AI304" s="164">
        <f>IF(I304="","",TEXT(I304, "mmmm yyyy"))</f>
        <v/>
      </c>
      <c r="AJ304" s="164">
        <f>IF(AND(OpenPendingCases[[#This Row],[Sale Status	]]="Open Sale",OpenPendingCases[[#This Row],[Potential Same Month]]="High"),TEXT(OpenPendingCases[[#This Row],[Request Entry Date]], "[$-en-us]mmmm"),"")</f>
        <v/>
      </c>
      <c r="AK304" s="165">
        <f>IFERROR(VALUE(SUBSTITUTE(OpenPendingCases[[#This Row],[Price]]," AED","")),"")</f>
        <v/>
      </c>
      <c r="AL304" s="165">
        <f>IFERROR(VALUE(LEFT(OpenPendingCases[[#This Row],[Price]],FIND(" ",OpenPendingCases[[#This Row],[Price]])-1)),"")</f>
        <v/>
      </c>
      <c r="AM304" s="165">
        <f>IFERROR(VALUE(_xlfn.TEXTBEFORE(OpenPendingCases[[#This Row],[Price]]," AED")),"")</f>
        <v/>
      </c>
      <c r="AN304" s="165" t="n"/>
    </row>
    <row r="305" hidden="1" ht="18" customHeight="1" s="287">
      <c r="C305" s="133" t="n"/>
      <c r="D305" s="136">
        <f>IF($U305="Open Sale", IF(MAX($D$4:D304)+1=0, "", MAX($D$4:D304)+1), "")</f>
        <v/>
      </c>
      <c r="E305" s="136">
        <f>IF($U305="Pending Allocation", IF(MAX($E$4:E304)+1=0, "", MAX($E$4:E304)+1), "")</f>
        <v/>
      </c>
      <c r="F305" s="136" t="n"/>
      <c r="G305" s="136" t="n"/>
      <c r="H305" s="150" t="n"/>
      <c r="I305" s="150" t="n"/>
      <c r="J305" s="67">
        <f>IF(OpenPendingCases[[#This Row],[Timepiece Reference ]]="", "", IF(_xlfn.XLOOKUP(OpenPendingCases[[#This Row],[Timepiece Reference ]], Table1[[Timepiece Reference ]], Table1[CRC STOCK], "Not Found")="YES", "CRC Stock", "Boutique Stock"))</f>
        <v/>
      </c>
      <c r="K305" s="136">
        <f>IF(OpenPendingCases[[#This Row],[Timepiece Reference ]]="", "", IF(_xlfn.XLOOKUP(OpenPendingCases[[#This Row],[Timepiece Reference ]], Table1[[Timepiece Reference ]], Table1[CRC STOCK], "Not Found")="YES", "CRC Stock", "Boutique Stock"))</f>
        <v/>
      </c>
      <c r="L305" s="142" t="n"/>
      <c r="M305" s="140" t="n"/>
      <c r="N305" s="136" t="n"/>
      <c r="O305" s="133" t="n"/>
      <c r="P305" s="93">
        <f>IFERROR(VLOOKUP(TRIM(O305), Collection!$B$2:$D$1001, 2, FALSE), "")</f>
        <v/>
      </c>
      <c r="Q305" s="190">
        <f>IFERROR(VLOOKUP(TRIM(O305), Collection!$B$2:$D$1001, 3, FALSE), "")</f>
        <v/>
      </c>
      <c r="R305" s="153">
        <f>IFERROR(VALUE(SUBSTITUTE(SUBSTITUTE(Q305, "Price", ""), "AED", "")), "")</f>
        <v/>
      </c>
      <c r="S305" s="151" t="n"/>
      <c r="T305" s="158" t="n"/>
      <c r="U305" s="136" t="n"/>
      <c r="V305" s="136" t="n"/>
      <c r="W305" s="156">
        <f>IF(Z305 = "",
"",
TEXT(Z305, "mmmm"))</f>
        <v/>
      </c>
      <c r="X305" s="157" t="n"/>
      <c r="Y305" s="158" t="n"/>
      <c r="Z305" s="158" t="n"/>
      <c r="AA305" s="136">
        <f>IF(H305="", "", IF(U305="Open Sale", IF(TODAY()-H305=0, "0 Days", TEXT(TODAY()-H305, "0") &amp; " Days"), IF(U305="Closed Sale", AA305, "")))</f>
        <v/>
      </c>
      <c r="AB305" s="136">
        <f>IF(H305="", "", IF(OR(U305="Pending", U305="Pending Allocation"), CONCATENATE(TODAY()-H305, " Days"), IF(U305="Closed", "", "")))</f>
        <v/>
      </c>
      <c r="AC305" s="160">
        <f>IF(U305="Pending Allocation", IF(I305="", "", TODAY()-I305), "")</f>
        <v/>
      </c>
      <c r="AD305" s="159">
        <f>IF(U305="Open Sale", TEXT(TODAY()-I305, "0"),
IF(U305="Pending", "",
IF(U305="Closed Sale", "", "")))</f>
        <v/>
      </c>
      <c r="AE305" s="161" t="n"/>
      <c r="AF305" s="161" t="n"/>
      <c r="AG305" s="161" t="n"/>
      <c r="AH305" s="136" t="n"/>
      <c r="AI305" s="164">
        <f>IF(I305="","",TEXT(I305, "mmmm yyyy"))</f>
        <v/>
      </c>
      <c r="AJ305" s="164">
        <f>IF(AND(OpenPendingCases[[#This Row],[Sale Status	]]="Open Sale",OpenPendingCases[[#This Row],[Potential Same Month]]="High"),TEXT(OpenPendingCases[[#This Row],[Request Entry Date]], "[$-en-us]mmmm"),"")</f>
        <v/>
      </c>
      <c r="AK305" s="165">
        <f>IFERROR(VALUE(SUBSTITUTE(OpenPendingCases[[#This Row],[Price]]," AED","")),"")</f>
        <v/>
      </c>
      <c r="AL305" s="165">
        <f>IFERROR(VALUE(LEFT(OpenPendingCases[[#This Row],[Price]],FIND(" ",OpenPendingCases[[#This Row],[Price]])-1)),"")</f>
        <v/>
      </c>
      <c r="AM305" s="165">
        <f>IFERROR(VALUE(_xlfn.TEXTBEFORE(OpenPendingCases[[#This Row],[Price]]," AED")),"")</f>
        <v/>
      </c>
      <c r="AN305" s="165" t="n"/>
    </row>
    <row r="306" hidden="1" ht="18" customHeight="1" s="287">
      <c r="C306" s="133" t="n"/>
      <c r="D306" s="136">
        <f>IF($U306="Open Sale", IF(MAX($D$4:D305)+1=0, "", MAX($D$4:D305)+1), "")</f>
        <v/>
      </c>
      <c r="E306" s="136">
        <f>IF($U306="Pending Allocation", IF(MAX($E$4:E305)+1=0, "", MAX($E$4:E305)+1), "")</f>
        <v/>
      </c>
      <c r="F306" s="136" t="n"/>
      <c r="G306" s="136" t="n"/>
      <c r="H306" s="150" t="n"/>
      <c r="I306" s="150" t="n"/>
      <c r="J306" s="67">
        <f>IF(OpenPendingCases[[#This Row],[Timepiece Reference ]]="", "", IF(_xlfn.XLOOKUP(OpenPendingCases[[#This Row],[Timepiece Reference ]], Table1[[Timepiece Reference ]], Table1[CRC STOCK], "Not Found")="YES", "CRC Stock", "Boutique Stock"))</f>
        <v/>
      </c>
      <c r="K306" s="136">
        <f>IF(OpenPendingCases[[#This Row],[Timepiece Reference ]]="", "", IF(_xlfn.XLOOKUP(OpenPendingCases[[#This Row],[Timepiece Reference ]], Table1[[Timepiece Reference ]], Table1[CRC STOCK], "Not Found")="YES", "CRC Stock", "Boutique Stock"))</f>
        <v/>
      </c>
      <c r="L306" s="142" t="n"/>
      <c r="M306" s="140" t="n"/>
      <c r="N306" s="136" t="n"/>
      <c r="O306" s="133" t="n"/>
      <c r="P306" s="93">
        <f>IFERROR(VLOOKUP(TRIM(O306), Collection!$B$2:$D$1001, 2, FALSE), "")</f>
        <v/>
      </c>
      <c r="Q306" s="190">
        <f>IFERROR(VLOOKUP(TRIM(O306), Collection!$B$2:$D$1001, 3, FALSE), "")</f>
        <v/>
      </c>
      <c r="R306" s="153">
        <f>IFERROR(VALUE(SUBSTITUTE(SUBSTITUTE(Q306, "Price", ""), "AED", "")), "")</f>
        <v/>
      </c>
      <c r="S306" s="151" t="n"/>
      <c r="T306" s="158" t="n"/>
      <c r="U306" s="136" t="n"/>
      <c r="V306" s="136" t="n"/>
      <c r="W306" s="156">
        <f>IF(Z306 = "",
"",
TEXT(Z306, "mmmm"))</f>
        <v/>
      </c>
      <c r="X306" s="157" t="n"/>
      <c r="Y306" s="158" t="n"/>
      <c r="Z306" s="158" t="n"/>
      <c r="AA306" s="136">
        <f>IF(H306="", "", IF(U306="Open Sale", IF(TODAY()-H306=0, "0 Days", TEXT(TODAY()-H306, "0") &amp; " Days"), IF(U306="Closed Sale", AA306, "")))</f>
        <v/>
      </c>
      <c r="AB306" s="136">
        <f>IF(H306="", "", IF(OR(U306="Pending", U306="Pending Allocation"), CONCATENATE(TODAY()-H306, " Days"), IF(U306="Closed", "", "")))</f>
        <v/>
      </c>
      <c r="AC306" s="160">
        <f>IF(U306="Pending Allocation", IF(I306="", "", TODAY()-I306), "")</f>
        <v/>
      </c>
      <c r="AD306" s="159">
        <f>IF(U306="Open Sale", TEXT(TODAY()-I306, "0"),
IF(U306="Pending", "",
IF(U306="Closed Sale", "", "")))</f>
        <v/>
      </c>
      <c r="AE306" s="161" t="n"/>
      <c r="AF306" s="161" t="n"/>
      <c r="AG306" s="161" t="n"/>
      <c r="AH306" s="136" t="n"/>
      <c r="AI306" s="164">
        <f>IF(I306="","",TEXT(I306, "mmmm yyyy"))</f>
        <v/>
      </c>
      <c r="AJ306" s="164">
        <f>IF(AND(OpenPendingCases[[#This Row],[Sale Status	]]="Open Sale",OpenPendingCases[[#This Row],[Potential Same Month]]="High"),TEXT(OpenPendingCases[[#This Row],[Request Entry Date]], "[$-en-us]mmmm"),"")</f>
        <v/>
      </c>
      <c r="AK306" s="165">
        <f>IFERROR(VALUE(SUBSTITUTE(OpenPendingCases[[#This Row],[Price]]," AED","")),"")</f>
        <v/>
      </c>
      <c r="AL306" s="165">
        <f>IFERROR(VALUE(LEFT(OpenPendingCases[[#This Row],[Price]],FIND(" ",OpenPendingCases[[#This Row],[Price]])-1)),"")</f>
        <v/>
      </c>
      <c r="AM306" s="165">
        <f>IFERROR(VALUE(_xlfn.TEXTBEFORE(OpenPendingCases[[#This Row],[Price]]," AED")),"")</f>
        <v/>
      </c>
      <c r="AN306" s="165" t="n"/>
    </row>
    <row r="307" hidden="1" ht="18" customHeight="1" s="287">
      <c r="C307" s="133" t="n"/>
      <c r="D307" s="136">
        <f>IF($U307="Open Sale", IF(MAX($D$4:D306)+1=0, "", MAX($D$4:D306)+1), "")</f>
        <v/>
      </c>
      <c r="E307" s="136">
        <f>IF($U307="Pending Allocation", IF(MAX($E$4:E306)+1=0, "", MAX($E$4:E306)+1), "")</f>
        <v/>
      </c>
      <c r="F307" s="136" t="n"/>
      <c r="G307" s="136" t="n"/>
      <c r="H307" s="150" t="n"/>
      <c r="I307" s="150" t="n"/>
      <c r="J307" s="67">
        <f>IF(OpenPendingCases[[#This Row],[Timepiece Reference ]]="", "", IF(_xlfn.XLOOKUP(OpenPendingCases[[#This Row],[Timepiece Reference ]], Table1[[Timepiece Reference ]], Table1[CRC STOCK], "Not Found")="YES", "CRC Stock", "Boutique Stock"))</f>
        <v/>
      </c>
      <c r="K307" s="136">
        <f>IF(OpenPendingCases[[#This Row],[Timepiece Reference ]]="", "", IF(_xlfn.XLOOKUP(OpenPendingCases[[#This Row],[Timepiece Reference ]], Table1[[Timepiece Reference ]], Table1[CRC STOCK], "Not Found")="YES", "CRC Stock", "Boutique Stock"))</f>
        <v/>
      </c>
      <c r="L307" s="142" t="n"/>
      <c r="M307" s="140" t="n"/>
      <c r="N307" s="136" t="n"/>
      <c r="O307" s="133" t="n"/>
      <c r="P307" s="93">
        <f>IFERROR(VLOOKUP(TRIM(O307), Collection!$B$2:$D$1001, 2, FALSE), "")</f>
        <v/>
      </c>
      <c r="Q307" s="190">
        <f>IFERROR(VLOOKUP(TRIM(O307), Collection!$B$2:$D$1001, 3, FALSE), "")</f>
        <v/>
      </c>
      <c r="R307" s="153">
        <f>IFERROR(VALUE(SUBSTITUTE(SUBSTITUTE(Q307, "Price", ""), "AED", "")), "")</f>
        <v/>
      </c>
      <c r="S307" s="151" t="n"/>
      <c r="T307" s="158" t="n"/>
      <c r="U307" s="136" t="n"/>
      <c r="V307" s="136" t="n"/>
      <c r="W307" s="156">
        <f>IF(Z307 = "",
"",
TEXT(Z307, "mmmm"))</f>
        <v/>
      </c>
      <c r="X307" s="157" t="n"/>
      <c r="Y307" s="158" t="n"/>
      <c r="Z307" s="158" t="n"/>
      <c r="AA307" s="136">
        <f>IF(H307="", "", IF(U307="Open Sale", IF(TODAY()-H307=0, "0 Days", TEXT(TODAY()-H307, "0") &amp; " Days"), IF(U307="Closed Sale", AA307, "")))</f>
        <v/>
      </c>
      <c r="AB307" s="136">
        <f>IF(H307="", "", IF(OR(U307="Pending", U307="Pending Allocation"), CONCATENATE(TODAY()-H307, " Days"), IF(U307="Closed", "", "")))</f>
        <v/>
      </c>
      <c r="AC307" s="160">
        <f>IF(U307="Pending Allocation", IF(I307="", "", TODAY()-I307), "")</f>
        <v/>
      </c>
      <c r="AD307" s="159">
        <f>IF(U307="Open Sale", TEXT(TODAY()-I307, "0"),
IF(U307="Pending", "",
IF(U307="Closed Sale", "", "")))</f>
        <v/>
      </c>
      <c r="AE307" s="161" t="n"/>
      <c r="AF307" s="161" t="n"/>
      <c r="AG307" s="161" t="n"/>
      <c r="AH307" s="136" t="n"/>
      <c r="AI307" s="164">
        <f>IF(I307="","",TEXT(I307, "mmmm yyyy"))</f>
        <v/>
      </c>
      <c r="AJ307" s="164">
        <f>IF(AND(OpenPendingCases[[#This Row],[Sale Status	]]="Open Sale",OpenPendingCases[[#This Row],[Potential Same Month]]="High"),TEXT(OpenPendingCases[[#This Row],[Request Entry Date]], "[$-en-us]mmmm"),"")</f>
        <v/>
      </c>
      <c r="AK307" s="165">
        <f>IFERROR(VALUE(SUBSTITUTE(OpenPendingCases[[#This Row],[Price]]," AED","")),"")</f>
        <v/>
      </c>
      <c r="AL307" s="165">
        <f>IFERROR(VALUE(LEFT(OpenPendingCases[[#This Row],[Price]],FIND(" ",OpenPendingCases[[#This Row],[Price]])-1)),"")</f>
        <v/>
      </c>
      <c r="AM307" s="165">
        <f>IFERROR(VALUE(_xlfn.TEXTBEFORE(OpenPendingCases[[#This Row],[Price]]," AED")),"")</f>
        <v/>
      </c>
      <c r="AN307" s="165" t="n"/>
    </row>
    <row r="308" hidden="1" ht="18" customHeight="1" s="287">
      <c r="C308" s="133" t="n"/>
      <c r="D308" s="136">
        <f>IF($U308="Open Sale", IF(MAX($D$4:D307)+1=0, "", MAX($D$4:D307)+1), "")</f>
        <v/>
      </c>
      <c r="E308" s="136">
        <f>IF($U308="Pending Allocation", IF(MAX($E$4:E307)+1=0, "", MAX($E$4:E307)+1), "")</f>
        <v/>
      </c>
      <c r="F308" s="136" t="n"/>
      <c r="G308" s="136" t="n"/>
      <c r="H308" s="150" t="n"/>
      <c r="I308" s="150" t="n"/>
      <c r="J308" s="67">
        <f>IF(OpenPendingCases[[#This Row],[Timepiece Reference ]]="", "", IF(_xlfn.XLOOKUP(OpenPendingCases[[#This Row],[Timepiece Reference ]], Table1[[Timepiece Reference ]], Table1[CRC STOCK], "Not Found")="YES", "CRC Stock", "Boutique Stock"))</f>
        <v/>
      </c>
      <c r="K308" s="136">
        <f>IF(OpenPendingCases[[#This Row],[Timepiece Reference ]]="", "", IF(_xlfn.XLOOKUP(OpenPendingCases[[#This Row],[Timepiece Reference ]], Table1[[Timepiece Reference ]], Table1[CRC STOCK], "Not Found")="YES", "CRC Stock", "Boutique Stock"))</f>
        <v/>
      </c>
      <c r="L308" s="142" t="n"/>
      <c r="M308" s="140" t="n"/>
      <c r="N308" s="136" t="n"/>
      <c r="O308" s="133" t="n"/>
      <c r="P308" s="93">
        <f>IFERROR(VLOOKUP(TRIM(O308), Collection!$B$2:$D$1001, 2, FALSE), "")</f>
        <v/>
      </c>
      <c r="Q308" s="190">
        <f>IFERROR(VLOOKUP(TRIM(O308), Collection!$B$2:$D$1001, 3, FALSE), "")</f>
        <v/>
      </c>
      <c r="R308" s="153">
        <f>IFERROR(VALUE(SUBSTITUTE(SUBSTITUTE(Q308, "Price", ""), "AED", "")), "")</f>
        <v/>
      </c>
      <c r="S308" s="151" t="n"/>
      <c r="T308" s="158" t="n"/>
      <c r="U308" s="136" t="n"/>
      <c r="V308" s="136" t="n"/>
      <c r="W308" s="156">
        <f>IF(Z308 = "",
"",
TEXT(Z308, "mmmm"))</f>
        <v/>
      </c>
      <c r="X308" s="157" t="n"/>
      <c r="Y308" s="158" t="n"/>
      <c r="Z308" s="158" t="n"/>
      <c r="AA308" s="136">
        <f>IF(H308="", "", IF(U308="Open Sale", IF(TODAY()-H308=0, "0 Days", TEXT(TODAY()-H308, "0") &amp; " Days"), IF(U308="Closed Sale", AA308, "")))</f>
        <v/>
      </c>
      <c r="AB308" s="136">
        <f>IF(H308="", "", IF(OR(U308="Pending", U308="Pending Allocation"), CONCATENATE(TODAY()-H308, " Days"), IF(U308="Closed", "", "")))</f>
        <v/>
      </c>
      <c r="AC308" s="160">
        <f>IF(U308="Pending Allocation", IF(I308="", "", TODAY()-I308), "")</f>
        <v/>
      </c>
      <c r="AD308" s="159">
        <f>IF(U308="Open Sale", TEXT(TODAY()-I308, "0"),
IF(U308="Pending", "",
IF(U308="Closed Sale", "", "")))</f>
        <v/>
      </c>
      <c r="AE308" s="161" t="n"/>
      <c r="AF308" s="161" t="n"/>
      <c r="AG308" s="161" t="n"/>
      <c r="AH308" s="136" t="n"/>
      <c r="AI308" s="164">
        <f>IF(I308="","",TEXT(I308, "mmmm yyyy"))</f>
        <v/>
      </c>
      <c r="AJ308" s="164">
        <f>IF(AND(OpenPendingCases[[#This Row],[Sale Status	]]="Open Sale",OpenPendingCases[[#This Row],[Potential Same Month]]="High"),TEXT(OpenPendingCases[[#This Row],[Request Entry Date]], "[$-en-us]mmmm"),"")</f>
        <v/>
      </c>
      <c r="AK308" s="165">
        <f>IFERROR(VALUE(SUBSTITUTE(OpenPendingCases[[#This Row],[Price]]," AED","")),"")</f>
        <v/>
      </c>
      <c r="AL308" s="165">
        <f>IFERROR(VALUE(LEFT(OpenPendingCases[[#This Row],[Price]],FIND(" ",OpenPendingCases[[#This Row],[Price]])-1)),"")</f>
        <v/>
      </c>
      <c r="AM308" s="165">
        <f>IFERROR(VALUE(_xlfn.TEXTBEFORE(OpenPendingCases[[#This Row],[Price]]," AED")),"")</f>
        <v/>
      </c>
      <c r="AN308" s="165" t="n"/>
    </row>
    <row r="309" hidden="1" ht="18" customHeight="1" s="287">
      <c r="C309" s="133" t="n"/>
      <c r="D309" s="136">
        <f>IF($U309="Open Sale", IF(MAX($D$4:D308)+1=0, "", MAX($D$4:D308)+1), "")</f>
        <v/>
      </c>
      <c r="E309" s="136">
        <f>IF($U309="Pending Allocation", IF(MAX($E$4:E308)+1=0, "", MAX($E$4:E308)+1), "")</f>
        <v/>
      </c>
      <c r="F309" s="136" t="n"/>
      <c r="G309" s="136" t="n"/>
      <c r="H309" s="150" t="n"/>
      <c r="I309" s="150" t="n"/>
      <c r="J309" s="67">
        <f>IF(OpenPendingCases[[#This Row],[Timepiece Reference ]]="", "", IF(_xlfn.XLOOKUP(OpenPendingCases[[#This Row],[Timepiece Reference ]], Table1[[Timepiece Reference ]], Table1[CRC STOCK], "Not Found")="YES", "CRC Stock", "Boutique Stock"))</f>
        <v/>
      </c>
      <c r="K309" s="136">
        <f>IF(OpenPendingCases[[#This Row],[Timepiece Reference ]]="", "", IF(_xlfn.XLOOKUP(OpenPendingCases[[#This Row],[Timepiece Reference ]], Table1[[Timepiece Reference ]], Table1[CRC STOCK], "Not Found")="YES", "CRC Stock", "Boutique Stock"))</f>
        <v/>
      </c>
      <c r="L309" s="142" t="n"/>
      <c r="M309" s="140" t="n"/>
      <c r="N309" s="136" t="n"/>
      <c r="O309" s="133" t="n"/>
      <c r="P309" s="93">
        <f>IFERROR(VLOOKUP(TRIM(O309), Collection!$B$2:$D$1001, 2, FALSE), "")</f>
        <v/>
      </c>
      <c r="Q309" s="190">
        <f>IFERROR(VLOOKUP(TRIM(O309), Collection!$B$2:$D$1001, 3, FALSE), "")</f>
        <v/>
      </c>
      <c r="R309" s="153">
        <f>IFERROR(VALUE(SUBSTITUTE(SUBSTITUTE(Q309, "Price", ""), "AED", "")), "")</f>
        <v/>
      </c>
      <c r="S309" s="151" t="n"/>
      <c r="T309" s="158" t="n"/>
      <c r="U309" s="136" t="n"/>
      <c r="V309" s="136" t="n"/>
      <c r="W309" s="156">
        <f>IF(Z309 = "",
"",
TEXT(Z309, "mmmm"))</f>
        <v/>
      </c>
      <c r="X309" s="157" t="n"/>
      <c r="Y309" s="158" t="n"/>
      <c r="Z309" s="158" t="n"/>
      <c r="AA309" s="136">
        <f>IF(H309="", "", IF(U309="Open Sale", IF(TODAY()-H309=0, "0 Days", TEXT(TODAY()-H309, "0") &amp; " Days"), IF(U309="Closed Sale", AA309, "")))</f>
        <v/>
      </c>
      <c r="AB309" s="136">
        <f>IF(H309="", "", IF(OR(U309="Pending", U309="Pending Allocation"), CONCATENATE(TODAY()-H309, " Days"), IF(U309="Closed", "", "")))</f>
        <v/>
      </c>
      <c r="AC309" s="160">
        <f>IF(U309="Pending Allocation", IF(I309="", "", TODAY()-I309), "")</f>
        <v/>
      </c>
      <c r="AD309" s="159">
        <f>IF(U309="Open Sale", TEXT(TODAY()-I309, "0"),
IF(U309="Pending", "",
IF(U309="Closed Sale", "", "")))</f>
        <v/>
      </c>
      <c r="AE309" s="161" t="n"/>
      <c r="AF309" s="161" t="n"/>
      <c r="AG309" s="161" t="n"/>
      <c r="AH309" s="136" t="n"/>
      <c r="AI309" s="164">
        <f>IF(I309="","",TEXT(I309, "mmmm yyyy"))</f>
        <v/>
      </c>
      <c r="AJ309" s="164">
        <f>IF(AND(OpenPendingCases[[#This Row],[Sale Status	]]="Open Sale",OpenPendingCases[[#This Row],[Potential Same Month]]="High"),TEXT(OpenPendingCases[[#This Row],[Request Entry Date]], "[$-en-us]mmmm"),"")</f>
        <v/>
      </c>
      <c r="AK309" s="165">
        <f>IFERROR(VALUE(SUBSTITUTE(OpenPendingCases[[#This Row],[Price]]," AED","")),"")</f>
        <v/>
      </c>
      <c r="AL309" s="165">
        <f>IFERROR(VALUE(LEFT(OpenPendingCases[[#This Row],[Price]],FIND(" ",OpenPendingCases[[#This Row],[Price]])-1)),"")</f>
        <v/>
      </c>
      <c r="AM309" s="165">
        <f>IFERROR(VALUE(_xlfn.TEXTBEFORE(OpenPendingCases[[#This Row],[Price]]," AED")),"")</f>
        <v/>
      </c>
      <c r="AN309" s="165" t="n"/>
    </row>
    <row r="310" hidden="1" ht="18" customHeight="1" s="287">
      <c r="C310" s="133" t="n"/>
      <c r="D310" s="136">
        <f>IF($U310="Open Sale", IF(MAX($D$4:D309)+1=0, "", MAX($D$4:D309)+1), "")</f>
        <v/>
      </c>
      <c r="E310" s="136">
        <f>IF($U310="Pending Allocation", IF(MAX($E$4:E309)+1=0, "", MAX($E$4:E309)+1), "")</f>
        <v/>
      </c>
      <c r="F310" s="136" t="n"/>
      <c r="G310" s="136" t="n"/>
      <c r="H310" s="150" t="n"/>
      <c r="I310" s="150" t="n"/>
      <c r="J310" s="67">
        <f>IF(OpenPendingCases[[#This Row],[Timepiece Reference ]]="", "", IF(_xlfn.XLOOKUP(OpenPendingCases[[#This Row],[Timepiece Reference ]], Table1[[Timepiece Reference ]], Table1[CRC STOCK], "Not Found")="YES", "CRC Stock", "Boutique Stock"))</f>
        <v/>
      </c>
      <c r="K310" s="136">
        <f>IF(OpenPendingCases[[#This Row],[Timepiece Reference ]]="", "", IF(_xlfn.XLOOKUP(OpenPendingCases[[#This Row],[Timepiece Reference ]], Table1[[Timepiece Reference ]], Table1[CRC STOCK], "Not Found")="YES", "CRC Stock", "Boutique Stock"))</f>
        <v/>
      </c>
      <c r="L310" s="142" t="n"/>
      <c r="M310" s="140" t="n"/>
      <c r="N310" s="136" t="n"/>
      <c r="O310" s="133" t="n"/>
      <c r="P310" s="93">
        <f>IFERROR(VLOOKUP(TRIM(O310), Collection!$B$2:$D$1001, 2, FALSE), "")</f>
        <v/>
      </c>
      <c r="Q310" s="190">
        <f>IFERROR(VLOOKUP(TRIM(O310), Collection!$B$2:$D$1001, 3, FALSE), "")</f>
        <v/>
      </c>
      <c r="R310" s="153">
        <f>IFERROR(VALUE(SUBSTITUTE(SUBSTITUTE(Q310, "Price", ""), "AED", "")), "")</f>
        <v/>
      </c>
      <c r="S310" s="151" t="n"/>
      <c r="T310" s="158" t="n"/>
      <c r="U310" s="136" t="n"/>
      <c r="V310" s="136" t="n"/>
      <c r="W310" s="156">
        <f>IF(Z310 = "",
"",
TEXT(Z310, "mmmm"))</f>
        <v/>
      </c>
      <c r="X310" s="157" t="n"/>
      <c r="Y310" s="158" t="n"/>
      <c r="Z310" s="158" t="n"/>
      <c r="AA310" s="136">
        <f>IF(H310="", "", IF(U310="Open Sale", IF(TODAY()-H310=0, "0 Days", TEXT(TODAY()-H310, "0") &amp; " Days"), IF(U310="Closed Sale", AA310, "")))</f>
        <v/>
      </c>
      <c r="AB310" s="136">
        <f>IF(H310="", "", IF(OR(U310="Pending", U310="Pending Allocation"), CONCATENATE(TODAY()-H310, " Days"), IF(U310="Closed", "", "")))</f>
        <v/>
      </c>
      <c r="AC310" s="160">
        <f>IF(U310="Pending Allocation", IF(I310="", "", TODAY()-I310), "")</f>
        <v/>
      </c>
      <c r="AD310" s="159">
        <f>IF(U310="Open Sale", TEXT(TODAY()-I310, "0"),
IF(U310="Pending", "",
IF(U310="Closed Sale", "", "")))</f>
        <v/>
      </c>
      <c r="AE310" s="161" t="n"/>
      <c r="AF310" s="161" t="n"/>
      <c r="AG310" s="161" t="n"/>
      <c r="AH310" s="136" t="n"/>
      <c r="AI310" s="164">
        <f>IF(I310="","",TEXT(I310, "mmmm yyyy"))</f>
        <v/>
      </c>
      <c r="AJ310" s="164">
        <f>IF(AND(OpenPendingCases[[#This Row],[Sale Status	]]="Open Sale",OpenPendingCases[[#This Row],[Potential Same Month]]="High"),TEXT(OpenPendingCases[[#This Row],[Request Entry Date]], "[$-en-us]mmmm"),"")</f>
        <v/>
      </c>
      <c r="AK310" s="165">
        <f>IFERROR(VALUE(SUBSTITUTE(OpenPendingCases[[#This Row],[Price]]," AED","")),"")</f>
        <v/>
      </c>
      <c r="AL310" s="165">
        <f>IFERROR(VALUE(LEFT(OpenPendingCases[[#This Row],[Price]],FIND(" ",OpenPendingCases[[#This Row],[Price]])-1)),"")</f>
        <v/>
      </c>
      <c r="AM310" s="165">
        <f>IFERROR(VALUE(_xlfn.TEXTBEFORE(OpenPendingCases[[#This Row],[Price]]," AED")),"")</f>
        <v/>
      </c>
      <c r="AN310" s="165" t="n"/>
    </row>
    <row r="311" hidden="1" ht="18" customHeight="1" s="287">
      <c r="C311" s="133" t="n"/>
      <c r="D311" s="136">
        <f>IF($U311="Open Sale", IF(MAX($D$4:D310)+1=0, "", MAX($D$4:D310)+1), "")</f>
        <v/>
      </c>
      <c r="E311" s="136">
        <f>IF($U311="Pending Allocation", IF(MAX($E$4:E310)+1=0, "", MAX($E$4:E310)+1), "")</f>
        <v/>
      </c>
      <c r="F311" s="136" t="n"/>
      <c r="G311" s="136" t="n"/>
      <c r="H311" s="150" t="n"/>
      <c r="I311" s="150" t="n"/>
      <c r="J311" s="67">
        <f>IF(OpenPendingCases[[#This Row],[Timepiece Reference ]]="", "", IF(_xlfn.XLOOKUP(OpenPendingCases[[#This Row],[Timepiece Reference ]], Table1[[Timepiece Reference ]], Table1[CRC STOCK], "Not Found")="YES", "CRC Stock", "Boutique Stock"))</f>
        <v/>
      </c>
      <c r="K311" s="136">
        <f>IF(OpenPendingCases[[#This Row],[Timepiece Reference ]]="", "", IF(_xlfn.XLOOKUP(OpenPendingCases[[#This Row],[Timepiece Reference ]], Table1[[Timepiece Reference ]], Table1[CRC STOCK], "Not Found")="YES", "CRC Stock", "Boutique Stock"))</f>
        <v/>
      </c>
      <c r="L311" s="142" t="n"/>
      <c r="M311" s="140" t="n"/>
      <c r="N311" s="136" t="n"/>
      <c r="O311" s="133" t="n"/>
      <c r="P311" s="93">
        <f>IFERROR(VLOOKUP(TRIM(O311), Collection!$B$2:$D$1001, 2, FALSE), "")</f>
        <v/>
      </c>
      <c r="Q311" s="190">
        <f>IFERROR(VLOOKUP(TRIM(O311), Collection!$B$2:$D$1001, 3, FALSE), "")</f>
        <v/>
      </c>
      <c r="R311" s="153">
        <f>IFERROR(VALUE(SUBSTITUTE(SUBSTITUTE(Q311, "Price", ""), "AED", "")), "")</f>
        <v/>
      </c>
      <c r="S311" s="151" t="n"/>
      <c r="T311" s="158" t="n"/>
      <c r="U311" s="136" t="n"/>
      <c r="V311" s="136" t="n"/>
      <c r="W311" s="156">
        <f>IF(Z311 = "",
"",
TEXT(Z311, "mmmm"))</f>
        <v/>
      </c>
      <c r="X311" s="157" t="n"/>
      <c r="Y311" s="158" t="n"/>
      <c r="Z311" s="158" t="n"/>
      <c r="AA311" s="136">
        <f>IF(H311="", "", IF(U311="Open Sale", IF(TODAY()-H311=0, "0 Days", TEXT(TODAY()-H311, "0") &amp; " Days"), IF(U311="Closed Sale", AA311, "")))</f>
        <v/>
      </c>
      <c r="AB311" s="136">
        <f>IF(H311="", "", IF(OR(U311="Pending", U311="Pending Allocation"), CONCATENATE(TODAY()-H311, " Days"), IF(U311="Closed", "", "")))</f>
        <v/>
      </c>
      <c r="AC311" s="160">
        <f>IF(U311="Pending Allocation", IF(I311="", "", TODAY()-I311), "")</f>
        <v/>
      </c>
      <c r="AD311" s="159">
        <f>IF(U311="Open Sale", TEXT(TODAY()-I311, "0"),
IF(U311="Pending", "",
IF(U311="Closed Sale", "", "")))</f>
        <v/>
      </c>
      <c r="AE311" s="161" t="n"/>
      <c r="AF311" s="161" t="n"/>
      <c r="AG311" s="161" t="n"/>
      <c r="AH311" s="136" t="n"/>
      <c r="AI311" s="164">
        <f>IF(I311="","",TEXT(I311, "mmmm yyyy"))</f>
        <v/>
      </c>
      <c r="AJ311" s="164">
        <f>IF(AND(OpenPendingCases[[#This Row],[Sale Status	]]="Open Sale",OpenPendingCases[[#This Row],[Potential Same Month]]="High"),TEXT(OpenPendingCases[[#This Row],[Request Entry Date]], "[$-en-us]mmmm"),"")</f>
        <v/>
      </c>
      <c r="AK311" s="165">
        <f>IFERROR(VALUE(SUBSTITUTE(OpenPendingCases[[#This Row],[Price]]," AED","")),"")</f>
        <v/>
      </c>
      <c r="AL311" s="165">
        <f>IFERROR(VALUE(LEFT(OpenPendingCases[[#This Row],[Price]],FIND(" ",OpenPendingCases[[#This Row],[Price]])-1)),"")</f>
        <v/>
      </c>
      <c r="AM311" s="165">
        <f>IFERROR(VALUE(_xlfn.TEXTBEFORE(OpenPendingCases[[#This Row],[Price]]," AED")),"")</f>
        <v/>
      </c>
      <c r="AN311" s="165" t="n"/>
    </row>
    <row r="312" hidden="1" ht="18" customHeight="1" s="287">
      <c r="C312" s="133" t="n"/>
      <c r="D312" s="136">
        <f>IF($U312="Open Sale", IF(MAX($D$4:D311)+1=0, "", MAX($D$4:D311)+1), "")</f>
        <v/>
      </c>
      <c r="E312" s="136">
        <f>IF($U312="Pending Allocation", IF(MAX($E$4:E311)+1=0, "", MAX($E$4:E311)+1), "")</f>
        <v/>
      </c>
      <c r="F312" s="136" t="n"/>
      <c r="G312" s="136" t="n"/>
      <c r="H312" s="150" t="n"/>
      <c r="I312" s="150" t="n"/>
      <c r="J312" s="67">
        <f>IF(OpenPendingCases[[#This Row],[Timepiece Reference ]]="", "", IF(_xlfn.XLOOKUP(OpenPendingCases[[#This Row],[Timepiece Reference ]], Table1[[Timepiece Reference ]], Table1[CRC STOCK], "Not Found")="YES", "CRC Stock", "Boutique Stock"))</f>
        <v/>
      </c>
      <c r="K312" s="136">
        <f>IF(OpenPendingCases[[#This Row],[Timepiece Reference ]]="", "", IF(_xlfn.XLOOKUP(OpenPendingCases[[#This Row],[Timepiece Reference ]], Table1[[Timepiece Reference ]], Table1[CRC STOCK], "Not Found")="YES", "CRC Stock", "Boutique Stock"))</f>
        <v/>
      </c>
      <c r="L312" s="142" t="n"/>
      <c r="M312" s="140" t="n"/>
      <c r="N312" s="136" t="n"/>
      <c r="O312" s="133" t="n"/>
      <c r="P312" s="93">
        <f>IFERROR(VLOOKUP(TRIM(O312), Collection!$B$2:$D$1001, 2, FALSE), "")</f>
        <v/>
      </c>
      <c r="Q312" s="190">
        <f>IFERROR(VLOOKUP(TRIM(O312), Collection!$B$2:$D$1001, 3, FALSE), "")</f>
        <v/>
      </c>
      <c r="R312" s="153">
        <f>IFERROR(VALUE(SUBSTITUTE(SUBSTITUTE(Q312, "Price", ""), "AED", "")), "")</f>
        <v/>
      </c>
      <c r="S312" s="151" t="n"/>
      <c r="T312" s="158" t="n"/>
      <c r="U312" s="136" t="n"/>
      <c r="V312" s="136" t="n"/>
      <c r="W312" s="156">
        <f>IF(Z312 = "",
"",
TEXT(Z312, "mmmm"))</f>
        <v/>
      </c>
      <c r="X312" s="157" t="n"/>
      <c r="Y312" s="158" t="n"/>
      <c r="Z312" s="158" t="n"/>
      <c r="AA312" s="136">
        <f>IF(H312="", "", IF(U312="Open Sale", IF(TODAY()-H312=0, "0 Days", TEXT(TODAY()-H312, "0") &amp; " Days"), IF(U312="Closed Sale", AA312, "")))</f>
        <v/>
      </c>
      <c r="AB312" s="136">
        <f>IF(H312="", "", IF(OR(U312="Pending", U312="Pending Allocation"), CONCATENATE(TODAY()-H312, " Days"), IF(U312="Closed", "", "")))</f>
        <v/>
      </c>
      <c r="AC312" s="160">
        <f>IF(U312="Pending Allocation", IF(I312="", "", TODAY()-I312), "")</f>
        <v/>
      </c>
      <c r="AD312" s="159">
        <f>IF(U312="Open Sale", TEXT(TODAY()-I312, "0"),
IF(U312="Pending", "",
IF(U312="Closed Sale", "", "")))</f>
        <v/>
      </c>
      <c r="AE312" s="161" t="n"/>
      <c r="AF312" s="161" t="n"/>
      <c r="AG312" s="161" t="n"/>
      <c r="AH312" s="136" t="n"/>
      <c r="AI312" s="164">
        <f>IF(I312="","",TEXT(I312, "mmmm yyyy"))</f>
        <v/>
      </c>
      <c r="AJ312" s="164">
        <f>IF(AND(OpenPendingCases[[#This Row],[Sale Status	]]="Open Sale",OpenPendingCases[[#This Row],[Potential Same Month]]="High"),TEXT(OpenPendingCases[[#This Row],[Request Entry Date]], "[$-en-us]mmmm"),"")</f>
        <v/>
      </c>
      <c r="AK312" s="165">
        <f>IFERROR(VALUE(SUBSTITUTE(OpenPendingCases[[#This Row],[Price]]," AED","")),"")</f>
        <v/>
      </c>
      <c r="AL312" s="165">
        <f>IFERROR(VALUE(LEFT(OpenPendingCases[[#This Row],[Price]],FIND(" ",OpenPendingCases[[#This Row],[Price]])-1)),"")</f>
        <v/>
      </c>
      <c r="AM312" s="165">
        <f>IFERROR(VALUE(_xlfn.TEXTBEFORE(OpenPendingCases[[#This Row],[Price]]," AED")),"")</f>
        <v/>
      </c>
      <c r="AN312" s="165" t="n"/>
    </row>
    <row r="313" hidden="1" ht="18" customHeight="1" s="287">
      <c r="C313" s="133" t="n"/>
      <c r="D313" s="136">
        <f>IF($U313="Open Sale", IF(MAX($D$4:D312)+1=0, "", MAX($D$4:D312)+1), "")</f>
        <v/>
      </c>
      <c r="E313" s="136">
        <f>IF($U313="Pending Allocation", IF(MAX($E$4:E312)+1=0, "", MAX($E$4:E312)+1), "")</f>
        <v/>
      </c>
      <c r="F313" s="136" t="n"/>
      <c r="G313" s="136" t="n"/>
      <c r="H313" s="150" t="n"/>
      <c r="I313" s="150" t="n"/>
      <c r="J313" s="67">
        <f>IF(OpenPendingCases[[#This Row],[Timepiece Reference ]]="", "", IF(_xlfn.XLOOKUP(OpenPendingCases[[#This Row],[Timepiece Reference ]], Table1[[Timepiece Reference ]], Table1[CRC STOCK], "Not Found")="YES", "CRC Stock", "Boutique Stock"))</f>
        <v/>
      </c>
      <c r="K313" s="136">
        <f>IF(OpenPendingCases[[#This Row],[Timepiece Reference ]]="", "", IF(_xlfn.XLOOKUP(OpenPendingCases[[#This Row],[Timepiece Reference ]], Table1[[Timepiece Reference ]], Table1[CRC STOCK], "Not Found")="YES", "CRC Stock", "Boutique Stock"))</f>
        <v/>
      </c>
      <c r="L313" s="142" t="n"/>
      <c r="M313" s="140" t="n"/>
      <c r="N313" s="136" t="n"/>
      <c r="O313" s="133" t="n"/>
      <c r="P313" s="93">
        <f>IFERROR(VLOOKUP(TRIM(O313), Collection!$B$2:$D$1001, 2, FALSE), "")</f>
        <v/>
      </c>
      <c r="Q313" s="190">
        <f>IFERROR(VLOOKUP(TRIM(O313), Collection!$B$2:$D$1001, 3, FALSE), "")</f>
        <v/>
      </c>
      <c r="R313" s="153">
        <f>IFERROR(VALUE(SUBSTITUTE(SUBSTITUTE(Q313, "Price", ""), "AED", "")), "")</f>
        <v/>
      </c>
      <c r="S313" s="151" t="n"/>
      <c r="T313" s="158" t="n"/>
      <c r="U313" s="136" t="n"/>
      <c r="V313" s="136" t="n"/>
      <c r="W313" s="156">
        <f>IF(Z313 = "",
"",
TEXT(Z313, "mmmm"))</f>
        <v/>
      </c>
      <c r="X313" s="157" t="n"/>
      <c r="Y313" s="158" t="n"/>
      <c r="Z313" s="158" t="n"/>
      <c r="AA313" s="136">
        <f>IF(H313="", "", IF(U313="Open Sale", IF(TODAY()-H313=0, "0 Days", TEXT(TODAY()-H313, "0") &amp; " Days"), IF(U313="Closed Sale", AA313, "")))</f>
        <v/>
      </c>
      <c r="AB313" s="136">
        <f>IF(H313="", "", IF(OR(U313="Pending", U313="Pending Allocation"), CONCATENATE(TODAY()-H313, " Days"), IF(U313="Closed", "", "")))</f>
        <v/>
      </c>
      <c r="AC313" s="160">
        <f>IF(U313="Pending Allocation", IF(I313="", "", TODAY()-I313), "")</f>
        <v/>
      </c>
      <c r="AD313" s="159">
        <f>IF(U313="Open Sale", TEXT(TODAY()-I313, "0"),
IF(U313="Pending", "",
IF(U313="Closed Sale", "", "")))</f>
        <v/>
      </c>
      <c r="AE313" s="161" t="n"/>
      <c r="AF313" s="161" t="n"/>
      <c r="AG313" s="161" t="n"/>
      <c r="AH313" s="136" t="n"/>
      <c r="AI313" s="164">
        <f>IF(I313="","",TEXT(I313, "mmmm yyyy"))</f>
        <v/>
      </c>
      <c r="AJ313" s="164">
        <f>IF(AND(OpenPendingCases[[#This Row],[Sale Status	]]="Open Sale",OpenPendingCases[[#This Row],[Potential Same Month]]="High"),TEXT(OpenPendingCases[[#This Row],[Request Entry Date]], "[$-en-us]mmmm"),"")</f>
        <v/>
      </c>
      <c r="AK313" s="165">
        <f>IFERROR(VALUE(SUBSTITUTE(OpenPendingCases[[#This Row],[Price]]," AED","")),"")</f>
        <v/>
      </c>
      <c r="AL313" s="165">
        <f>IFERROR(VALUE(LEFT(OpenPendingCases[[#This Row],[Price]],FIND(" ",OpenPendingCases[[#This Row],[Price]])-1)),"")</f>
        <v/>
      </c>
      <c r="AM313" s="165">
        <f>IFERROR(VALUE(_xlfn.TEXTBEFORE(OpenPendingCases[[#This Row],[Price]]," AED")),"")</f>
        <v/>
      </c>
      <c r="AN313" s="165" t="n"/>
    </row>
    <row r="314" hidden="1" ht="18" customHeight="1" s="287">
      <c r="C314" s="133" t="n"/>
      <c r="D314" s="136">
        <f>IF($U314="Open Sale", IF(MAX($D$4:D313)+1=0, "", MAX($D$4:D313)+1), "")</f>
        <v/>
      </c>
      <c r="E314" s="136">
        <f>IF($U314="Pending Allocation", IF(MAX($E$4:E313)+1=0, "", MAX($E$4:E313)+1), "")</f>
        <v/>
      </c>
      <c r="F314" s="136" t="n"/>
      <c r="G314" s="136" t="n"/>
      <c r="H314" s="150" t="n"/>
      <c r="I314" s="150" t="n"/>
      <c r="J314" s="67">
        <f>IF(OpenPendingCases[[#This Row],[Timepiece Reference ]]="", "", IF(_xlfn.XLOOKUP(OpenPendingCases[[#This Row],[Timepiece Reference ]], Table1[[Timepiece Reference ]], Table1[CRC STOCK], "Not Found")="YES", "CRC Stock", "Boutique Stock"))</f>
        <v/>
      </c>
      <c r="K314" s="136">
        <f>IF(OpenPendingCases[[#This Row],[Timepiece Reference ]]="", "", IF(_xlfn.XLOOKUP(OpenPendingCases[[#This Row],[Timepiece Reference ]], Table1[[Timepiece Reference ]], Table1[CRC STOCK], "Not Found")="YES", "CRC Stock", "Boutique Stock"))</f>
        <v/>
      </c>
      <c r="L314" s="142" t="n"/>
      <c r="M314" s="140" t="n"/>
      <c r="N314" s="136" t="n"/>
      <c r="O314" s="133" t="n"/>
      <c r="P314" s="93">
        <f>IFERROR(VLOOKUP(TRIM(O314), Collection!$B$2:$D$1001, 2, FALSE), "")</f>
        <v/>
      </c>
      <c r="Q314" s="190">
        <f>IFERROR(VLOOKUP(TRIM(O314), Collection!$B$2:$D$1001, 3, FALSE), "")</f>
        <v/>
      </c>
      <c r="R314" s="153">
        <f>IFERROR(VALUE(SUBSTITUTE(SUBSTITUTE(Q314, "Price", ""), "AED", "")), "")</f>
        <v/>
      </c>
      <c r="S314" s="151" t="n"/>
      <c r="T314" s="158" t="n"/>
      <c r="U314" s="136" t="n"/>
      <c r="V314" s="136" t="n"/>
      <c r="W314" s="156">
        <f>IF(Z314 = "",
"",
TEXT(Z314, "mmmm"))</f>
        <v/>
      </c>
      <c r="X314" s="157" t="n"/>
      <c r="Y314" s="158" t="n"/>
      <c r="Z314" s="158" t="n"/>
      <c r="AA314" s="136">
        <f>IF(H314="", "", IF(U314="Open Sale", IF(TODAY()-H314=0, "0 Days", TEXT(TODAY()-H314, "0") &amp; " Days"), IF(U314="Closed Sale", AA314, "")))</f>
        <v/>
      </c>
      <c r="AB314" s="136">
        <f>IF(H314="", "", IF(OR(U314="Pending", U314="Pending Allocation"), CONCATENATE(TODAY()-H314, " Days"), IF(U314="Closed", "", "")))</f>
        <v/>
      </c>
      <c r="AC314" s="160">
        <f>IF(U314="Pending Allocation", IF(I314="", "", TODAY()-I314), "")</f>
        <v/>
      </c>
      <c r="AD314" s="159">
        <f>IF(U314="Open Sale", TEXT(TODAY()-I314, "0"),
IF(U314="Pending", "",
IF(U314="Closed Sale", "", "")))</f>
        <v/>
      </c>
      <c r="AE314" s="161" t="n"/>
      <c r="AF314" s="161" t="n"/>
      <c r="AG314" s="161" t="n"/>
      <c r="AH314" s="136" t="n"/>
      <c r="AI314" s="164">
        <f>IF(I314="","",TEXT(I314, "mmmm yyyy"))</f>
        <v/>
      </c>
      <c r="AJ314" s="164">
        <f>IF(AND(OpenPendingCases[[#This Row],[Sale Status	]]="Open Sale",OpenPendingCases[[#This Row],[Potential Same Month]]="High"),TEXT(OpenPendingCases[[#This Row],[Request Entry Date]], "[$-en-us]mmmm"),"")</f>
        <v/>
      </c>
      <c r="AK314" s="165">
        <f>IFERROR(VALUE(SUBSTITUTE(OpenPendingCases[[#This Row],[Price]]," AED","")),"")</f>
        <v/>
      </c>
      <c r="AL314" s="165">
        <f>IFERROR(VALUE(LEFT(OpenPendingCases[[#This Row],[Price]],FIND(" ",OpenPendingCases[[#This Row],[Price]])-1)),"")</f>
        <v/>
      </c>
      <c r="AM314" s="165">
        <f>IFERROR(VALUE(_xlfn.TEXTBEFORE(OpenPendingCases[[#This Row],[Price]]," AED")),"")</f>
        <v/>
      </c>
      <c r="AN314" s="165" t="n"/>
    </row>
    <row r="315" hidden="1" ht="18" customHeight="1" s="287">
      <c r="C315" s="133" t="n"/>
      <c r="D315" s="136">
        <f>IF($U315="Open Sale", IF(MAX($D$4:D314)+1=0, "", MAX($D$4:D314)+1), "")</f>
        <v/>
      </c>
      <c r="E315" s="136">
        <f>IF($U315="Pending Allocation", IF(MAX($E$4:E314)+1=0, "", MAX($E$4:E314)+1), "")</f>
        <v/>
      </c>
      <c r="F315" s="136" t="n"/>
      <c r="G315" s="136" t="n"/>
      <c r="H315" s="150" t="n"/>
      <c r="I315" s="150" t="n"/>
      <c r="J315" s="67">
        <f>IF(OpenPendingCases[[#This Row],[Timepiece Reference ]]="", "", IF(_xlfn.XLOOKUP(OpenPendingCases[[#This Row],[Timepiece Reference ]], Table1[[Timepiece Reference ]], Table1[CRC STOCK], "Not Found")="YES", "CRC Stock", "Boutique Stock"))</f>
        <v/>
      </c>
      <c r="K315" s="136">
        <f>IF(OpenPendingCases[[#This Row],[Timepiece Reference ]]="", "", IF(_xlfn.XLOOKUP(OpenPendingCases[[#This Row],[Timepiece Reference ]], Table1[[Timepiece Reference ]], Table1[CRC STOCK], "Not Found")="YES", "CRC Stock", "Boutique Stock"))</f>
        <v/>
      </c>
      <c r="L315" s="142" t="n"/>
      <c r="M315" s="140" t="n"/>
      <c r="N315" s="136" t="n"/>
      <c r="O315" s="133" t="n"/>
      <c r="P315" s="93">
        <f>IFERROR(VLOOKUP(TRIM(O315), Collection!$B$2:$D$1001, 2, FALSE), "")</f>
        <v/>
      </c>
      <c r="Q315" s="190">
        <f>IFERROR(VLOOKUP(TRIM(O315), Collection!$B$2:$D$1001, 3, FALSE), "")</f>
        <v/>
      </c>
      <c r="R315" s="153">
        <f>IFERROR(VALUE(SUBSTITUTE(SUBSTITUTE(Q315, "Price", ""), "AED", "")), "")</f>
        <v/>
      </c>
      <c r="S315" s="151" t="n"/>
      <c r="T315" s="158" t="n"/>
      <c r="U315" s="136" t="n"/>
      <c r="V315" s="136" t="n"/>
      <c r="W315" s="156">
        <f>IF(Z315 = "",
"",
TEXT(Z315, "mmmm"))</f>
        <v/>
      </c>
      <c r="X315" s="157" t="n"/>
      <c r="Y315" s="158" t="n"/>
      <c r="Z315" s="158" t="n"/>
      <c r="AA315" s="136">
        <f>IF(H315="", "", IF(U315="Open Sale", IF(TODAY()-H315=0, "0 Days", TEXT(TODAY()-H315, "0") &amp; " Days"), IF(U315="Closed Sale", AA315, "")))</f>
        <v/>
      </c>
      <c r="AB315" s="136">
        <f>IF(H315="", "", IF(OR(U315="Pending", U315="Pending Allocation"), CONCATENATE(TODAY()-H315, " Days"), IF(U315="Closed", "", "")))</f>
        <v/>
      </c>
      <c r="AC315" s="160">
        <f>IF(U315="Pending Allocation", IF(I315="", "", TODAY()-I315), "")</f>
        <v/>
      </c>
      <c r="AD315" s="159">
        <f>IF(U315="Open Sale", TEXT(TODAY()-I315, "0"),
IF(U315="Pending", "",
IF(U315="Closed Sale", "", "")))</f>
        <v/>
      </c>
      <c r="AE315" s="161" t="n"/>
      <c r="AF315" s="161" t="n"/>
      <c r="AG315" s="161" t="n"/>
      <c r="AH315" s="136" t="n"/>
      <c r="AI315" s="164">
        <f>IF(I315="","",TEXT(I315, "mmmm yyyy"))</f>
        <v/>
      </c>
      <c r="AJ315" s="164">
        <f>IF(AND(OpenPendingCases[[#This Row],[Sale Status	]]="Open Sale",OpenPendingCases[[#This Row],[Potential Same Month]]="High"),TEXT(OpenPendingCases[[#This Row],[Request Entry Date]], "[$-en-us]mmmm"),"")</f>
        <v/>
      </c>
      <c r="AK315" s="165">
        <f>IFERROR(VALUE(SUBSTITUTE(OpenPendingCases[[#This Row],[Price]]," AED","")),"")</f>
        <v/>
      </c>
      <c r="AL315" s="165">
        <f>IFERROR(VALUE(LEFT(OpenPendingCases[[#This Row],[Price]],FIND(" ",OpenPendingCases[[#This Row],[Price]])-1)),"")</f>
        <v/>
      </c>
      <c r="AM315" s="165">
        <f>IFERROR(VALUE(_xlfn.TEXTBEFORE(OpenPendingCases[[#This Row],[Price]]," AED")),"")</f>
        <v/>
      </c>
      <c r="AN315" s="165" t="n"/>
    </row>
    <row r="316" hidden="1" ht="18" customHeight="1" s="287">
      <c r="C316" s="133" t="n"/>
      <c r="D316" s="136">
        <f>IF($U316="Open Sale", IF(MAX($D$4:D315)+1=0, "", MAX($D$4:D315)+1), "")</f>
        <v/>
      </c>
      <c r="E316" s="136">
        <f>IF($U316="Pending Allocation", IF(MAX($E$4:E315)+1=0, "", MAX($E$4:E315)+1), "")</f>
        <v/>
      </c>
      <c r="F316" s="136" t="n"/>
      <c r="G316" s="136" t="n"/>
      <c r="H316" s="150" t="n"/>
      <c r="I316" s="150" t="n"/>
      <c r="J316" s="67">
        <f>IF(OpenPendingCases[[#This Row],[Timepiece Reference ]]="", "", IF(_xlfn.XLOOKUP(OpenPendingCases[[#This Row],[Timepiece Reference ]], Table1[[Timepiece Reference ]], Table1[CRC STOCK], "Not Found")="YES", "CRC Stock", "Boutique Stock"))</f>
        <v/>
      </c>
      <c r="K316" s="136">
        <f>IF(OpenPendingCases[[#This Row],[Timepiece Reference ]]="", "", IF(_xlfn.XLOOKUP(OpenPendingCases[[#This Row],[Timepiece Reference ]], Table1[[Timepiece Reference ]], Table1[CRC STOCK], "Not Found")="YES", "CRC Stock", "Boutique Stock"))</f>
        <v/>
      </c>
      <c r="L316" s="142" t="n"/>
      <c r="M316" s="140" t="n"/>
      <c r="N316" s="136" t="n"/>
      <c r="O316" s="133" t="n"/>
      <c r="P316" s="93">
        <f>IFERROR(VLOOKUP(TRIM(O316), Collection!$B$2:$D$1001, 2, FALSE), "")</f>
        <v/>
      </c>
      <c r="Q316" s="190">
        <f>IFERROR(VLOOKUP(TRIM(O316), Collection!$B$2:$D$1001, 3, FALSE), "")</f>
        <v/>
      </c>
      <c r="R316" s="153">
        <f>IFERROR(VALUE(SUBSTITUTE(SUBSTITUTE(Q316, "Price", ""), "AED", "")), "")</f>
        <v/>
      </c>
      <c r="S316" s="151" t="n"/>
      <c r="T316" s="158" t="n"/>
      <c r="U316" s="136" t="n"/>
      <c r="V316" s="136" t="n"/>
      <c r="W316" s="156">
        <f>IF(Z316 = "",
"",
TEXT(Z316, "mmmm"))</f>
        <v/>
      </c>
      <c r="X316" s="157" t="n"/>
      <c r="Y316" s="158" t="n"/>
      <c r="Z316" s="158" t="n"/>
      <c r="AA316" s="136">
        <f>IF(H316="", "", IF(U316="Open Sale", IF(TODAY()-H316=0, "0 Days", TEXT(TODAY()-H316, "0") &amp; " Days"), IF(U316="Closed Sale", AA316, "")))</f>
        <v/>
      </c>
      <c r="AB316" s="136">
        <f>IF(H316="", "", IF(OR(U316="Pending", U316="Pending Allocation"), CONCATENATE(TODAY()-H316, " Days"), IF(U316="Closed", "", "")))</f>
        <v/>
      </c>
      <c r="AC316" s="160">
        <f>IF(U316="Pending Allocation", IF(I316="", "", TODAY()-I316), "")</f>
        <v/>
      </c>
      <c r="AD316" s="159">
        <f>IF(U316="Open Sale", TEXT(TODAY()-I316, "0"),
IF(U316="Pending", "",
IF(U316="Closed Sale", "", "")))</f>
        <v/>
      </c>
      <c r="AE316" s="161" t="n"/>
      <c r="AF316" s="161" t="n"/>
      <c r="AG316" s="161" t="n"/>
      <c r="AH316" s="136" t="n"/>
      <c r="AI316" s="164">
        <f>IF(I316="","",TEXT(I316, "mmmm yyyy"))</f>
        <v/>
      </c>
      <c r="AJ316" s="164">
        <f>IF(AND(OpenPendingCases[[#This Row],[Sale Status	]]="Open Sale",OpenPendingCases[[#This Row],[Potential Same Month]]="High"),TEXT(OpenPendingCases[[#This Row],[Request Entry Date]], "[$-en-us]mmmm"),"")</f>
        <v/>
      </c>
      <c r="AK316" s="165">
        <f>IFERROR(VALUE(SUBSTITUTE(OpenPendingCases[[#This Row],[Price]]," AED","")),"")</f>
        <v/>
      </c>
      <c r="AL316" s="165">
        <f>IFERROR(VALUE(LEFT(OpenPendingCases[[#This Row],[Price]],FIND(" ",OpenPendingCases[[#This Row],[Price]])-1)),"")</f>
        <v/>
      </c>
      <c r="AM316" s="165">
        <f>IFERROR(VALUE(_xlfn.TEXTBEFORE(OpenPendingCases[[#This Row],[Price]]," AED")),"")</f>
        <v/>
      </c>
      <c r="AN316" s="165" t="n"/>
    </row>
    <row r="317" hidden="1" ht="18" customHeight="1" s="287">
      <c r="C317" s="133" t="n"/>
      <c r="D317" s="136">
        <f>IF($U317="Open Sale", IF(MAX($D$4:D316)+1=0, "", MAX($D$4:D316)+1), "")</f>
        <v/>
      </c>
      <c r="E317" s="136">
        <f>IF($U317="Pending Allocation", IF(MAX($E$4:E316)+1=0, "", MAX($E$4:E316)+1), "")</f>
        <v/>
      </c>
      <c r="F317" s="136" t="n"/>
      <c r="G317" s="136" t="n"/>
      <c r="H317" s="150" t="n"/>
      <c r="I317" s="150" t="n"/>
      <c r="J317" s="67">
        <f>IF(OpenPendingCases[[#This Row],[Timepiece Reference ]]="", "", IF(_xlfn.XLOOKUP(OpenPendingCases[[#This Row],[Timepiece Reference ]], Table1[[Timepiece Reference ]], Table1[CRC STOCK], "Not Found")="YES", "CRC Stock", "Boutique Stock"))</f>
        <v/>
      </c>
      <c r="K317" s="136">
        <f>IF(OpenPendingCases[[#This Row],[Timepiece Reference ]]="", "", IF(_xlfn.XLOOKUP(OpenPendingCases[[#This Row],[Timepiece Reference ]], Table1[[Timepiece Reference ]], Table1[CRC STOCK], "Not Found")="YES", "CRC Stock", "Boutique Stock"))</f>
        <v/>
      </c>
      <c r="L317" s="142" t="n"/>
      <c r="M317" s="140" t="n"/>
      <c r="N317" s="136" t="n"/>
      <c r="O317" s="133" t="n"/>
      <c r="P317" s="93">
        <f>IFERROR(VLOOKUP(TRIM(O317), Collection!$B$2:$D$1001, 2, FALSE), "")</f>
        <v/>
      </c>
      <c r="Q317" s="190">
        <f>IFERROR(VLOOKUP(TRIM(O317), Collection!$B$2:$D$1001, 3, FALSE), "")</f>
        <v/>
      </c>
      <c r="R317" s="153">
        <f>IFERROR(VALUE(SUBSTITUTE(SUBSTITUTE(Q317, "Price", ""), "AED", "")), "")</f>
        <v/>
      </c>
      <c r="S317" s="151" t="n"/>
      <c r="T317" s="158" t="n"/>
      <c r="U317" s="136" t="n"/>
      <c r="V317" s="136" t="n"/>
      <c r="W317" s="156">
        <f>IF(Z317 = "",
"",
TEXT(Z317, "mmmm"))</f>
        <v/>
      </c>
      <c r="X317" s="157" t="n"/>
      <c r="Y317" s="158" t="n"/>
      <c r="Z317" s="158" t="n"/>
      <c r="AA317" s="136">
        <f>IF(H317="", "", IF(U317="Open Sale", IF(TODAY()-H317=0, "0 Days", TEXT(TODAY()-H317, "0") &amp; " Days"), IF(U317="Closed Sale", AA317, "")))</f>
        <v/>
      </c>
      <c r="AB317" s="136">
        <f>IF(H317="", "", IF(OR(U317="Pending", U317="Pending Allocation"), CONCATENATE(TODAY()-H317, " Days"), IF(U317="Closed", "", "")))</f>
        <v/>
      </c>
      <c r="AC317" s="160">
        <f>IF(U317="Pending Allocation", IF(I317="", "", TODAY()-I317), "")</f>
        <v/>
      </c>
      <c r="AD317" s="159">
        <f>IF(U317="Open Sale", TEXT(TODAY()-I317, "0"),
IF(U317="Pending", "",
IF(U317="Closed Sale", "", "")))</f>
        <v/>
      </c>
      <c r="AE317" s="161" t="n"/>
      <c r="AF317" s="161" t="n"/>
      <c r="AG317" s="161" t="n"/>
      <c r="AH317" s="136" t="n"/>
      <c r="AI317" s="164">
        <f>IF(I317="","",TEXT(I317, "mmmm yyyy"))</f>
        <v/>
      </c>
      <c r="AJ317" s="164">
        <f>IF(AND(OpenPendingCases[[#This Row],[Sale Status	]]="Open Sale",OpenPendingCases[[#This Row],[Potential Same Month]]="High"),TEXT(OpenPendingCases[[#This Row],[Request Entry Date]], "[$-en-us]mmmm"),"")</f>
        <v/>
      </c>
      <c r="AK317" s="165">
        <f>IFERROR(VALUE(SUBSTITUTE(OpenPendingCases[[#This Row],[Price]]," AED","")),"")</f>
        <v/>
      </c>
      <c r="AL317" s="165">
        <f>IFERROR(VALUE(LEFT(OpenPendingCases[[#This Row],[Price]],FIND(" ",OpenPendingCases[[#This Row],[Price]])-1)),"")</f>
        <v/>
      </c>
      <c r="AM317" s="165">
        <f>IFERROR(VALUE(_xlfn.TEXTBEFORE(OpenPendingCases[[#This Row],[Price]]," AED")),"")</f>
        <v/>
      </c>
      <c r="AN317" s="165" t="n"/>
    </row>
    <row r="318" hidden="1" ht="18" customHeight="1" s="287">
      <c r="C318" s="133" t="n"/>
      <c r="D318" s="136">
        <f>IF($U318="Open Sale", IF(MAX($D$4:D317)+1=0, "", MAX($D$4:D317)+1), "")</f>
        <v/>
      </c>
      <c r="E318" s="136">
        <f>IF($U318="Pending Allocation", IF(MAX($E$4:E317)+1=0, "", MAX($E$4:E317)+1), "")</f>
        <v/>
      </c>
      <c r="F318" s="136" t="n"/>
      <c r="G318" s="136" t="n"/>
      <c r="H318" s="150" t="n"/>
      <c r="I318" s="150" t="n"/>
      <c r="J318" s="67">
        <f>IF(OpenPendingCases[[#This Row],[Timepiece Reference ]]="", "", IF(_xlfn.XLOOKUP(OpenPendingCases[[#This Row],[Timepiece Reference ]], Table1[[Timepiece Reference ]], Table1[CRC STOCK], "Not Found")="YES", "CRC Stock", "Boutique Stock"))</f>
        <v/>
      </c>
      <c r="K318" s="136">
        <f>IF(OpenPendingCases[[#This Row],[Timepiece Reference ]]="", "", IF(_xlfn.XLOOKUP(OpenPendingCases[[#This Row],[Timepiece Reference ]], Table1[[Timepiece Reference ]], Table1[CRC STOCK], "Not Found")="YES", "CRC Stock", "Boutique Stock"))</f>
        <v/>
      </c>
      <c r="L318" s="142" t="n"/>
      <c r="M318" s="140" t="n"/>
      <c r="N318" s="136" t="n"/>
      <c r="O318" s="133" t="n"/>
      <c r="P318" s="93">
        <f>IFERROR(VLOOKUP(TRIM(O318), Collection!$B$2:$D$1001, 2, FALSE), "")</f>
        <v/>
      </c>
      <c r="Q318" s="190">
        <f>IFERROR(VLOOKUP(TRIM(O318), Collection!$B$2:$D$1001, 3, FALSE), "")</f>
        <v/>
      </c>
      <c r="R318" s="153">
        <f>IFERROR(VALUE(SUBSTITUTE(SUBSTITUTE(Q318, "Price", ""), "AED", "")), "")</f>
        <v/>
      </c>
      <c r="S318" s="151" t="n"/>
      <c r="T318" s="158" t="n"/>
      <c r="U318" s="136" t="n"/>
      <c r="V318" s="136" t="n"/>
      <c r="W318" s="156">
        <f>IF(Z318 = "",
"",
TEXT(Z318, "mmmm"))</f>
        <v/>
      </c>
      <c r="X318" s="157" t="n"/>
      <c r="Y318" s="158" t="n"/>
      <c r="Z318" s="158" t="n"/>
      <c r="AA318" s="136">
        <f>IF(H318="", "", IF(U318="Open Sale", IF(TODAY()-H318=0, "0 Days", TEXT(TODAY()-H318, "0") &amp; " Days"), IF(U318="Closed Sale", AA318, "")))</f>
        <v/>
      </c>
      <c r="AB318" s="136">
        <f>IF(H318="", "", IF(OR(U318="Pending", U318="Pending Allocation"), CONCATENATE(TODAY()-H318, " Days"), IF(U318="Closed", "", "")))</f>
        <v/>
      </c>
      <c r="AC318" s="160">
        <f>IF(U318="Pending Allocation", IF(I318="", "", TODAY()-I318), "")</f>
        <v/>
      </c>
      <c r="AD318" s="159">
        <f>IF(U318="Open Sale", TEXT(TODAY()-I318, "0"),
IF(U318="Pending", "",
IF(U318="Closed Sale", "", "")))</f>
        <v/>
      </c>
      <c r="AE318" s="161" t="n"/>
      <c r="AF318" s="161" t="n"/>
      <c r="AG318" s="161" t="n"/>
      <c r="AH318" s="136" t="n"/>
      <c r="AI318" s="164">
        <f>IF(I318="","",TEXT(I318, "mmmm yyyy"))</f>
        <v/>
      </c>
      <c r="AJ318" s="164">
        <f>IF(AND(OpenPendingCases[[#This Row],[Sale Status	]]="Open Sale",OpenPendingCases[[#This Row],[Potential Same Month]]="High"),TEXT(OpenPendingCases[[#This Row],[Request Entry Date]], "[$-en-us]mmmm"),"")</f>
        <v/>
      </c>
      <c r="AK318" s="165">
        <f>IFERROR(VALUE(SUBSTITUTE(OpenPendingCases[[#This Row],[Price]]," AED","")),"")</f>
        <v/>
      </c>
      <c r="AL318" s="165">
        <f>IFERROR(VALUE(LEFT(OpenPendingCases[[#This Row],[Price]],FIND(" ",OpenPendingCases[[#This Row],[Price]])-1)),"")</f>
        <v/>
      </c>
      <c r="AM318" s="165">
        <f>IFERROR(VALUE(_xlfn.TEXTBEFORE(OpenPendingCases[[#This Row],[Price]]," AED")),"")</f>
        <v/>
      </c>
      <c r="AN318" s="165" t="n"/>
    </row>
    <row r="319" hidden="1" ht="18" customHeight="1" s="287">
      <c r="C319" s="133" t="n"/>
      <c r="D319" s="136">
        <f>IF($U319="Open Sale", IF(MAX($D$4:D318)+1=0, "", MAX($D$4:D318)+1), "")</f>
        <v/>
      </c>
      <c r="E319" s="136">
        <f>IF($U319="Pending Allocation", IF(MAX($E$4:E318)+1=0, "", MAX($E$4:E318)+1), "")</f>
        <v/>
      </c>
      <c r="F319" s="136" t="n"/>
      <c r="G319" s="136" t="n"/>
      <c r="H319" s="150" t="n"/>
      <c r="I319" s="150" t="n"/>
      <c r="J319" s="67">
        <f>IF(OpenPendingCases[[#This Row],[Timepiece Reference ]]="", "", IF(_xlfn.XLOOKUP(OpenPendingCases[[#This Row],[Timepiece Reference ]], Table1[[Timepiece Reference ]], Table1[CRC STOCK], "Not Found")="YES", "CRC Stock", "Boutique Stock"))</f>
        <v/>
      </c>
      <c r="K319" s="136">
        <f>IF(OpenPendingCases[[#This Row],[Timepiece Reference ]]="", "", IF(_xlfn.XLOOKUP(OpenPendingCases[[#This Row],[Timepiece Reference ]], Table1[[Timepiece Reference ]], Table1[CRC STOCK], "Not Found")="YES", "CRC Stock", "Boutique Stock"))</f>
        <v/>
      </c>
      <c r="L319" s="142" t="n"/>
      <c r="M319" s="140" t="n"/>
      <c r="N319" s="136" t="n"/>
      <c r="O319" s="133" t="n"/>
      <c r="P319" s="93">
        <f>IFERROR(VLOOKUP(TRIM(O319), Collection!$B$2:$D$1001, 2, FALSE), "")</f>
        <v/>
      </c>
      <c r="Q319" s="190">
        <f>IFERROR(VLOOKUP(TRIM(O319), Collection!$B$2:$D$1001, 3, FALSE), "")</f>
        <v/>
      </c>
      <c r="R319" s="153">
        <f>IFERROR(VALUE(SUBSTITUTE(SUBSTITUTE(Q319, "Price", ""), "AED", "")), "")</f>
        <v/>
      </c>
      <c r="S319" s="151" t="n"/>
      <c r="T319" s="158" t="n"/>
      <c r="U319" s="136" t="n"/>
      <c r="V319" s="136" t="n"/>
      <c r="W319" s="156">
        <f>IF(Z319 = "",
"",
TEXT(Z319, "mmmm"))</f>
        <v/>
      </c>
      <c r="X319" s="157" t="n"/>
      <c r="Y319" s="158" t="n"/>
      <c r="Z319" s="158" t="n"/>
      <c r="AA319" s="136">
        <f>IF(H319="", "", IF(U319="Open Sale", IF(TODAY()-H319=0, "0 Days", TEXT(TODAY()-H319, "0") &amp; " Days"), IF(U319="Closed Sale", AA319, "")))</f>
        <v/>
      </c>
      <c r="AB319" s="136">
        <f>IF(H319="", "", IF(OR(U319="Pending", U319="Pending Allocation"), CONCATENATE(TODAY()-H319, " Days"), IF(U319="Closed", "", "")))</f>
        <v/>
      </c>
      <c r="AC319" s="160">
        <f>IF(U319="Pending Allocation", IF(I319="", "", TODAY()-I319), "")</f>
        <v/>
      </c>
      <c r="AD319" s="159">
        <f>IF(U319="Open Sale", TEXT(TODAY()-I319, "0"),
IF(U319="Pending", "",
IF(U319="Closed Sale", "", "")))</f>
        <v/>
      </c>
      <c r="AE319" s="161" t="n"/>
      <c r="AF319" s="161" t="n"/>
      <c r="AG319" s="161" t="n"/>
      <c r="AH319" s="136" t="n"/>
      <c r="AI319" s="164">
        <f>IF(I319="","",TEXT(I319, "mmmm yyyy"))</f>
        <v/>
      </c>
      <c r="AJ319" s="164">
        <f>IF(AND(OpenPendingCases[[#This Row],[Sale Status	]]="Open Sale",OpenPendingCases[[#This Row],[Potential Same Month]]="High"),TEXT(OpenPendingCases[[#This Row],[Request Entry Date]], "[$-en-us]mmmm"),"")</f>
        <v/>
      </c>
      <c r="AK319" s="165">
        <f>IFERROR(VALUE(SUBSTITUTE(OpenPendingCases[[#This Row],[Price]]," AED","")),"")</f>
        <v/>
      </c>
      <c r="AL319" s="165">
        <f>IFERROR(VALUE(LEFT(OpenPendingCases[[#This Row],[Price]],FIND(" ",OpenPendingCases[[#This Row],[Price]])-1)),"")</f>
        <v/>
      </c>
      <c r="AM319" s="165">
        <f>IFERROR(VALUE(_xlfn.TEXTBEFORE(OpenPendingCases[[#This Row],[Price]]," AED")),"")</f>
        <v/>
      </c>
      <c r="AN319" s="165" t="n"/>
    </row>
    <row r="320" hidden="1" ht="18" customHeight="1" s="287">
      <c r="C320" s="133" t="n"/>
      <c r="D320" s="136">
        <f>IF($U320="Open Sale", IF(MAX($D$4:D319)+1=0, "", MAX($D$4:D319)+1), "")</f>
        <v/>
      </c>
      <c r="E320" s="136">
        <f>IF($U320="Pending Allocation", IF(MAX($E$4:E319)+1=0, "", MAX($E$4:E319)+1), "")</f>
        <v/>
      </c>
      <c r="F320" s="136" t="n"/>
      <c r="G320" s="136" t="n"/>
      <c r="H320" s="150" t="n"/>
      <c r="I320" s="150" t="n"/>
      <c r="J320" s="67">
        <f>IF(OpenPendingCases[[#This Row],[Timepiece Reference ]]="", "", IF(_xlfn.XLOOKUP(OpenPendingCases[[#This Row],[Timepiece Reference ]], Table1[[Timepiece Reference ]], Table1[CRC STOCK], "Not Found")="YES", "CRC Stock", "Boutique Stock"))</f>
        <v/>
      </c>
      <c r="K320" s="136">
        <f>IF(OpenPendingCases[[#This Row],[Timepiece Reference ]]="", "", IF(_xlfn.XLOOKUP(OpenPendingCases[[#This Row],[Timepiece Reference ]], Table1[[Timepiece Reference ]], Table1[CRC STOCK], "Not Found")="YES", "CRC Stock", "Boutique Stock"))</f>
        <v/>
      </c>
      <c r="L320" s="142" t="n"/>
      <c r="M320" s="140" t="n"/>
      <c r="N320" s="136" t="n"/>
      <c r="O320" s="133" t="n"/>
      <c r="P320" s="93">
        <f>IFERROR(VLOOKUP(TRIM(O320), Collection!$B$2:$D$1001, 2, FALSE), "")</f>
        <v/>
      </c>
      <c r="Q320" s="190">
        <f>IFERROR(VLOOKUP(TRIM(O320), Collection!$B$2:$D$1001, 3, FALSE), "")</f>
        <v/>
      </c>
      <c r="R320" s="153">
        <f>IFERROR(VALUE(SUBSTITUTE(SUBSTITUTE(Q320, "Price", ""), "AED", "")), "")</f>
        <v/>
      </c>
      <c r="S320" s="151" t="n"/>
      <c r="T320" s="158" t="n"/>
      <c r="U320" s="136" t="n"/>
      <c r="V320" s="136" t="n"/>
      <c r="W320" s="156">
        <f>IF(Z320 = "",
"",
TEXT(Z320, "mmmm"))</f>
        <v/>
      </c>
      <c r="X320" s="157" t="n"/>
      <c r="Y320" s="158" t="n"/>
      <c r="Z320" s="158" t="n"/>
      <c r="AA320" s="136">
        <f>IF(H320="", "", IF(U320="Open Sale", IF(TODAY()-H320=0, "0 Days", TEXT(TODAY()-H320, "0") &amp; " Days"), IF(U320="Closed Sale", AA320, "")))</f>
        <v/>
      </c>
      <c r="AB320" s="136">
        <f>IF(H320="", "", IF(OR(U320="Pending", U320="Pending Allocation"), CONCATENATE(TODAY()-H320, " Days"), IF(U320="Closed", "", "")))</f>
        <v/>
      </c>
      <c r="AC320" s="160">
        <f>IF(U320="Pending Allocation", IF(I320="", "", TODAY()-I320), "")</f>
        <v/>
      </c>
      <c r="AD320" s="159">
        <f>IF(U320="Open Sale", TEXT(TODAY()-I320, "0"),
IF(U320="Pending", "",
IF(U320="Closed Sale", "", "")))</f>
        <v/>
      </c>
      <c r="AE320" s="161" t="n"/>
      <c r="AF320" s="161" t="n"/>
      <c r="AG320" s="161" t="n"/>
      <c r="AH320" s="136" t="n"/>
      <c r="AI320" s="164">
        <f>IF(I320="","",TEXT(I320, "mmmm yyyy"))</f>
        <v/>
      </c>
      <c r="AJ320" s="164">
        <f>IF(AND(OpenPendingCases[[#This Row],[Sale Status	]]="Open Sale",OpenPendingCases[[#This Row],[Potential Same Month]]="High"),TEXT(OpenPendingCases[[#This Row],[Request Entry Date]], "[$-en-us]mmmm"),"")</f>
        <v/>
      </c>
      <c r="AK320" s="165">
        <f>IFERROR(VALUE(SUBSTITUTE(OpenPendingCases[[#This Row],[Price]]," AED","")),"")</f>
        <v/>
      </c>
      <c r="AL320" s="165">
        <f>IFERROR(VALUE(LEFT(OpenPendingCases[[#This Row],[Price]],FIND(" ",OpenPendingCases[[#This Row],[Price]])-1)),"")</f>
        <v/>
      </c>
      <c r="AM320" s="165">
        <f>IFERROR(VALUE(_xlfn.TEXTBEFORE(OpenPendingCases[[#This Row],[Price]]," AED")),"")</f>
        <v/>
      </c>
      <c r="AN320" s="165" t="n"/>
    </row>
    <row r="321" hidden="1" ht="18" customHeight="1" s="287">
      <c r="C321" s="133" t="n"/>
      <c r="D321" s="136">
        <f>IF($U321="Open Sale", IF(MAX($D$4:D320)+1=0, "", MAX($D$4:D320)+1), "")</f>
        <v/>
      </c>
      <c r="E321" s="136">
        <f>IF($U321="Pending Allocation", IF(MAX($E$4:E320)+1=0, "", MAX($E$4:E320)+1), "")</f>
        <v/>
      </c>
      <c r="F321" s="136" t="n"/>
      <c r="G321" s="136" t="n"/>
      <c r="H321" s="150" t="n"/>
      <c r="I321" s="150" t="n"/>
      <c r="J321" s="67">
        <f>IF(OpenPendingCases[[#This Row],[Timepiece Reference ]]="", "", IF(_xlfn.XLOOKUP(OpenPendingCases[[#This Row],[Timepiece Reference ]], Table1[[Timepiece Reference ]], Table1[CRC STOCK], "Not Found")="YES", "CRC Stock", "Boutique Stock"))</f>
        <v/>
      </c>
      <c r="K321" s="136">
        <f>IF(OpenPendingCases[[#This Row],[Timepiece Reference ]]="", "", IF(_xlfn.XLOOKUP(OpenPendingCases[[#This Row],[Timepiece Reference ]], Table1[[Timepiece Reference ]], Table1[CRC STOCK], "Not Found")="YES", "CRC Stock", "Boutique Stock"))</f>
        <v/>
      </c>
      <c r="L321" s="142" t="n"/>
      <c r="M321" s="140" t="n"/>
      <c r="N321" s="136" t="n"/>
      <c r="O321" s="133" t="n"/>
      <c r="P321" s="93">
        <f>IFERROR(VLOOKUP(TRIM(O321), Collection!$B$2:$D$1001, 2, FALSE), "")</f>
        <v/>
      </c>
      <c r="Q321" s="190">
        <f>IFERROR(VLOOKUP(TRIM(O321), Collection!$B$2:$D$1001, 3, FALSE), "")</f>
        <v/>
      </c>
      <c r="R321" s="153">
        <f>IFERROR(VALUE(SUBSTITUTE(SUBSTITUTE(Q321, "Price", ""), "AED", "")), "")</f>
        <v/>
      </c>
      <c r="S321" s="151" t="n"/>
      <c r="T321" s="158" t="n"/>
      <c r="U321" s="136" t="n"/>
      <c r="V321" s="136" t="n"/>
      <c r="W321" s="156">
        <f>IF(Z321 = "",
"",
TEXT(Z321, "mmmm"))</f>
        <v/>
      </c>
      <c r="X321" s="157" t="n"/>
      <c r="Y321" s="158" t="n"/>
      <c r="Z321" s="158" t="n"/>
      <c r="AA321" s="136">
        <f>IF(H321="", "", IF(U321="Open Sale", IF(TODAY()-H321=0, "0 Days", TEXT(TODAY()-H321, "0") &amp; " Days"), IF(U321="Closed Sale", AA321, "")))</f>
        <v/>
      </c>
      <c r="AB321" s="136">
        <f>IF(H321="", "", IF(OR(U321="Pending", U321="Pending Allocation"), CONCATENATE(TODAY()-H321, " Days"), IF(U321="Closed", "", "")))</f>
        <v/>
      </c>
      <c r="AC321" s="160">
        <f>IF(U321="Pending Allocation", IF(I321="", "", TODAY()-I321), "")</f>
        <v/>
      </c>
      <c r="AD321" s="159">
        <f>IF(U321="Open Sale", TEXT(TODAY()-I321, "0"),
IF(U321="Pending", "",
IF(U321="Closed Sale", "", "")))</f>
        <v/>
      </c>
      <c r="AE321" s="161" t="n"/>
      <c r="AF321" s="161" t="n"/>
      <c r="AG321" s="161" t="n"/>
      <c r="AH321" s="136" t="n"/>
      <c r="AI321" s="164">
        <f>IF(I321="","",TEXT(I321, "mmmm yyyy"))</f>
        <v/>
      </c>
      <c r="AJ321" s="164">
        <f>IF(AND(OpenPendingCases[[#This Row],[Sale Status	]]="Open Sale",OpenPendingCases[[#This Row],[Potential Same Month]]="High"),TEXT(OpenPendingCases[[#This Row],[Request Entry Date]], "[$-en-us]mmmm"),"")</f>
        <v/>
      </c>
      <c r="AK321" s="165">
        <f>IFERROR(VALUE(SUBSTITUTE(OpenPendingCases[[#This Row],[Price]]," AED","")),"")</f>
        <v/>
      </c>
      <c r="AL321" s="165">
        <f>IFERROR(VALUE(LEFT(OpenPendingCases[[#This Row],[Price]],FIND(" ",OpenPendingCases[[#This Row],[Price]])-1)),"")</f>
        <v/>
      </c>
      <c r="AM321" s="165">
        <f>IFERROR(VALUE(_xlfn.TEXTBEFORE(OpenPendingCases[[#This Row],[Price]]," AED")),"")</f>
        <v/>
      </c>
      <c r="AN321" s="165" t="n"/>
    </row>
    <row r="322" hidden="1" ht="18" customHeight="1" s="287">
      <c r="C322" s="133" t="n"/>
      <c r="D322" s="136">
        <f>IF($U322="Open Sale", IF(MAX($D$4:D321)+1=0, "", MAX($D$4:D321)+1), "")</f>
        <v/>
      </c>
      <c r="E322" s="136">
        <f>IF($U322="Pending Allocation", IF(MAX($E$4:E321)+1=0, "", MAX($E$4:E321)+1), "")</f>
        <v/>
      </c>
      <c r="F322" s="136" t="n"/>
      <c r="G322" s="136" t="n"/>
      <c r="H322" s="150" t="n"/>
      <c r="I322" s="150" t="n"/>
      <c r="J322" s="67">
        <f>IF(OpenPendingCases[[#This Row],[Timepiece Reference ]]="", "", IF(_xlfn.XLOOKUP(OpenPendingCases[[#This Row],[Timepiece Reference ]], Table1[[Timepiece Reference ]], Table1[CRC STOCK], "Not Found")="YES", "CRC Stock", "Boutique Stock"))</f>
        <v/>
      </c>
      <c r="K322" s="136">
        <f>IF(OpenPendingCases[[#This Row],[Timepiece Reference ]]="", "", IF(_xlfn.XLOOKUP(OpenPendingCases[[#This Row],[Timepiece Reference ]], Table1[[Timepiece Reference ]], Table1[CRC STOCK], "Not Found")="YES", "CRC Stock", "Boutique Stock"))</f>
        <v/>
      </c>
      <c r="L322" s="142" t="n"/>
      <c r="M322" s="140" t="n"/>
      <c r="N322" s="136" t="n"/>
      <c r="O322" s="133" t="n"/>
      <c r="P322" s="93">
        <f>IFERROR(VLOOKUP(TRIM(O322), Collection!$B$2:$D$1001, 2, FALSE), "")</f>
        <v/>
      </c>
      <c r="Q322" s="190">
        <f>IFERROR(VLOOKUP(TRIM(O322), Collection!$B$2:$D$1001, 3, FALSE), "")</f>
        <v/>
      </c>
      <c r="R322" s="153">
        <f>IFERROR(VALUE(SUBSTITUTE(SUBSTITUTE(Q322, "Price", ""), "AED", "")), "")</f>
        <v/>
      </c>
      <c r="S322" s="151" t="n"/>
      <c r="T322" s="158" t="n"/>
      <c r="U322" s="136" t="n"/>
      <c r="V322" s="136" t="n"/>
      <c r="W322" s="156">
        <f>IF(Z322 = "",
"",
TEXT(Z322, "mmmm"))</f>
        <v/>
      </c>
      <c r="X322" s="157" t="n"/>
      <c r="Y322" s="158" t="n"/>
      <c r="Z322" s="158" t="n"/>
      <c r="AA322" s="136">
        <f>IF(H322="", "", IF(U322="Open Sale", IF(TODAY()-H322=0, "0 Days", TEXT(TODAY()-H322, "0") &amp; " Days"), IF(U322="Closed Sale", AA322, "")))</f>
        <v/>
      </c>
      <c r="AB322" s="136">
        <f>IF(H322="", "", IF(OR(U322="Pending", U322="Pending Allocation"), CONCATENATE(TODAY()-H322, " Days"), IF(U322="Closed", "", "")))</f>
        <v/>
      </c>
      <c r="AC322" s="160">
        <f>IF(U322="Pending Allocation", IF(I322="", "", TODAY()-I322), "")</f>
        <v/>
      </c>
      <c r="AD322" s="159">
        <f>IF(U322="Open Sale", TEXT(TODAY()-I322, "0"),
IF(U322="Pending", "",
IF(U322="Closed Sale", "", "")))</f>
        <v/>
      </c>
      <c r="AE322" s="161" t="n"/>
      <c r="AF322" s="161" t="n"/>
      <c r="AG322" s="161" t="n"/>
      <c r="AH322" s="136" t="n"/>
      <c r="AI322" s="164">
        <f>IF(I322="","",TEXT(I322, "mmmm yyyy"))</f>
        <v/>
      </c>
      <c r="AJ322" s="164">
        <f>IF(AND(OpenPendingCases[[#This Row],[Sale Status	]]="Open Sale",OpenPendingCases[[#This Row],[Potential Same Month]]="High"),TEXT(OpenPendingCases[[#This Row],[Request Entry Date]], "[$-en-us]mmmm"),"")</f>
        <v/>
      </c>
      <c r="AK322" s="165">
        <f>IFERROR(VALUE(SUBSTITUTE(OpenPendingCases[[#This Row],[Price]]," AED","")),"")</f>
        <v/>
      </c>
      <c r="AL322" s="165">
        <f>IFERROR(VALUE(LEFT(OpenPendingCases[[#This Row],[Price]],FIND(" ",OpenPendingCases[[#This Row],[Price]])-1)),"")</f>
        <v/>
      </c>
      <c r="AM322" s="165">
        <f>IFERROR(VALUE(_xlfn.TEXTBEFORE(OpenPendingCases[[#This Row],[Price]]," AED")),"")</f>
        <v/>
      </c>
      <c r="AN322" s="165" t="n"/>
    </row>
    <row r="323" hidden="1" ht="18" customHeight="1" s="287">
      <c r="C323" s="133" t="n"/>
      <c r="D323" s="136">
        <f>IF($U323="Open Sale", IF(MAX($D$4:D322)+1=0, "", MAX($D$4:D322)+1), "")</f>
        <v/>
      </c>
      <c r="E323" s="136">
        <f>IF($U323="Pending Allocation", IF(MAX($E$4:E322)+1=0, "", MAX($E$4:E322)+1), "")</f>
        <v/>
      </c>
      <c r="F323" s="136" t="n"/>
      <c r="G323" s="136" t="n"/>
      <c r="H323" s="150" t="n"/>
      <c r="I323" s="150" t="n"/>
      <c r="J323" s="67">
        <f>IF(OpenPendingCases[[#This Row],[Timepiece Reference ]]="", "", IF(_xlfn.XLOOKUP(OpenPendingCases[[#This Row],[Timepiece Reference ]], Table1[[Timepiece Reference ]], Table1[CRC STOCK], "Not Found")="YES", "CRC Stock", "Boutique Stock"))</f>
        <v/>
      </c>
      <c r="K323" s="136">
        <f>IF(OpenPendingCases[[#This Row],[Timepiece Reference ]]="", "", IF(_xlfn.XLOOKUP(OpenPendingCases[[#This Row],[Timepiece Reference ]], Table1[[Timepiece Reference ]], Table1[CRC STOCK], "Not Found")="YES", "CRC Stock", "Boutique Stock"))</f>
        <v/>
      </c>
      <c r="L323" s="142" t="n"/>
      <c r="M323" s="140" t="n"/>
      <c r="N323" s="136" t="n"/>
      <c r="O323" s="133" t="n"/>
      <c r="P323" s="93">
        <f>IFERROR(VLOOKUP(TRIM(O323), Collection!$B$2:$D$1001, 2, FALSE), "")</f>
        <v/>
      </c>
      <c r="Q323" s="190">
        <f>IFERROR(VLOOKUP(TRIM(O323), Collection!$B$2:$D$1001, 3, FALSE), "")</f>
        <v/>
      </c>
      <c r="R323" s="153">
        <f>IFERROR(VALUE(SUBSTITUTE(SUBSTITUTE(Q323, "Price", ""), "AED", "")), "")</f>
        <v/>
      </c>
      <c r="S323" s="151" t="n"/>
      <c r="T323" s="158" t="n"/>
      <c r="U323" s="136" t="n"/>
      <c r="V323" s="136" t="n"/>
      <c r="W323" s="156">
        <f>IF(Z323 = "",
"",
TEXT(Z323, "mmmm"))</f>
        <v/>
      </c>
      <c r="X323" s="157" t="n"/>
      <c r="Y323" s="158" t="n"/>
      <c r="Z323" s="158" t="n"/>
      <c r="AA323" s="136">
        <f>IF(H323="", "", IF(U323="Open Sale", IF(TODAY()-H323=0, "0 Days", TEXT(TODAY()-H323, "0") &amp; " Days"), IF(U323="Closed Sale", AA323, "")))</f>
        <v/>
      </c>
      <c r="AB323" s="136">
        <f>IF(H323="", "", IF(OR(U323="Pending", U323="Pending Allocation"), CONCATENATE(TODAY()-H323, " Days"), IF(U323="Closed", "", "")))</f>
        <v/>
      </c>
      <c r="AC323" s="160">
        <f>IF(U323="Pending Allocation", IF(I323="", "", TODAY()-I323), "")</f>
        <v/>
      </c>
      <c r="AD323" s="159">
        <f>IF(U323="Open Sale", TEXT(TODAY()-I323, "0"),
   IF(U323="Pending", "",
      IF(U323="Closed Sale", "", "")))</f>
        <v/>
      </c>
      <c r="AE323" s="161" t="n"/>
      <c r="AF323" s="161" t="n"/>
      <c r="AG323" s="161" t="n"/>
      <c r="AH323" s="136" t="n"/>
      <c r="AI323" s="164">
        <f>IF(I323="","",TEXT(I323, "mmmm yyyy"))</f>
        <v/>
      </c>
      <c r="AJ323" s="164">
        <f>IF(AND(OpenPendingCases[[#This Row],[Sale Status	]]="Open Sale",OpenPendingCases[[#This Row],[Potential Same Month]]="High"),TEXT(OpenPendingCases[[#This Row],[Request Entry Date]], "[$-en-us]mmmm"),"")</f>
        <v/>
      </c>
      <c r="AK323" s="165">
        <f>IFERROR(VALUE(SUBSTITUTE(OpenPendingCases[[#This Row],[Price]]," AED","")),"")</f>
        <v/>
      </c>
      <c r="AL323" s="165">
        <f>IFERROR(VALUE(LEFT(OpenPendingCases[[#This Row],[Price]],FIND(" ",OpenPendingCases[[#This Row],[Price]])-1)),"")</f>
        <v/>
      </c>
      <c r="AM323" s="165">
        <f>IFERROR(VALUE(_xlfn.TEXTBEFORE(OpenPendingCases[[#This Row],[Price]]," AED")),"")</f>
        <v/>
      </c>
      <c r="AN323" s="165" t="n"/>
    </row>
    <row r="324" hidden="1" ht="18" customHeight="1" s="287">
      <c r="C324" s="133" t="n"/>
      <c r="D324" s="136">
        <f>IF($U324="Open Sale", IF(MAX($D$4:D323)+1=0, "", MAX($D$4:D323)+1), "")</f>
        <v/>
      </c>
      <c r="E324" s="136">
        <f>IF($U324="Pending Allocation", IF(MAX($E$4:E323)+1=0, "", MAX($E$4:E323)+1), "")</f>
        <v/>
      </c>
      <c r="F324" s="136" t="n"/>
      <c r="G324" s="136" t="n"/>
      <c r="H324" s="150" t="n"/>
      <c r="I324" s="150" t="n"/>
      <c r="J324" s="67">
        <f>IF(OpenPendingCases[[#This Row],[Timepiece Reference ]]="", "", IF(_xlfn.XLOOKUP(OpenPendingCases[[#This Row],[Timepiece Reference ]], Table1[[Timepiece Reference ]], Table1[CRC STOCK], "Not Found")="YES", "CRC Stock", "Boutique Stock"))</f>
        <v/>
      </c>
      <c r="K324" s="136">
        <f>IF(OpenPendingCases[[#This Row],[Timepiece Reference ]]="", "", IF(_xlfn.XLOOKUP(OpenPendingCases[[#This Row],[Timepiece Reference ]], Table1[[Timepiece Reference ]], Table1[CRC STOCK], "Not Found")="YES", "CRC Stock", "Boutique Stock"))</f>
        <v/>
      </c>
      <c r="L324" s="142" t="n"/>
      <c r="M324" s="140" t="n"/>
      <c r="N324" s="136" t="n"/>
      <c r="O324" s="133" t="n"/>
      <c r="P324" s="93">
        <f>IFERROR(VLOOKUP(TRIM(O324), Collection!$B$2:$D$1001, 2, FALSE), "")</f>
        <v/>
      </c>
      <c r="Q324" s="190">
        <f>IFERROR(VLOOKUP(TRIM(O324), Collection!$B$2:$D$1001, 3, FALSE), "")</f>
        <v/>
      </c>
      <c r="R324" s="153">
        <f>IFERROR(VALUE(SUBSTITUTE(SUBSTITUTE(Q324, "Price", ""), "AED", "")), "")</f>
        <v/>
      </c>
      <c r="S324" s="151" t="n"/>
      <c r="T324" s="158" t="n"/>
      <c r="U324" s="136" t="n"/>
      <c r="V324" s="136" t="n"/>
      <c r="W324" s="156">
        <f>IF(Z324 = "",
     "",
     TEXT(Z324, "mmmm"))</f>
        <v/>
      </c>
      <c r="X324" s="157" t="n"/>
      <c r="Y324" s="158" t="n"/>
      <c r="Z324" s="158" t="n"/>
      <c r="AA324" s="136">
        <f>IF(H324="", "", IF(U324="Open Sale", IF(TODAY()-H324=0, "0 Days", TEXT(TODAY()-H324, "0") &amp; " Days"), IF(U324="Closed Sale", AA324, "")))</f>
        <v/>
      </c>
      <c r="AB324" s="136">
        <f>IF(H324="", "", IF(OR(U324="Pending", U324="Pending Allocation"), CONCATENATE(TODAY()-H324, " Days"), IF(U324="Closed", "", "")))</f>
        <v/>
      </c>
      <c r="AC324" s="160">
        <f>IF(U324="Pending Allocation", IF(I324="", "", TODAY()-I324), "")</f>
        <v/>
      </c>
      <c r="AD324" s="159">
        <f>IF(U324="Open Sale", TEXT(TODAY()-I324, "0"),
IF(U324="Pending", "",
IF(U324="Closed Sale", "", "")))</f>
        <v/>
      </c>
      <c r="AE324" s="161" t="n"/>
      <c r="AF324" s="161" t="n"/>
      <c r="AG324" s="161" t="n"/>
      <c r="AH324" s="136" t="n"/>
      <c r="AI324" s="164">
        <f>IF(I324="","",TEXT(I324, "mmmm yyyy"))</f>
        <v/>
      </c>
      <c r="AJ324" s="164">
        <f>IF(AND(OpenPendingCases[[#This Row],[Sale Status	]]="Open Sale",OpenPendingCases[[#This Row],[Potential Same Month]]="High"),TEXT(OpenPendingCases[[#This Row],[Request Entry Date]], "[$-en-us]mmmm"),"")</f>
        <v/>
      </c>
      <c r="AK324" s="165">
        <f>IFERROR(VALUE(SUBSTITUTE(OpenPendingCases[[#This Row],[Price]]," AED","")),"")</f>
        <v/>
      </c>
      <c r="AL324" s="165">
        <f>IFERROR(VALUE(LEFT(OpenPendingCases[[#This Row],[Price]],FIND(" ",OpenPendingCases[[#This Row],[Price]])-1)),"")</f>
        <v/>
      </c>
      <c r="AM324" s="165">
        <f>IFERROR(VALUE(_xlfn.TEXTBEFORE(OpenPendingCases[[#This Row],[Price]]," AED")),"")</f>
        <v/>
      </c>
      <c r="AN324" s="165" t="n"/>
    </row>
    <row r="325" hidden="1" ht="18" customHeight="1" s="287">
      <c r="C325" s="133" t="n"/>
      <c r="D325" s="136">
        <f>IF($U325="Open Sale", IF(MAX($D$4:D324)+1=0, "", MAX($D$4:D324)+1), "")</f>
        <v/>
      </c>
      <c r="E325" s="136">
        <f>IF($U325="Pending Allocation", IF(MAX($E$4:E324)+1=0, "", MAX($E$4:E324)+1), "")</f>
        <v/>
      </c>
      <c r="F325" s="136" t="n"/>
      <c r="G325" s="136" t="n"/>
      <c r="H325" s="150" t="n"/>
      <c r="I325" s="150" t="n"/>
      <c r="J325" s="67">
        <f>IF(OpenPendingCases[[#This Row],[Timepiece Reference ]]="", "", IF(_xlfn.XLOOKUP(OpenPendingCases[[#This Row],[Timepiece Reference ]], Table1[[Timepiece Reference ]], Table1[CRC STOCK], "Not Found")="YES", "CRC Stock", "Boutique Stock"))</f>
        <v/>
      </c>
      <c r="K325" s="136">
        <f>IF(OpenPendingCases[[#This Row],[Timepiece Reference ]]="", "", IF(_xlfn.XLOOKUP(OpenPendingCases[[#This Row],[Timepiece Reference ]], Table1[[Timepiece Reference ]], Table1[CRC STOCK], "Not Found")="YES", "CRC Stock", "Boutique Stock"))</f>
        <v/>
      </c>
      <c r="L325" s="142" t="n"/>
      <c r="M325" s="140" t="n"/>
      <c r="N325" s="136" t="n"/>
      <c r="O325" s="133" t="n"/>
      <c r="P325" s="93">
        <f>IFERROR(VLOOKUP(TRIM(O325), Collection!$B$2:$D$1001, 2, FALSE), "")</f>
        <v/>
      </c>
      <c r="Q325" s="190">
        <f>IFERROR(VLOOKUP(TRIM(O325), Collection!$B$2:$D$1001, 3, FALSE), "")</f>
        <v/>
      </c>
      <c r="R325" s="153">
        <f>IFERROR(VALUE(SUBSTITUTE(SUBSTITUTE(Q325, "Price", ""), "AED", "")), "")</f>
        <v/>
      </c>
      <c r="S325" s="151" t="n"/>
      <c r="T325" s="158" t="n"/>
      <c r="U325" s="136" t="n"/>
      <c r="V325" s="136" t="n"/>
      <c r="W325" s="156">
        <f>IF(Z325 = "",
"",
TEXT(Z325, "mmmm"))</f>
        <v/>
      </c>
      <c r="X325" s="157" t="n"/>
      <c r="Y325" s="158" t="n"/>
      <c r="Z325" s="158" t="n"/>
      <c r="AA325" s="136">
        <f>IF(H325="", "", IF(U325="Open Sale", IF(TODAY()-H325=0, "0 Days", TEXT(TODAY()-H325, "0") &amp; " Days"), IF(U325="Closed Sale", AA325, "")))</f>
        <v/>
      </c>
      <c r="AB325" s="136">
        <f>IF(H325="", "", IF(OR(U325="Pending", U325="Pending Allocation"), CONCATENATE(TODAY()-H325, " Days"), IF(U325="Closed", "", "")))</f>
        <v/>
      </c>
      <c r="AC325" s="160">
        <f>IF(U325="Pending Allocation", IF(I325="", "", TODAY()-I325), "")</f>
        <v/>
      </c>
      <c r="AD325" s="159">
        <f>IF(U325="Open Sale", TEXT(TODAY()-I325, "0"),
IF(U325="Pending", "",
IF(U325="Closed Sale", "", "")))</f>
        <v/>
      </c>
      <c r="AE325" s="161" t="n"/>
      <c r="AF325" s="161" t="n"/>
      <c r="AG325" s="161" t="n"/>
      <c r="AH325" s="136" t="n"/>
      <c r="AI325" s="164">
        <f>IF(I325="","",TEXT(I325, "mmmm yyyy"))</f>
        <v/>
      </c>
      <c r="AJ325" s="164">
        <f>IF(AND(OpenPendingCases[[#This Row],[Sale Status	]]="Open Sale",OpenPendingCases[[#This Row],[Potential Same Month]]="High"),TEXT(OpenPendingCases[[#This Row],[Request Entry Date]], "[$-en-us]mmmm"),"")</f>
        <v/>
      </c>
      <c r="AK325" s="165">
        <f>IFERROR(VALUE(SUBSTITUTE(OpenPendingCases[[#This Row],[Price]]," AED","")),"")</f>
        <v/>
      </c>
      <c r="AL325" s="165">
        <f>IFERROR(VALUE(LEFT(OpenPendingCases[[#This Row],[Price]],FIND(" ",OpenPendingCases[[#This Row],[Price]])-1)),"")</f>
        <v/>
      </c>
      <c r="AM325" s="165">
        <f>IFERROR(VALUE(_xlfn.TEXTBEFORE(OpenPendingCases[[#This Row],[Price]]," AED")),"")</f>
        <v/>
      </c>
      <c r="AN325" s="165" t="n"/>
    </row>
    <row r="326" hidden="1" ht="18" customHeight="1" s="287">
      <c r="C326" s="133" t="n"/>
      <c r="D326" s="136">
        <f>IF($U326="Open Sale", IF(MAX($D$4:D325)+1=0, "", MAX($D$4:D325)+1), "")</f>
        <v/>
      </c>
      <c r="E326" s="136">
        <f>IF($U326="Pending Allocation", IF(MAX($E$4:E325)+1=0, "", MAX($E$4:E325)+1), "")</f>
        <v/>
      </c>
      <c r="F326" s="136" t="n"/>
      <c r="G326" s="136" t="n"/>
      <c r="H326" s="150" t="n"/>
      <c r="I326" s="150" t="n"/>
      <c r="J326" s="67">
        <f>IF(OpenPendingCases[[#This Row],[Timepiece Reference ]]="", "", IF(_xlfn.XLOOKUP(OpenPendingCases[[#This Row],[Timepiece Reference ]], Table1[[Timepiece Reference ]], Table1[CRC STOCK], "Not Found")="YES", "CRC Stock", "Boutique Stock"))</f>
        <v/>
      </c>
      <c r="K326" s="136">
        <f>IF(OpenPendingCases[[#This Row],[Timepiece Reference ]]="", "", IF(_xlfn.XLOOKUP(OpenPendingCases[[#This Row],[Timepiece Reference ]], Table1[[Timepiece Reference ]], Table1[CRC STOCK], "Not Found")="YES", "CRC Stock", "Boutique Stock"))</f>
        <v/>
      </c>
      <c r="L326" s="142" t="n"/>
      <c r="M326" s="140" t="n"/>
      <c r="N326" s="136" t="n"/>
      <c r="O326" s="133" t="n"/>
      <c r="P326" s="93">
        <f>IFERROR(VLOOKUP(TRIM(O326), Collection!$B$2:$D$1001, 2, FALSE), "")</f>
        <v/>
      </c>
      <c r="Q326" s="190">
        <f>IFERROR(VLOOKUP(TRIM(O326), Collection!$B$2:$D$1001, 3, FALSE), "")</f>
        <v/>
      </c>
      <c r="R326" s="153">
        <f>IFERROR(VALUE(SUBSTITUTE(SUBSTITUTE(Q326, "Price", ""), "AED", "")), "")</f>
        <v/>
      </c>
      <c r="S326" s="151" t="n"/>
      <c r="T326" s="158" t="n"/>
      <c r="U326" s="136" t="n"/>
      <c r="V326" s="136" t="n"/>
      <c r="W326" s="156">
        <f>IF(Z326 = "",
"",
TEXT(Z326, "mmmm"))</f>
        <v/>
      </c>
      <c r="X326" s="157" t="n"/>
      <c r="Y326" s="158" t="n"/>
      <c r="Z326" s="158" t="n"/>
      <c r="AA326" s="136">
        <f>IF(H326="", "", IF(U326="Open Sale", IF(TODAY()-H326=0, "0 Days", TEXT(TODAY()-H326, "0") &amp; " Days"), IF(U326="Closed Sale", AA326, "")))</f>
        <v/>
      </c>
      <c r="AB326" s="136">
        <f>IF(H326="", "", IF(OR(U326="Pending", U326="Pending Allocation"), CONCATENATE(TODAY()-H326, " Days"), IF(U326="Closed", "", "")))</f>
        <v/>
      </c>
      <c r="AC326" s="160">
        <f>IF(U326="Pending Allocation", IF(I326="", "", TODAY()-I326), "")</f>
        <v/>
      </c>
      <c r="AD326" s="159">
        <f>IF(U326="Open Sale", TEXT(TODAY()-I326, "0"),
IF(U326="Pending", "",
IF(U326="Closed Sale", "", "")))</f>
        <v/>
      </c>
      <c r="AE326" s="161" t="n"/>
      <c r="AF326" s="161" t="n"/>
      <c r="AG326" s="161" t="n"/>
      <c r="AH326" s="136" t="n"/>
      <c r="AI326" s="164">
        <f>IF(I326="","",TEXT(I326, "mmmm yyyy"))</f>
        <v/>
      </c>
      <c r="AJ326" s="164">
        <f>IF(AND(OpenPendingCases[[#This Row],[Sale Status	]]="Open Sale",OpenPendingCases[[#This Row],[Potential Same Month]]="High"),TEXT(OpenPendingCases[[#This Row],[Request Entry Date]], "[$-en-us]mmmm"),"")</f>
        <v/>
      </c>
      <c r="AK326" s="165">
        <f>IFERROR(VALUE(SUBSTITUTE(OpenPendingCases[[#This Row],[Price]]," AED","")),"")</f>
        <v/>
      </c>
      <c r="AL326" s="165">
        <f>IFERROR(VALUE(LEFT(OpenPendingCases[[#This Row],[Price]],FIND(" ",OpenPendingCases[[#This Row],[Price]])-1)),"")</f>
        <v/>
      </c>
      <c r="AM326" s="165">
        <f>IFERROR(VALUE(_xlfn.TEXTBEFORE(OpenPendingCases[[#This Row],[Price]]," AED")),"")</f>
        <v/>
      </c>
      <c r="AN326" s="165" t="n"/>
    </row>
    <row r="327" hidden="1" ht="18" customHeight="1" s="287">
      <c r="C327" s="133" t="n"/>
      <c r="D327" s="136">
        <f>IF($U327="Open Sale", IF(MAX($D$4:D326)+1=0, "", MAX($D$4:D326)+1), "")</f>
        <v/>
      </c>
      <c r="E327" s="136">
        <f>IF($U327="Pending Allocation", IF(MAX($E$4:E326)+1=0, "", MAX($E$4:E326)+1), "")</f>
        <v/>
      </c>
      <c r="F327" s="136" t="n"/>
      <c r="G327" s="136" t="n"/>
      <c r="H327" s="150" t="n"/>
      <c r="I327" s="150" t="n"/>
      <c r="J327" s="67">
        <f>IF(OpenPendingCases[[#This Row],[Timepiece Reference ]]="", "", IF(_xlfn.XLOOKUP(OpenPendingCases[[#This Row],[Timepiece Reference ]], Table1[[Timepiece Reference ]], Table1[CRC STOCK], "Not Found")="YES", "CRC Stock", "Boutique Stock"))</f>
        <v/>
      </c>
      <c r="K327" s="136">
        <f>IF(OpenPendingCases[[#This Row],[Timepiece Reference ]]="", "", IF(_xlfn.XLOOKUP(OpenPendingCases[[#This Row],[Timepiece Reference ]], Table1[[Timepiece Reference ]], Table1[CRC STOCK], "Not Found")="YES", "CRC Stock", "Boutique Stock"))</f>
        <v/>
      </c>
      <c r="L327" s="142" t="n"/>
      <c r="M327" s="140" t="n"/>
      <c r="N327" s="136" t="n"/>
      <c r="O327" s="133" t="n"/>
      <c r="P327" s="93">
        <f>IFERROR(VLOOKUP(TRIM(O327), Collection!$B$2:$D$1001, 2, FALSE), "")</f>
        <v/>
      </c>
      <c r="Q327" s="190">
        <f>IFERROR(VLOOKUP(TRIM(O327), Collection!$B$2:$D$1001, 3, FALSE), "")</f>
        <v/>
      </c>
      <c r="R327" s="153">
        <f>IFERROR(VALUE(SUBSTITUTE(SUBSTITUTE(Q327, "Price", ""), "AED", "")), "")</f>
        <v/>
      </c>
      <c r="S327" s="151" t="n"/>
      <c r="T327" s="158" t="n"/>
      <c r="U327" s="136" t="n"/>
      <c r="V327" s="136" t="n"/>
      <c r="W327" s="156">
        <f>IF(Z327 = "",
"",
TEXT(Z327, "mmmm"))</f>
        <v/>
      </c>
      <c r="X327" s="157" t="n"/>
      <c r="Y327" s="158" t="n"/>
      <c r="Z327" s="158" t="n"/>
      <c r="AA327" s="136">
        <f>IF(H327="", "", IF(U327="Open Sale", IF(TODAY()-H327=0, "0 Days", TEXT(TODAY()-H327, "0") &amp; " Days"), IF(U327="Closed Sale", AA327, "")))</f>
        <v/>
      </c>
      <c r="AB327" s="136">
        <f>IF(H327="", "", IF(OR(U327="Pending", U327="Pending Allocation"), CONCATENATE(TODAY()-H327, " Days"), IF(U327="Closed", "", "")))</f>
        <v/>
      </c>
      <c r="AC327" s="160">
        <f>IF(U327="Pending Allocation", IF(I327="", "", TODAY()-I327), "")</f>
        <v/>
      </c>
      <c r="AD327" s="159">
        <f>IF(U327="Open Sale", TEXT(TODAY()-I327, "0"),
IF(U327="Pending", "",
IF(U327="Closed Sale", "", "")))</f>
        <v/>
      </c>
      <c r="AE327" s="161" t="n"/>
      <c r="AF327" s="161" t="n"/>
      <c r="AG327" s="161" t="n"/>
      <c r="AH327" s="136" t="n"/>
      <c r="AI327" s="164">
        <f>IF(I327="","",TEXT(I327, "mmmm yyyy"))</f>
        <v/>
      </c>
      <c r="AJ327" s="164">
        <f>IF(AND(OpenPendingCases[[#This Row],[Sale Status	]]="Open Sale",OpenPendingCases[[#This Row],[Potential Same Month]]="High"),TEXT(OpenPendingCases[[#This Row],[Request Entry Date]], "[$-en-us]mmmm"),"")</f>
        <v/>
      </c>
      <c r="AK327" s="165">
        <f>IFERROR(VALUE(SUBSTITUTE(OpenPendingCases[[#This Row],[Price]]," AED","")),"")</f>
        <v/>
      </c>
      <c r="AL327" s="165">
        <f>IFERROR(VALUE(LEFT(OpenPendingCases[[#This Row],[Price]],FIND(" ",OpenPendingCases[[#This Row],[Price]])-1)),"")</f>
        <v/>
      </c>
      <c r="AM327" s="165">
        <f>IFERROR(VALUE(_xlfn.TEXTBEFORE(OpenPendingCases[[#This Row],[Price]]," AED")),"")</f>
        <v/>
      </c>
      <c r="AN327" s="165" t="n"/>
    </row>
    <row r="328" hidden="1" ht="18" customHeight="1" s="287">
      <c r="C328" s="133" t="n"/>
      <c r="D328" s="136">
        <f>IF($U328="Open Sale", IF(MAX($D$4:D327)+1=0, "", MAX($D$4:D327)+1), "")</f>
        <v/>
      </c>
      <c r="E328" s="136">
        <f>IF($U328="Pending Allocation", IF(MAX($E$4:E327)+1=0, "", MAX($E$4:E327)+1), "")</f>
        <v/>
      </c>
      <c r="F328" s="136" t="n"/>
      <c r="G328" s="136" t="n"/>
      <c r="H328" s="150" t="n"/>
      <c r="I328" s="150" t="n"/>
      <c r="J328" s="67">
        <f>IF(OpenPendingCases[[#This Row],[Timepiece Reference ]]="", "", IF(_xlfn.XLOOKUP(OpenPendingCases[[#This Row],[Timepiece Reference ]], Table1[[Timepiece Reference ]], Table1[CRC STOCK], "Not Found")="YES", "CRC Stock", "Boutique Stock"))</f>
        <v/>
      </c>
      <c r="K328" s="136">
        <f>IF(OpenPendingCases[[#This Row],[Timepiece Reference ]]="", "", IF(_xlfn.XLOOKUP(OpenPendingCases[[#This Row],[Timepiece Reference ]], Table1[[Timepiece Reference ]], Table1[CRC STOCK], "Not Found")="YES", "CRC Stock", "Boutique Stock"))</f>
        <v/>
      </c>
      <c r="L328" s="142" t="n"/>
      <c r="M328" s="140" t="n"/>
      <c r="N328" s="136" t="n"/>
      <c r="O328" s="133" t="n"/>
      <c r="P328" s="93">
        <f>IFERROR(VLOOKUP(TRIM(O328), Collection!$B$2:$D$1001, 2, FALSE), "")</f>
        <v/>
      </c>
      <c r="Q328" s="190">
        <f>IFERROR(VLOOKUP(TRIM(O328), Collection!$B$2:$D$1001, 3, FALSE), "")</f>
        <v/>
      </c>
      <c r="R328" s="153">
        <f>IFERROR(VALUE(SUBSTITUTE(SUBSTITUTE(Q328, "Price", ""), "AED", "")), "")</f>
        <v/>
      </c>
      <c r="S328" s="151" t="n"/>
      <c r="T328" s="158" t="n"/>
      <c r="U328" s="136" t="n"/>
      <c r="V328" s="136" t="n"/>
      <c r="W328" s="156">
        <f>IF(Z328 = "",
"",
TEXT(Z328, "mmmm"))</f>
        <v/>
      </c>
      <c r="X328" s="157" t="n"/>
      <c r="Y328" s="158" t="n"/>
      <c r="Z328" s="158" t="n"/>
      <c r="AA328" s="136">
        <f>IF(H328="", "", IF(U328="Open Sale", IF(TODAY()-H328=0, "0 Days", TEXT(TODAY()-H328, "0") &amp; " Days"), IF(U328="Closed Sale", AA328, "")))</f>
        <v/>
      </c>
      <c r="AB328" s="136">
        <f>IF(H328="", "", IF(OR(U328="Pending", U328="Pending Allocation"), CONCATENATE(TODAY()-H328, " Days"), IF(U328="Closed", "", "")))</f>
        <v/>
      </c>
      <c r="AC328" s="160">
        <f>IF(U328="Pending Allocation", IF(I328="", "", TODAY()-I328), "")</f>
        <v/>
      </c>
      <c r="AD328" s="159">
        <f>IF(U328="Open Sale", TEXT(TODAY()-I328, "0"),
IF(U328="Pending", "",
IF(U328="Closed Sale", "", "")))</f>
        <v/>
      </c>
      <c r="AE328" s="161" t="n"/>
      <c r="AF328" s="161" t="n"/>
      <c r="AG328" s="161" t="n"/>
      <c r="AH328" s="136" t="n"/>
      <c r="AI328" s="164">
        <f>IF(I328="","",TEXT(I328, "mmmm yyyy"))</f>
        <v/>
      </c>
      <c r="AJ328" s="164">
        <f>IF(AND(OpenPendingCases[[#This Row],[Sale Status	]]="Open Sale",OpenPendingCases[[#This Row],[Potential Same Month]]="High"),TEXT(OpenPendingCases[[#This Row],[Request Entry Date]], "[$-en-us]mmmm"),"")</f>
        <v/>
      </c>
      <c r="AK328" s="165">
        <f>IFERROR(VALUE(SUBSTITUTE(OpenPendingCases[[#This Row],[Price]]," AED","")),"")</f>
        <v/>
      </c>
      <c r="AL328" s="165">
        <f>IFERROR(VALUE(LEFT(OpenPendingCases[[#This Row],[Price]],FIND(" ",OpenPendingCases[[#This Row],[Price]])-1)),"")</f>
        <v/>
      </c>
      <c r="AM328" s="165">
        <f>IFERROR(VALUE(_xlfn.TEXTBEFORE(OpenPendingCases[[#This Row],[Price]]," AED")),"")</f>
        <v/>
      </c>
      <c r="AN328" s="165" t="n"/>
    </row>
    <row r="329" hidden="1" ht="18" customHeight="1" s="287">
      <c r="C329" s="133" t="n"/>
      <c r="D329" s="136">
        <f>IF($U329="Open Sale", IF(MAX($D$4:D328)+1=0, "", MAX($D$4:D328)+1), "")</f>
        <v/>
      </c>
      <c r="E329" s="136">
        <f>IF($U329="Pending Allocation", IF(MAX($E$4:E328)+1=0, "", MAX($E$4:E328)+1), "")</f>
        <v/>
      </c>
      <c r="F329" s="136" t="n"/>
      <c r="G329" s="136" t="n"/>
      <c r="H329" s="150" t="n"/>
      <c r="I329" s="150" t="n"/>
      <c r="J329" s="67">
        <f>IF(OpenPendingCases[[#This Row],[Timepiece Reference ]]="", "", IF(_xlfn.XLOOKUP(OpenPendingCases[[#This Row],[Timepiece Reference ]], Table1[[Timepiece Reference ]], Table1[CRC STOCK], "Not Found")="YES", "CRC Stock", "Boutique Stock"))</f>
        <v/>
      </c>
      <c r="K329" s="136">
        <f>IF(OpenPendingCases[[#This Row],[Timepiece Reference ]]="", "", IF(_xlfn.XLOOKUP(OpenPendingCases[[#This Row],[Timepiece Reference ]], Table1[[Timepiece Reference ]], Table1[CRC STOCK], "Not Found")="YES", "CRC Stock", "Boutique Stock"))</f>
        <v/>
      </c>
      <c r="L329" s="142" t="n"/>
      <c r="M329" s="140" t="n"/>
      <c r="N329" s="136" t="n"/>
      <c r="O329" s="133" t="n"/>
      <c r="P329" s="93">
        <f>IFERROR(VLOOKUP(TRIM(O329), Collection!$B$2:$D$1001, 2, FALSE), "")</f>
        <v/>
      </c>
      <c r="Q329" s="190">
        <f>IFERROR(VLOOKUP(TRIM(O329), Collection!$B$2:$D$1001, 3, FALSE), "")</f>
        <v/>
      </c>
      <c r="R329" s="153">
        <f>IFERROR(VALUE(SUBSTITUTE(SUBSTITUTE(Q329, "Price", ""), "AED", "")), "")</f>
        <v/>
      </c>
      <c r="S329" s="151" t="n"/>
      <c r="T329" s="158" t="n"/>
      <c r="U329" s="136" t="n"/>
      <c r="V329" s="136" t="n"/>
      <c r="W329" s="156">
        <f>IF(Z329 = "",
"",
TEXT(Z329, "mmmm"))</f>
        <v/>
      </c>
      <c r="X329" s="157" t="n"/>
      <c r="Y329" s="158" t="n"/>
      <c r="Z329" s="158" t="n"/>
      <c r="AA329" s="136">
        <f>IF(H329="", "", IF(U329="Open Sale", IF(TODAY()-H329=0, "0 Days", TEXT(TODAY()-H329, "0") &amp; " Days"), IF(U329="Closed Sale", AA329, "")))</f>
        <v/>
      </c>
      <c r="AB329" s="136">
        <f>IF(H329="", "", IF(OR(U329="Pending", U329="Pending Allocation"), CONCATENATE(TODAY()-H329, " Days"), IF(U329="Closed", "", "")))</f>
        <v/>
      </c>
      <c r="AC329" s="160">
        <f>IF(U329="Pending Allocation", IF(I329="", "", TODAY()-I329), "")</f>
        <v/>
      </c>
      <c r="AD329" s="159">
        <f>IF(U329="Open Sale", TEXT(TODAY()-I329, "0"),
IF(U329="Pending", "",
IF(U329="Closed Sale", "", "")))</f>
        <v/>
      </c>
      <c r="AE329" s="161" t="n"/>
      <c r="AF329" s="161" t="n"/>
      <c r="AG329" s="161" t="n"/>
      <c r="AH329" s="136" t="n"/>
      <c r="AI329" s="164">
        <f>IF(I329="","",TEXT(I329, "mmmm yyyy"))</f>
        <v/>
      </c>
      <c r="AJ329" s="164">
        <f>IF(AND(OpenPendingCases[[#This Row],[Sale Status	]]="Open Sale",OpenPendingCases[[#This Row],[Potential Same Month]]="High"),TEXT(OpenPendingCases[[#This Row],[Request Entry Date]], "[$-en-us]mmmm"),"")</f>
        <v/>
      </c>
      <c r="AK329" s="165">
        <f>IFERROR(VALUE(SUBSTITUTE(OpenPendingCases[[#This Row],[Price]]," AED","")),"")</f>
        <v/>
      </c>
      <c r="AL329" s="165">
        <f>IFERROR(VALUE(LEFT(OpenPendingCases[[#This Row],[Price]],FIND(" ",OpenPendingCases[[#This Row],[Price]])-1)),"")</f>
        <v/>
      </c>
      <c r="AM329" s="165">
        <f>IFERROR(VALUE(_xlfn.TEXTBEFORE(OpenPendingCases[[#This Row],[Price]]," AED")),"")</f>
        <v/>
      </c>
      <c r="AN329" s="165" t="n"/>
    </row>
    <row r="330" hidden="1" ht="18" customHeight="1" s="287">
      <c r="C330" s="133" t="n"/>
      <c r="D330" s="136">
        <f>IF($U330="Open Sale", IF(MAX($D$4:D329)+1=0, "", MAX($D$4:D329)+1), "")</f>
        <v/>
      </c>
      <c r="E330" s="136">
        <f>IF($U330="Pending Allocation", IF(MAX($E$4:E329)+1=0, "", MAX($E$4:E329)+1), "")</f>
        <v/>
      </c>
      <c r="F330" s="136" t="n"/>
      <c r="G330" s="136" t="n"/>
      <c r="H330" s="150" t="n"/>
      <c r="I330" s="150" t="n"/>
      <c r="J330" s="67">
        <f>IF(OpenPendingCases[[#This Row],[Timepiece Reference ]]="", "", IF(_xlfn.XLOOKUP(OpenPendingCases[[#This Row],[Timepiece Reference ]], Table1[[Timepiece Reference ]], Table1[CRC STOCK], "Not Found")="YES", "CRC Stock", "Boutique Stock"))</f>
        <v/>
      </c>
      <c r="K330" s="136">
        <f>IF(OpenPendingCases[[#This Row],[Timepiece Reference ]]="", "", IF(_xlfn.XLOOKUP(OpenPendingCases[[#This Row],[Timepiece Reference ]], Table1[[Timepiece Reference ]], Table1[CRC STOCK], "Not Found")="YES", "CRC Stock", "Boutique Stock"))</f>
        <v/>
      </c>
      <c r="L330" s="142" t="n"/>
      <c r="M330" s="140" t="n"/>
      <c r="N330" s="136" t="n"/>
      <c r="O330" s="133" t="n"/>
      <c r="P330" s="93">
        <f>IFERROR(VLOOKUP(TRIM(O330), Collection!$B$2:$D$1001, 2, FALSE), "")</f>
        <v/>
      </c>
      <c r="Q330" s="190">
        <f>IFERROR(VLOOKUP(TRIM(O330), Collection!$B$2:$D$1001, 3, FALSE), "")</f>
        <v/>
      </c>
      <c r="R330" s="153">
        <f>IFERROR(VALUE(SUBSTITUTE(SUBSTITUTE(Q330, "Price", ""), "AED", "")), "")</f>
        <v/>
      </c>
      <c r="S330" s="151" t="n"/>
      <c r="T330" s="158" t="n"/>
      <c r="U330" s="136" t="n"/>
      <c r="V330" s="136" t="n"/>
      <c r="W330" s="156">
        <f>IF(Z330 = "",
"",
TEXT(Z330, "mmmm"))</f>
        <v/>
      </c>
      <c r="X330" s="157" t="n"/>
      <c r="Y330" s="158" t="n"/>
      <c r="Z330" s="158" t="n"/>
      <c r="AA330" s="136">
        <f>IF(H330="", "", IF(U330="Open Sale", IF(TODAY()-H330=0, "0 Days", TEXT(TODAY()-H330, "0") &amp; " Days"), IF(U330="Closed Sale", AA330, "")))</f>
        <v/>
      </c>
      <c r="AB330" s="136">
        <f>IF(H330="", "", IF(OR(U330="Pending", U330="Pending Allocation"), CONCATENATE(TODAY()-H330, " Days"), IF(U330="Closed", "", "")))</f>
        <v/>
      </c>
      <c r="AC330" s="160">
        <f>IF(U330="Pending Allocation", IF(I330="", "", TODAY()-I330), "")</f>
        <v/>
      </c>
      <c r="AD330" s="159">
        <f>IF(U330="Open Sale", TEXT(TODAY()-I330, "0"),
IF(U330="Pending", "",
IF(U330="Closed Sale", "", "")))</f>
        <v/>
      </c>
      <c r="AE330" s="161" t="n"/>
      <c r="AF330" s="161" t="n"/>
      <c r="AG330" s="161" t="n"/>
      <c r="AH330" s="136" t="n"/>
      <c r="AI330" s="164">
        <f>IF(I330="","",TEXT(I330, "mmmm yyyy"))</f>
        <v/>
      </c>
      <c r="AJ330" s="164">
        <f>IF(AND(OpenPendingCases[[#This Row],[Sale Status	]]="Open Sale",OpenPendingCases[[#This Row],[Potential Same Month]]="High"),TEXT(OpenPendingCases[[#This Row],[Request Entry Date]], "[$-en-us]mmmm"),"")</f>
        <v/>
      </c>
      <c r="AK330" s="165">
        <f>IFERROR(VALUE(SUBSTITUTE(OpenPendingCases[[#This Row],[Price]]," AED","")),"")</f>
        <v/>
      </c>
      <c r="AL330" s="165">
        <f>IFERROR(VALUE(LEFT(OpenPendingCases[[#This Row],[Price]],FIND(" ",OpenPendingCases[[#This Row],[Price]])-1)),"")</f>
        <v/>
      </c>
      <c r="AM330" s="165">
        <f>IFERROR(VALUE(_xlfn.TEXTBEFORE(OpenPendingCases[[#This Row],[Price]]," AED")),"")</f>
        <v/>
      </c>
      <c r="AN330" s="165" t="n"/>
    </row>
    <row r="331" hidden="1" ht="18" customHeight="1" s="287">
      <c r="C331" s="133" t="n"/>
      <c r="D331" s="136">
        <f>IF($U331="Open Sale", IF(MAX($D$4:D330)+1=0, "", MAX($D$4:D330)+1), "")</f>
        <v/>
      </c>
      <c r="E331" s="136">
        <f>IF($U331="Pending Allocation", IF(MAX($E$4:E330)+1=0, "", MAX($E$4:E330)+1), "")</f>
        <v/>
      </c>
      <c r="F331" s="136" t="n"/>
      <c r="G331" s="136" t="n"/>
      <c r="H331" s="150" t="n"/>
      <c r="I331" s="150" t="n"/>
      <c r="J331" s="67">
        <f>IF(OpenPendingCases[[#This Row],[Timepiece Reference ]]="", "", IF(_xlfn.XLOOKUP(OpenPendingCases[[#This Row],[Timepiece Reference ]], Table1[[Timepiece Reference ]], Table1[CRC STOCK], "Not Found")="YES", "CRC Stock", "Boutique Stock"))</f>
        <v/>
      </c>
      <c r="K331" s="136">
        <f>IF(OpenPendingCases[[#This Row],[Timepiece Reference ]]="", "", IF(_xlfn.XLOOKUP(OpenPendingCases[[#This Row],[Timepiece Reference ]], Table1[[Timepiece Reference ]], Table1[CRC STOCK], "Not Found")="YES", "CRC Stock", "Boutique Stock"))</f>
        <v/>
      </c>
      <c r="L331" s="142" t="n"/>
      <c r="M331" s="140" t="n"/>
      <c r="N331" s="136" t="n"/>
      <c r="O331" s="133" t="n"/>
      <c r="P331" s="93">
        <f>IFERROR(VLOOKUP(TRIM(O331), Collection!$B$2:$D$1001, 2, FALSE), "")</f>
        <v/>
      </c>
      <c r="Q331" s="190">
        <f>IFERROR(VLOOKUP(TRIM(O331), Collection!$B$2:$D$1001, 3, FALSE), "")</f>
        <v/>
      </c>
      <c r="R331" s="153">
        <f>IFERROR(VALUE(SUBSTITUTE(SUBSTITUTE(Q331, "Price", ""), "AED", "")), "")</f>
        <v/>
      </c>
      <c r="S331" s="151" t="n"/>
      <c r="T331" s="158" t="n"/>
      <c r="U331" s="136" t="n"/>
      <c r="V331" s="136" t="n"/>
      <c r="W331" s="156">
        <f>IF(Z331 = "",
"",
TEXT(Z331, "mmmm"))</f>
        <v/>
      </c>
      <c r="X331" s="157" t="n"/>
      <c r="Y331" s="158" t="n"/>
      <c r="Z331" s="158" t="n"/>
      <c r="AA331" s="136">
        <f>IF(H331="", "", IF(U331="Open Sale", IF(TODAY()-H331=0, "0 Days", TEXT(TODAY()-H331, "0") &amp; " Days"), IF(U331="Closed Sale", AA331, "")))</f>
        <v/>
      </c>
      <c r="AB331" s="136">
        <f>IF(H331="", "", IF(OR(U331="Pending", U331="Pending Allocation"), CONCATENATE(TODAY()-H331, " Days"), IF(U331="Closed", "", "")))</f>
        <v/>
      </c>
      <c r="AC331" s="160">
        <f>IF(U331="Pending Allocation", IF(I331="", "", TODAY()-I331), "")</f>
        <v/>
      </c>
      <c r="AD331" s="159">
        <f>IF(U331="Open Sale", TEXT(TODAY()-I331, "0"),
IF(U331="Pending", "",
IF(U331="Closed Sale", "", "")))</f>
        <v/>
      </c>
      <c r="AE331" s="161" t="n"/>
      <c r="AF331" s="161" t="n"/>
      <c r="AG331" s="161" t="n"/>
      <c r="AH331" s="136" t="n"/>
      <c r="AI331" s="164">
        <f>IF(I331="","",TEXT(I331, "mmmm yyyy"))</f>
        <v/>
      </c>
      <c r="AJ331" s="164">
        <f>IF(AND(OpenPendingCases[[#This Row],[Sale Status	]]="Open Sale",OpenPendingCases[[#This Row],[Potential Same Month]]="High"),TEXT(OpenPendingCases[[#This Row],[Request Entry Date]], "[$-en-us]mmmm"),"")</f>
        <v/>
      </c>
      <c r="AK331" s="165">
        <f>IFERROR(VALUE(SUBSTITUTE(OpenPendingCases[[#This Row],[Price]]," AED","")),"")</f>
        <v/>
      </c>
      <c r="AL331" s="165">
        <f>IFERROR(VALUE(LEFT(OpenPendingCases[[#This Row],[Price]],FIND(" ",OpenPendingCases[[#This Row],[Price]])-1)),"")</f>
        <v/>
      </c>
      <c r="AM331" s="165">
        <f>IFERROR(VALUE(_xlfn.TEXTBEFORE(OpenPendingCases[[#This Row],[Price]]," AED")),"")</f>
        <v/>
      </c>
      <c r="AN331" s="165" t="n"/>
    </row>
    <row r="332" hidden="1" ht="18" customHeight="1" s="287">
      <c r="C332" s="133" t="n"/>
      <c r="D332" s="136">
        <f>IF($U332="Open Sale", IF(MAX($D$4:D331)+1=0, "", MAX($D$4:D331)+1), "")</f>
        <v/>
      </c>
      <c r="E332" s="136">
        <f>IF($U332="Pending Allocation", IF(MAX($E$4:E331)+1=0, "", MAX($E$4:E331)+1), "")</f>
        <v/>
      </c>
      <c r="F332" s="136" t="n"/>
      <c r="G332" s="136" t="n"/>
      <c r="H332" s="150" t="n"/>
      <c r="I332" s="150" t="n"/>
      <c r="J332" s="67">
        <f>IF(OpenPendingCases[[#This Row],[Timepiece Reference ]]="", "", IF(_xlfn.XLOOKUP(OpenPendingCases[[#This Row],[Timepiece Reference ]], Table1[[Timepiece Reference ]], Table1[CRC STOCK], "Not Found")="YES", "CRC Stock", "Boutique Stock"))</f>
        <v/>
      </c>
      <c r="K332" s="136">
        <f>IF(OpenPendingCases[[#This Row],[Timepiece Reference ]]="", "", IF(_xlfn.XLOOKUP(OpenPendingCases[[#This Row],[Timepiece Reference ]], Table1[[Timepiece Reference ]], Table1[CRC STOCK], "Not Found")="YES", "CRC Stock", "Boutique Stock"))</f>
        <v/>
      </c>
      <c r="L332" s="142" t="n"/>
      <c r="M332" s="140" t="n"/>
      <c r="N332" s="136" t="n"/>
      <c r="O332" s="133" t="n"/>
      <c r="P332" s="93">
        <f>IFERROR(VLOOKUP(TRIM(O332), Collection!$B$2:$D$1001, 2, FALSE), "")</f>
        <v/>
      </c>
      <c r="Q332" s="190">
        <f>IFERROR(VLOOKUP(TRIM(O332), Collection!$B$2:$D$1001, 3, FALSE), "")</f>
        <v/>
      </c>
      <c r="R332" s="153">
        <f>IFERROR(VALUE(SUBSTITUTE(SUBSTITUTE(Q332, "Price", ""), "AED", "")), "")</f>
        <v/>
      </c>
      <c r="S332" s="151" t="n"/>
      <c r="T332" s="158" t="n"/>
      <c r="U332" s="136" t="n"/>
      <c r="V332" s="136" t="n"/>
      <c r="W332" s="156">
        <f>IF(Z332 = "",
"",
TEXT(Z332, "mmmm"))</f>
        <v/>
      </c>
      <c r="X332" s="157" t="n"/>
      <c r="Y332" s="158" t="n"/>
      <c r="Z332" s="158" t="n"/>
      <c r="AA332" s="136">
        <f>IF(H332="", "", IF(U332="Open Sale", IF(TODAY()-H332=0, "0 Days", TEXT(TODAY()-H332, "0") &amp; " Days"), IF(U332="Closed Sale", AA332, "")))</f>
        <v/>
      </c>
      <c r="AB332" s="136">
        <f>IF(H332="", "", IF(OR(U332="Pending", U332="Pending Allocation"), CONCATENATE(TODAY()-H332, " Days"), IF(U332="Closed", "", "")))</f>
        <v/>
      </c>
      <c r="AC332" s="160">
        <f>IF(U332="Pending Allocation", IF(I332="", "", TODAY()-I332), "")</f>
        <v/>
      </c>
      <c r="AD332" s="159">
        <f>IF(U332="Open Sale", TEXT(TODAY()-I332, "0"),
IF(U332="Pending", "",
IF(U332="Closed Sale", "", "")))</f>
        <v/>
      </c>
      <c r="AE332" s="161" t="n"/>
      <c r="AF332" s="161" t="n"/>
      <c r="AG332" s="161" t="n"/>
      <c r="AH332" s="136" t="n"/>
      <c r="AI332" s="164">
        <f>IF(I332="","",TEXT(I332, "mmmm yyyy"))</f>
        <v/>
      </c>
      <c r="AJ332" s="164">
        <f>IF(AND(OpenPendingCases[[#This Row],[Sale Status	]]="Open Sale",OpenPendingCases[[#This Row],[Potential Same Month]]="High"),TEXT(OpenPendingCases[[#This Row],[Request Entry Date]], "[$-en-us]mmmm"),"")</f>
        <v/>
      </c>
      <c r="AK332" s="165">
        <f>IFERROR(VALUE(SUBSTITUTE(OpenPendingCases[[#This Row],[Price]]," AED","")),"")</f>
        <v/>
      </c>
      <c r="AL332" s="165">
        <f>IFERROR(VALUE(LEFT(OpenPendingCases[[#This Row],[Price]],FIND(" ",OpenPendingCases[[#This Row],[Price]])-1)),"")</f>
        <v/>
      </c>
      <c r="AM332" s="165">
        <f>IFERROR(VALUE(_xlfn.TEXTBEFORE(OpenPendingCases[[#This Row],[Price]]," AED")),"")</f>
        <v/>
      </c>
      <c r="AN332" s="165" t="n"/>
    </row>
    <row r="333" hidden="1" ht="18" customHeight="1" s="287">
      <c r="C333" s="133" t="n"/>
      <c r="D333" s="136">
        <f>IF($U333="Open Sale", IF(MAX($D$4:D332)+1=0, "", MAX($D$4:D332)+1), "")</f>
        <v/>
      </c>
      <c r="E333" s="136">
        <f>IF($U333="Pending Allocation", IF(MAX($E$4:E332)+1=0, "", MAX($E$4:E332)+1), "")</f>
        <v/>
      </c>
      <c r="F333" s="136" t="n"/>
      <c r="G333" s="136" t="n"/>
      <c r="H333" s="150" t="n"/>
      <c r="I333" s="150" t="n"/>
      <c r="J333" s="67">
        <f>IF(OpenPendingCases[[#This Row],[Timepiece Reference ]]="", "", IF(_xlfn.XLOOKUP(OpenPendingCases[[#This Row],[Timepiece Reference ]], Table1[[Timepiece Reference ]], Table1[CRC STOCK], "Not Found")="YES", "CRC Stock", "Boutique Stock"))</f>
        <v/>
      </c>
      <c r="K333" s="136">
        <f>IF(OpenPendingCases[[#This Row],[Timepiece Reference ]]="", "", IF(_xlfn.XLOOKUP(OpenPendingCases[[#This Row],[Timepiece Reference ]], Table1[[Timepiece Reference ]], Table1[CRC STOCK], "Not Found")="YES", "CRC Stock", "Boutique Stock"))</f>
        <v/>
      </c>
      <c r="L333" s="142" t="n"/>
      <c r="M333" s="140" t="n"/>
      <c r="N333" s="136" t="n"/>
      <c r="O333" s="133" t="n"/>
      <c r="P333" s="93">
        <f>IFERROR(VLOOKUP(TRIM(O333), Collection!$B$2:$D$1001, 2, FALSE), "")</f>
        <v/>
      </c>
      <c r="Q333" s="190">
        <f>IFERROR(VLOOKUP(TRIM(O333), Collection!$B$2:$D$1001, 3, FALSE), "")</f>
        <v/>
      </c>
      <c r="R333" s="153">
        <f>IFERROR(VALUE(SUBSTITUTE(SUBSTITUTE(Q333, "Price", ""), "AED", "")), "")</f>
        <v/>
      </c>
      <c r="S333" s="151" t="n"/>
      <c r="T333" s="158" t="n"/>
      <c r="U333" s="136" t="n"/>
      <c r="V333" s="136" t="n"/>
      <c r="W333" s="156">
        <f>IF(Z333 = "",
"",
TEXT(Z333, "mmmm"))</f>
        <v/>
      </c>
      <c r="X333" s="157" t="n"/>
      <c r="Y333" s="158" t="n"/>
      <c r="Z333" s="158" t="n"/>
      <c r="AA333" s="136">
        <f>IF(H333="", "", IF(U333="Open Sale", IF(TODAY()-H333=0, "0 Days", TEXT(TODAY()-H333, "0") &amp; " Days"), IF(U333="Closed Sale", AA333, "")))</f>
        <v/>
      </c>
      <c r="AB333" s="136">
        <f>IF(H333="", "", IF(OR(U333="Pending", U333="Pending Allocation"), CONCATENATE(TODAY()-H333, " Days"), IF(U333="Closed", "", "")))</f>
        <v/>
      </c>
      <c r="AC333" s="160">
        <f>IF(U333="Pending Allocation", IF(I333="", "", TODAY()-I333), "")</f>
        <v/>
      </c>
      <c r="AD333" s="159">
        <f>IF(U333="Open Sale", TEXT(TODAY()-I333, "0"),
IF(U333="Pending", "",
IF(U333="Closed Sale", "", "")))</f>
        <v/>
      </c>
      <c r="AE333" s="161" t="n"/>
      <c r="AF333" s="161" t="n"/>
      <c r="AG333" s="161" t="n"/>
      <c r="AH333" s="136" t="n"/>
      <c r="AI333" s="164">
        <f>IF(I333="","",TEXT(I333, "mmmm yyyy"))</f>
        <v/>
      </c>
      <c r="AJ333" s="164">
        <f>IF(AND(OpenPendingCases[[#This Row],[Sale Status	]]="Open Sale",OpenPendingCases[[#This Row],[Potential Same Month]]="High"),TEXT(OpenPendingCases[[#This Row],[Request Entry Date]], "[$-en-us]mmmm"),"")</f>
        <v/>
      </c>
      <c r="AK333" s="165">
        <f>IFERROR(VALUE(SUBSTITUTE(OpenPendingCases[[#This Row],[Price]]," AED","")),"")</f>
        <v/>
      </c>
      <c r="AL333" s="165">
        <f>IFERROR(VALUE(LEFT(OpenPendingCases[[#This Row],[Price]],FIND(" ",OpenPendingCases[[#This Row],[Price]])-1)),"")</f>
        <v/>
      </c>
      <c r="AM333" s="165">
        <f>IFERROR(VALUE(_xlfn.TEXTBEFORE(OpenPendingCases[[#This Row],[Price]]," AED")),"")</f>
        <v/>
      </c>
      <c r="AN333" s="165" t="n"/>
    </row>
    <row r="334" hidden="1" ht="18" customHeight="1" s="287">
      <c r="C334" s="133" t="n"/>
      <c r="D334" s="136">
        <f>IF($U334="Open Sale", IF(MAX($D$4:D333)+1=0, "", MAX($D$4:D333)+1), "")</f>
        <v/>
      </c>
      <c r="E334" s="136">
        <f>IF($U334="Pending Allocation", IF(MAX($E$4:E333)+1=0, "", MAX($E$4:E333)+1), "")</f>
        <v/>
      </c>
      <c r="F334" s="136" t="n"/>
      <c r="G334" s="136" t="n"/>
      <c r="H334" s="150" t="n"/>
      <c r="I334" s="150" t="n"/>
      <c r="J334" s="67">
        <f>IF(OpenPendingCases[[#This Row],[Timepiece Reference ]]="", "", IF(_xlfn.XLOOKUP(OpenPendingCases[[#This Row],[Timepiece Reference ]], Table1[[Timepiece Reference ]], Table1[CRC STOCK], "Not Found")="YES", "CRC Stock", "Boutique Stock"))</f>
        <v/>
      </c>
      <c r="K334" s="136">
        <f>IF(OpenPendingCases[[#This Row],[Timepiece Reference ]]="", "", IF(_xlfn.XLOOKUP(OpenPendingCases[[#This Row],[Timepiece Reference ]], Table1[[Timepiece Reference ]], Table1[CRC STOCK], "Not Found")="YES", "CRC Stock", "Boutique Stock"))</f>
        <v/>
      </c>
      <c r="L334" s="142" t="n"/>
      <c r="M334" s="140" t="n"/>
      <c r="N334" s="136" t="n"/>
      <c r="O334" s="133" t="n"/>
      <c r="P334" s="93">
        <f>IFERROR(VLOOKUP(TRIM(O334), Collection!$B$2:$D$1001, 2, FALSE), "")</f>
        <v/>
      </c>
      <c r="Q334" s="190">
        <f>IFERROR(VLOOKUP(TRIM(O334), Collection!$B$2:$D$1001, 3, FALSE), "")</f>
        <v/>
      </c>
      <c r="R334" s="153">
        <f>IFERROR(VALUE(SUBSTITUTE(SUBSTITUTE(Q334, "Price", ""), "AED", "")), "")</f>
        <v/>
      </c>
      <c r="S334" s="151" t="n"/>
      <c r="T334" s="158" t="n"/>
      <c r="U334" s="136" t="n"/>
      <c r="V334" s="136" t="n"/>
      <c r="W334" s="156">
        <f>IF(Z334 = "",
"",
TEXT(Z334, "mmmm"))</f>
        <v/>
      </c>
      <c r="X334" s="157" t="n"/>
      <c r="Y334" s="158" t="n"/>
      <c r="Z334" s="158" t="n"/>
      <c r="AA334" s="136">
        <f>IF(H334="", "", IF(U334="Open Sale", IF(TODAY()-H334=0, "0 Days", TEXT(TODAY()-H334, "0") &amp; " Days"), IF(U334="Closed Sale", AA334, "")))</f>
        <v/>
      </c>
      <c r="AB334" s="136">
        <f>IF(H334="", "", IF(OR(U334="Pending", U334="Pending Allocation"), CONCATENATE(TODAY()-H334, " Days"), IF(U334="Closed", "", "")))</f>
        <v/>
      </c>
      <c r="AC334" s="160">
        <f>IF(U334="Pending Allocation", IF(I334="", "", TODAY()-I334), "")</f>
        <v/>
      </c>
      <c r="AD334" s="159">
        <f>IF(U334="Open Sale", TEXT(TODAY()-I334, "0"),
IF(U334="Pending", "",
IF(U334="Closed Sale", "", "")))</f>
        <v/>
      </c>
      <c r="AE334" s="161" t="n"/>
      <c r="AF334" s="161" t="n"/>
      <c r="AG334" s="161" t="n"/>
      <c r="AH334" s="136" t="n"/>
      <c r="AI334" s="164">
        <f>IF(I334="","",TEXT(I334, "mmmm yyyy"))</f>
        <v/>
      </c>
      <c r="AJ334" s="164">
        <f>IF(AND(OpenPendingCases[[#This Row],[Sale Status	]]="Open Sale",OpenPendingCases[[#This Row],[Potential Same Month]]="High"),TEXT(OpenPendingCases[[#This Row],[Request Entry Date]], "[$-en-us]mmmm"),"")</f>
        <v/>
      </c>
      <c r="AK334" s="165">
        <f>IFERROR(VALUE(SUBSTITUTE(OpenPendingCases[[#This Row],[Price]]," AED","")),"")</f>
        <v/>
      </c>
      <c r="AL334" s="165">
        <f>IFERROR(VALUE(LEFT(OpenPendingCases[[#This Row],[Price]],FIND(" ",OpenPendingCases[[#This Row],[Price]])-1)),"")</f>
        <v/>
      </c>
      <c r="AM334" s="165">
        <f>IFERROR(VALUE(_xlfn.TEXTBEFORE(OpenPendingCases[[#This Row],[Price]]," AED")),"")</f>
        <v/>
      </c>
      <c r="AN334" s="165" t="n"/>
    </row>
    <row r="335" hidden="1" ht="18" customHeight="1" s="287">
      <c r="C335" s="133" t="n"/>
      <c r="D335" s="136">
        <f>IF($U335="Open Sale", IF(MAX($D$4:D334)+1=0, "", MAX($D$4:D334)+1), "")</f>
        <v/>
      </c>
      <c r="E335" s="136">
        <f>IF($U335="Pending Allocation", IF(MAX($E$4:E334)+1=0, "", MAX($E$4:E334)+1), "")</f>
        <v/>
      </c>
      <c r="F335" s="136" t="n"/>
      <c r="G335" s="136" t="n"/>
      <c r="H335" s="150" t="n"/>
      <c r="I335" s="150" t="n"/>
      <c r="J335" s="67">
        <f>IF(OpenPendingCases[[#This Row],[Timepiece Reference ]]="", "", IF(_xlfn.XLOOKUP(OpenPendingCases[[#This Row],[Timepiece Reference ]], Table1[[Timepiece Reference ]], Table1[CRC STOCK], "Not Found")="YES", "CRC Stock", "Boutique Stock"))</f>
        <v/>
      </c>
      <c r="K335" s="136">
        <f>IF(OpenPendingCases[[#This Row],[Timepiece Reference ]]="", "", IF(_xlfn.XLOOKUP(OpenPendingCases[[#This Row],[Timepiece Reference ]], Table1[[Timepiece Reference ]], Table1[CRC STOCK], "Not Found")="YES", "CRC Stock", "Boutique Stock"))</f>
        <v/>
      </c>
      <c r="L335" s="142" t="n"/>
      <c r="M335" s="140" t="n"/>
      <c r="N335" s="136" t="n"/>
      <c r="O335" s="133" t="n"/>
      <c r="P335" s="93">
        <f>IFERROR(VLOOKUP(TRIM(O335), Collection!$B$2:$D$1001, 2, FALSE), "")</f>
        <v/>
      </c>
      <c r="Q335" s="190">
        <f>IFERROR(VLOOKUP(TRIM(O335), Collection!$B$2:$D$1001, 3, FALSE), "")</f>
        <v/>
      </c>
      <c r="R335" s="153">
        <f>IFERROR(VALUE(SUBSTITUTE(SUBSTITUTE(Q335, "Price", ""), "AED", "")), "")</f>
        <v/>
      </c>
      <c r="S335" s="151" t="n"/>
      <c r="T335" s="158" t="n"/>
      <c r="U335" s="136" t="n"/>
      <c r="V335" s="136" t="n"/>
      <c r="W335" s="156">
        <f>IF(Z335 = "",
"",
TEXT(Z335, "mmmm"))</f>
        <v/>
      </c>
      <c r="X335" s="157" t="n"/>
      <c r="Y335" s="158" t="n"/>
      <c r="Z335" s="158" t="n"/>
      <c r="AA335" s="136">
        <f>IF(H335="", "", IF(U335="Open Sale", IF(TODAY()-H335=0, "0 Days", TEXT(TODAY()-H335, "0") &amp; " Days"), IF(U335="Closed Sale", AA335, "")))</f>
        <v/>
      </c>
      <c r="AB335" s="136">
        <f>IF(H335="", "", IF(OR(U335="Pending", U335="Pending Allocation"), CONCATENATE(TODAY()-H335, " Days"), IF(U335="Closed", "", "")))</f>
        <v/>
      </c>
      <c r="AC335" s="160">
        <f>IF(U335="Pending Allocation", IF(I335="", "", TODAY()-I335), "")</f>
        <v/>
      </c>
      <c r="AD335" s="159">
        <f>IF(U335="Open Sale", TEXT(TODAY()-I335, "0"),
IF(U335="Pending", "",
IF(U335="Closed Sale", "", "")))</f>
        <v/>
      </c>
      <c r="AE335" s="161" t="n"/>
      <c r="AF335" s="161" t="n"/>
      <c r="AG335" s="161" t="n"/>
      <c r="AH335" s="136" t="n"/>
      <c r="AI335" s="164">
        <f>IF(I335="","",TEXT(I335, "mmmm yyyy"))</f>
        <v/>
      </c>
      <c r="AJ335" s="164">
        <f>IF(AND(OpenPendingCases[[#This Row],[Sale Status	]]="Open Sale",OpenPendingCases[[#This Row],[Potential Same Month]]="High"),TEXT(OpenPendingCases[[#This Row],[Request Entry Date]], "[$-en-us]mmmm"),"")</f>
        <v/>
      </c>
      <c r="AK335" s="165">
        <f>IFERROR(VALUE(SUBSTITUTE(OpenPendingCases[[#This Row],[Price]]," AED","")),"")</f>
        <v/>
      </c>
      <c r="AL335" s="165">
        <f>IFERROR(VALUE(LEFT(OpenPendingCases[[#This Row],[Price]],FIND(" ",OpenPendingCases[[#This Row],[Price]])-1)),"")</f>
        <v/>
      </c>
      <c r="AM335" s="165">
        <f>IFERROR(VALUE(_xlfn.TEXTBEFORE(OpenPendingCases[[#This Row],[Price]]," AED")),"")</f>
        <v/>
      </c>
      <c r="AN335" s="165" t="n"/>
    </row>
    <row r="336" hidden="1" ht="18" customHeight="1" s="287">
      <c r="C336" s="133" t="n"/>
      <c r="D336" s="136">
        <f>IF($U336="Open Sale", IF(MAX($D$4:D335)+1=0, "", MAX($D$4:D335)+1), "")</f>
        <v/>
      </c>
      <c r="E336" s="136">
        <f>IF($U336="Pending Allocation", IF(MAX($E$4:E335)+1=0, "", MAX($E$4:E335)+1), "")</f>
        <v/>
      </c>
      <c r="F336" s="136" t="n"/>
      <c r="G336" s="136" t="n"/>
      <c r="H336" s="150" t="n"/>
      <c r="I336" s="150" t="n"/>
      <c r="J336" s="67">
        <f>IF(OpenPendingCases[[#This Row],[Timepiece Reference ]]="", "", IF(_xlfn.XLOOKUP(OpenPendingCases[[#This Row],[Timepiece Reference ]], Table1[[Timepiece Reference ]], Table1[CRC STOCK], "Not Found")="YES", "CRC Stock", "Boutique Stock"))</f>
        <v/>
      </c>
      <c r="K336" s="136">
        <f>IF(OpenPendingCases[[#This Row],[Timepiece Reference ]]="", "", IF(_xlfn.XLOOKUP(OpenPendingCases[[#This Row],[Timepiece Reference ]], Table1[[Timepiece Reference ]], Table1[CRC STOCK], "Not Found")="YES", "CRC Stock", "Boutique Stock"))</f>
        <v/>
      </c>
      <c r="L336" s="142" t="n"/>
      <c r="M336" s="140" t="n"/>
      <c r="N336" s="136" t="n"/>
      <c r="O336" s="133" t="n"/>
      <c r="P336" s="93">
        <f>IFERROR(VLOOKUP(TRIM(O336), Collection!$B$2:$D$1001, 2, FALSE), "")</f>
        <v/>
      </c>
      <c r="Q336" s="190">
        <f>IFERROR(VLOOKUP(TRIM(O336), Collection!$B$2:$D$1001, 3, FALSE), "")</f>
        <v/>
      </c>
      <c r="R336" s="153">
        <f>IFERROR(VALUE(SUBSTITUTE(SUBSTITUTE(Q336, "Price", ""), "AED", "")), "")</f>
        <v/>
      </c>
      <c r="S336" s="151" t="n"/>
      <c r="T336" s="158" t="n"/>
      <c r="U336" s="136" t="n"/>
      <c r="V336" s="136" t="n"/>
      <c r="W336" s="156">
        <f>IF(Z336 = "",
"",
TEXT(Z336, "mmmm"))</f>
        <v/>
      </c>
      <c r="X336" s="157" t="n"/>
      <c r="Y336" s="158" t="n"/>
      <c r="Z336" s="158" t="n"/>
      <c r="AA336" s="136">
        <f>IF(H336="", "", IF(U336="Open Sale", IF(TODAY()-H336=0, "0 Days", TEXT(TODAY()-H336, "0") &amp; " Days"), IF(U336="Closed Sale", AA336, "")))</f>
        <v/>
      </c>
      <c r="AB336" s="136">
        <f>IF(H336="", "", IF(OR(U336="Pending", U336="Pending Allocation"), CONCATENATE(TODAY()-H336, " Days"), IF(U336="Closed", "", "")))</f>
        <v/>
      </c>
      <c r="AC336" s="160">
        <f>IF(U336="Pending Allocation", IF(I336="", "", TODAY()-I336), "")</f>
        <v/>
      </c>
      <c r="AD336" s="159">
        <f>IF(U336="Open Sale", TEXT(TODAY()-I336, "0"),
IF(U336="Pending", "",
IF(U336="Closed Sale", "", "")))</f>
        <v/>
      </c>
      <c r="AE336" s="161" t="n"/>
      <c r="AF336" s="161" t="n"/>
      <c r="AG336" s="161" t="n"/>
      <c r="AH336" s="136" t="n"/>
      <c r="AI336" s="164">
        <f>IF(I336="","",TEXT(I336, "mmmm yyyy"))</f>
        <v/>
      </c>
      <c r="AJ336" s="164">
        <f>IF(AND(OpenPendingCases[[#This Row],[Sale Status	]]="Open Sale",OpenPendingCases[[#This Row],[Potential Same Month]]="High"),TEXT(OpenPendingCases[[#This Row],[Request Entry Date]], "[$-en-us]mmmm"),"")</f>
        <v/>
      </c>
      <c r="AK336" s="165">
        <f>IFERROR(VALUE(SUBSTITUTE(OpenPendingCases[[#This Row],[Price]]," AED","")),"")</f>
        <v/>
      </c>
      <c r="AL336" s="165">
        <f>IFERROR(VALUE(LEFT(OpenPendingCases[[#This Row],[Price]],FIND(" ",OpenPendingCases[[#This Row],[Price]])-1)),"")</f>
        <v/>
      </c>
      <c r="AM336" s="165">
        <f>IFERROR(VALUE(_xlfn.TEXTBEFORE(OpenPendingCases[[#This Row],[Price]]," AED")),"")</f>
        <v/>
      </c>
      <c r="AN336" s="165" t="n"/>
    </row>
    <row r="337" hidden="1" ht="18" customHeight="1" s="287">
      <c r="C337" s="133" t="n"/>
      <c r="D337" s="136">
        <f>IF($U337="Open Sale", IF(MAX($D$4:D336)+1=0, "", MAX($D$4:D336)+1), "")</f>
        <v/>
      </c>
      <c r="E337" s="136">
        <f>IF($U337="Pending Allocation", IF(MAX($E$4:E336)+1=0, "", MAX($E$4:E336)+1), "")</f>
        <v/>
      </c>
      <c r="F337" s="136" t="n"/>
      <c r="G337" s="136" t="n"/>
      <c r="H337" s="150" t="n"/>
      <c r="I337" s="150" t="n"/>
      <c r="J337" s="67">
        <f>IF(OpenPendingCases[[#This Row],[Timepiece Reference ]]="", "", IF(_xlfn.XLOOKUP(OpenPendingCases[[#This Row],[Timepiece Reference ]], Table1[[Timepiece Reference ]], Table1[CRC STOCK], "Not Found")="YES", "CRC Stock", "Boutique Stock"))</f>
        <v/>
      </c>
      <c r="K337" s="136">
        <f>IF(OpenPendingCases[[#This Row],[Timepiece Reference ]]="", "", IF(_xlfn.XLOOKUP(OpenPendingCases[[#This Row],[Timepiece Reference ]], Table1[[Timepiece Reference ]], Table1[CRC STOCK], "Not Found")="YES", "CRC Stock", "Boutique Stock"))</f>
        <v/>
      </c>
      <c r="L337" s="142" t="n"/>
      <c r="M337" s="140" t="n"/>
      <c r="N337" s="136" t="n"/>
      <c r="O337" s="133" t="n"/>
      <c r="P337" s="93">
        <f>IFERROR(VLOOKUP(TRIM(O337), Collection!$B$2:$D$1001, 2, FALSE), "")</f>
        <v/>
      </c>
      <c r="Q337" s="190">
        <f>IFERROR(VLOOKUP(TRIM(O337), Collection!$B$2:$D$1001, 3, FALSE), "")</f>
        <v/>
      </c>
      <c r="R337" s="153">
        <f>IFERROR(VALUE(SUBSTITUTE(SUBSTITUTE(Q337, "Price", ""), "AED", "")), "")</f>
        <v/>
      </c>
      <c r="S337" s="151" t="n"/>
      <c r="T337" s="158" t="n"/>
      <c r="U337" s="136" t="n"/>
      <c r="V337" s="136" t="n"/>
      <c r="W337" s="156">
        <f>IF(Z337 = "",
"",
TEXT(Z337, "mmmm"))</f>
        <v/>
      </c>
      <c r="X337" s="157" t="n"/>
      <c r="Y337" s="158" t="n"/>
      <c r="Z337" s="158" t="n"/>
      <c r="AA337" s="136">
        <f>IF(H337="", "", IF(U337="Open Sale", IF(TODAY()-H337=0, "0 Days", TEXT(TODAY()-H337, "0") &amp; " Days"), IF(U337="Closed Sale", AA337, "")))</f>
        <v/>
      </c>
      <c r="AB337" s="136">
        <f>IF(H337="", "", IF(OR(U337="Pending", U337="Pending Allocation"), CONCATENATE(TODAY()-H337, " Days"), IF(U337="Closed", "", "")))</f>
        <v/>
      </c>
      <c r="AC337" s="160">
        <f>IF(U337="Pending Allocation", IF(I337="", "", TODAY()-I337), "")</f>
        <v/>
      </c>
      <c r="AD337" s="159">
        <f>IF(U337="Open Sale", TEXT(TODAY()-I337, "0"),
IF(U337="Pending", "",
IF(U337="Closed Sale", "", "")))</f>
        <v/>
      </c>
      <c r="AE337" s="161" t="n"/>
      <c r="AF337" s="161" t="n"/>
      <c r="AG337" s="161" t="n"/>
      <c r="AH337" s="136" t="n"/>
      <c r="AI337" s="164">
        <f>IF(I337="","",TEXT(I337, "mmmm yyyy"))</f>
        <v/>
      </c>
      <c r="AJ337" s="164">
        <f>IF(AND(OpenPendingCases[[#This Row],[Sale Status	]]="Open Sale",OpenPendingCases[[#This Row],[Potential Same Month]]="High"),TEXT(OpenPendingCases[[#This Row],[Request Entry Date]], "[$-en-us]mmmm"),"")</f>
        <v/>
      </c>
      <c r="AK337" s="165">
        <f>IFERROR(VALUE(SUBSTITUTE(OpenPendingCases[[#This Row],[Price]]," AED","")),"")</f>
        <v/>
      </c>
      <c r="AL337" s="165">
        <f>IFERROR(VALUE(LEFT(OpenPendingCases[[#This Row],[Price]],FIND(" ",OpenPendingCases[[#This Row],[Price]])-1)),"")</f>
        <v/>
      </c>
      <c r="AM337" s="165">
        <f>IFERROR(VALUE(_xlfn.TEXTBEFORE(OpenPendingCases[[#This Row],[Price]]," AED")),"")</f>
        <v/>
      </c>
      <c r="AN337" s="165" t="n"/>
    </row>
    <row r="338" hidden="1" ht="18" customHeight="1" s="287">
      <c r="C338" s="133" t="n"/>
      <c r="D338" s="136">
        <f>IF($U338="Open Sale", IF(MAX($D$4:D337)+1=0, "", MAX($D$4:D337)+1), "")</f>
        <v/>
      </c>
      <c r="E338" s="136">
        <f>IF($U338="Pending Allocation", IF(MAX($E$4:E337)+1=0, "", MAX($E$4:E337)+1), "")</f>
        <v/>
      </c>
      <c r="F338" s="136" t="n"/>
      <c r="G338" s="136" t="n"/>
      <c r="H338" s="150" t="n"/>
      <c r="I338" s="150" t="n"/>
      <c r="J338" s="67">
        <f>IF(OpenPendingCases[[#This Row],[Timepiece Reference ]]="", "", IF(_xlfn.XLOOKUP(OpenPendingCases[[#This Row],[Timepiece Reference ]], Table1[[Timepiece Reference ]], Table1[CRC STOCK], "Not Found")="YES", "CRC Stock", "Boutique Stock"))</f>
        <v/>
      </c>
      <c r="K338" s="136">
        <f>IF(OpenPendingCases[[#This Row],[Timepiece Reference ]]="", "", IF(_xlfn.XLOOKUP(OpenPendingCases[[#This Row],[Timepiece Reference ]], Table1[[Timepiece Reference ]], Table1[CRC STOCK], "Not Found")="YES", "CRC Stock", "Boutique Stock"))</f>
        <v/>
      </c>
      <c r="L338" s="142" t="n"/>
      <c r="M338" s="140" t="n"/>
      <c r="N338" s="136" t="n"/>
      <c r="O338" s="133" t="n"/>
      <c r="P338" s="93">
        <f>IFERROR(VLOOKUP(TRIM(O338), Collection!$B$2:$D$1001, 2, FALSE), "")</f>
        <v/>
      </c>
      <c r="Q338" s="190">
        <f>IFERROR(VLOOKUP(TRIM(O338), Collection!$B$2:$D$1001, 3, FALSE), "")</f>
        <v/>
      </c>
      <c r="R338" s="153">
        <f>IFERROR(VALUE(SUBSTITUTE(SUBSTITUTE(Q338, "Price", ""), "AED", "")), "")</f>
        <v/>
      </c>
      <c r="S338" s="151" t="n"/>
      <c r="T338" s="158" t="n"/>
      <c r="U338" s="136" t="n"/>
      <c r="V338" s="136" t="n"/>
      <c r="W338" s="156">
        <f>IF(Z338 = "",
"",
TEXT(Z338, "mmmm"))</f>
        <v/>
      </c>
      <c r="X338" s="157" t="n"/>
      <c r="Y338" s="158" t="n"/>
      <c r="Z338" s="158" t="n"/>
      <c r="AA338" s="136">
        <f>IF(H338="", "", IF(U338="Open Sale", IF(TODAY()-H338=0, "0 Days", TEXT(TODAY()-H338, "0") &amp; " Days"), IF(U338="Closed Sale", AA338, "")))</f>
        <v/>
      </c>
      <c r="AB338" s="136">
        <f>IF(H338="", "", IF(OR(U338="Pending", U338="Pending Allocation"), CONCATENATE(TODAY()-H338, " Days"), IF(U338="Closed", "", "")))</f>
        <v/>
      </c>
      <c r="AC338" s="160">
        <f>IF(U338="Pending Allocation", IF(I338="", "", TODAY()-I338), "")</f>
        <v/>
      </c>
      <c r="AD338" s="159">
        <f>IF(U338="Open Sale", TEXT(TODAY()-I338, "0"),
IF(U338="Pending", "",
IF(U338="Closed Sale", "", "")))</f>
        <v/>
      </c>
      <c r="AE338" s="161" t="n"/>
      <c r="AF338" s="161" t="n"/>
      <c r="AG338" s="161" t="n"/>
      <c r="AH338" s="136" t="n"/>
      <c r="AI338" s="164">
        <f>IF(I338="","",TEXT(I338, "mmmm yyyy"))</f>
        <v/>
      </c>
      <c r="AJ338" s="164">
        <f>IF(AND(OpenPendingCases[[#This Row],[Sale Status	]]="Open Sale",OpenPendingCases[[#This Row],[Potential Same Month]]="High"),TEXT(OpenPendingCases[[#This Row],[Request Entry Date]], "[$-en-us]mmmm"),"")</f>
        <v/>
      </c>
      <c r="AK338" s="165">
        <f>IFERROR(VALUE(SUBSTITUTE(OpenPendingCases[[#This Row],[Price]]," AED","")),"")</f>
        <v/>
      </c>
      <c r="AL338" s="165">
        <f>IFERROR(VALUE(LEFT(OpenPendingCases[[#This Row],[Price]],FIND(" ",OpenPendingCases[[#This Row],[Price]])-1)),"")</f>
        <v/>
      </c>
      <c r="AM338" s="165">
        <f>IFERROR(VALUE(_xlfn.TEXTBEFORE(OpenPendingCases[[#This Row],[Price]]," AED")),"")</f>
        <v/>
      </c>
      <c r="AN338" s="165" t="n"/>
    </row>
    <row r="339" hidden="1" ht="18" customHeight="1" s="287">
      <c r="C339" s="133" t="n"/>
      <c r="D339" s="136">
        <f>IF($U339="Open Sale", IF(MAX($D$4:D338)+1=0, "", MAX($D$4:D338)+1), "")</f>
        <v/>
      </c>
      <c r="E339" s="136">
        <f>IF($U339="Pending Allocation", IF(MAX($E$4:E338)+1=0, "", MAX($E$4:E338)+1), "")</f>
        <v/>
      </c>
      <c r="F339" s="136" t="n"/>
      <c r="G339" s="136" t="n"/>
      <c r="H339" s="150" t="n"/>
      <c r="I339" s="150" t="n"/>
      <c r="J339" s="67">
        <f>IF(OpenPendingCases[[#This Row],[Timepiece Reference ]]="", "", IF(_xlfn.XLOOKUP(OpenPendingCases[[#This Row],[Timepiece Reference ]], Table1[[Timepiece Reference ]], Table1[CRC STOCK], "Not Found")="YES", "CRC Stock", "Boutique Stock"))</f>
        <v/>
      </c>
      <c r="K339" s="136">
        <f>IF(OpenPendingCases[[#This Row],[Timepiece Reference ]]="", "", IF(_xlfn.XLOOKUP(OpenPendingCases[[#This Row],[Timepiece Reference ]], Table1[[Timepiece Reference ]], Table1[CRC STOCK], "Not Found")="YES", "CRC Stock", "Boutique Stock"))</f>
        <v/>
      </c>
      <c r="L339" s="142" t="n"/>
      <c r="M339" s="140" t="n"/>
      <c r="N339" s="136" t="n"/>
      <c r="O339" s="133" t="n"/>
      <c r="P339" s="93">
        <f>IFERROR(VLOOKUP(TRIM(O339), Collection!$B$2:$D$1001, 2, FALSE), "")</f>
        <v/>
      </c>
      <c r="Q339" s="190">
        <f>IFERROR(VLOOKUP(TRIM(O339), Collection!$B$2:$D$1001, 3, FALSE), "")</f>
        <v/>
      </c>
      <c r="R339" s="153">
        <f>IFERROR(VALUE(SUBSTITUTE(SUBSTITUTE(Q339, "Price", ""), "AED", "")), "")</f>
        <v/>
      </c>
      <c r="S339" s="151" t="n"/>
      <c r="T339" s="158" t="n"/>
      <c r="U339" s="136" t="n"/>
      <c r="V339" s="136" t="n"/>
      <c r="W339" s="156">
        <f>IF(Z339 = "",
"",
TEXT(Z339, "mmmm"))</f>
        <v/>
      </c>
      <c r="X339" s="157" t="n"/>
      <c r="Y339" s="158" t="n"/>
      <c r="Z339" s="158" t="n"/>
      <c r="AA339" s="136">
        <f>IF(H339="", "", IF(U339="Open Sale", IF(TODAY()-H339=0, "0 Days", TEXT(TODAY()-H339, "0") &amp; " Days"), IF(U339="Closed Sale", AA339, "")))</f>
        <v/>
      </c>
      <c r="AB339" s="136">
        <f>IF(H339="", "", IF(OR(U339="Pending", U339="Pending Allocation"), CONCATENATE(TODAY()-H339, " Days"), IF(U339="Closed", "", "")))</f>
        <v/>
      </c>
      <c r="AC339" s="160">
        <f>IF(U339="Pending Allocation", IF(I339="", "", TODAY()-I339), "")</f>
        <v/>
      </c>
      <c r="AD339" s="159">
        <f>IF(U339="Open Sale", TEXT(TODAY()-I339, "0"),
IF(U339="Pending", "",
IF(U339="Closed Sale", "", "")))</f>
        <v/>
      </c>
      <c r="AE339" s="161" t="n"/>
      <c r="AF339" s="161" t="n"/>
      <c r="AG339" s="161" t="n"/>
      <c r="AH339" s="136" t="n"/>
      <c r="AI339" s="164">
        <f>IF(I339="","",TEXT(I339, "mmmm yyyy"))</f>
        <v/>
      </c>
      <c r="AJ339" s="164">
        <f>IF(AND(OpenPendingCases[[#This Row],[Sale Status	]]="Open Sale",OpenPendingCases[[#This Row],[Potential Same Month]]="High"),TEXT(OpenPendingCases[[#This Row],[Request Entry Date]], "[$-en-us]mmmm"),"")</f>
        <v/>
      </c>
      <c r="AK339" s="165">
        <f>IFERROR(VALUE(SUBSTITUTE(OpenPendingCases[[#This Row],[Price]]," AED","")),"")</f>
        <v/>
      </c>
      <c r="AL339" s="165">
        <f>IFERROR(VALUE(LEFT(OpenPendingCases[[#This Row],[Price]],FIND(" ",OpenPendingCases[[#This Row],[Price]])-1)),"")</f>
        <v/>
      </c>
      <c r="AM339" s="165">
        <f>IFERROR(VALUE(_xlfn.TEXTBEFORE(OpenPendingCases[[#This Row],[Price]]," AED")),"")</f>
        <v/>
      </c>
      <c r="AN339" s="165" t="n"/>
    </row>
    <row r="340" hidden="1" ht="18" customHeight="1" s="287">
      <c r="C340" s="133" t="n"/>
      <c r="D340" s="136">
        <f>IF($U340="Open Sale", IF(MAX($D$4:D339)+1=0, "", MAX($D$4:D339)+1), "")</f>
        <v/>
      </c>
      <c r="E340" s="136">
        <f>IF($U340="Pending Allocation", IF(MAX($E$4:E339)+1=0, "", MAX($E$4:E339)+1), "")</f>
        <v/>
      </c>
      <c r="F340" s="136" t="n"/>
      <c r="G340" s="136" t="n"/>
      <c r="H340" s="150" t="n"/>
      <c r="I340" s="150" t="n"/>
      <c r="J340" s="67">
        <f>IF(OpenPendingCases[[#This Row],[Timepiece Reference ]]="", "", IF(_xlfn.XLOOKUP(OpenPendingCases[[#This Row],[Timepiece Reference ]], Table1[[Timepiece Reference ]], Table1[CRC STOCK], "Not Found")="YES", "CRC Stock", "Boutique Stock"))</f>
        <v/>
      </c>
      <c r="K340" s="136">
        <f>IF(OpenPendingCases[[#This Row],[Timepiece Reference ]]="", "", IF(_xlfn.XLOOKUP(OpenPendingCases[[#This Row],[Timepiece Reference ]], Table1[[Timepiece Reference ]], Table1[CRC STOCK], "Not Found")="YES", "CRC Stock", "Boutique Stock"))</f>
        <v/>
      </c>
      <c r="L340" s="142" t="n"/>
      <c r="M340" s="140" t="n"/>
      <c r="N340" s="136" t="n"/>
      <c r="O340" s="133" t="n"/>
      <c r="P340" s="93">
        <f>IFERROR(VLOOKUP(TRIM(O340), Collection!$B$2:$D$1001, 2, FALSE), "")</f>
        <v/>
      </c>
      <c r="Q340" s="190">
        <f>IFERROR(VLOOKUP(TRIM(O340), Collection!$B$2:$D$1001, 3, FALSE), "")</f>
        <v/>
      </c>
      <c r="R340" s="153">
        <f>IFERROR(VALUE(SUBSTITUTE(SUBSTITUTE(Q340, "Price", ""), "AED", "")), "")</f>
        <v/>
      </c>
      <c r="S340" s="151" t="n"/>
      <c r="T340" s="158" t="n"/>
      <c r="U340" s="136" t="n"/>
      <c r="V340" s="136" t="n"/>
      <c r="W340" s="156">
        <f>IF(Z340 = "",
"",
TEXT(Z340, "mmmm"))</f>
        <v/>
      </c>
      <c r="X340" s="157" t="n"/>
      <c r="Y340" s="158" t="n"/>
      <c r="Z340" s="158" t="n"/>
      <c r="AA340" s="136">
        <f>IF(H340="", "", IF(U340="Open Sale", IF(TODAY()-H340=0, "0 Days", TEXT(TODAY()-H340, "0") &amp; " Days"), IF(U340="Closed Sale", AA340, "")))</f>
        <v/>
      </c>
      <c r="AB340" s="136">
        <f>IF(H340="", "", IF(OR(U340="Pending", U340="Pending Allocation"), CONCATENATE(TODAY()-H340, " Days"), IF(U340="Closed", "", "")))</f>
        <v/>
      </c>
      <c r="AC340" s="160">
        <f>IF(U340="Pending Allocation", IF(I340="", "", TODAY()-I340), "")</f>
        <v/>
      </c>
      <c r="AD340" s="159">
        <f>IF(U340="Open Sale", TEXT(TODAY()-I340, "0"),
IF(U340="Pending", "",
IF(U340="Closed Sale", "", "")))</f>
        <v/>
      </c>
      <c r="AE340" s="161" t="n"/>
      <c r="AF340" s="161" t="n"/>
      <c r="AG340" s="161" t="n"/>
      <c r="AH340" s="136" t="n"/>
      <c r="AI340" s="164">
        <f>IF(I340="","",TEXT(I340, "mmmm yyyy"))</f>
        <v/>
      </c>
      <c r="AJ340" s="164">
        <f>IF(AND(OpenPendingCases[[#This Row],[Sale Status	]]="Open Sale",OpenPendingCases[[#This Row],[Potential Same Month]]="High"),TEXT(OpenPendingCases[[#This Row],[Request Entry Date]], "[$-en-us]mmmm"),"")</f>
        <v/>
      </c>
      <c r="AK340" s="165">
        <f>IFERROR(VALUE(SUBSTITUTE(OpenPendingCases[[#This Row],[Price]]," AED","")),"")</f>
        <v/>
      </c>
      <c r="AL340" s="165">
        <f>IFERROR(VALUE(LEFT(OpenPendingCases[[#This Row],[Price]],FIND(" ",OpenPendingCases[[#This Row],[Price]])-1)),"")</f>
        <v/>
      </c>
      <c r="AM340" s="165">
        <f>IFERROR(VALUE(_xlfn.TEXTBEFORE(OpenPendingCases[[#This Row],[Price]]," AED")),"")</f>
        <v/>
      </c>
      <c r="AN340" s="165" t="n"/>
    </row>
    <row r="341" hidden="1" ht="18" customHeight="1" s="287">
      <c r="C341" s="133" t="n"/>
      <c r="D341" s="136">
        <f>IF($U341="Open Sale", IF(MAX($D$4:D340)+1=0, "", MAX($D$4:D340)+1), "")</f>
        <v/>
      </c>
      <c r="E341" s="136">
        <f>IF($U341="Pending Allocation", IF(MAX($E$4:E340)+1=0, "", MAX($E$4:E340)+1), "")</f>
        <v/>
      </c>
      <c r="F341" s="136" t="n"/>
      <c r="G341" s="136" t="n"/>
      <c r="H341" s="150" t="n"/>
      <c r="I341" s="150" t="n"/>
      <c r="J341" s="67">
        <f>IF(OpenPendingCases[[#This Row],[Timepiece Reference ]]="", "", IF(_xlfn.XLOOKUP(OpenPendingCases[[#This Row],[Timepiece Reference ]], Table1[[Timepiece Reference ]], Table1[CRC STOCK], "Not Found")="YES", "CRC Stock", "Boutique Stock"))</f>
        <v/>
      </c>
      <c r="K341" s="136">
        <f>IF(OpenPendingCases[[#This Row],[Timepiece Reference ]]="", "", IF(_xlfn.XLOOKUP(OpenPendingCases[[#This Row],[Timepiece Reference ]], Table1[[Timepiece Reference ]], Table1[CRC STOCK], "Not Found")="YES", "CRC Stock", "Boutique Stock"))</f>
        <v/>
      </c>
      <c r="L341" s="142" t="n"/>
      <c r="M341" s="140" t="n"/>
      <c r="N341" s="136" t="n"/>
      <c r="O341" s="133" t="n"/>
      <c r="P341" s="93">
        <f>IFERROR(VLOOKUP(TRIM(O341), Collection!$B$2:$D$1001, 2, FALSE), "")</f>
        <v/>
      </c>
      <c r="Q341" s="190">
        <f>IFERROR(VLOOKUP(TRIM(O341), Collection!$B$2:$D$1001, 3, FALSE), "")</f>
        <v/>
      </c>
      <c r="R341" s="153">
        <f>IFERROR(VALUE(SUBSTITUTE(SUBSTITUTE(Q341, "Price", ""), "AED", "")), "")</f>
        <v/>
      </c>
      <c r="S341" s="151" t="n"/>
      <c r="T341" s="158" t="n"/>
      <c r="U341" s="136" t="n"/>
      <c r="V341" s="136" t="n"/>
      <c r="W341" s="156">
        <f>IF(Z341 = "",
"",
TEXT(Z341, "mmmm"))</f>
        <v/>
      </c>
      <c r="X341" s="157" t="n"/>
      <c r="Y341" s="158" t="n"/>
      <c r="Z341" s="158" t="n"/>
      <c r="AA341" s="136">
        <f>IF(H341="", "", IF(U341="Open Sale", IF(TODAY()-H341=0, "0 Days", TEXT(TODAY()-H341, "0") &amp; " Days"), IF(U341="Closed Sale", AA341, "")))</f>
        <v/>
      </c>
      <c r="AB341" s="136">
        <f>IF(H341="", "", IF(OR(U341="Pending", U341="Pending Allocation"), CONCATENATE(TODAY()-H341, " Days"), IF(U341="Closed", "", "")))</f>
        <v/>
      </c>
      <c r="AC341" s="160">
        <f>IF(U341="Pending Allocation", IF(I341="", "", TODAY()-I341), "")</f>
        <v/>
      </c>
      <c r="AD341" s="159">
        <f>IF(U341="Open Sale", TEXT(TODAY()-I341, "0"),
IF(U341="Pending", "",
IF(U341="Closed Sale", "", "")))</f>
        <v/>
      </c>
      <c r="AE341" s="161" t="n"/>
      <c r="AF341" s="161" t="n"/>
      <c r="AG341" s="161" t="n"/>
      <c r="AH341" s="136" t="n"/>
      <c r="AI341" s="164">
        <f>IF(I341="","",TEXT(I341, "mmmm yyyy"))</f>
        <v/>
      </c>
      <c r="AJ341" s="164">
        <f>IF(AND(OpenPendingCases[[#This Row],[Sale Status	]]="Open Sale",OpenPendingCases[[#This Row],[Potential Same Month]]="High"),TEXT(OpenPendingCases[[#This Row],[Request Entry Date]], "[$-en-us]mmmm"),"")</f>
        <v/>
      </c>
      <c r="AK341" s="165">
        <f>IFERROR(VALUE(SUBSTITUTE(OpenPendingCases[[#This Row],[Price]]," AED","")),"")</f>
        <v/>
      </c>
      <c r="AL341" s="165">
        <f>IFERROR(VALUE(LEFT(OpenPendingCases[[#This Row],[Price]],FIND(" ",OpenPendingCases[[#This Row],[Price]])-1)),"")</f>
        <v/>
      </c>
      <c r="AM341" s="165">
        <f>IFERROR(VALUE(_xlfn.TEXTBEFORE(OpenPendingCases[[#This Row],[Price]]," AED")),"")</f>
        <v/>
      </c>
      <c r="AN341" s="165" t="n"/>
    </row>
    <row r="342" hidden="1" ht="18" customHeight="1" s="287">
      <c r="C342" s="133" t="n"/>
      <c r="D342" s="136">
        <f>IF($U342="Open Sale", IF(MAX($D$4:D341)+1=0, "", MAX($D$4:D341)+1), "")</f>
        <v/>
      </c>
      <c r="E342" s="136">
        <f>IF($U342="Pending Allocation", IF(MAX($E$4:E341)+1=0, "", MAX($E$4:E341)+1), "")</f>
        <v/>
      </c>
      <c r="F342" s="136" t="n"/>
      <c r="G342" s="136" t="n"/>
      <c r="H342" s="150" t="n"/>
      <c r="I342" s="150" t="n"/>
      <c r="J342" s="67">
        <f>IF(OpenPendingCases[[#This Row],[Timepiece Reference ]]="", "", IF(_xlfn.XLOOKUP(OpenPendingCases[[#This Row],[Timepiece Reference ]], Table1[[Timepiece Reference ]], Table1[CRC STOCK], "Not Found")="YES", "CRC Stock", "Boutique Stock"))</f>
        <v/>
      </c>
      <c r="K342" s="136">
        <f>IF(OpenPendingCases[[#This Row],[Timepiece Reference ]]="", "", IF(_xlfn.XLOOKUP(OpenPendingCases[[#This Row],[Timepiece Reference ]], Table1[[Timepiece Reference ]], Table1[CRC STOCK], "Not Found")="YES", "CRC Stock", "Boutique Stock"))</f>
        <v/>
      </c>
      <c r="L342" s="142" t="n"/>
      <c r="M342" s="140" t="n"/>
      <c r="N342" s="136" t="n"/>
      <c r="O342" s="133" t="n"/>
      <c r="P342" s="93">
        <f>IFERROR(VLOOKUP(TRIM(O342), Collection!$B$2:$D$1001, 2, FALSE), "")</f>
        <v/>
      </c>
      <c r="Q342" s="190">
        <f>IFERROR(VLOOKUP(TRIM(O342), Collection!$B$2:$D$1001, 3, FALSE), "")</f>
        <v/>
      </c>
      <c r="R342" s="153">
        <f>IFERROR(VALUE(SUBSTITUTE(SUBSTITUTE(Q342, "Price", ""), "AED", "")), "")</f>
        <v/>
      </c>
      <c r="S342" s="151" t="n"/>
      <c r="T342" s="158" t="n"/>
      <c r="U342" s="136" t="n"/>
      <c r="V342" s="136" t="n"/>
      <c r="W342" s="156">
        <f>IF(Z342 = "",
"",
TEXT(Z342, "mmmm"))</f>
        <v/>
      </c>
      <c r="X342" s="157" t="n"/>
      <c r="Y342" s="158" t="n"/>
      <c r="Z342" s="158" t="n"/>
      <c r="AA342" s="136">
        <f>IF(H342="", "", IF(U342="Open Sale", IF(TODAY()-H342=0, "0 Days", TEXT(TODAY()-H342, "0") &amp; " Days"), IF(U342="Closed Sale", AA342, "")))</f>
        <v/>
      </c>
      <c r="AB342" s="136">
        <f>IF(H342="", "", IF(OR(U342="Pending", U342="Pending Allocation"), CONCATENATE(TODAY()-H342, " Days"), IF(U342="Closed", "", "")))</f>
        <v/>
      </c>
      <c r="AC342" s="160">
        <f>IF(U342="Pending Allocation", IF(I342="", "", TODAY()-I342), "")</f>
        <v/>
      </c>
      <c r="AD342" s="159">
        <f>IF(U342="Open Sale", TEXT(TODAY()-I342, "0"),
IF(U342="Pending", "",
IF(U342="Closed Sale", "", "")))</f>
        <v/>
      </c>
      <c r="AE342" s="161" t="n"/>
      <c r="AF342" s="161" t="n"/>
      <c r="AG342" s="161" t="n"/>
      <c r="AH342" s="136" t="n"/>
      <c r="AI342" s="164">
        <f>IF(I342="","",TEXT(I342, "mmmm yyyy"))</f>
        <v/>
      </c>
      <c r="AJ342" s="164">
        <f>IF(AND(OpenPendingCases[[#This Row],[Sale Status	]]="Open Sale",OpenPendingCases[[#This Row],[Potential Same Month]]="High"),TEXT(OpenPendingCases[[#This Row],[Request Entry Date]], "[$-en-us]mmmm"),"")</f>
        <v/>
      </c>
      <c r="AK342" s="165">
        <f>IFERROR(VALUE(SUBSTITUTE(OpenPendingCases[[#This Row],[Price]]," AED","")),"")</f>
        <v/>
      </c>
      <c r="AL342" s="165">
        <f>IFERROR(VALUE(LEFT(OpenPendingCases[[#This Row],[Price]],FIND(" ",OpenPendingCases[[#This Row],[Price]])-1)),"")</f>
        <v/>
      </c>
      <c r="AM342" s="165">
        <f>IFERROR(VALUE(_xlfn.TEXTBEFORE(OpenPendingCases[[#This Row],[Price]]," AED")),"")</f>
        <v/>
      </c>
      <c r="AN342" s="165" t="n"/>
    </row>
    <row r="343" hidden="1" ht="18" customHeight="1" s="287">
      <c r="C343" s="133" t="n"/>
      <c r="D343" s="136">
        <f>IF($U343="Open Sale", IF(MAX($D$4:D342)+1=0, "", MAX($D$4:D342)+1), "")</f>
        <v/>
      </c>
      <c r="E343" s="136">
        <f>IF($U343="Pending Allocation", IF(MAX($E$4:E342)+1=0, "", MAX($E$4:E342)+1), "")</f>
        <v/>
      </c>
      <c r="F343" s="136" t="n"/>
      <c r="G343" s="136" t="n"/>
      <c r="H343" s="150" t="n"/>
      <c r="I343" s="150" t="n"/>
      <c r="J343" s="67">
        <f>IF(OpenPendingCases[[#This Row],[Timepiece Reference ]]="", "", IF(_xlfn.XLOOKUP(OpenPendingCases[[#This Row],[Timepiece Reference ]], Table1[[Timepiece Reference ]], Table1[CRC STOCK], "Not Found")="YES", "CRC Stock", "Boutique Stock"))</f>
        <v/>
      </c>
      <c r="K343" s="136">
        <f>IF(OpenPendingCases[[#This Row],[Timepiece Reference ]]="", "", IF(_xlfn.XLOOKUP(OpenPendingCases[[#This Row],[Timepiece Reference ]], Table1[[Timepiece Reference ]], Table1[CRC STOCK], "Not Found")="YES", "CRC Stock", "Boutique Stock"))</f>
        <v/>
      </c>
      <c r="L343" s="142" t="n"/>
      <c r="M343" s="140" t="n"/>
      <c r="N343" s="136" t="n"/>
      <c r="O343" s="133" t="n"/>
      <c r="P343" s="93">
        <f>IFERROR(VLOOKUP(TRIM(O343), Collection!$B$2:$D$1001, 2, FALSE), "")</f>
        <v/>
      </c>
      <c r="Q343" s="190">
        <f>IFERROR(VLOOKUP(TRIM(O343), Collection!$B$2:$D$1001, 3, FALSE), "")</f>
        <v/>
      </c>
      <c r="R343" s="153">
        <f>IFERROR(VALUE(SUBSTITUTE(SUBSTITUTE(Q343, "Price", ""), "AED", "")), "")</f>
        <v/>
      </c>
      <c r="S343" s="151" t="n"/>
      <c r="T343" s="158" t="n"/>
      <c r="U343" s="136" t="n"/>
      <c r="V343" s="136" t="n"/>
      <c r="W343" s="156">
        <f>IF(Z343 = "",
"",
TEXT(Z343, "mmmm"))</f>
        <v/>
      </c>
      <c r="X343" s="157" t="n"/>
      <c r="Y343" s="158" t="n"/>
      <c r="Z343" s="158" t="n"/>
      <c r="AA343" s="136">
        <f>IF(H343="", "", IF(U343="Open Sale", IF(TODAY()-H343=0, "0 Days", TEXT(TODAY()-H343, "0") &amp; " Days"), IF(U343="Closed Sale", AA343, "")))</f>
        <v/>
      </c>
      <c r="AB343" s="136">
        <f>IF(H343="", "", IF(OR(U343="Pending", U343="Pending Allocation"), CONCATENATE(TODAY()-H343, " Days"), IF(U343="Closed", "", "")))</f>
        <v/>
      </c>
      <c r="AC343" s="160">
        <f>IF(U343="Pending Allocation", IF(I343="", "", TODAY()-I343), "")</f>
        <v/>
      </c>
      <c r="AD343" s="159">
        <f>IF(U343="Open Sale", TEXT(TODAY()-I343, "0"),
IF(U343="Pending", "",
IF(U343="Closed Sale", "", "")))</f>
        <v/>
      </c>
      <c r="AE343" s="161" t="n"/>
      <c r="AF343" s="161" t="n"/>
      <c r="AG343" s="161" t="n"/>
      <c r="AH343" s="136" t="n"/>
      <c r="AI343" s="164">
        <f>IF(I343="","",TEXT(I343, "mmmm yyyy"))</f>
        <v/>
      </c>
      <c r="AJ343" s="164">
        <f>IF(AND(OpenPendingCases[[#This Row],[Sale Status	]]="Open Sale",OpenPendingCases[[#This Row],[Potential Same Month]]="High"),TEXT(OpenPendingCases[[#This Row],[Request Entry Date]], "[$-en-us]mmmm"),"")</f>
        <v/>
      </c>
      <c r="AK343" s="165">
        <f>IFERROR(VALUE(SUBSTITUTE(OpenPendingCases[[#This Row],[Price]]," AED","")),"")</f>
        <v/>
      </c>
      <c r="AL343" s="165">
        <f>IFERROR(VALUE(LEFT(OpenPendingCases[[#This Row],[Price]],FIND(" ",OpenPendingCases[[#This Row],[Price]])-1)),"")</f>
        <v/>
      </c>
      <c r="AM343" s="165">
        <f>IFERROR(VALUE(_xlfn.TEXTBEFORE(OpenPendingCases[[#This Row],[Price]]," AED")),"")</f>
        <v/>
      </c>
      <c r="AN343" s="165" t="n"/>
    </row>
    <row r="344" hidden="1" ht="18" customHeight="1" s="287">
      <c r="C344" s="133" t="n"/>
      <c r="D344" s="136">
        <f>IF($U344="Open Sale", IF(MAX($D$4:D343)+1=0, "", MAX($D$4:D343)+1), "")</f>
        <v/>
      </c>
      <c r="E344" s="136">
        <f>IF($U344="Pending Allocation", IF(MAX($E$4:E343)+1=0, "", MAX($E$4:E343)+1), "")</f>
        <v/>
      </c>
      <c r="F344" s="136" t="n"/>
      <c r="G344" s="136" t="n"/>
      <c r="H344" s="150" t="n"/>
      <c r="I344" s="150" t="n"/>
      <c r="J344" s="67">
        <f>IF(OpenPendingCases[[#This Row],[Timepiece Reference ]]="", "", IF(_xlfn.XLOOKUP(OpenPendingCases[[#This Row],[Timepiece Reference ]], Table1[[Timepiece Reference ]], Table1[CRC STOCK], "Not Found")="YES", "CRC Stock", "Boutique Stock"))</f>
        <v/>
      </c>
      <c r="K344" s="136">
        <f>IF(OpenPendingCases[[#This Row],[Timepiece Reference ]]="", "", IF(_xlfn.XLOOKUP(OpenPendingCases[[#This Row],[Timepiece Reference ]], Table1[[Timepiece Reference ]], Table1[CRC STOCK], "Not Found")="YES", "CRC Stock", "Boutique Stock"))</f>
        <v/>
      </c>
      <c r="L344" s="142" t="n"/>
      <c r="M344" s="140" t="n"/>
      <c r="N344" s="136" t="n"/>
      <c r="O344" s="133" t="n"/>
      <c r="P344" s="93">
        <f>IFERROR(VLOOKUP(TRIM(O344), Collection!$B$2:$D$1001, 2, FALSE), "")</f>
        <v/>
      </c>
      <c r="Q344" s="190">
        <f>IFERROR(VLOOKUP(TRIM(O344), Collection!$B$2:$D$1001, 3, FALSE), "")</f>
        <v/>
      </c>
      <c r="R344" s="153">
        <f>IFERROR(VALUE(SUBSTITUTE(SUBSTITUTE(Q344, "Price", ""), "AED", "")), "")</f>
        <v/>
      </c>
      <c r="S344" s="151" t="n"/>
      <c r="T344" s="158" t="n"/>
      <c r="U344" s="136" t="n"/>
      <c r="V344" s="136" t="n"/>
      <c r="W344" s="156">
        <f>IF(Z344 = "",
"",
TEXT(Z344, "mmmm"))</f>
        <v/>
      </c>
      <c r="X344" s="157" t="n"/>
      <c r="Y344" s="158" t="n"/>
      <c r="Z344" s="158" t="n"/>
      <c r="AA344" s="136">
        <f>IF(H344="", "", IF(U344="Open Sale", IF(TODAY()-H344=0, "0 Days", TEXT(TODAY()-H344, "0") &amp; " Days"), IF(U344="Closed Sale", AA344, "")))</f>
        <v/>
      </c>
      <c r="AB344" s="136">
        <f>IF(H344="", "", IF(OR(U344="Pending", U344="Pending Allocation"), CONCATENATE(TODAY()-H344, " Days"), IF(U344="Closed", "", "")))</f>
        <v/>
      </c>
      <c r="AC344" s="160">
        <f>IF(U344="Pending Allocation", IF(I344="", "", TODAY()-I344), "")</f>
        <v/>
      </c>
      <c r="AD344" s="159">
        <f>IF(U344="Open Sale", TEXT(TODAY()-I344, "0"),
IF(U344="Pending", "",
IF(U344="Closed Sale", "", "")))</f>
        <v/>
      </c>
      <c r="AE344" s="161" t="n"/>
      <c r="AF344" s="161" t="n"/>
      <c r="AG344" s="161" t="n"/>
      <c r="AH344" s="136" t="n"/>
      <c r="AI344" s="164">
        <f>IF(I344="","",TEXT(I344, "mmmm yyyy"))</f>
        <v/>
      </c>
      <c r="AJ344" s="164">
        <f>IF(AND(OpenPendingCases[[#This Row],[Sale Status	]]="Open Sale",OpenPendingCases[[#This Row],[Potential Same Month]]="High"),TEXT(OpenPendingCases[[#This Row],[Request Entry Date]], "[$-en-us]mmmm"),"")</f>
        <v/>
      </c>
      <c r="AK344" s="165">
        <f>IFERROR(VALUE(SUBSTITUTE(OpenPendingCases[[#This Row],[Price]]," AED","")),"")</f>
        <v/>
      </c>
      <c r="AL344" s="165">
        <f>IFERROR(VALUE(LEFT(OpenPendingCases[[#This Row],[Price]],FIND(" ",OpenPendingCases[[#This Row],[Price]])-1)),"")</f>
        <v/>
      </c>
      <c r="AM344" s="165">
        <f>IFERROR(VALUE(_xlfn.TEXTBEFORE(OpenPendingCases[[#This Row],[Price]]," AED")),"")</f>
        <v/>
      </c>
      <c r="AN344" s="165" t="n"/>
    </row>
    <row r="345" hidden="1" ht="18" customHeight="1" s="287">
      <c r="C345" s="133" t="n"/>
      <c r="D345" s="136">
        <f>IF($U345="Open Sale", IF(MAX($D$4:D344)+1=0, "", MAX($D$4:D344)+1), "")</f>
        <v/>
      </c>
      <c r="E345" s="136">
        <f>IF($U345="Pending Allocation", IF(MAX($E$4:E344)+1=0, "", MAX($E$4:E344)+1), "")</f>
        <v/>
      </c>
      <c r="F345" s="136" t="n"/>
      <c r="G345" s="136" t="n"/>
      <c r="H345" s="150" t="n"/>
      <c r="I345" s="150" t="n"/>
      <c r="J345" s="67">
        <f>IF(OpenPendingCases[[#This Row],[Timepiece Reference ]]="", "", IF(_xlfn.XLOOKUP(OpenPendingCases[[#This Row],[Timepiece Reference ]], Table1[[Timepiece Reference ]], Table1[CRC STOCK], "Not Found")="YES", "CRC Stock", "Boutique Stock"))</f>
        <v/>
      </c>
      <c r="K345" s="136">
        <f>IF(OpenPendingCases[[#This Row],[Timepiece Reference ]]="", "", IF(_xlfn.XLOOKUP(OpenPendingCases[[#This Row],[Timepiece Reference ]], Table1[[Timepiece Reference ]], Table1[CRC STOCK], "Not Found")="YES", "CRC Stock", "Boutique Stock"))</f>
        <v/>
      </c>
      <c r="L345" s="142" t="n"/>
      <c r="M345" s="140" t="n"/>
      <c r="N345" s="136" t="n"/>
      <c r="O345" s="133" t="n"/>
      <c r="P345" s="93">
        <f>IFERROR(VLOOKUP(TRIM(O345), Collection!$B$2:$D$1001, 2, FALSE), "")</f>
        <v/>
      </c>
      <c r="Q345" s="190">
        <f>IFERROR(VLOOKUP(TRIM(O345), Collection!$B$2:$D$1001, 3, FALSE), "")</f>
        <v/>
      </c>
      <c r="R345" s="153">
        <f>IFERROR(VALUE(SUBSTITUTE(SUBSTITUTE(Q345, "Price", ""), "AED", "")), "")</f>
        <v/>
      </c>
      <c r="S345" s="151" t="n"/>
      <c r="T345" s="158" t="n"/>
      <c r="U345" s="136" t="n"/>
      <c r="V345" s="136" t="n"/>
      <c r="W345" s="156">
        <f>IF(Z345 = "",
"",
TEXT(Z345, "mmmm"))</f>
        <v/>
      </c>
      <c r="X345" s="157" t="n"/>
      <c r="Y345" s="158" t="n"/>
      <c r="Z345" s="158" t="n"/>
      <c r="AA345" s="136">
        <f>IF(H345="", "", IF(U345="Open Sale", IF(TODAY()-H345=0, "0 Days", TEXT(TODAY()-H345, "0") &amp; " Days"), IF(U345="Closed Sale", AA345, "")))</f>
        <v/>
      </c>
      <c r="AB345" s="136">
        <f>IF(H345="", "", IF(OR(U345="Pending", U345="Pending Allocation"), CONCATENATE(TODAY()-H345, " Days"), IF(U345="Closed", "", "")))</f>
        <v/>
      </c>
      <c r="AC345" s="160">
        <f>IF(U345="Pending Allocation", IF(I345="", "", TODAY()-I345), "")</f>
        <v/>
      </c>
      <c r="AD345" s="159">
        <f>IF(U345="Open Sale", TEXT(TODAY()-I345, "0"),
IF(U345="Pending", "",
IF(U345="Closed Sale", "", "")))</f>
        <v/>
      </c>
      <c r="AE345" s="161" t="n"/>
      <c r="AF345" s="161" t="n"/>
      <c r="AG345" s="161" t="n"/>
      <c r="AH345" s="136" t="n"/>
      <c r="AI345" s="164">
        <f>IF(I345="","",TEXT(I345, "mmmm yyyy"))</f>
        <v/>
      </c>
      <c r="AJ345" s="164">
        <f>IF(AND(OpenPendingCases[[#This Row],[Sale Status	]]="Open Sale",OpenPendingCases[[#This Row],[Potential Same Month]]="High"),TEXT(OpenPendingCases[[#This Row],[Request Entry Date]], "[$-en-us]mmmm"),"")</f>
        <v/>
      </c>
      <c r="AK345" s="165">
        <f>IFERROR(VALUE(SUBSTITUTE(OpenPendingCases[[#This Row],[Price]]," AED","")),"")</f>
        <v/>
      </c>
      <c r="AL345" s="165">
        <f>IFERROR(VALUE(LEFT(OpenPendingCases[[#This Row],[Price]],FIND(" ",OpenPendingCases[[#This Row],[Price]])-1)),"")</f>
        <v/>
      </c>
      <c r="AM345" s="165">
        <f>IFERROR(VALUE(_xlfn.TEXTBEFORE(OpenPendingCases[[#This Row],[Price]]," AED")),"")</f>
        <v/>
      </c>
      <c r="AN345" s="165" t="n"/>
    </row>
    <row r="346" hidden="1" ht="18" customHeight="1" s="287">
      <c r="C346" s="133" t="n"/>
      <c r="D346" s="136">
        <f>IF($U346="Open Sale", IF(MAX($D$4:D345)+1=0, "", MAX($D$4:D345)+1), "")</f>
        <v/>
      </c>
      <c r="E346" s="136">
        <f>IF($U346="Pending Allocation", IF(MAX($E$4:E345)+1=0, "", MAX($E$4:E345)+1), "")</f>
        <v/>
      </c>
      <c r="F346" s="136" t="n"/>
      <c r="G346" s="136" t="n"/>
      <c r="H346" s="150" t="n"/>
      <c r="I346" s="150" t="n"/>
      <c r="J346" s="67">
        <f>IF(OpenPendingCases[[#This Row],[Timepiece Reference ]]="", "", IF(_xlfn.XLOOKUP(OpenPendingCases[[#This Row],[Timepiece Reference ]], Table1[[Timepiece Reference ]], Table1[CRC STOCK], "Not Found")="YES", "CRC Stock", "Boutique Stock"))</f>
        <v/>
      </c>
      <c r="K346" s="136">
        <f>IF(OpenPendingCases[[#This Row],[Timepiece Reference ]]="", "", IF(_xlfn.XLOOKUP(OpenPendingCases[[#This Row],[Timepiece Reference ]], Table1[[Timepiece Reference ]], Table1[CRC STOCK], "Not Found")="YES", "CRC Stock", "Boutique Stock"))</f>
        <v/>
      </c>
      <c r="L346" s="142" t="n"/>
      <c r="M346" s="140" t="n"/>
      <c r="N346" s="136" t="n"/>
      <c r="O346" s="133" t="n"/>
      <c r="P346" s="93">
        <f>IFERROR(VLOOKUP(TRIM(O346), Collection!$B$2:$D$1001, 2, FALSE), "")</f>
        <v/>
      </c>
      <c r="Q346" s="190">
        <f>IFERROR(VLOOKUP(TRIM(O346), Collection!$B$2:$D$1001, 3, FALSE), "")</f>
        <v/>
      </c>
      <c r="R346" s="153">
        <f>IFERROR(VALUE(SUBSTITUTE(SUBSTITUTE(Q346, "Price", ""), "AED", "")), "")</f>
        <v/>
      </c>
      <c r="S346" s="151" t="n"/>
      <c r="T346" s="158" t="n"/>
      <c r="U346" s="136" t="n"/>
      <c r="V346" s="136" t="n"/>
      <c r="W346" s="156">
        <f>IF(Z346 = "",
"",
TEXT(Z346, "mmmm"))</f>
        <v/>
      </c>
      <c r="X346" s="157" t="n"/>
      <c r="Y346" s="158" t="n"/>
      <c r="Z346" s="158" t="n"/>
      <c r="AA346" s="136">
        <f>IF(H346="", "", IF(U346="Open Sale", IF(TODAY()-H346=0, "0 Days", TEXT(TODAY()-H346, "0") &amp; " Days"), IF(U346="Closed Sale", AA346, "")))</f>
        <v/>
      </c>
      <c r="AB346" s="136">
        <f>IF(H346="", "", IF(OR(U346="Pending", U346="Pending Allocation"), CONCATENATE(TODAY()-H346, " Days"), IF(U346="Closed", "", "")))</f>
        <v/>
      </c>
      <c r="AC346" s="160">
        <f>IF(U346="Pending Allocation", IF(I346="", "", TODAY()-I346), "")</f>
        <v/>
      </c>
      <c r="AD346" s="159">
        <f>IF(U346="Open Sale", TEXT(TODAY()-I346, "0"),
IF(U346="Pending", "",
IF(U346="Closed Sale", "", "")))</f>
        <v/>
      </c>
      <c r="AE346" s="161" t="n"/>
      <c r="AF346" s="161" t="n"/>
      <c r="AG346" s="161" t="n"/>
      <c r="AH346" s="136" t="n"/>
      <c r="AI346" s="164">
        <f>IF(I346="","",TEXT(I346, "mmmm yyyy"))</f>
        <v/>
      </c>
      <c r="AJ346" s="164">
        <f>IF(AND(OpenPendingCases[[#This Row],[Sale Status	]]="Open Sale",OpenPendingCases[[#This Row],[Potential Same Month]]="High"),TEXT(OpenPendingCases[[#This Row],[Request Entry Date]], "[$-en-us]mmmm"),"")</f>
        <v/>
      </c>
      <c r="AK346" s="165">
        <f>IFERROR(VALUE(SUBSTITUTE(OpenPendingCases[[#This Row],[Price]]," AED","")),"")</f>
        <v/>
      </c>
      <c r="AL346" s="165">
        <f>IFERROR(VALUE(LEFT(OpenPendingCases[[#This Row],[Price]],FIND(" ",OpenPendingCases[[#This Row],[Price]])-1)),"")</f>
        <v/>
      </c>
      <c r="AM346" s="165">
        <f>IFERROR(VALUE(_xlfn.TEXTBEFORE(OpenPendingCases[[#This Row],[Price]]," AED")),"")</f>
        <v/>
      </c>
      <c r="AN346" s="165" t="n"/>
    </row>
    <row r="347" hidden="1" ht="18" customHeight="1" s="287">
      <c r="C347" s="133" t="n"/>
      <c r="D347" s="136">
        <f>IF($U347="Open Sale", IF(MAX($D$4:D346)+1=0, "", MAX($D$4:D346)+1), "")</f>
        <v/>
      </c>
      <c r="E347" s="136">
        <f>IF($U347="Pending Allocation", IF(MAX($E$4:E346)+1=0, "", MAX($E$4:E346)+1), "")</f>
        <v/>
      </c>
      <c r="F347" s="136" t="n"/>
      <c r="G347" s="136" t="n"/>
      <c r="H347" s="150" t="n"/>
      <c r="I347" s="150" t="n"/>
      <c r="J347" s="67">
        <f>IF(OpenPendingCases[[#This Row],[Timepiece Reference ]]="", "", IF(_xlfn.XLOOKUP(OpenPendingCases[[#This Row],[Timepiece Reference ]], Table1[[Timepiece Reference ]], Table1[CRC STOCK], "Not Found")="YES", "CRC Stock", "Boutique Stock"))</f>
        <v/>
      </c>
      <c r="K347" s="136">
        <f>IF(OpenPendingCases[[#This Row],[Timepiece Reference ]]="", "", IF(_xlfn.XLOOKUP(OpenPendingCases[[#This Row],[Timepiece Reference ]], Table1[[Timepiece Reference ]], Table1[CRC STOCK], "Not Found")="YES", "CRC Stock", "Boutique Stock"))</f>
        <v/>
      </c>
      <c r="L347" s="142" t="n"/>
      <c r="M347" s="140" t="n"/>
      <c r="N347" s="136" t="n"/>
      <c r="O347" s="133" t="n"/>
      <c r="P347" s="93">
        <f>IFERROR(VLOOKUP(TRIM(O347), Collection!$B$2:$D$1001, 2, FALSE), "")</f>
        <v/>
      </c>
      <c r="Q347" s="190">
        <f>IFERROR(VLOOKUP(TRIM(O347), Collection!$B$2:$D$1001, 3, FALSE), "")</f>
        <v/>
      </c>
      <c r="R347" s="153">
        <f>IFERROR(VALUE(SUBSTITUTE(SUBSTITUTE(Q347, "Price", ""), "AED", "")), "")</f>
        <v/>
      </c>
      <c r="S347" s="151" t="n"/>
      <c r="T347" s="158" t="n"/>
      <c r="U347" s="136" t="n"/>
      <c r="V347" s="136" t="n"/>
      <c r="W347" s="156">
        <f>IF(Z347 = "",
"",
TEXT(Z347, "mmmm"))</f>
        <v/>
      </c>
      <c r="X347" s="157" t="n"/>
      <c r="Y347" s="158" t="n"/>
      <c r="Z347" s="158" t="n"/>
      <c r="AA347" s="136">
        <f>IF(H347="", "", IF(U347="Open Sale", IF(TODAY()-H347=0, "0 Days", TEXT(TODAY()-H347, "0") &amp; " Days"), IF(U347="Closed Sale", AA347, "")))</f>
        <v/>
      </c>
      <c r="AB347" s="136">
        <f>IF(H347="", "", IF(OR(U347="Pending", U347="Pending Allocation"), CONCATENATE(TODAY()-H347, " Days"), IF(U347="Closed", "", "")))</f>
        <v/>
      </c>
      <c r="AC347" s="160">
        <f>IF(U347="Pending Allocation", IF(I347="", "", TODAY()-I347), "")</f>
        <v/>
      </c>
      <c r="AD347" s="159">
        <f>IF(U347="Open Sale", TEXT(TODAY()-I347, "0"),
IF(U347="Pending", "",
IF(U347="Closed Sale", "", "")))</f>
        <v/>
      </c>
      <c r="AE347" s="161" t="n"/>
      <c r="AF347" s="161" t="n"/>
      <c r="AG347" s="161" t="n"/>
      <c r="AH347" s="136" t="n"/>
      <c r="AI347" s="164">
        <f>IF(I347="","",TEXT(I347, "mmmm yyyy"))</f>
        <v/>
      </c>
      <c r="AJ347" s="164">
        <f>IF(AND(OpenPendingCases[[#This Row],[Sale Status	]]="Open Sale",OpenPendingCases[[#This Row],[Potential Same Month]]="High"),TEXT(OpenPendingCases[[#This Row],[Request Entry Date]], "[$-en-us]mmmm"),"")</f>
        <v/>
      </c>
      <c r="AK347" s="165">
        <f>IFERROR(VALUE(SUBSTITUTE(OpenPendingCases[[#This Row],[Price]]," AED","")),"")</f>
        <v/>
      </c>
      <c r="AL347" s="165">
        <f>IFERROR(VALUE(LEFT(OpenPendingCases[[#This Row],[Price]],FIND(" ",OpenPendingCases[[#This Row],[Price]])-1)),"")</f>
        <v/>
      </c>
      <c r="AM347" s="165">
        <f>IFERROR(VALUE(_xlfn.TEXTBEFORE(OpenPendingCases[[#This Row],[Price]]," AED")),"")</f>
        <v/>
      </c>
      <c r="AN347" s="165" t="n"/>
    </row>
    <row r="348" hidden="1" ht="18" customHeight="1" s="287">
      <c r="C348" s="133" t="n"/>
      <c r="D348" s="136">
        <f>IF($U348="Open Sale", IF(MAX($D$4:D347)+1=0, "", MAX($D$4:D347)+1), "")</f>
        <v/>
      </c>
      <c r="E348" s="136">
        <f>IF($U348="Pending Allocation", IF(MAX($E$4:E347)+1=0, "", MAX($E$4:E347)+1), "")</f>
        <v/>
      </c>
      <c r="F348" s="136" t="n"/>
      <c r="G348" s="136" t="n"/>
      <c r="H348" s="150" t="n"/>
      <c r="I348" s="150" t="n"/>
      <c r="J348" s="67">
        <f>IF(OpenPendingCases[[#This Row],[Timepiece Reference ]]="", "", IF(_xlfn.XLOOKUP(OpenPendingCases[[#This Row],[Timepiece Reference ]], Table1[[Timepiece Reference ]], Table1[CRC STOCK], "Not Found")="YES", "CRC Stock", "Boutique Stock"))</f>
        <v/>
      </c>
      <c r="K348" s="136">
        <f>IF(OpenPendingCases[[#This Row],[Timepiece Reference ]]="", "", IF(_xlfn.XLOOKUP(OpenPendingCases[[#This Row],[Timepiece Reference ]], Table1[[Timepiece Reference ]], Table1[CRC STOCK], "Not Found")="YES", "CRC Stock", "Boutique Stock"))</f>
        <v/>
      </c>
      <c r="L348" s="142" t="n"/>
      <c r="M348" s="140" t="n"/>
      <c r="N348" s="136" t="n"/>
      <c r="O348" s="133" t="n"/>
      <c r="P348" s="93">
        <f>IFERROR(VLOOKUP(TRIM(O348), Collection!$B$2:$D$1001, 2, FALSE), "")</f>
        <v/>
      </c>
      <c r="Q348" s="190">
        <f>IFERROR(VLOOKUP(TRIM(O348), Collection!$B$2:$D$1001, 3, FALSE), "")</f>
        <v/>
      </c>
      <c r="R348" s="153">
        <f>IFERROR(VALUE(SUBSTITUTE(SUBSTITUTE(Q348, "Price", ""), "AED", "")), "")</f>
        <v/>
      </c>
      <c r="S348" s="151" t="n"/>
      <c r="T348" s="158" t="n"/>
      <c r="U348" s="136" t="n"/>
      <c r="V348" s="136" t="n"/>
      <c r="W348" s="156">
        <f>IF(Z348 = "",
"",
TEXT(Z348, "mmmm"))</f>
        <v/>
      </c>
      <c r="X348" s="157" t="n"/>
      <c r="Y348" s="158" t="n"/>
      <c r="Z348" s="158" t="n"/>
      <c r="AA348" s="136">
        <f>IF(H348="", "", IF(U348="Open Sale", IF(TODAY()-H348=0, "0 Days", TEXT(TODAY()-H348, "0") &amp; " Days"), IF(U348="Closed Sale", AA348, "")))</f>
        <v/>
      </c>
      <c r="AB348" s="136">
        <f>IF(H348="", "", IF(OR(U348="Pending", U348="Pending Allocation"), CONCATENATE(TODAY()-H348, " Days"), IF(U348="Closed", "", "")))</f>
        <v/>
      </c>
      <c r="AC348" s="160">
        <f>IF(U348="Pending Allocation", IF(I348="", "", TODAY()-I348), "")</f>
        <v/>
      </c>
      <c r="AD348" s="159">
        <f>IF(U348="Open Sale", TEXT(TODAY()-I348, "0"),
IF(U348="Pending", "",
IF(U348="Closed Sale", "", "")))</f>
        <v/>
      </c>
      <c r="AE348" s="161" t="n"/>
      <c r="AF348" s="161" t="n"/>
      <c r="AG348" s="161" t="n"/>
      <c r="AH348" s="136" t="n"/>
      <c r="AI348" s="164">
        <f>IF(I348="","",TEXT(I348, "mmmm yyyy"))</f>
        <v/>
      </c>
      <c r="AJ348" s="164">
        <f>IF(AND(OpenPendingCases[[#This Row],[Sale Status	]]="Open Sale",OpenPendingCases[[#This Row],[Potential Same Month]]="High"),TEXT(OpenPendingCases[[#This Row],[Request Entry Date]], "[$-en-us]mmmm"),"")</f>
        <v/>
      </c>
      <c r="AK348" s="165">
        <f>IFERROR(VALUE(SUBSTITUTE(OpenPendingCases[[#This Row],[Price]]," AED","")),"")</f>
        <v/>
      </c>
      <c r="AL348" s="165">
        <f>IFERROR(VALUE(LEFT(OpenPendingCases[[#This Row],[Price]],FIND(" ",OpenPendingCases[[#This Row],[Price]])-1)),"")</f>
        <v/>
      </c>
      <c r="AM348" s="165">
        <f>IFERROR(VALUE(_xlfn.TEXTBEFORE(OpenPendingCases[[#This Row],[Price]]," AED")),"")</f>
        <v/>
      </c>
      <c r="AN348" s="165" t="n"/>
    </row>
    <row r="349" hidden="1" ht="18" customHeight="1" s="287">
      <c r="C349" s="133" t="n"/>
      <c r="D349" s="136">
        <f>IF($U349="Open Sale", IF(MAX($D$4:D348)+1=0, "", MAX($D$4:D348)+1), "")</f>
        <v/>
      </c>
      <c r="E349" s="136">
        <f>IF($U349="Pending Allocation", IF(MAX($E$4:E348)+1=0, "", MAX($E$4:E348)+1), "")</f>
        <v/>
      </c>
      <c r="F349" s="136" t="n"/>
      <c r="G349" s="136" t="n"/>
      <c r="H349" s="150" t="n"/>
      <c r="I349" s="150" t="n"/>
      <c r="J349" s="67">
        <f>IF(OpenPendingCases[[#This Row],[Timepiece Reference ]]="", "", IF(_xlfn.XLOOKUP(OpenPendingCases[[#This Row],[Timepiece Reference ]], Table1[[Timepiece Reference ]], Table1[CRC STOCK], "Not Found")="YES", "CRC Stock", "Boutique Stock"))</f>
        <v/>
      </c>
      <c r="K349" s="136">
        <f>IF(OpenPendingCases[[#This Row],[Timepiece Reference ]]="", "", IF(_xlfn.XLOOKUP(OpenPendingCases[[#This Row],[Timepiece Reference ]], Table1[[Timepiece Reference ]], Table1[CRC STOCK], "Not Found")="YES", "CRC Stock", "Boutique Stock"))</f>
        <v/>
      </c>
      <c r="L349" s="142" t="n"/>
      <c r="M349" s="140" t="n"/>
      <c r="N349" s="136" t="n"/>
      <c r="O349" s="133" t="n"/>
      <c r="P349" s="93">
        <f>IFERROR(VLOOKUP(TRIM(O349), Collection!$B$2:$D$1001, 2, FALSE), "")</f>
        <v/>
      </c>
      <c r="Q349" s="190">
        <f>IFERROR(VLOOKUP(TRIM(O349), Collection!$B$2:$D$1001, 3, FALSE), "")</f>
        <v/>
      </c>
      <c r="R349" s="153">
        <f>IFERROR(VALUE(SUBSTITUTE(SUBSTITUTE(Q349, "Price", ""), "AED", "")), "")</f>
        <v/>
      </c>
      <c r="S349" s="151" t="n"/>
      <c r="T349" s="158" t="n"/>
      <c r="U349" s="136" t="n"/>
      <c r="V349" s="136" t="n"/>
      <c r="W349" s="156">
        <f>IF(Z349 = "",
"",
TEXT(Z349, "mmmm"))</f>
        <v/>
      </c>
      <c r="X349" s="157" t="n"/>
      <c r="Y349" s="158" t="n"/>
      <c r="Z349" s="158" t="n"/>
      <c r="AA349" s="136">
        <f>IF(H349="", "", IF(U349="Open Sale", IF(TODAY()-H349=0, "0 Days", TEXT(TODAY()-H349, "0") &amp; " Days"), IF(U349="Closed Sale", AA349, "")))</f>
        <v/>
      </c>
      <c r="AB349" s="136">
        <f>IF(H349="", "", IF(OR(U349="Pending", U349="Pending Allocation"), CONCATENATE(TODAY()-H349, " Days"), IF(U349="Closed", "", "")))</f>
        <v/>
      </c>
      <c r="AC349" s="160">
        <f>IF(U349="Pending Allocation", IF(I349="", "", TODAY()-I349), "")</f>
        <v/>
      </c>
      <c r="AD349" s="159">
        <f>IF(U349="Open Sale", TEXT(TODAY()-I349, "0"),
IF(U349="Pending", "",
IF(U349="Closed Sale", "", "")))</f>
        <v/>
      </c>
      <c r="AE349" s="161" t="n"/>
      <c r="AF349" s="161" t="n"/>
      <c r="AG349" s="161" t="n"/>
      <c r="AH349" s="136" t="n"/>
      <c r="AI349" s="164">
        <f>IF(I349="","",TEXT(I349, "mmmm yyyy"))</f>
        <v/>
      </c>
      <c r="AJ349" s="164">
        <f>IF(AND(OpenPendingCases[[#This Row],[Sale Status	]]="Open Sale",OpenPendingCases[[#This Row],[Potential Same Month]]="High"),TEXT(OpenPendingCases[[#This Row],[Request Entry Date]], "[$-en-us]mmmm"),"")</f>
        <v/>
      </c>
      <c r="AK349" s="165">
        <f>IFERROR(VALUE(SUBSTITUTE(OpenPendingCases[[#This Row],[Price]]," AED","")),"")</f>
        <v/>
      </c>
      <c r="AL349" s="165">
        <f>IFERROR(VALUE(LEFT(OpenPendingCases[[#This Row],[Price]],FIND(" ",OpenPendingCases[[#This Row],[Price]])-1)),"")</f>
        <v/>
      </c>
      <c r="AM349" s="165">
        <f>IFERROR(VALUE(_xlfn.TEXTBEFORE(OpenPendingCases[[#This Row],[Price]]," AED")),"")</f>
        <v/>
      </c>
      <c r="AN349" s="165" t="n"/>
    </row>
    <row r="350" hidden="1" ht="18" customHeight="1" s="287">
      <c r="C350" s="133" t="n"/>
      <c r="D350" s="136">
        <f>IF($U350="Open Sale", IF(MAX($D$4:D349)+1=0, "", MAX($D$4:D349)+1), "")</f>
        <v/>
      </c>
      <c r="E350" s="136">
        <f>IF($U350="Pending Allocation", IF(MAX($E$4:E349)+1=0, "", MAX($E$4:E349)+1), "")</f>
        <v/>
      </c>
      <c r="F350" s="136" t="n"/>
      <c r="G350" s="136" t="n"/>
      <c r="H350" s="150" t="n"/>
      <c r="I350" s="150" t="n"/>
      <c r="J350" s="67">
        <f>IF(OpenPendingCases[[#This Row],[Timepiece Reference ]]="", "", IF(_xlfn.XLOOKUP(OpenPendingCases[[#This Row],[Timepiece Reference ]], Table1[[Timepiece Reference ]], Table1[CRC STOCK], "Not Found")="YES", "CRC Stock", "Boutique Stock"))</f>
        <v/>
      </c>
      <c r="K350" s="136">
        <f>IF(OpenPendingCases[[#This Row],[Timepiece Reference ]]="", "", IF(_xlfn.XLOOKUP(OpenPendingCases[[#This Row],[Timepiece Reference ]], Table1[[Timepiece Reference ]], Table1[CRC STOCK], "Not Found")="YES", "CRC Stock", "Boutique Stock"))</f>
        <v/>
      </c>
      <c r="L350" s="142" t="n"/>
      <c r="M350" s="140" t="n"/>
      <c r="N350" s="136" t="n"/>
      <c r="O350" s="133" t="n"/>
      <c r="P350" s="93">
        <f>IFERROR(VLOOKUP(TRIM(O350), Collection!$B$2:$D$1001, 2, FALSE), "")</f>
        <v/>
      </c>
      <c r="Q350" s="190">
        <f>IFERROR(VLOOKUP(TRIM(O350), Collection!$B$2:$D$1001, 3, FALSE), "")</f>
        <v/>
      </c>
      <c r="R350" s="153">
        <f>IFERROR(VALUE(SUBSTITUTE(SUBSTITUTE(Q350, "Price", ""), "AED", "")), "")</f>
        <v/>
      </c>
      <c r="S350" s="151" t="n"/>
      <c r="T350" s="158" t="n"/>
      <c r="U350" s="136" t="n"/>
      <c r="V350" s="136" t="n"/>
      <c r="W350" s="156">
        <f>IF(Z350 = "",
"",
TEXT(Z350, "mmmm"))</f>
        <v/>
      </c>
      <c r="X350" s="157" t="n"/>
      <c r="Y350" s="158" t="n"/>
      <c r="Z350" s="158" t="n"/>
      <c r="AA350" s="136">
        <f>IF(H350="", "", IF(U350="Open Sale", IF(TODAY()-H350=0, "0 Days", TEXT(TODAY()-H350, "0") &amp; " Days"), IF(U350="Closed Sale", AA350, "")))</f>
        <v/>
      </c>
      <c r="AB350" s="136">
        <f>IF(H350="", "", IF(OR(U350="Pending", U350="Pending Allocation"), CONCATENATE(TODAY()-H350, " Days"), IF(U350="Closed", "", "")))</f>
        <v/>
      </c>
      <c r="AC350" s="160">
        <f>IF(U350="Pending Allocation", IF(I350="", "", TODAY()-I350), "")</f>
        <v/>
      </c>
      <c r="AD350" s="159">
        <f>IF(U350="Open Sale", TEXT(TODAY()-I350, "0"),
IF(U350="Pending", "",
IF(U350="Closed Sale", "", "")))</f>
        <v/>
      </c>
      <c r="AE350" s="161" t="n"/>
      <c r="AF350" s="161" t="n"/>
      <c r="AG350" s="161" t="n"/>
      <c r="AH350" s="136" t="n"/>
      <c r="AI350" s="164">
        <f>IF(I350="","",TEXT(I350, "mmmm yyyy"))</f>
        <v/>
      </c>
      <c r="AJ350" s="164">
        <f>IF(AND(OpenPendingCases[[#This Row],[Sale Status	]]="Open Sale",OpenPendingCases[[#This Row],[Potential Same Month]]="High"),TEXT(OpenPendingCases[[#This Row],[Request Entry Date]], "[$-en-us]mmmm"),"")</f>
        <v/>
      </c>
      <c r="AK350" s="165">
        <f>IFERROR(VALUE(SUBSTITUTE(OpenPendingCases[[#This Row],[Price]]," AED","")),"")</f>
        <v/>
      </c>
      <c r="AL350" s="165">
        <f>IFERROR(VALUE(LEFT(OpenPendingCases[[#This Row],[Price]],FIND(" ",OpenPendingCases[[#This Row],[Price]])-1)),"")</f>
        <v/>
      </c>
      <c r="AM350" s="165">
        <f>IFERROR(VALUE(_xlfn.TEXTBEFORE(OpenPendingCases[[#This Row],[Price]]," AED")),"")</f>
        <v/>
      </c>
      <c r="AN350" s="165" t="n"/>
    </row>
    <row r="351" hidden="1" ht="18" customHeight="1" s="287">
      <c r="C351" s="133" t="n"/>
      <c r="D351" s="136">
        <f>IF($U351="Open Sale", IF(MAX($D$4:D350)+1=0, "", MAX($D$4:D350)+1), "")</f>
        <v/>
      </c>
      <c r="E351" s="136">
        <f>IF($U351="Pending Allocation", IF(MAX($E$4:E350)+1=0, "", MAX($E$4:E350)+1), "")</f>
        <v/>
      </c>
      <c r="F351" s="136" t="n"/>
      <c r="G351" s="136" t="n"/>
      <c r="H351" s="150" t="n"/>
      <c r="I351" s="150" t="n"/>
      <c r="J351" s="67">
        <f>IF(OpenPendingCases[[#This Row],[Timepiece Reference ]]="", "", IF(_xlfn.XLOOKUP(OpenPendingCases[[#This Row],[Timepiece Reference ]], Table1[[Timepiece Reference ]], Table1[CRC STOCK], "Not Found")="YES", "CRC Stock", "Boutique Stock"))</f>
        <v/>
      </c>
      <c r="K351" s="136">
        <f>IF(OpenPendingCases[[#This Row],[Timepiece Reference ]]="", "", IF(_xlfn.XLOOKUP(OpenPendingCases[[#This Row],[Timepiece Reference ]], Table1[[Timepiece Reference ]], Table1[CRC STOCK], "Not Found")="YES", "CRC Stock", "Boutique Stock"))</f>
        <v/>
      </c>
      <c r="L351" s="142" t="n"/>
      <c r="M351" s="140" t="n"/>
      <c r="N351" s="136" t="n"/>
      <c r="O351" s="133" t="n"/>
      <c r="P351" s="93">
        <f>IFERROR(VLOOKUP(TRIM(O351), Collection!$B$2:$D$1001, 2, FALSE), "")</f>
        <v/>
      </c>
      <c r="Q351" s="190">
        <f>IFERROR(VLOOKUP(TRIM(O351), Collection!$B$2:$D$1001, 3, FALSE), "")</f>
        <v/>
      </c>
      <c r="R351" s="153">
        <f>IFERROR(VALUE(SUBSTITUTE(SUBSTITUTE(Q351, "Price", ""), "AED", "")), "")</f>
        <v/>
      </c>
      <c r="S351" s="151" t="n"/>
      <c r="T351" s="158" t="n"/>
      <c r="U351" s="136" t="n"/>
      <c r="V351" s="136" t="n"/>
      <c r="W351" s="156">
        <f>IF(Z351 = "",
"",
TEXT(Z351, "mmmm"))</f>
        <v/>
      </c>
      <c r="X351" s="157" t="n"/>
      <c r="Y351" s="158" t="n"/>
      <c r="Z351" s="158" t="n"/>
      <c r="AA351" s="136">
        <f>IF(H351="", "", IF(U351="Open Sale", IF(TODAY()-H351=0, "0 Days", TEXT(TODAY()-H351, "0") &amp; " Days"), IF(U351="Closed Sale", AA351, "")))</f>
        <v/>
      </c>
      <c r="AB351" s="136">
        <f>IF(H351="", "", IF(OR(U351="Pending", U351="Pending Allocation"), CONCATENATE(TODAY()-H351, " Days"), IF(U351="Closed", "", "")))</f>
        <v/>
      </c>
      <c r="AC351" s="160">
        <f>IF(U351="Pending Allocation", IF(I351="", "", TODAY()-I351), "")</f>
        <v/>
      </c>
      <c r="AD351" s="159">
        <f>IF(U351="Open Sale", TEXT(TODAY()-I351, "0"),
IF(U351="Pending", "",
IF(U351="Closed Sale", "", "")))</f>
        <v/>
      </c>
      <c r="AE351" s="161" t="n"/>
      <c r="AF351" s="161" t="n"/>
      <c r="AG351" s="161" t="n"/>
      <c r="AH351" s="136" t="n"/>
      <c r="AI351" s="164">
        <f>IF(I351="","",TEXT(I351, "mmmm yyyy"))</f>
        <v/>
      </c>
      <c r="AJ351" s="164">
        <f>IF(AND(OpenPendingCases[[#This Row],[Sale Status	]]="Open Sale",OpenPendingCases[[#This Row],[Potential Same Month]]="High"),TEXT(OpenPendingCases[[#This Row],[Request Entry Date]], "[$-en-us]mmmm"),"")</f>
        <v/>
      </c>
      <c r="AK351" s="165">
        <f>IFERROR(VALUE(SUBSTITUTE(OpenPendingCases[[#This Row],[Price]]," AED","")),"")</f>
        <v/>
      </c>
      <c r="AL351" s="165">
        <f>IFERROR(VALUE(LEFT(OpenPendingCases[[#This Row],[Price]],FIND(" ",OpenPendingCases[[#This Row],[Price]])-1)),"")</f>
        <v/>
      </c>
      <c r="AM351" s="165">
        <f>IFERROR(VALUE(_xlfn.TEXTBEFORE(OpenPendingCases[[#This Row],[Price]]," AED")),"")</f>
        <v/>
      </c>
      <c r="AN351" s="165" t="n"/>
    </row>
    <row r="352" hidden="1" ht="18" customHeight="1" s="287">
      <c r="C352" s="133" t="n"/>
      <c r="D352" s="136">
        <f>IF($U352="Open Sale", IF(MAX($D$4:D351)+1=0, "", MAX($D$4:D351)+1), "")</f>
        <v/>
      </c>
      <c r="E352" s="136">
        <f>IF($U352="Pending Allocation", IF(MAX($E$4:E351)+1=0, "", MAX($E$4:E351)+1), "")</f>
        <v/>
      </c>
      <c r="F352" s="136" t="n"/>
      <c r="G352" s="136" t="n"/>
      <c r="H352" s="150" t="n"/>
      <c r="I352" s="150" t="n"/>
      <c r="J352" s="67">
        <f>IF(OpenPendingCases[[#This Row],[Timepiece Reference ]]="", "", IF(_xlfn.XLOOKUP(OpenPendingCases[[#This Row],[Timepiece Reference ]], Table1[[Timepiece Reference ]], Table1[CRC STOCK], "Not Found")="YES", "CRC Stock", "Boutique Stock"))</f>
        <v/>
      </c>
      <c r="K352" s="136">
        <f>IF(OpenPendingCases[[#This Row],[Timepiece Reference ]]="", "", IF(_xlfn.XLOOKUP(OpenPendingCases[[#This Row],[Timepiece Reference ]], Table1[[Timepiece Reference ]], Table1[CRC STOCK], "Not Found")="YES", "CRC Stock", "Boutique Stock"))</f>
        <v/>
      </c>
      <c r="L352" s="142" t="n"/>
      <c r="M352" s="140" t="n"/>
      <c r="N352" s="136" t="n"/>
      <c r="O352" s="133" t="n"/>
      <c r="P352" s="93">
        <f>IFERROR(VLOOKUP(TRIM(O352), Collection!$B$2:$D$1001, 2, FALSE), "")</f>
        <v/>
      </c>
      <c r="Q352" s="190">
        <f>IFERROR(VLOOKUP(TRIM(O352), Collection!$B$2:$D$1001, 3, FALSE), "")</f>
        <v/>
      </c>
      <c r="R352" s="153">
        <f>IFERROR(VALUE(SUBSTITUTE(SUBSTITUTE(Q352, "Price", ""), "AED", "")), "")</f>
        <v/>
      </c>
      <c r="S352" s="151" t="n"/>
      <c r="T352" s="158" t="n"/>
      <c r="U352" s="136" t="n"/>
      <c r="V352" s="136" t="n"/>
      <c r="W352" s="156">
        <f>IF(Z352 = "",
"",
TEXT(Z352, "mmmm"))</f>
        <v/>
      </c>
      <c r="X352" s="157" t="n"/>
      <c r="Y352" s="158" t="n"/>
      <c r="Z352" s="158" t="n"/>
      <c r="AA352" s="136">
        <f>IF(H352="", "", IF(U352="Open Sale", IF(TODAY()-H352=0, "0 Days", TEXT(TODAY()-H352, "0") &amp; " Days"), IF(U352="Closed Sale", AA352, "")))</f>
        <v/>
      </c>
      <c r="AB352" s="136">
        <f>IF(H352="", "", IF(OR(U352="Pending", U352="Pending Allocation"), CONCATENATE(TODAY()-H352, " Days"), IF(U352="Closed", "", "")))</f>
        <v/>
      </c>
      <c r="AC352" s="160">
        <f>IF(U352="Pending Allocation", IF(I352="", "", TODAY()-I352), "")</f>
        <v/>
      </c>
      <c r="AD352" s="159">
        <f>IF(U352="Open Sale", TEXT(TODAY()-I352, "0"),
IF(U352="Pending", "",
IF(U352="Closed Sale", "", "")))</f>
        <v/>
      </c>
      <c r="AE352" s="161" t="n"/>
      <c r="AF352" s="161" t="n"/>
      <c r="AG352" s="161" t="n"/>
      <c r="AH352" s="136" t="n"/>
      <c r="AI352" s="164">
        <f>IF(I352="","",TEXT(I352, "mmmm yyyy"))</f>
        <v/>
      </c>
      <c r="AJ352" s="164">
        <f>IF(AND(OpenPendingCases[[#This Row],[Sale Status	]]="Open Sale",OpenPendingCases[[#This Row],[Potential Same Month]]="High"),TEXT(OpenPendingCases[[#This Row],[Request Entry Date]], "[$-en-us]mmmm"),"")</f>
        <v/>
      </c>
      <c r="AK352" s="165">
        <f>IFERROR(VALUE(SUBSTITUTE(OpenPendingCases[[#This Row],[Price]]," AED","")),"")</f>
        <v/>
      </c>
      <c r="AL352" s="165">
        <f>IFERROR(VALUE(LEFT(OpenPendingCases[[#This Row],[Price]],FIND(" ",OpenPendingCases[[#This Row],[Price]])-1)),"")</f>
        <v/>
      </c>
      <c r="AM352" s="165">
        <f>IFERROR(VALUE(_xlfn.TEXTBEFORE(OpenPendingCases[[#This Row],[Price]]," AED")),"")</f>
        <v/>
      </c>
      <c r="AN352" s="165" t="n"/>
    </row>
    <row r="353" hidden="1" ht="18" customHeight="1" s="287">
      <c r="C353" s="133" t="n"/>
      <c r="D353" s="136">
        <f>IF($U353="Open Sale", IF(MAX($D$4:D352)+1=0, "", MAX($D$4:D352)+1), "")</f>
        <v/>
      </c>
      <c r="E353" s="136">
        <f>IF($U353="Pending Allocation", IF(MAX($E$4:E352)+1=0, "", MAX($E$4:E352)+1), "")</f>
        <v/>
      </c>
      <c r="F353" s="136" t="n"/>
      <c r="G353" s="136" t="n"/>
      <c r="H353" s="150" t="n"/>
      <c r="I353" s="150" t="n"/>
      <c r="J353" s="67">
        <f>IF(OpenPendingCases[[#This Row],[Timepiece Reference ]]="", "", IF(_xlfn.XLOOKUP(OpenPendingCases[[#This Row],[Timepiece Reference ]], Table1[[Timepiece Reference ]], Table1[CRC STOCK], "Not Found")="YES", "CRC Stock", "Boutique Stock"))</f>
        <v/>
      </c>
      <c r="K353" s="136">
        <f>IF(OpenPendingCases[[#This Row],[Timepiece Reference ]]="", "", IF(_xlfn.XLOOKUP(OpenPendingCases[[#This Row],[Timepiece Reference ]], Table1[[Timepiece Reference ]], Table1[CRC STOCK], "Not Found")="YES", "CRC Stock", "Boutique Stock"))</f>
        <v/>
      </c>
      <c r="L353" s="142" t="n"/>
      <c r="M353" s="140" t="n"/>
      <c r="N353" s="136" t="n"/>
      <c r="O353" s="133" t="n"/>
      <c r="P353" s="93">
        <f>IFERROR(VLOOKUP(TRIM(O353), Collection!$B$2:$D$1001, 2, FALSE), "")</f>
        <v/>
      </c>
      <c r="Q353" s="190">
        <f>IFERROR(VLOOKUP(TRIM(O353), Collection!$B$2:$D$1001, 3, FALSE), "")</f>
        <v/>
      </c>
      <c r="R353" s="153">
        <f>IFERROR(VALUE(SUBSTITUTE(SUBSTITUTE(Q353, "Price", ""), "AED", "")), "")</f>
        <v/>
      </c>
      <c r="S353" s="151" t="n"/>
      <c r="T353" s="158" t="n"/>
      <c r="U353" s="136" t="n"/>
      <c r="V353" s="136" t="n"/>
      <c r="W353" s="156">
        <f>IF(Z353 = "",
"",
TEXT(Z353, "mmmm"))</f>
        <v/>
      </c>
      <c r="X353" s="157" t="n"/>
      <c r="Y353" s="158" t="n"/>
      <c r="Z353" s="158" t="n"/>
      <c r="AA353" s="136">
        <f>IF(H353="", "", IF(U353="Open Sale", IF(TODAY()-H353=0, "0 Days", TEXT(TODAY()-H353, "0") &amp; " Days"), IF(U353="Closed Sale", AA353, "")))</f>
        <v/>
      </c>
      <c r="AB353" s="136">
        <f>IF(H353="", "", IF(OR(U353="Pending", U353="Pending Allocation"), CONCATENATE(TODAY()-H353, " Days"), IF(U353="Closed", "", "")))</f>
        <v/>
      </c>
      <c r="AC353" s="160">
        <f>IF(U353="Pending Allocation", IF(I353="", "", TODAY()-I353), "")</f>
        <v/>
      </c>
      <c r="AD353" s="159">
        <f>IF(U353="Open Sale", TEXT(TODAY()-I353, "0"),
IF(U353="Pending", "",
IF(U353="Closed Sale", "", "")))</f>
        <v/>
      </c>
      <c r="AE353" s="161" t="n"/>
      <c r="AF353" s="161" t="n"/>
      <c r="AG353" s="161" t="n"/>
      <c r="AH353" s="136" t="n"/>
      <c r="AI353" s="164">
        <f>IF(I353="","",TEXT(I353, "mmmm yyyy"))</f>
        <v/>
      </c>
      <c r="AJ353" s="164">
        <f>IF(AND(OpenPendingCases[[#This Row],[Sale Status	]]="Open Sale",OpenPendingCases[[#This Row],[Potential Same Month]]="High"),TEXT(OpenPendingCases[[#This Row],[Request Entry Date]], "[$-en-us]mmmm"),"")</f>
        <v/>
      </c>
      <c r="AK353" s="165">
        <f>IFERROR(VALUE(SUBSTITUTE(OpenPendingCases[[#This Row],[Price]]," AED","")),"")</f>
        <v/>
      </c>
      <c r="AL353" s="165">
        <f>IFERROR(VALUE(LEFT(OpenPendingCases[[#This Row],[Price]],FIND(" ",OpenPendingCases[[#This Row],[Price]])-1)),"")</f>
        <v/>
      </c>
      <c r="AM353" s="165">
        <f>IFERROR(VALUE(_xlfn.TEXTBEFORE(OpenPendingCases[[#This Row],[Price]]," AED")),"")</f>
        <v/>
      </c>
      <c r="AN353" s="165" t="n"/>
    </row>
    <row r="354" hidden="1" ht="18" customHeight="1" s="287">
      <c r="C354" s="133" t="n"/>
      <c r="D354" s="136">
        <f>IF($U354="Open Sale", IF(MAX($D$4:D353)+1=0, "", MAX($D$4:D353)+1), "")</f>
        <v/>
      </c>
      <c r="E354" s="136">
        <f>IF($U354="Pending Allocation", IF(MAX($E$4:E353)+1=0, "", MAX($E$4:E353)+1), "")</f>
        <v/>
      </c>
      <c r="F354" s="136" t="n"/>
      <c r="G354" s="136" t="n"/>
      <c r="H354" s="150" t="n"/>
      <c r="I354" s="150" t="n"/>
      <c r="J354" s="67">
        <f>IF(OpenPendingCases[[#This Row],[Timepiece Reference ]]="", "", IF(_xlfn.XLOOKUP(OpenPendingCases[[#This Row],[Timepiece Reference ]], Table1[[Timepiece Reference ]], Table1[CRC STOCK], "Not Found")="YES", "CRC Stock", "Boutique Stock"))</f>
        <v/>
      </c>
      <c r="K354" s="136">
        <f>IF(OpenPendingCases[[#This Row],[Timepiece Reference ]]="", "", IF(_xlfn.XLOOKUP(OpenPendingCases[[#This Row],[Timepiece Reference ]], Table1[[Timepiece Reference ]], Table1[CRC STOCK], "Not Found")="YES", "CRC Stock", "Boutique Stock"))</f>
        <v/>
      </c>
      <c r="L354" s="142" t="n"/>
      <c r="M354" s="140" t="n"/>
      <c r="N354" s="136" t="n"/>
      <c r="O354" s="133" t="n"/>
      <c r="P354" s="93">
        <f>IFERROR(VLOOKUP(TRIM(O354), Collection!$B$2:$D$1001, 2, FALSE), "")</f>
        <v/>
      </c>
      <c r="Q354" s="190">
        <f>IFERROR(VLOOKUP(TRIM(O354), Collection!$B$2:$D$1001, 3, FALSE), "")</f>
        <v/>
      </c>
      <c r="R354" s="153">
        <f>IFERROR(VALUE(SUBSTITUTE(SUBSTITUTE(Q354, "Price", ""), "AED", "")), "")</f>
        <v/>
      </c>
      <c r="S354" s="151" t="n"/>
      <c r="T354" s="158" t="n"/>
      <c r="U354" s="136" t="n"/>
      <c r="V354" s="136" t="n"/>
      <c r="W354" s="156">
        <f>IF(Z354 = "",
"",
TEXT(Z354, "mmmm"))</f>
        <v/>
      </c>
      <c r="X354" s="157" t="n"/>
      <c r="Y354" s="158" t="n"/>
      <c r="Z354" s="158" t="n"/>
      <c r="AA354" s="136">
        <f>IF(H354="", "", IF(U354="Open Sale", IF(TODAY()-H354=0, "0 Days", TEXT(TODAY()-H354, "0") &amp; " Days"), IF(U354="Closed Sale", AA354, "")))</f>
        <v/>
      </c>
      <c r="AB354" s="136">
        <f>IF(H354="", "", IF(OR(U354="Pending", U354="Pending Allocation"), CONCATENATE(TODAY()-H354, " Days"), IF(U354="Closed", "", "")))</f>
        <v/>
      </c>
      <c r="AC354" s="160">
        <f>IF(U354="Pending Allocation", IF(I354="", "", TODAY()-I354), "")</f>
        <v/>
      </c>
      <c r="AD354" s="159">
        <f>IF(U354="Open Sale", TEXT(TODAY()-I354, "0"),
IF(U354="Pending", "",
IF(U354="Closed Sale", "", "")))</f>
        <v/>
      </c>
      <c r="AE354" s="161" t="n"/>
      <c r="AF354" s="161" t="n"/>
      <c r="AG354" s="161" t="n"/>
      <c r="AH354" s="136" t="n"/>
      <c r="AI354" s="164">
        <f>IF(I354="","",TEXT(I354, "mmmm yyyy"))</f>
        <v/>
      </c>
      <c r="AJ354" s="164">
        <f>IF(AND(OpenPendingCases[[#This Row],[Sale Status	]]="Open Sale",OpenPendingCases[[#This Row],[Potential Same Month]]="High"),TEXT(OpenPendingCases[[#This Row],[Request Entry Date]], "[$-en-us]mmmm"),"")</f>
        <v/>
      </c>
      <c r="AK354" s="165">
        <f>IFERROR(VALUE(SUBSTITUTE(OpenPendingCases[[#This Row],[Price]]," AED","")),"")</f>
        <v/>
      </c>
      <c r="AL354" s="165">
        <f>IFERROR(VALUE(LEFT(OpenPendingCases[[#This Row],[Price]],FIND(" ",OpenPendingCases[[#This Row],[Price]])-1)),"")</f>
        <v/>
      </c>
      <c r="AM354" s="165">
        <f>IFERROR(VALUE(_xlfn.TEXTBEFORE(OpenPendingCases[[#This Row],[Price]]," AED")),"")</f>
        <v/>
      </c>
      <c r="AN354" s="165" t="n"/>
    </row>
    <row r="355" hidden="1" ht="18" customHeight="1" s="287">
      <c r="C355" s="133" t="n"/>
      <c r="D355" s="136">
        <f>IF($U355="Open Sale", IF(MAX($D$4:D354)+1=0, "", MAX($D$4:D354)+1), "")</f>
        <v/>
      </c>
      <c r="E355" s="136">
        <f>IF($U355="Pending Allocation", IF(MAX($E$4:E354)+1=0, "", MAX($E$4:E354)+1), "")</f>
        <v/>
      </c>
      <c r="F355" s="136" t="n"/>
      <c r="G355" s="136" t="n"/>
      <c r="H355" s="150" t="n"/>
      <c r="I355" s="150" t="n"/>
      <c r="J355" s="67">
        <f>IF(OpenPendingCases[[#This Row],[Timepiece Reference ]]="", "", IF(_xlfn.XLOOKUP(OpenPendingCases[[#This Row],[Timepiece Reference ]], Table1[[Timepiece Reference ]], Table1[CRC STOCK], "Not Found")="YES", "CRC Stock", "Boutique Stock"))</f>
        <v/>
      </c>
      <c r="K355" s="136">
        <f>IF(OpenPendingCases[[#This Row],[Timepiece Reference ]]="", "", IF(_xlfn.XLOOKUP(OpenPendingCases[[#This Row],[Timepiece Reference ]], Table1[[Timepiece Reference ]], Table1[CRC STOCK], "Not Found")="YES", "CRC Stock", "Boutique Stock"))</f>
        <v/>
      </c>
      <c r="L355" s="142" t="n"/>
      <c r="M355" s="140" t="n"/>
      <c r="N355" s="136" t="n"/>
      <c r="O355" s="133" t="n"/>
      <c r="P355" s="93">
        <f>IFERROR(VLOOKUP(TRIM(O355), Collection!$B$2:$D$1001, 2, FALSE), "")</f>
        <v/>
      </c>
      <c r="Q355" s="190">
        <f>IFERROR(VLOOKUP(TRIM(O355), Collection!$B$2:$D$1001, 3, FALSE), "")</f>
        <v/>
      </c>
      <c r="R355" s="153">
        <f>IFERROR(VALUE(SUBSTITUTE(SUBSTITUTE(Q355, "Price", ""), "AED", "")), "")</f>
        <v/>
      </c>
      <c r="S355" s="151" t="n"/>
      <c r="T355" s="158" t="n"/>
      <c r="U355" s="136" t="n"/>
      <c r="V355" s="136" t="n"/>
      <c r="W355" s="156">
        <f>IF(Z355 = "",
"",
TEXT(Z355, "mmmm"))</f>
        <v/>
      </c>
      <c r="X355" s="157" t="n"/>
      <c r="Y355" s="158" t="n"/>
      <c r="Z355" s="158" t="n"/>
      <c r="AA355" s="136">
        <f>IF(H355="", "", IF(U355="Open Sale", IF(TODAY()-H355=0, "0 Days", TEXT(TODAY()-H355, "0") &amp; " Days"), IF(U355="Closed Sale", AA355, "")))</f>
        <v/>
      </c>
      <c r="AB355" s="136">
        <f>IF(H355="", "", IF(OR(U355="Pending", U355="Pending Allocation"), CONCATENATE(TODAY()-H355, " Days"), IF(U355="Closed", "", "")))</f>
        <v/>
      </c>
      <c r="AC355" s="160">
        <f>IF(U355="Pending Allocation", IF(I355="", "", TODAY()-I355), "")</f>
        <v/>
      </c>
      <c r="AD355" s="159">
        <f>IF(U355="Open Sale", TEXT(TODAY()-I355, "0"),
IF(U355="Pending", "",
IF(U355="Closed Sale", "", "")))</f>
        <v/>
      </c>
      <c r="AE355" s="161" t="n"/>
      <c r="AF355" s="161" t="n"/>
      <c r="AG355" s="161" t="n"/>
      <c r="AH355" s="136" t="n"/>
      <c r="AI355" s="164">
        <f>IF(I355="","",TEXT(I355, "mmmm yyyy"))</f>
        <v/>
      </c>
      <c r="AJ355" s="164">
        <f>IF(AND(OpenPendingCases[[#This Row],[Sale Status	]]="Open Sale",OpenPendingCases[[#This Row],[Potential Same Month]]="High"),TEXT(OpenPendingCases[[#This Row],[Request Entry Date]], "[$-en-us]mmmm"),"")</f>
        <v/>
      </c>
      <c r="AK355" s="165">
        <f>IFERROR(VALUE(SUBSTITUTE(OpenPendingCases[[#This Row],[Price]]," AED","")),"")</f>
        <v/>
      </c>
      <c r="AL355" s="165">
        <f>IFERROR(VALUE(LEFT(OpenPendingCases[[#This Row],[Price]],FIND(" ",OpenPendingCases[[#This Row],[Price]])-1)),"")</f>
        <v/>
      </c>
      <c r="AM355" s="165">
        <f>IFERROR(VALUE(_xlfn.TEXTBEFORE(OpenPendingCases[[#This Row],[Price]]," AED")),"")</f>
        <v/>
      </c>
      <c r="AN355" s="165" t="n"/>
    </row>
    <row r="356" hidden="1" ht="18" customHeight="1" s="287">
      <c r="C356" s="133" t="n"/>
      <c r="D356" s="136">
        <f>IF($U356="Open Sale", IF(MAX($D$4:D355)+1=0, "", MAX($D$4:D355)+1), "")</f>
        <v/>
      </c>
      <c r="E356" s="136">
        <f>IF($U356="Pending Allocation", IF(MAX($E$4:E355)+1=0, "", MAX($E$4:E355)+1), "")</f>
        <v/>
      </c>
      <c r="F356" s="136" t="n"/>
      <c r="G356" s="136" t="n"/>
      <c r="H356" s="150" t="n"/>
      <c r="I356" s="150" t="n"/>
      <c r="J356" s="67">
        <f>IF(OpenPendingCases[[#This Row],[Timepiece Reference ]]="", "", IF(_xlfn.XLOOKUP(OpenPendingCases[[#This Row],[Timepiece Reference ]], Table1[[Timepiece Reference ]], Table1[CRC STOCK], "Not Found")="YES", "CRC Stock", "Boutique Stock"))</f>
        <v/>
      </c>
      <c r="K356" s="136">
        <f>IF(OpenPendingCases[[#This Row],[Timepiece Reference ]]="", "", IF(_xlfn.XLOOKUP(OpenPendingCases[[#This Row],[Timepiece Reference ]], Table1[[Timepiece Reference ]], Table1[CRC STOCK], "Not Found")="YES", "CRC Stock", "Boutique Stock"))</f>
        <v/>
      </c>
      <c r="L356" s="142" t="n"/>
      <c r="M356" s="140" t="n"/>
      <c r="N356" s="136" t="n"/>
      <c r="O356" s="133" t="n"/>
      <c r="P356" s="93">
        <f>IFERROR(VLOOKUP(TRIM(O356), Collection!$B$2:$D$1001, 2, FALSE), "")</f>
        <v/>
      </c>
      <c r="Q356" s="190">
        <f>IFERROR(VLOOKUP(TRIM(O356), Collection!$B$2:$D$1001, 3, FALSE), "")</f>
        <v/>
      </c>
      <c r="R356" s="153">
        <f>IFERROR(VALUE(SUBSTITUTE(SUBSTITUTE(Q356, "Price", ""), "AED", "")), "")</f>
        <v/>
      </c>
      <c r="S356" s="151" t="n"/>
      <c r="T356" s="158" t="n"/>
      <c r="U356" s="136" t="n"/>
      <c r="V356" s="136" t="n"/>
      <c r="W356" s="156">
        <f>IF(Z356 = "",
"",
TEXT(Z356, "mmmm"))</f>
        <v/>
      </c>
      <c r="X356" s="157" t="n"/>
      <c r="Y356" s="158" t="n"/>
      <c r="Z356" s="158" t="n"/>
      <c r="AA356" s="136">
        <f>IF(H356="", "", IF(U356="Open Sale", IF(TODAY()-H356=0, "0 Days", TEXT(TODAY()-H356, "0") &amp; " Days"), IF(U356="Closed Sale", AA356, "")))</f>
        <v/>
      </c>
      <c r="AB356" s="136">
        <f>IF(H356="", "", IF(OR(U356="Pending", U356="Pending Allocation"), CONCATENATE(TODAY()-H356, " Days"), IF(U356="Closed", "", "")))</f>
        <v/>
      </c>
      <c r="AC356" s="160">
        <f>IF(U356="Pending Allocation", IF(I356="", "", TODAY()-I356), "")</f>
        <v/>
      </c>
      <c r="AD356" s="159">
        <f>IF(U356="Open Sale", TEXT(TODAY()-I356, "0"),
IF(U356="Pending", "",
IF(U356="Closed Sale", "", "")))</f>
        <v/>
      </c>
      <c r="AE356" s="161" t="n"/>
      <c r="AF356" s="161" t="n"/>
      <c r="AG356" s="161" t="n"/>
      <c r="AH356" s="136" t="n"/>
      <c r="AI356" s="164">
        <f>IF(I356="","",TEXT(I356, "mmmm yyyy"))</f>
        <v/>
      </c>
      <c r="AJ356" s="164">
        <f>IF(AND(OpenPendingCases[[#This Row],[Sale Status	]]="Open Sale",OpenPendingCases[[#This Row],[Potential Same Month]]="High"),TEXT(OpenPendingCases[[#This Row],[Request Entry Date]], "[$-en-us]mmmm"),"")</f>
        <v/>
      </c>
      <c r="AK356" s="165">
        <f>IFERROR(VALUE(SUBSTITUTE(OpenPendingCases[[#This Row],[Price]]," AED","")),"")</f>
        <v/>
      </c>
      <c r="AL356" s="165">
        <f>IFERROR(VALUE(LEFT(OpenPendingCases[[#This Row],[Price]],FIND(" ",OpenPendingCases[[#This Row],[Price]])-1)),"")</f>
        <v/>
      </c>
      <c r="AM356" s="165">
        <f>IFERROR(VALUE(_xlfn.TEXTBEFORE(OpenPendingCases[[#This Row],[Price]]," AED")),"")</f>
        <v/>
      </c>
      <c r="AN356" s="165" t="n"/>
    </row>
    <row r="357" hidden="1" ht="18" customHeight="1" s="287">
      <c r="C357" s="133" t="n"/>
      <c r="D357" s="136">
        <f>IF($U357="Open Sale", IF(MAX($D$4:D356)+1=0, "", MAX($D$4:D356)+1), "")</f>
        <v/>
      </c>
      <c r="E357" s="136">
        <f>IF($U357="Pending Allocation", IF(MAX($E$4:E356)+1=0, "", MAX($E$4:E356)+1), "")</f>
        <v/>
      </c>
      <c r="F357" s="136" t="n"/>
      <c r="G357" s="136" t="n"/>
      <c r="H357" s="150" t="n"/>
      <c r="I357" s="150" t="n"/>
      <c r="J357" s="67">
        <f>IF(OpenPendingCases[[#This Row],[Timepiece Reference ]]="", "", IF(_xlfn.XLOOKUP(OpenPendingCases[[#This Row],[Timepiece Reference ]], Table1[[Timepiece Reference ]], Table1[CRC STOCK], "Not Found")="YES", "CRC Stock", "Boutique Stock"))</f>
        <v/>
      </c>
      <c r="K357" s="136">
        <f>IF(OpenPendingCases[[#This Row],[Timepiece Reference ]]="", "", IF(_xlfn.XLOOKUP(OpenPendingCases[[#This Row],[Timepiece Reference ]], Table1[[Timepiece Reference ]], Table1[CRC STOCK], "Not Found")="YES", "CRC Stock", "Boutique Stock"))</f>
        <v/>
      </c>
      <c r="L357" s="142" t="n"/>
      <c r="M357" s="140" t="n"/>
      <c r="N357" s="136" t="n"/>
      <c r="O357" s="133" t="n"/>
      <c r="P357" s="93">
        <f>IFERROR(VLOOKUP(TRIM(O357), Collection!$B$2:$D$1001, 2, FALSE), "")</f>
        <v/>
      </c>
      <c r="Q357" s="190">
        <f>IFERROR(VLOOKUP(TRIM(O357), Collection!$B$2:$D$1001, 3, FALSE), "")</f>
        <v/>
      </c>
      <c r="R357" s="153">
        <f>IFERROR(VALUE(SUBSTITUTE(SUBSTITUTE(Q357, "Price", ""), "AED", "")), "")</f>
        <v/>
      </c>
      <c r="S357" s="151" t="n"/>
      <c r="T357" s="158" t="n"/>
      <c r="U357" s="136" t="n"/>
      <c r="V357" s="136" t="n"/>
      <c r="W357" s="156">
        <f>IF(Z357 = "",
"",
TEXT(Z357, "mmmm"))</f>
        <v/>
      </c>
      <c r="X357" s="157" t="n"/>
      <c r="Y357" s="158" t="n"/>
      <c r="Z357" s="158" t="n"/>
      <c r="AA357" s="136">
        <f>IF(H357="", "", IF(U357="Open Sale", IF(TODAY()-H357=0, "0 Days", TEXT(TODAY()-H357, "0") &amp; " Days"), IF(U357="Closed Sale", AA357, "")))</f>
        <v/>
      </c>
      <c r="AB357" s="136">
        <f>IF(H357="", "", IF(OR(U357="Pending", U357="Pending Allocation"), CONCATENATE(TODAY()-H357, " Days"), IF(U357="Closed", "", "")))</f>
        <v/>
      </c>
      <c r="AC357" s="160">
        <f>IF(U357="Pending Allocation", IF(I357="", "", TODAY()-I357), "")</f>
        <v/>
      </c>
      <c r="AD357" s="159">
        <f>IF(U357="Open Sale", TEXT(TODAY()-I357, "0"),
IF(U357="Pending", "",
IF(U357="Closed Sale", "", "")))</f>
        <v/>
      </c>
      <c r="AE357" s="161" t="n"/>
      <c r="AF357" s="161" t="n"/>
      <c r="AG357" s="161" t="n"/>
      <c r="AH357" s="136" t="n"/>
      <c r="AI357" s="164">
        <f>IF(I357="","",TEXT(I357, "mmmm yyyy"))</f>
        <v/>
      </c>
      <c r="AJ357" s="164">
        <f>IF(AND(OpenPendingCases[[#This Row],[Sale Status	]]="Open Sale",OpenPendingCases[[#This Row],[Potential Same Month]]="High"),TEXT(OpenPendingCases[[#This Row],[Request Entry Date]], "[$-en-us]mmmm"),"")</f>
        <v/>
      </c>
      <c r="AK357" s="165">
        <f>IFERROR(VALUE(SUBSTITUTE(OpenPendingCases[[#This Row],[Price]]," AED","")),"")</f>
        <v/>
      </c>
      <c r="AL357" s="165">
        <f>IFERROR(VALUE(LEFT(OpenPendingCases[[#This Row],[Price]],FIND(" ",OpenPendingCases[[#This Row],[Price]])-1)),"")</f>
        <v/>
      </c>
      <c r="AM357" s="165">
        <f>IFERROR(VALUE(_xlfn.TEXTBEFORE(OpenPendingCases[[#This Row],[Price]]," AED")),"")</f>
        <v/>
      </c>
      <c r="AN357" s="165" t="n"/>
    </row>
    <row r="358" hidden="1" ht="18" customHeight="1" s="287">
      <c r="C358" s="133" t="n"/>
      <c r="D358" s="136">
        <f>IF($U358="Open Sale", IF(MAX($D$4:D357)+1=0, "", MAX($D$4:D357)+1), "")</f>
        <v/>
      </c>
      <c r="E358" s="136">
        <f>IF($U358="Pending Allocation", IF(MAX($E$4:E357)+1=0, "", MAX($E$4:E357)+1), "")</f>
        <v/>
      </c>
      <c r="F358" s="136" t="n"/>
      <c r="G358" s="136" t="n"/>
      <c r="H358" s="150" t="n"/>
      <c r="I358" s="150" t="n"/>
      <c r="J358" s="67">
        <f>IF(OpenPendingCases[[#This Row],[Timepiece Reference ]]="", "", IF(_xlfn.XLOOKUP(OpenPendingCases[[#This Row],[Timepiece Reference ]], Table1[[Timepiece Reference ]], Table1[CRC STOCK], "Not Found")="YES", "CRC Stock", "Boutique Stock"))</f>
        <v/>
      </c>
      <c r="K358" s="136">
        <f>IF(OpenPendingCases[[#This Row],[Timepiece Reference ]]="", "", IF(_xlfn.XLOOKUP(OpenPendingCases[[#This Row],[Timepiece Reference ]], Table1[[Timepiece Reference ]], Table1[CRC STOCK], "Not Found")="YES", "CRC Stock", "Boutique Stock"))</f>
        <v/>
      </c>
      <c r="L358" s="142" t="n"/>
      <c r="M358" s="140" t="n"/>
      <c r="N358" s="136" t="n"/>
      <c r="O358" s="133" t="n"/>
      <c r="P358" s="93">
        <f>IFERROR(VLOOKUP(TRIM(O358), Collection!$B$2:$D$1001, 2, FALSE), "")</f>
        <v/>
      </c>
      <c r="Q358" s="190">
        <f>IFERROR(VLOOKUP(TRIM(O358), Collection!$B$2:$D$1001, 3, FALSE), "")</f>
        <v/>
      </c>
      <c r="R358" s="153">
        <f>IFERROR(VALUE(SUBSTITUTE(SUBSTITUTE(Q358, "Price", ""), "AED", "")), "")</f>
        <v/>
      </c>
      <c r="S358" s="151" t="n"/>
      <c r="T358" s="158" t="n"/>
      <c r="U358" s="136" t="n"/>
      <c r="V358" s="136" t="n"/>
      <c r="W358" s="156">
        <f>IF(Z358 = "",
"",
TEXT(Z358, "mmmm"))</f>
        <v/>
      </c>
      <c r="X358" s="157" t="n"/>
      <c r="Y358" s="158" t="n"/>
      <c r="Z358" s="158" t="n"/>
      <c r="AA358" s="136">
        <f>IF(H358="", "", IF(U358="Open Sale", IF(TODAY()-H358=0, "0 Days", TEXT(TODAY()-H358, "0") &amp; " Days"), IF(U358="Closed Sale", AA358, "")))</f>
        <v/>
      </c>
      <c r="AB358" s="136">
        <f>IF(H358="", "", IF(OR(U358="Pending", U358="Pending Allocation"), CONCATENATE(TODAY()-H358, " Days"), IF(U358="Closed", "", "")))</f>
        <v/>
      </c>
      <c r="AC358" s="160">
        <f>IF(U358="Pending Allocation", IF(I358="", "", TODAY()-I358), "")</f>
        <v/>
      </c>
      <c r="AD358" s="159">
        <f>IF(U358="Open Sale", TEXT(TODAY()-I358, "0"),
IF(U358="Pending", "",
IF(U358="Closed Sale", "", "")))</f>
        <v/>
      </c>
      <c r="AE358" s="161" t="n"/>
      <c r="AF358" s="161" t="n"/>
      <c r="AG358" s="161" t="n"/>
      <c r="AH358" s="136" t="n"/>
      <c r="AI358" s="164">
        <f>IF(I358="","",TEXT(I358, "mmmm yyyy"))</f>
        <v/>
      </c>
      <c r="AJ358" s="164">
        <f>IF(AND(OpenPendingCases[[#This Row],[Sale Status	]]="Open Sale",OpenPendingCases[[#This Row],[Potential Same Month]]="High"),TEXT(OpenPendingCases[[#This Row],[Request Entry Date]], "[$-en-us]mmmm"),"")</f>
        <v/>
      </c>
      <c r="AK358" s="165">
        <f>IFERROR(VALUE(SUBSTITUTE(OpenPendingCases[[#This Row],[Price]]," AED","")),"")</f>
        <v/>
      </c>
      <c r="AL358" s="165">
        <f>IFERROR(VALUE(LEFT(OpenPendingCases[[#This Row],[Price]],FIND(" ",OpenPendingCases[[#This Row],[Price]])-1)),"")</f>
        <v/>
      </c>
      <c r="AM358" s="165">
        <f>IFERROR(VALUE(_xlfn.TEXTBEFORE(OpenPendingCases[[#This Row],[Price]]," AED")),"")</f>
        <v/>
      </c>
      <c r="AN358" s="165" t="n"/>
    </row>
    <row r="359" hidden="1" ht="18" customHeight="1" s="287">
      <c r="C359" s="133" t="n"/>
      <c r="D359" s="136">
        <f>IF($U359="Open Sale", IF(MAX($D$4:D358)+1=0, "", MAX($D$4:D358)+1), "")</f>
        <v/>
      </c>
      <c r="E359" s="136">
        <f>IF($U359="Pending Allocation", IF(MAX($E$4:E358)+1=0, "", MAX($E$4:E358)+1), "")</f>
        <v/>
      </c>
      <c r="F359" s="136" t="n"/>
      <c r="G359" s="136" t="n"/>
      <c r="H359" s="150" t="n"/>
      <c r="I359" s="150" t="n"/>
      <c r="J359" s="67">
        <f>IF(OpenPendingCases[[#This Row],[Timepiece Reference ]]="", "", IF(_xlfn.XLOOKUP(OpenPendingCases[[#This Row],[Timepiece Reference ]], Table1[[Timepiece Reference ]], Table1[CRC STOCK], "Not Found")="YES", "CRC Stock", "Boutique Stock"))</f>
        <v/>
      </c>
      <c r="K359" s="136">
        <f>IF(OpenPendingCases[[#This Row],[Timepiece Reference ]]="", "", IF(_xlfn.XLOOKUP(OpenPendingCases[[#This Row],[Timepiece Reference ]], Table1[[Timepiece Reference ]], Table1[CRC STOCK], "Not Found")="YES", "CRC Stock", "Boutique Stock"))</f>
        <v/>
      </c>
      <c r="L359" s="142" t="n"/>
      <c r="M359" s="140" t="n"/>
      <c r="N359" s="136" t="n"/>
      <c r="O359" s="133" t="n"/>
      <c r="P359" s="93">
        <f>IFERROR(VLOOKUP(TRIM(O359), Collection!$B$2:$D$1001, 2, FALSE), "")</f>
        <v/>
      </c>
      <c r="Q359" s="190">
        <f>IFERROR(VLOOKUP(TRIM(O359), Collection!$B$2:$D$1001, 3, FALSE), "")</f>
        <v/>
      </c>
      <c r="R359" s="153">
        <f>IFERROR(VALUE(SUBSTITUTE(SUBSTITUTE(Q359, "Price", ""), "AED", "")), "")</f>
        <v/>
      </c>
      <c r="S359" s="151" t="n"/>
      <c r="T359" s="158" t="n"/>
      <c r="U359" s="136" t="n"/>
      <c r="V359" s="136" t="n"/>
      <c r="W359" s="156">
        <f>IF(Z359 = "",
"",
TEXT(Z359, "mmmm"))</f>
        <v/>
      </c>
      <c r="X359" s="157" t="n"/>
      <c r="Y359" s="158" t="n"/>
      <c r="Z359" s="158" t="n"/>
      <c r="AA359" s="136">
        <f>IF(H359="", "", IF(U359="Open Sale", IF(TODAY()-H359=0, "0 Days", TEXT(TODAY()-H359, "0") &amp; " Days"), IF(U359="Closed Sale", AA359, "")))</f>
        <v/>
      </c>
      <c r="AB359" s="136">
        <f>IF(H359="", "", IF(OR(U359="Pending", U359="Pending Allocation"), CONCATENATE(TODAY()-H359, " Days"), IF(U359="Closed", "", "")))</f>
        <v/>
      </c>
      <c r="AC359" s="160">
        <f>IF(U359="Pending Allocation", IF(I359="", "", TODAY()-I359), "")</f>
        <v/>
      </c>
      <c r="AD359" s="159">
        <f>IF(U359="Open Sale", TEXT(TODAY()-I359, "0"),
IF(U359="Pending", "",
IF(U359="Closed Sale", "", "")))</f>
        <v/>
      </c>
      <c r="AE359" s="161" t="n"/>
      <c r="AF359" s="161" t="n"/>
      <c r="AG359" s="161" t="n"/>
      <c r="AH359" s="136" t="n"/>
      <c r="AI359" s="164">
        <f>IF(I359="","",TEXT(I359, "mmmm yyyy"))</f>
        <v/>
      </c>
      <c r="AJ359" s="164">
        <f>IF(AND(OpenPendingCases[[#This Row],[Sale Status	]]="Open Sale",OpenPendingCases[[#This Row],[Potential Same Month]]="High"),TEXT(OpenPendingCases[[#This Row],[Request Entry Date]], "[$-en-us]mmmm"),"")</f>
        <v/>
      </c>
      <c r="AK359" s="165">
        <f>IFERROR(VALUE(SUBSTITUTE(OpenPendingCases[[#This Row],[Price]]," AED","")),"")</f>
        <v/>
      </c>
      <c r="AL359" s="165">
        <f>IFERROR(VALUE(LEFT(OpenPendingCases[[#This Row],[Price]],FIND(" ",OpenPendingCases[[#This Row],[Price]])-1)),"")</f>
        <v/>
      </c>
      <c r="AM359" s="165">
        <f>IFERROR(VALUE(_xlfn.TEXTBEFORE(OpenPendingCases[[#This Row],[Price]]," AED")),"")</f>
        <v/>
      </c>
      <c r="AN359" s="165" t="n"/>
    </row>
    <row r="360" hidden="1" ht="18" customHeight="1" s="287">
      <c r="C360" s="133" t="n"/>
      <c r="D360" s="136">
        <f>IF($U360="Open Sale", IF(MAX($D$4:D359)+1=0, "", MAX($D$4:D359)+1), "")</f>
        <v/>
      </c>
      <c r="E360" s="136">
        <f>IF($U360="Pending Allocation", IF(MAX($E$4:E359)+1=0, "", MAX($E$4:E359)+1), "")</f>
        <v/>
      </c>
      <c r="F360" s="136" t="n"/>
      <c r="G360" s="136" t="n"/>
      <c r="H360" s="150" t="n"/>
      <c r="I360" s="150" t="n"/>
      <c r="J360" s="67">
        <f>IF(OpenPendingCases[[#This Row],[Timepiece Reference ]]="", "", IF(_xlfn.XLOOKUP(OpenPendingCases[[#This Row],[Timepiece Reference ]], Table1[[Timepiece Reference ]], Table1[CRC STOCK], "Not Found")="YES", "CRC Stock", "Boutique Stock"))</f>
        <v/>
      </c>
      <c r="K360" s="136">
        <f>IF(OpenPendingCases[[#This Row],[Timepiece Reference ]]="", "", IF(_xlfn.XLOOKUP(OpenPendingCases[[#This Row],[Timepiece Reference ]], Table1[[Timepiece Reference ]], Table1[CRC STOCK], "Not Found")="YES", "CRC Stock", "Boutique Stock"))</f>
        <v/>
      </c>
      <c r="L360" s="142" t="n"/>
      <c r="M360" s="140" t="n"/>
      <c r="N360" s="136" t="n"/>
      <c r="O360" s="133" t="n"/>
      <c r="P360" s="93">
        <f>IFERROR(VLOOKUP(TRIM(O360), Collection!$B$2:$D$1001, 2, FALSE), "")</f>
        <v/>
      </c>
      <c r="Q360" s="190">
        <f>IFERROR(VLOOKUP(TRIM(O360), Collection!$B$2:$D$1001, 3, FALSE), "")</f>
        <v/>
      </c>
      <c r="R360" s="153">
        <f>IFERROR(VALUE(SUBSTITUTE(SUBSTITUTE(Q360, "Price", ""), "AED", "")), "")</f>
        <v/>
      </c>
      <c r="S360" s="151" t="n"/>
      <c r="T360" s="158" t="n"/>
      <c r="U360" s="136" t="n"/>
      <c r="V360" s="136" t="n"/>
      <c r="W360" s="156">
        <f>IF(Z360 = "",
"",
TEXT(Z360, "mmmm"))</f>
        <v/>
      </c>
      <c r="X360" s="157" t="n"/>
      <c r="Y360" s="158" t="n"/>
      <c r="Z360" s="158" t="n"/>
      <c r="AA360" s="136">
        <f>IF(H360="", "", IF(U360="Open Sale", IF(TODAY()-H360=0, "0 Days", TEXT(TODAY()-H360, "0") &amp; " Days"), IF(U360="Closed Sale", AA360, "")))</f>
        <v/>
      </c>
      <c r="AB360" s="136">
        <f>IF(H360="", "", IF(OR(U360="Pending", U360="Pending Allocation"), CONCATENATE(TODAY()-H360, " Days"), IF(U360="Closed", "", "")))</f>
        <v/>
      </c>
      <c r="AC360" s="160">
        <f>IF(U360="Pending Allocation", IF(I360="", "", TODAY()-I360), "")</f>
        <v/>
      </c>
      <c r="AD360" s="159">
        <f>IF(U360="Open Sale", TEXT(TODAY()-I360, "0"),
IF(U360="Pending", "",
IF(U360="Closed Sale", "", "")))</f>
        <v/>
      </c>
      <c r="AE360" s="161" t="n"/>
      <c r="AF360" s="161" t="n"/>
      <c r="AG360" s="161" t="n"/>
      <c r="AH360" s="136" t="n"/>
      <c r="AI360" s="164">
        <f>IF(I360="","",TEXT(I360, "mmmm yyyy"))</f>
        <v/>
      </c>
      <c r="AJ360" s="164">
        <f>IF(AND(OpenPendingCases[[#This Row],[Sale Status	]]="Open Sale",OpenPendingCases[[#This Row],[Potential Same Month]]="High"),TEXT(OpenPendingCases[[#This Row],[Request Entry Date]], "[$-en-us]mmmm"),"")</f>
        <v/>
      </c>
      <c r="AK360" s="165">
        <f>IFERROR(VALUE(SUBSTITUTE(OpenPendingCases[[#This Row],[Price]]," AED","")),"")</f>
        <v/>
      </c>
      <c r="AL360" s="165">
        <f>IFERROR(VALUE(LEFT(OpenPendingCases[[#This Row],[Price]],FIND(" ",OpenPendingCases[[#This Row],[Price]])-1)),"")</f>
        <v/>
      </c>
      <c r="AM360" s="165">
        <f>IFERROR(VALUE(_xlfn.TEXTBEFORE(OpenPendingCases[[#This Row],[Price]]," AED")),"")</f>
        <v/>
      </c>
      <c r="AN360" s="165" t="n"/>
    </row>
    <row r="361" hidden="1" ht="18" customHeight="1" s="287">
      <c r="C361" s="133" t="n"/>
      <c r="D361" s="136">
        <f>IF($U361="Open Sale", IF(MAX($D$4:D360)+1=0, "", MAX($D$4:D360)+1), "")</f>
        <v/>
      </c>
      <c r="E361" s="136">
        <f>IF($U361="Pending Allocation", IF(MAX($E$4:E360)+1=0, "", MAX($E$4:E360)+1), "")</f>
        <v/>
      </c>
      <c r="F361" s="136" t="n"/>
      <c r="G361" s="136" t="n"/>
      <c r="H361" s="150" t="n"/>
      <c r="I361" s="150" t="n"/>
      <c r="J361" s="67">
        <f>IF(OpenPendingCases[[#This Row],[Timepiece Reference ]]="", "", IF(_xlfn.XLOOKUP(OpenPendingCases[[#This Row],[Timepiece Reference ]], Table1[[Timepiece Reference ]], Table1[CRC STOCK], "Not Found")="YES", "CRC Stock", "Boutique Stock"))</f>
        <v/>
      </c>
      <c r="K361" s="136">
        <f>IF(OpenPendingCases[[#This Row],[Timepiece Reference ]]="", "", IF(_xlfn.XLOOKUP(OpenPendingCases[[#This Row],[Timepiece Reference ]], Table1[[Timepiece Reference ]], Table1[CRC STOCK], "Not Found")="YES", "CRC Stock", "Boutique Stock"))</f>
        <v/>
      </c>
      <c r="L361" s="142" t="n"/>
      <c r="M361" s="140" t="n"/>
      <c r="N361" s="136" t="n"/>
      <c r="O361" s="133" t="n"/>
      <c r="P361" s="93">
        <f>IFERROR(VLOOKUP(TRIM(O361), Collection!$B$2:$D$1001, 2, FALSE), "")</f>
        <v/>
      </c>
      <c r="Q361" s="190">
        <f>IFERROR(VLOOKUP(TRIM(O361), Collection!$B$2:$D$1001, 3, FALSE), "")</f>
        <v/>
      </c>
      <c r="R361" s="153">
        <f>IFERROR(VALUE(SUBSTITUTE(SUBSTITUTE(Q361, "Price", ""), "AED", "")), "")</f>
        <v/>
      </c>
      <c r="S361" s="151" t="n"/>
      <c r="T361" s="158" t="n"/>
      <c r="U361" s="136" t="n"/>
      <c r="V361" s="136" t="n"/>
      <c r="W361" s="156">
        <f>IF(Z361 = "",
"",
TEXT(Z361, "mmmm"))</f>
        <v/>
      </c>
      <c r="X361" s="157" t="n"/>
      <c r="Y361" s="158" t="n"/>
      <c r="Z361" s="158" t="n"/>
      <c r="AA361" s="136">
        <f>IF(H361="", "", IF(U361="Open Sale", IF(TODAY()-H361=0, "0 Days", TEXT(TODAY()-H361, "0") &amp; " Days"), IF(U361="Closed Sale", AA361, "")))</f>
        <v/>
      </c>
      <c r="AB361" s="136">
        <f>IF(H361="", "", IF(OR(U361="Pending", U361="Pending Allocation"), CONCATENATE(TODAY()-H361, " Days"), IF(U361="Closed", "", "")))</f>
        <v/>
      </c>
      <c r="AC361" s="160">
        <f>IF(U361="Pending Allocation", IF(I361="", "", TODAY()-I361), "")</f>
        <v/>
      </c>
      <c r="AD361" s="159">
        <f>IF(U361="Open Sale", TEXT(TODAY()-I361, "0"),
IF(U361="Pending", "",
IF(U361="Closed Sale", "", "")))</f>
        <v/>
      </c>
      <c r="AE361" s="161" t="n"/>
      <c r="AF361" s="161" t="n"/>
      <c r="AG361" s="161" t="n"/>
      <c r="AH361" s="136" t="n"/>
      <c r="AI361" s="164">
        <f>IF(I361="","",TEXT(I361, "mmmm yyyy"))</f>
        <v/>
      </c>
      <c r="AJ361" s="164">
        <f>IF(AND(OpenPendingCases[[#This Row],[Sale Status	]]="Open Sale",OpenPendingCases[[#This Row],[Potential Same Month]]="High"),TEXT(OpenPendingCases[[#This Row],[Request Entry Date]], "[$-en-us]mmmm"),"")</f>
        <v/>
      </c>
      <c r="AK361" s="165">
        <f>IFERROR(VALUE(SUBSTITUTE(OpenPendingCases[[#This Row],[Price]]," AED","")),"")</f>
        <v/>
      </c>
      <c r="AL361" s="165">
        <f>IFERROR(VALUE(LEFT(OpenPendingCases[[#This Row],[Price]],FIND(" ",OpenPendingCases[[#This Row],[Price]])-1)),"")</f>
        <v/>
      </c>
      <c r="AM361" s="165">
        <f>IFERROR(VALUE(_xlfn.TEXTBEFORE(OpenPendingCases[[#This Row],[Price]]," AED")),"")</f>
        <v/>
      </c>
      <c r="AN361" s="165" t="n"/>
    </row>
    <row r="362" hidden="1" ht="18" customHeight="1" s="287">
      <c r="C362" s="133" t="n"/>
      <c r="D362" s="136">
        <f>IF($U362="Open Sale", IF(MAX($D$4:D361)+1=0, "", MAX($D$4:D361)+1), "")</f>
        <v/>
      </c>
      <c r="E362" s="136">
        <f>IF($U362="Pending Allocation", IF(MAX($E$4:E361)+1=0, "", MAX($E$4:E361)+1), "")</f>
        <v/>
      </c>
      <c r="F362" s="136" t="n"/>
      <c r="G362" s="136" t="n"/>
      <c r="H362" s="150" t="n"/>
      <c r="I362" s="150" t="n"/>
      <c r="J362" s="67">
        <f>IF(OpenPendingCases[[#This Row],[Timepiece Reference ]]="", "", IF(_xlfn.XLOOKUP(OpenPendingCases[[#This Row],[Timepiece Reference ]], Table1[[Timepiece Reference ]], Table1[CRC STOCK], "Not Found")="YES", "CRC Stock", "Boutique Stock"))</f>
        <v/>
      </c>
      <c r="K362" s="136">
        <f>IF(OpenPendingCases[[#This Row],[Timepiece Reference ]]="", "", IF(_xlfn.XLOOKUP(OpenPendingCases[[#This Row],[Timepiece Reference ]], Table1[[Timepiece Reference ]], Table1[CRC STOCK], "Not Found")="YES", "CRC Stock", "Boutique Stock"))</f>
        <v/>
      </c>
      <c r="L362" s="142" t="n"/>
      <c r="M362" s="140" t="n"/>
      <c r="N362" s="136" t="n"/>
      <c r="O362" s="133" t="n"/>
      <c r="P362" s="93">
        <f>IFERROR(VLOOKUP(TRIM(O362), Collection!$B$2:$D$1001, 2, FALSE), "")</f>
        <v/>
      </c>
      <c r="Q362" s="190">
        <f>IFERROR(VLOOKUP(TRIM(O362), Collection!$B$2:$D$1001, 3, FALSE), "")</f>
        <v/>
      </c>
      <c r="R362" s="153">
        <f>IFERROR(VALUE(SUBSTITUTE(SUBSTITUTE(Q362, "Price", ""), "AED", "")), "")</f>
        <v/>
      </c>
      <c r="S362" s="151" t="n"/>
      <c r="T362" s="158" t="n"/>
      <c r="U362" s="136" t="n"/>
      <c r="V362" s="136" t="n"/>
      <c r="W362" s="156">
        <f>IF(Z362 = "",
"",
TEXT(Z362, "mmmm"))</f>
        <v/>
      </c>
      <c r="X362" s="157" t="n"/>
      <c r="Y362" s="158" t="n"/>
      <c r="Z362" s="158" t="n"/>
      <c r="AA362" s="136">
        <f>IF(H362="", "", IF(U362="Open Sale", IF(TODAY()-H362=0, "0 Days", TEXT(TODAY()-H362, "0") &amp; " Days"), IF(U362="Closed Sale", AA362, "")))</f>
        <v/>
      </c>
      <c r="AB362" s="136">
        <f>IF(H362="", "", IF(OR(U362="Pending", U362="Pending Allocation"), CONCATENATE(TODAY()-H362, " Days"), IF(U362="Closed", "", "")))</f>
        <v/>
      </c>
      <c r="AC362" s="160">
        <f>IF(U362="Pending Allocation", IF(I362="", "", TODAY()-I362), "")</f>
        <v/>
      </c>
      <c r="AD362" s="159">
        <f>IF(U362="Open Sale", TEXT(TODAY()-I362, "0"),
IF(U362="Pending", "",
IF(U362="Closed Sale", "", "")))</f>
        <v/>
      </c>
      <c r="AE362" s="161" t="n"/>
      <c r="AF362" s="161" t="n"/>
      <c r="AG362" s="161" t="n"/>
      <c r="AH362" s="136" t="n"/>
      <c r="AI362" s="164">
        <f>IF(I362="","",TEXT(I362, "mmmm yyyy"))</f>
        <v/>
      </c>
      <c r="AJ362" s="164">
        <f>IF(AND(OpenPendingCases[[#This Row],[Sale Status	]]="Open Sale",OpenPendingCases[[#This Row],[Potential Same Month]]="High"),TEXT(OpenPendingCases[[#This Row],[Request Entry Date]], "[$-en-us]mmmm"),"")</f>
        <v/>
      </c>
      <c r="AK362" s="165">
        <f>IFERROR(VALUE(SUBSTITUTE(OpenPendingCases[[#This Row],[Price]]," AED","")),"")</f>
        <v/>
      </c>
      <c r="AL362" s="165">
        <f>IFERROR(VALUE(LEFT(OpenPendingCases[[#This Row],[Price]],FIND(" ",OpenPendingCases[[#This Row],[Price]])-1)),"")</f>
        <v/>
      </c>
      <c r="AM362" s="165">
        <f>IFERROR(VALUE(_xlfn.TEXTBEFORE(OpenPendingCases[[#This Row],[Price]]," AED")),"")</f>
        <v/>
      </c>
      <c r="AN362" s="165" t="n"/>
    </row>
    <row r="363" hidden="1" ht="18" customHeight="1" s="287">
      <c r="C363" s="133" t="n"/>
      <c r="D363" s="136">
        <f>IF($U363="Open Sale", IF(MAX($D$4:D362)+1=0, "", MAX($D$4:D362)+1), "")</f>
        <v/>
      </c>
      <c r="E363" s="136">
        <f>IF($U363="Pending Allocation", IF(MAX($E$4:E362)+1=0, "", MAX($E$4:E362)+1), "")</f>
        <v/>
      </c>
      <c r="F363" s="136" t="n"/>
      <c r="G363" s="136" t="n"/>
      <c r="H363" s="150" t="n"/>
      <c r="I363" s="150" t="n"/>
      <c r="J363" s="67">
        <f>IF(OpenPendingCases[[#This Row],[Timepiece Reference ]]="", "", IF(_xlfn.XLOOKUP(OpenPendingCases[[#This Row],[Timepiece Reference ]], Table1[[Timepiece Reference ]], Table1[CRC STOCK], "Not Found")="YES", "CRC Stock", "Boutique Stock"))</f>
        <v/>
      </c>
      <c r="K363" s="136">
        <f>IF(OpenPendingCases[[#This Row],[Timepiece Reference ]]="", "", IF(_xlfn.XLOOKUP(OpenPendingCases[[#This Row],[Timepiece Reference ]], Table1[[Timepiece Reference ]], Table1[CRC STOCK], "Not Found")="YES", "CRC Stock", "Boutique Stock"))</f>
        <v/>
      </c>
      <c r="L363" s="142" t="n"/>
      <c r="M363" s="140" t="n"/>
      <c r="N363" s="136" t="n"/>
      <c r="O363" s="133" t="n"/>
      <c r="P363" s="93">
        <f>IFERROR(VLOOKUP(TRIM(O363), Collection!$B$2:$D$1001, 2, FALSE), "")</f>
        <v/>
      </c>
      <c r="Q363" s="190">
        <f>IFERROR(VLOOKUP(TRIM(O363), Collection!$B$2:$D$1001, 3, FALSE), "")</f>
        <v/>
      </c>
      <c r="R363" s="153">
        <f>IFERROR(VALUE(SUBSTITUTE(SUBSTITUTE(Q363, "Price", ""), "AED", "")), "")</f>
        <v/>
      </c>
      <c r="S363" s="151" t="n"/>
      <c r="T363" s="158" t="n"/>
      <c r="U363" s="136" t="n"/>
      <c r="V363" s="136" t="n"/>
      <c r="W363" s="156">
        <f>IF(Z363 = "",
"",
TEXT(Z363, "mmmm"))</f>
        <v/>
      </c>
      <c r="X363" s="157" t="n"/>
      <c r="Y363" s="158" t="n"/>
      <c r="Z363" s="158" t="n"/>
      <c r="AA363" s="136">
        <f>IF(H363="", "", IF(U363="Open Sale", IF(TODAY()-H363=0, "0 Days", TEXT(TODAY()-H363, "0") &amp; " Days"), IF(U363="Closed Sale", AA363, "")))</f>
        <v/>
      </c>
      <c r="AB363" s="136">
        <f>IF(H363="", "", IF(OR(U363="Pending", U363="Pending Allocation"), CONCATENATE(TODAY()-H363, " Days"), IF(U363="Closed", "", "")))</f>
        <v/>
      </c>
      <c r="AC363" s="160">
        <f>IF(U363="Pending Allocation", IF(I363="", "", TODAY()-I363), "")</f>
        <v/>
      </c>
      <c r="AD363" s="159">
        <f>IF(U363="Open Sale", TEXT(TODAY()-I363, "0"),
IF(U363="Pending", "",
IF(U363="Closed Sale", "", "")))</f>
        <v/>
      </c>
      <c r="AE363" s="161" t="n"/>
      <c r="AF363" s="161" t="n"/>
      <c r="AG363" s="161" t="n"/>
      <c r="AH363" s="136" t="n"/>
      <c r="AI363" s="164">
        <f>IF(I363="","",TEXT(I363, "mmmm yyyy"))</f>
        <v/>
      </c>
      <c r="AJ363" s="164">
        <f>IF(AND(OpenPendingCases[[#This Row],[Sale Status	]]="Open Sale",OpenPendingCases[[#This Row],[Potential Same Month]]="High"),TEXT(OpenPendingCases[[#This Row],[Request Entry Date]], "[$-en-us]mmmm"),"")</f>
        <v/>
      </c>
      <c r="AK363" s="165">
        <f>IFERROR(VALUE(SUBSTITUTE(OpenPendingCases[[#This Row],[Price]]," AED","")),"")</f>
        <v/>
      </c>
      <c r="AL363" s="165">
        <f>IFERROR(VALUE(LEFT(OpenPendingCases[[#This Row],[Price]],FIND(" ",OpenPendingCases[[#This Row],[Price]])-1)),"")</f>
        <v/>
      </c>
      <c r="AM363" s="165">
        <f>IFERROR(VALUE(_xlfn.TEXTBEFORE(OpenPendingCases[[#This Row],[Price]]," AED")),"")</f>
        <v/>
      </c>
      <c r="AN363" s="165" t="n"/>
    </row>
    <row r="364" hidden="1" ht="18" customHeight="1" s="287">
      <c r="C364" s="133" t="n"/>
      <c r="D364" s="136">
        <f>IF($U364="Open Sale", IF(MAX($D$4:D363)+1=0, "", MAX($D$4:D363)+1), "")</f>
        <v/>
      </c>
      <c r="E364" s="136">
        <f>IF($U364="Pending Allocation", IF(MAX($E$4:E363)+1=0, "", MAX($E$4:E363)+1), "")</f>
        <v/>
      </c>
      <c r="F364" s="136" t="n"/>
      <c r="G364" s="136" t="n"/>
      <c r="H364" s="150" t="n"/>
      <c r="I364" s="150" t="n"/>
      <c r="J364" s="67">
        <f>IF(OpenPendingCases[[#This Row],[Timepiece Reference ]]="", "", IF(_xlfn.XLOOKUP(OpenPendingCases[[#This Row],[Timepiece Reference ]], Table1[[Timepiece Reference ]], Table1[CRC STOCK], "Not Found")="YES", "CRC Stock", "Boutique Stock"))</f>
        <v/>
      </c>
      <c r="K364" s="136">
        <f>IF(OpenPendingCases[[#This Row],[Timepiece Reference ]]="", "", IF(_xlfn.XLOOKUP(OpenPendingCases[[#This Row],[Timepiece Reference ]], Table1[[Timepiece Reference ]], Table1[CRC STOCK], "Not Found")="YES", "CRC Stock", "Boutique Stock"))</f>
        <v/>
      </c>
      <c r="L364" s="142" t="n"/>
      <c r="M364" s="140" t="n"/>
      <c r="N364" s="136" t="n"/>
      <c r="O364" s="133" t="n"/>
      <c r="P364" s="93">
        <f>IFERROR(VLOOKUP(TRIM(O364), Collection!$B$2:$D$1001, 2, FALSE), "")</f>
        <v/>
      </c>
      <c r="Q364" s="190">
        <f>IFERROR(VLOOKUP(TRIM(O364), Collection!$B$2:$D$1001, 3, FALSE), "")</f>
        <v/>
      </c>
      <c r="R364" s="153">
        <f>IFERROR(VALUE(SUBSTITUTE(SUBSTITUTE(Q364, "Price", ""), "AED", "")), "")</f>
        <v/>
      </c>
      <c r="S364" s="151" t="n"/>
      <c r="T364" s="158" t="n"/>
      <c r="U364" s="136" t="n"/>
      <c r="V364" s="136" t="n"/>
      <c r="W364" s="156">
        <f>IF(Z364 = "",
"",
TEXT(Z364, "mmmm"))</f>
        <v/>
      </c>
      <c r="X364" s="157" t="n"/>
      <c r="Y364" s="158" t="n"/>
      <c r="Z364" s="158" t="n"/>
      <c r="AA364" s="136">
        <f>IF(H364="", "", IF(U364="Open Sale", IF(TODAY()-H364=0, "0 Days", TEXT(TODAY()-H364, "0") &amp; " Days"), IF(U364="Closed Sale", AA364, "")))</f>
        <v/>
      </c>
      <c r="AB364" s="136">
        <f>IF(H364="", "", IF(OR(U364="Pending", U364="Pending Allocation"), CONCATENATE(TODAY()-H364, " Days"), IF(U364="Closed", "", "")))</f>
        <v/>
      </c>
      <c r="AC364" s="160">
        <f>IF(U364="Pending Allocation", IF(I364="", "", TODAY()-I364), "")</f>
        <v/>
      </c>
      <c r="AD364" s="159">
        <f>IF(U364="Open Sale", TEXT(TODAY()-I364, "0"),
IF(U364="Pending", "",
IF(U364="Closed Sale", "", "")))</f>
        <v/>
      </c>
      <c r="AE364" s="161" t="n"/>
      <c r="AF364" s="161" t="n"/>
      <c r="AG364" s="161" t="n"/>
      <c r="AH364" s="136" t="n"/>
      <c r="AI364" s="164">
        <f>IF(I364="","",TEXT(I364, "mmmm yyyy"))</f>
        <v/>
      </c>
      <c r="AJ364" s="164">
        <f>IF(AND(OpenPendingCases[[#This Row],[Sale Status	]]="Open Sale",OpenPendingCases[[#This Row],[Potential Same Month]]="High"),TEXT(OpenPendingCases[[#This Row],[Request Entry Date]], "[$-en-us]mmmm"),"")</f>
        <v/>
      </c>
      <c r="AK364" s="165">
        <f>IFERROR(VALUE(SUBSTITUTE(OpenPendingCases[[#This Row],[Price]]," AED","")),"")</f>
        <v/>
      </c>
      <c r="AL364" s="165">
        <f>IFERROR(VALUE(LEFT(OpenPendingCases[[#This Row],[Price]],FIND(" ",OpenPendingCases[[#This Row],[Price]])-1)),"")</f>
        <v/>
      </c>
      <c r="AM364" s="165">
        <f>IFERROR(VALUE(_xlfn.TEXTBEFORE(OpenPendingCases[[#This Row],[Price]]," AED")),"")</f>
        <v/>
      </c>
      <c r="AN364" s="165" t="n"/>
    </row>
    <row r="365" hidden="1" ht="18" customHeight="1" s="287">
      <c r="C365" s="133" t="n"/>
      <c r="D365" s="136">
        <f>IF($U365="Open Sale", IF(MAX($D$4:D364)+1=0, "", MAX($D$4:D364)+1), "")</f>
        <v/>
      </c>
      <c r="E365" s="136">
        <f>IF($U365="Pending Allocation", IF(MAX($E$4:E364)+1=0, "", MAX($E$4:E364)+1), "")</f>
        <v/>
      </c>
      <c r="F365" s="136" t="n"/>
      <c r="G365" s="136" t="n"/>
      <c r="H365" s="150" t="n"/>
      <c r="I365" s="150" t="n"/>
      <c r="J365" s="67">
        <f>IF(OpenPendingCases[[#This Row],[Timepiece Reference ]]="", "", IF(_xlfn.XLOOKUP(OpenPendingCases[[#This Row],[Timepiece Reference ]], Table1[[Timepiece Reference ]], Table1[CRC STOCK], "Not Found")="YES", "CRC Stock", "Boutique Stock"))</f>
        <v/>
      </c>
      <c r="K365" s="136">
        <f>IF(OpenPendingCases[[#This Row],[Timepiece Reference ]]="", "", IF(_xlfn.XLOOKUP(OpenPendingCases[[#This Row],[Timepiece Reference ]], Table1[[Timepiece Reference ]], Table1[CRC STOCK], "Not Found")="YES", "CRC Stock", "Boutique Stock"))</f>
        <v/>
      </c>
      <c r="L365" s="142" t="n"/>
      <c r="M365" s="140" t="n"/>
      <c r="N365" s="136" t="n"/>
      <c r="O365" s="133" t="n"/>
      <c r="P365" s="93">
        <f>IFERROR(VLOOKUP(TRIM(O365), Collection!$B$2:$D$1001, 2, FALSE), "")</f>
        <v/>
      </c>
      <c r="Q365" s="190">
        <f>IFERROR(VLOOKUP(TRIM(O365), Collection!$B$2:$D$1001, 3, FALSE), "")</f>
        <v/>
      </c>
      <c r="R365" s="153">
        <f>IFERROR(VALUE(SUBSTITUTE(SUBSTITUTE(Q365, "Price", ""), "AED", "")), "")</f>
        <v/>
      </c>
      <c r="S365" s="151" t="n"/>
      <c r="T365" s="158" t="n"/>
      <c r="U365" s="136" t="n"/>
      <c r="V365" s="136" t="n"/>
      <c r="W365" s="156">
        <f>IF(Z365 = "",
"",
TEXT(Z365, "mmmm"))</f>
        <v/>
      </c>
      <c r="X365" s="157" t="n"/>
      <c r="Y365" s="158" t="n"/>
      <c r="Z365" s="158" t="n"/>
      <c r="AA365" s="136">
        <f>IF(H365="", "", IF(U365="Open Sale", IF(TODAY()-H365=0, "0 Days", TEXT(TODAY()-H365, "0") &amp; " Days"), IF(U365="Closed Sale", AA365, "")))</f>
        <v/>
      </c>
      <c r="AB365" s="136">
        <f>IF(H365="", "", IF(OR(U365="Pending", U365="Pending Allocation"), CONCATENATE(TODAY()-H365, " Days"), IF(U365="Closed", "", "")))</f>
        <v/>
      </c>
      <c r="AC365" s="160">
        <f>IF(U365="Pending Allocation", IF(I365="", "", TODAY()-I365), "")</f>
        <v/>
      </c>
      <c r="AD365" s="159">
        <f>IF(U365="Open Sale", TEXT(TODAY()-I365, "0"),
IF(U365="Pending", "",
IF(U365="Closed Sale", "", "")))</f>
        <v/>
      </c>
      <c r="AE365" s="161" t="n"/>
      <c r="AF365" s="161" t="n"/>
      <c r="AG365" s="161" t="n"/>
      <c r="AH365" s="136" t="n"/>
      <c r="AI365" s="164">
        <f>IF(I365="","",TEXT(I365, "mmmm yyyy"))</f>
        <v/>
      </c>
      <c r="AJ365" s="164">
        <f>IF(AND(OpenPendingCases[[#This Row],[Sale Status	]]="Open Sale",OpenPendingCases[[#This Row],[Potential Same Month]]="High"),TEXT(OpenPendingCases[[#This Row],[Request Entry Date]], "[$-en-us]mmmm"),"")</f>
        <v/>
      </c>
      <c r="AK365" s="165">
        <f>IFERROR(VALUE(SUBSTITUTE(OpenPendingCases[[#This Row],[Price]]," AED","")),"")</f>
        <v/>
      </c>
      <c r="AL365" s="165">
        <f>IFERROR(VALUE(LEFT(OpenPendingCases[[#This Row],[Price]],FIND(" ",OpenPendingCases[[#This Row],[Price]])-1)),"")</f>
        <v/>
      </c>
      <c r="AM365" s="165">
        <f>IFERROR(VALUE(_xlfn.TEXTBEFORE(OpenPendingCases[[#This Row],[Price]]," AED")),"")</f>
        <v/>
      </c>
      <c r="AN365" s="165" t="n"/>
    </row>
    <row r="366" hidden="1" ht="18" customHeight="1" s="287">
      <c r="C366" s="133" t="n"/>
      <c r="D366" s="136">
        <f>IF($U366="Open Sale", IF(MAX($D$4:D365)+1=0, "", MAX($D$4:D365)+1), "")</f>
        <v/>
      </c>
      <c r="E366" s="136">
        <f>IF($U366="Pending Allocation", IF(MAX($E$4:E365)+1=0, "", MAX($E$4:E365)+1), "")</f>
        <v/>
      </c>
      <c r="F366" s="136" t="n"/>
      <c r="G366" s="136" t="n"/>
      <c r="H366" s="150" t="n"/>
      <c r="I366" s="150" t="n"/>
      <c r="J366" s="67">
        <f>IF(OpenPendingCases[[#This Row],[Timepiece Reference ]]="", "", IF(_xlfn.XLOOKUP(OpenPendingCases[[#This Row],[Timepiece Reference ]], Table1[[Timepiece Reference ]], Table1[CRC STOCK], "Not Found")="YES", "CRC Stock", "Boutique Stock"))</f>
        <v/>
      </c>
      <c r="K366" s="136">
        <f>IF(OpenPendingCases[[#This Row],[Timepiece Reference ]]="", "", IF(_xlfn.XLOOKUP(OpenPendingCases[[#This Row],[Timepiece Reference ]], Table1[[Timepiece Reference ]], Table1[CRC STOCK], "Not Found")="YES", "CRC Stock", "Boutique Stock"))</f>
        <v/>
      </c>
      <c r="L366" s="142" t="n"/>
      <c r="M366" s="140" t="n"/>
      <c r="N366" s="136" t="n"/>
      <c r="O366" s="133" t="n"/>
      <c r="P366" s="93">
        <f>IFERROR(VLOOKUP(TRIM(O366), Collection!$B$2:$D$1001, 2, FALSE), "")</f>
        <v/>
      </c>
      <c r="Q366" s="190">
        <f>IFERROR(VLOOKUP(TRIM(O366), Collection!$B$2:$D$1001, 3, FALSE), "")</f>
        <v/>
      </c>
      <c r="R366" s="153">
        <f>IFERROR(VALUE(SUBSTITUTE(SUBSTITUTE(Q366, "Price", ""), "AED", "")), "")</f>
        <v/>
      </c>
      <c r="S366" s="151" t="n"/>
      <c r="T366" s="158" t="n"/>
      <c r="U366" s="136" t="n"/>
      <c r="V366" s="136" t="n"/>
      <c r="W366" s="156">
        <f>IF(Z366 = "",
"",
TEXT(Z366, "mmmm"))</f>
        <v/>
      </c>
      <c r="X366" s="157" t="n"/>
      <c r="Y366" s="158" t="n"/>
      <c r="Z366" s="158" t="n"/>
      <c r="AA366" s="136">
        <f>IF(H366="", "", IF(U366="Open Sale", IF(TODAY()-H366=0, "0 Days", TEXT(TODAY()-H366, "0") &amp; " Days"), IF(U366="Closed Sale", AA366, "")))</f>
        <v/>
      </c>
      <c r="AB366" s="136">
        <f>IF(H366="", "", IF(OR(U366="Pending", U366="Pending Allocation"), CONCATENATE(TODAY()-H366, " Days"), IF(U366="Closed", "", "")))</f>
        <v/>
      </c>
      <c r="AC366" s="160">
        <f>IF(U366="Pending Allocation", IF(I366="", "", TODAY()-I366), "")</f>
        <v/>
      </c>
      <c r="AD366" s="159">
        <f>IF(U366="Open Sale", TEXT(TODAY()-I366, "0"),
IF(U366="Pending", "",
IF(U366="Closed Sale", "", "")))</f>
        <v/>
      </c>
      <c r="AE366" s="161" t="n"/>
      <c r="AF366" s="161" t="n"/>
      <c r="AG366" s="161" t="n"/>
      <c r="AH366" s="136" t="n"/>
      <c r="AI366" s="164">
        <f>IF(I366="","",TEXT(I366, "mmmm yyyy"))</f>
        <v/>
      </c>
      <c r="AJ366" s="164">
        <f>IF(AND(OpenPendingCases[[#This Row],[Sale Status	]]="Open Sale",OpenPendingCases[[#This Row],[Potential Same Month]]="High"),TEXT(OpenPendingCases[[#This Row],[Request Entry Date]], "[$-en-us]mmmm"),"")</f>
        <v/>
      </c>
      <c r="AK366" s="165">
        <f>IFERROR(VALUE(SUBSTITUTE(OpenPendingCases[[#This Row],[Price]]," AED","")),"")</f>
        <v/>
      </c>
      <c r="AL366" s="165">
        <f>IFERROR(VALUE(LEFT(OpenPendingCases[[#This Row],[Price]],FIND(" ",OpenPendingCases[[#This Row],[Price]])-1)),"")</f>
        <v/>
      </c>
      <c r="AM366" s="165">
        <f>IFERROR(VALUE(_xlfn.TEXTBEFORE(OpenPendingCases[[#This Row],[Price]]," AED")),"")</f>
        <v/>
      </c>
      <c r="AN366" s="165" t="n"/>
    </row>
    <row r="367" hidden="1" ht="18" customHeight="1" s="287">
      <c r="C367" s="133" t="n"/>
      <c r="D367" s="136">
        <f>IF($U367="Open Sale", IF(MAX($D$4:D366)+1=0, "", MAX($D$4:D366)+1), "")</f>
        <v/>
      </c>
      <c r="E367" s="136">
        <f>IF($U367="Pending Allocation", IF(MAX($E$4:E366)+1=0, "", MAX($E$4:E366)+1), "")</f>
        <v/>
      </c>
      <c r="F367" s="136" t="n"/>
      <c r="G367" s="136" t="n"/>
      <c r="H367" s="150" t="n"/>
      <c r="I367" s="150" t="n"/>
      <c r="J367" s="67">
        <f>IF(OpenPendingCases[[#This Row],[Timepiece Reference ]]="", "", IF(_xlfn.XLOOKUP(OpenPendingCases[[#This Row],[Timepiece Reference ]], Table1[[Timepiece Reference ]], Table1[CRC STOCK], "Not Found")="YES", "CRC Stock", "Boutique Stock"))</f>
        <v/>
      </c>
      <c r="K367" s="136">
        <f>IF(OpenPendingCases[[#This Row],[Timepiece Reference ]]="", "", IF(_xlfn.XLOOKUP(OpenPendingCases[[#This Row],[Timepiece Reference ]], Table1[[Timepiece Reference ]], Table1[CRC STOCK], "Not Found")="YES", "CRC Stock", "Boutique Stock"))</f>
        <v/>
      </c>
      <c r="L367" s="142" t="n"/>
      <c r="M367" s="140" t="n"/>
      <c r="N367" s="136" t="n"/>
      <c r="O367" s="133" t="n"/>
      <c r="P367" s="93">
        <f>IFERROR(VLOOKUP(TRIM(O367), Collection!$B$2:$D$1001, 2, FALSE), "")</f>
        <v/>
      </c>
      <c r="Q367" s="190">
        <f>IFERROR(VLOOKUP(TRIM(O367), Collection!$B$2:$D$1001, 3, FALSE), "")</f>
        <v/>
      </c>
      <c r="R367" s="153">
        <f>IFERROR(VALUE(SUBSTITUTE(SUBSTITUTE(Q367, "Price", ""), "AED", "")), "")</f>
        <v/>
      </c>
      <c r="S367" s="151" t="n"/>
      <c r="T367" s="158" t="n"/>
      <c r="U367" s="136" t="n"/>
      <c r="V367" s="136" t="n"/>
      <c r="W367" s="156">
        <f>IF(Z367 = "",
"",
TEXT(Z367, "mmmm"))</f>
        <v/>
      </c>
      <c r="X367" s="157" t="n"/>
      <c r="Y367" s="158" t="n"/>
      <c r="Z367" s="158" t="n"/>
      <c r="AA367" s="136">
        <f>IF(H367="", "", IF(U367="Open Sale", IF(TODAY()-H367=0, "0 Days", TEXT(TODAY()-H367, "0") &amp; " Days"), IF(U367="Closed Sale", AA367, "")))</f>
        <v/>
      </c>
      <c r="AB367" s="136">
        <f>IF(H367="", "", IF(OR(U367="Pending", U367="Pending Allocation"), CONCATENATE(TODAY()-H367, " Days"), IF(U367="Closed", "", "")))</f>
        <v/>
      </c>
      <c r="AC367" s="160">
        <f>IF(U367="Pending Allocation", IF(I367="", "", TODAY()-I367), "")</f>
        <v/>
      </c>
      <c r="AD367" s="159">
        <f>IF(U367="Open Sale", TEXT(TODAY()-I367, "0"),
IF(U367="Pending", "",
IF(U367="Closed Sale", "", "")))</f>
        <v/>
      </c>
      <c r="AE367" s="161" t="n"/>
      <c r="AF367" s="161" t="n"/>
      <c r="AG367" s="161" t="n"/>
      <c r="AH367" s="136" t="n"/>
      <c r="AI367" s="164">
        <f>IF(I367="","",TEXT(I367, "mmmm yyyy"))</f>
        <v/>
      </c>
      <c r="AJ367" s="164">
        <f>IF(AND(OpenPendingCases[[#This Row],[Sale Status	]]="Open Sale",OpenPendingCases[[#This Row],[Potential Same Month]]="High"),TEXT(OpenPendingCases[[#This Row],[Request Entry Date]], "[$-en-us]mmmm"),"")</f>
        <v/>
      </c>
      <c r="AK367" s="165">
        <f>IFERROR(VALUE(SUBSTITUTE(OpenPendingCases[[#This Row],[Price]]," AED","")),"")</f>
        <v/>
      </c>
      <c r="AL367" s="165">
        <f>IFERROR(VALUE(LEFT(OpenPendingCases[[#This Row],[Price]],FIND(" ",OpenPendingCases[[#This Row],[Price]])-1)),"")</f>
        <v/>
      </c>
      <c r="AM367" s="165">
        <f>IFERROR(VALUE(_xlfn.TEXTBEFORE(OpenPendingCases[[#This Row],[Price]]," AED")),"")</f>
        <v/>
      </c>
      <c r="AN367" s="165" t="n"/>
    </row>
    <row r="368" hidden="1" ht="18" customHeight="1" s="287">
      <c r="C368" s="133" t="n"/>
      <c r="D368" s="136">
        <f>IF($U368="Open Sale", IF(MAX($D$4:D367)+1=0, "", MAX($D$4:D367)+1), "")</f>
        <v/>
      </c>
      <c r="E368" s="136">
        <f>IF($U368="Pending Allocation", IF(MAX($E$4:E367)+1=0, "", MAX($E$4:E367)+1), "")</f>
        <v/>
      </c>
      <c r="F368" s="136" t="n"/>
      <c r="G368" s="136" t="n"/>
      <c r="H368" s="150" t="n"/>
      <c r="I368" s="150" t="n"/>
      <c r="J368" s="67">
        <f>IF(OpenPendingCases[[#This Row],[Timepiece Reference ]]="", "", IF(_xlfn.XLOOKUP(OpenPendingCases[[#This Row],[Timepiece Reference ]], Table1[[Timepiece Reference ]], Table1[CRC STOCK], "Not Found")="YES", "CRC Stock", "Boutique Stock"))</f>
        <v/>
      </c>
      <c r="K368" s="136">
        <f>IF(OpenPendingCases[[#This Row],[Timepiece Reference ]]="", "", IF(_xlfn.XLOOKUP(OpenPendingCases[[#This Row],[Timepiece Reference ]], Table1[[Timepiece Reference ]], Table1[CRC STOCK], "Not Found")="YES", "CRC Stock", "Boutique Stock"))</f>
        <v/>
      </c>
      <c r="L368" s="142" t="n"/>
      <c r="M368" s="140" t="n"/>
      <c r="N368" s="136" t="n"/>
      <c r="O368" s="133" t="n"/>
      <c r="P368" s="93">
        <f>IFERROR(VLOOKUP(TRIM(O368), Collection!$B$2:$D$1001, 2, FALSE), "")</f>
        <v/>
      </c>
      <c r="Q368" s="190">
        <f>IFERROR(VLOOKUP(TRIM(O368), Collection!$B$2:$D$1001, 3, FALSE), "")</f>
        <v/>
      </c>
      <c r="R368" s="153">
        <f>IFERROR(VALUE(SUBSTITUTE(SUBSTITUTE(Q368, "Price", ""), "AED", "")), "")</f>
        <v/>
      </c>
      <c r="S368" s="151" t="n"/>
      <c r="T368" s="158" t="n"/>
      <c r="U368" s="136" t="n"/>
      <c r="V368" s="136" t="n"/>
      <c r="W368" s="156">
        <f>IF(Z368 = "",
"",
TEXT(Z368, "mmmm"))</f>
        <v/>
      </c>
      <c r="X368" s="157" t="n"/>
      <c r="Y368" s="158" t="n"/>
      <c r="Z368" s="158" t="n"/>
      <c r="AA368" s="136">
        <f>IF(H368="", "", IF(U368="Open Sale", IF(TODAY()-H368=0, "0 Days", TEXT(TODAY()-H368, "0") &amp; " Days"), IF(U368="Closed Sale", AA368, "")))</f>
        <v/>
      </c>
      <c r="AB368" s="136">
        <f>IF(H368="", "", IF(OR(U368="Pending", U368="Pending Allocation"), CONCATENATE(TODAY()-H368, " Days"), IF(U368="Closed", "", "")))</f>
        <v/>
      </c>
      <c r="AC368" s="160">
        <f>IF(U368="Pending Allocation", IF(I368="", "", TODAY()-I368), "")</f>
        <v/>
      </c>
      <c r="AD368" s="159">
        <f>IF(U368="Open Sale", TEXT(TODAY()-I368, "0"),
IF(U368="Pending", "",
IF(U368="Closed Sale", "", "")))</f>
        <v/>
      </c>
      <c r="AE368" s="161" t="n"/>
      <c r="AF368" s="161" t="n"/>
      <c r="AG368" s="161" t="n"/>
      <c r="AH368" s="136" t="n"/>
      <c r="AI368" s="164">
        <f>IF(I368="","",TEXT(I368, "mmmm yyyy"))</f>
        <v/>
      </c>
      <c r="AJ368" s="164">
        <f>IF(AND(OpenPendingCases[[#This Row],[Sale Status	]]="Open Sale",OpenPendingCases[[#This Row],[Potential Same Month]]="High"),TEXT(OpenPendingCases[[#This Row],[Request Entry Date]], "[$-en-us]mmmm"),"")</f>
        <v/>
      </c>
      <c r="AK368" s="165">
        <f>IFERROR(VALUE(SUBSTITUTE(OpenPendingCases[[#This Row],[Price]]," AED","")),"")</f>
        <v/>
      </c>
      <c r="AL368" s="165">
        <f>IFERROR(VALUE(LEFT(OpenPendingCases[[#This Row],[Price]],FIND(" ",OpenPendingCases[[#This Row],[Price]])-1)),"")</f>
        <v/>
      </c>
      <c r="AM368" s="165">
        <f>IFERROR(VALUE(_xlfn.TEXTBEFORE(OpenPendingCases[[#This Row],[Price]]," AED")),"")</f>
        <v/>
      </c>
      <c r="AN368" s="165" t="n"/>
    </row>
    <row r="369" hidden="1" ht="18" customHeight="1" s="287">
      <c r="C369" s="133" t="n"/>
      <c r="D369" s="136">
        <f>IF($U369="Open Sale", IF(MAX($D$4:D368)+1=0, "", MAX($D$4:D368)+1), "")</f>
        <v/>
      </c>
      <c r="E369" s="136">
        <f>IF($U369="Pending Allocation", IF(MAX($E$4:E368)+1=0, "", MAX($E$4:E368)+1), "")</f>
        <v/>
      </c>
      <c r="F369" s="136" t="n"/>
      <c r="G369" s="136" t="n"/>
      <c r="H369" s="150" t="n"/>
      <c r="I369" s="150" t="n"/>
      <c r="J369" s="67">
        <f>IF(OpenPendingCases[[#This Row],[Timepiece Reference ]]="", "", IF(_xlfn.XLOOKUP(OpenPendingCases[[#This Row],[Timepiece Reference ]], Table1[[Timepiece Reference ]], Table1[CRC STOCK], "Not Found")="YES", "CRC Stock", "Boutique Stock"))</f>
        <v/>
      </c>
      <c r="K369" s="136">
        <f>IF(OpenPendingCases[[#This Row],[Timepiece Reference ]]="", "", IF(_xlfn.XLOOKUP(OpenPendingCases[[#This Row],[Timepiece Reference ]], Table1[[Timepiece Reference ]], Table1[CRC STOCK], "Not Found")="YES", "CRC Stock", "Boutique Stock"))</f>
        <v/>
      </c>
      <c r="L369" s="142" t="n"/>
      <c r="M369" s="140" t="n"/>
      <c r="N369" s="136" t="n"/>
      <c r="O369" s="133" t="n"/>
      <c r="P369" s="93">
        <f>IFERROR(VLOOKUP(TRIM(O369), Collection!$B$2:$D$1001, 2, FALSE), "")</f>
        <v/>
      </c>
      <c r="Q369" s="190">
        <f>IFERROR(VLOOKUP(TRIM(O369), Collection!$B$2:$D$1001, 3, FALSE), "")</f>
        <v/>
      </c>
      <c r="R369" s="153">
        <f>IFERROR(VALUE(SUBSTITUTE(SUBSTITUTE(Q369, "Price", ""), "AED", "")), "")</f>
        <v/>
      </c>
      <c r="S369" s="151" t="n"/>
      <c r="T369" s="158" t="n"/>
      <c r="U369" s="136" t="n"/>
      <c r="V369" s="136" t="n"/>
      <c r="W369" s="156">
        <f>IF(Z369 = "",
"",
TEXT(Z369, "mmmm"))</f>
        <v/>
      </c>
      <c r="X369" s="157" t="n"/>
      <c r="Y369" s="158" t="n"/>
      <c r="Z369" s="158" t="n"/>
      <c r="AA369" s="136">
        <f>IF(H369="", "", IF(U369="Open Sale", IF(TODAY()-H369=0, "0 Days", TEXT(TODAY()-H369, "0") &amp; " Days"), IF(U369="Closed Sale", AA369, "")))</f>
        <v/>
      </c>
      <c r="AB369" s="136">
        <f>IF(H369="", "", IF(OR(U369="Pending", U369="Pending Allocation"), CONCATENATE(TODAY()-H369, " Days"), IF(U369="Closed", "", "")))</f>
        <v/>
      </c>
      <c r="AC369" s="160">
        <f>IF(U369="Pending Allocation", IF(I369="", "", TODAY()-I369), "")</f>
        <v/>
      </c>
      <c r="AD369" s="159">
        <f>IF(U369="Open Sale", TEXT(TODAY()-I369, "0"),
IF(U369="Pending", "",
IF(U369="Closed Sale", "", "")))</f>
        <v/>
      </c>
      <c r="AE369" s="161" t="n"/>
      <c r="AF369" s="161" t="n"/>
      <c r="AG369" s="161" t="n"/>
      <c r="AH369" s="136" t="n"/>
      <c r="AI369" s="164">
        <f>IF(I369="","",TEXT(I369, "mmmm yyyy"))</f>
        <v/>
      </c>
      <c r="AJ369" s="164">
        <f>IF(AND(OpenPendingCases[[#This Row],[Sale Status	]]="Open Sale",OpenPendingCases[[#This Row],[Potential Same Month]]="High"),TEXT(OpenPendingCases[[#This Row],[Request Entry Date]], "[$-en-us]mmmm"),"")</f>
        <v/>
      </c>
      <c r="AK369" s="165">
        <f>IFERROR(VALUE(SUBSTITUTE(OpenPendingCases[[#This Row],[Price]]," AED","")),"")</f>
        <v/>
      </c>
      <c r="AL369" s="165">
        <f>IFERROR(VALUE(LEFT(OpenPendingCases[[#This Row],[Price]],FIND(" ",OpenPendingCases[[#This Row],[Price]])-1)),"")</f>
        <v/>
      </c>
      <c r="AM369" s="165">
        <f>IFERROR(VALUE(_xlfn.TEXTBEFORE(OpenPendingCases[[#This Row],[Price]]," AED")),"")</f>
        <v/>
      </c>
      <c r="AN369" s="165" t="n"/>
    </row>
    <row r="370" hidden="1" ht="18" customHeight="1" s="287">
      <c r="C370" s="133" t="n"/>
      <c r="D370" s="136">
        <f>IF($U370="Open Sale", IF(MAX($D$4:D369)+1=0, "", MAX($D$4:D369)+1), "")</f>
        <v/>
      </c>
      <c r="E370" s="136">
        <f>IF($U370="Pending Allocation", IF(MAX($E$4:E369)+1=0, "", MAX($E$4:E369)+1), "")</f>
        <v/>
      </c>
      <c r="F370" s="136" t="n"/>
      <c r="G370" s="136" t="n"/>
      <c r="H370" s="150" t="n"/>
      <c r="I370" s="150" t="n"/>
      <c r="J370" s="67">
        <f>IF(OpenPendingCases[[#This Row],[Timepiece Reference ]]="", "", IF(_xlfn.XLOOKUP(OpenPendingCases[[#This Row],[Timepiece Reference ]], Table1[[Timepiece Reference ]], Table1[CRC STOCK], "Not Found")="YES", "CRC Stock", "Boutique Stock"))</f>
        <v/>
      </c>
      <c r="K370" s="136">
        <f>IF(OpenPendingCases[[#This Row],[Timepiece Reference ]]="", "", IF(_xlfn.XLOOKUP(OpenPendingCases[[#This Row],[Timepiece Reference ]], Table1[[Timepiece Reference ]], Table1[CRC STOCK], "Not Found")="YES", "CRC Stock", "Boutique Stock"))</f>
        <v/>
      </c>
      <c r="L370" s="142" t="n"/>
      <c r="M370" s="140" t="n"/>
      <c r="N370" s="136" t="n"/>
      <c r="O370" s="133" t="n"/>
      <c r="P370" s="93">
        <f>IFERROR(VLOOKUP(TRIM(O370), Collection!$B$2:$D$1001, 2, FALSE), "")</f>
        <v/>
      </c>
      <c r="Q370" s="190">
        <f>IFERROR(VLOOKUP(TRIM(O370), Collection!$B$2:$D$1001, 3, FALSE), "")</f>
        <v/>
      </c>
      <c r="R370" s="153">
        <f>IFERROR(VALUE(SUBSTITUTE(SUBSTITUTE(Q370, "Price", ""), "AED", "")), "")</f>
        <v/>
      </c>
      <c r="S370" s="151" t="n"/>
      <c r="T370" s="158" t="n"/>
      <c r="U370" s="136" t="n"/>
      <c r="V370" s="136" t="n"/>
      <c r="W370" s="156">
        <f>IF(Z370 = "",
"",
TEXT(Z370, "mmmm"))</f>
        <v/>
      </c>
      <c r="X370" s="157" t="n"/>
      <c r="Y370" s="158" t="n"/>
      <c r="Z370" s="158" t="n"/>
      <c r="AA370" s="136">
        <f>IF(H370="", "", IF(U370="Open Sale", IF(TODAY()-H370=0, "0 Days", TEXT(TODAY()-H370, "0") &amp; " Days"), IF(U370="Closed Sale", AA370, "")))</f>
        <v/>
      </c>
      <c r="AB370" s="136">
        <f>IF(H370="", "", IF(OR(U370="Pending", U370="Pending Allocation"), CONCATENATE(TODAY()-H370, " Days"), IF(U370="Closed", "", "")))</f>
        <v/>
      </c>
      <c r="AC370" s="160">
        <f>IF(U370="Pending Allocation", IF(I370="", "", TODAY()-I370), "")</f>
        <v/>
      </c>
      <c r="AD370" s="159">
        <f>IF(U370="Open Sale", TEXT(TODAY()-I370, "0"),
IF(U370="Pending", "",
IF(U370="Closed Sale", "", "")))</f>
        <v/>
      </c>
      <c r="AE370" s="161" t="n"/>
      <c r="AF370" s="161" t="n"/>
      <c r="AG370" s="161" t="n"/>
      <c r="AH370" s="136" t="n"/>
      <c r="AI370" s="164">
        <f>IF(I370="","",TEXT(I370, "mmmm yyyy"))</f>
        <v/>
      </c>
      <c r="AJ370" s="164">
        <f>IF(AND(OpenPendingCases[[#This Row],[Sale Status	]]="Open Sale",OpenPendingCases[[#This Row],[Potential Same Month]]="High"),TEXT(OpenPendingCases[[#This Row],[Request Entry Date]], "[$-en-us]mmmm"),"")</f>
        <v/>
      </c>
      <c r="AK370" s="165">
        <f>IFERROR(VALUE(SUBSTITUTE(OpenPendingCases[[#This Row],[Price]]," AED","")),"")</f>
        <v/>
      </c>
      <c r="AL370" s="165">
        <f>IFERROR(VALUE(LEFT(OpenPendingCases[[#This Row],[Price]],FIND(" ",OpenPendingCases[[#This Row],[Price]])-1)),"")</f>
        <v/>
      </c>
      <c r="AM370" s="165">
        <f>IFERROR(VALUE(_xlfn.TEXTBEFORE(OpenPendingCases[[#This Row],[Price]]," AED")),"")</f>
        <v/>
      </c>
      <c r="AN370" s="165" t="n"/>
    </row>
    <row r="371" hidden="1" ht="18" customHeight="1" s="287">
      <c r="C371" s="133" t="n"/>
      <c r="D371" s="136">
        <f>IF($U371="Open Sale", IF(MAX($D$4:D370)+1=0, "", MAX($D$4:D370)+1), "")</f>
        <v/>
      </c>
      <c r="E371" s="136">
        <f>IF($U371="Pending Allocation", IF(MAX($E$4:E370)+1=0, "", MAX($E$4:E370)+1), "")</f>
        <v/>
      </c>
      <c r="F371" s="136" t="n"/>
      <c r="G371" s="136" t="n"/>
      <c r="H371" s="150" t="n"/>
      <c r="I371" s="150" t="n"/>
      <c r="J371" s="67">
        <f>IF(OpenPendingCases[[#This Row],[Timepiece Reference ]]="", "", IF(_xlfn.XLOOKUP(OpenPendingCases[[#This Row],[Timepiece Reference ]], Table1[[Timepiece Reference ]], Table1[CRC STOCK], "Not Found")="YES", "CRC Stock", "Boutique Stock"))</f>
        <v/>
      </c>
      <c r="K371" s="136">
        <f>IF(OpenPendingCases[[#This Row],[Timepiece Reference ]]="", "", IF(_xlfn.XLOOKUP(OpenPendingCases[[#This Row],[Timepiece Reference ]], Table1[[Timepiece Reference ]], Table1[CRC STOCK], "Not Found")="YES", "CRC Stock", "Boutique Stock"))</f>
        <v/>
      </c>
      <c r="L371" s="142" t="n"/>
      <c r="M371" s="140" t="n"/>
      <c r="N371" s="136" t="n"/>
      <c r="O371" s="133" t="n"/>
      <c r="P371" s="93">
        <f>IFERROR(VLOOKUP(TRIM(O371), Collection!$B$2:$D$1001, 2, FALSE), "")</f>
        <v/>
      </c>
      <c r="Q371" s="190">
        <f>IFERROR(VLOOKUP(TRIM(O371), Collection!$B$2:$D$1001, 3, FALSE), "")</f>
        <v/>
      </c>
      <c r="R371" s="153">
        <f>IFERROR(VALUE(SUBSTITUTE(SUBSTITUTE(Q371, "Price", ""), "AED", "")), "")</f>
        <v/>
      </c>
      <c r="S371" s="151" t="n"/>
      <c r="T371" s="158" t="n"/>
      <c r="U371" s="136" t="n"/>
      <c r="V371" s="136" t="n"/>
      <c r="W371" s="156">
        <f>IF(Z371 = "",
"",
TEXT(Z371, "mmmm"))</f>
        <v/>
      </c>
      <c r="X371" s="157" t="n"/>
      <c r="Y371" s="158" t="n"/>
      <c r="Z371" s="158" t="n"/>
      <c r="AA371" s="136">
        <f>IF(H371="", "", IF(U371="Open Sale", IF(TODAY()-H371=0, "0 Days", TEXT(TODAY()-H371, "0") &amp; " Days"), IF(U371="Closed Sale", AA371, "")))</f>
        <v/>
      </c>
      <c r="AB371" s="136">
        <f>IF(H371="", "", IF(OR(U371="Pending", U371="Pending Allocation"), CONCATENATE(TODAY()-H371, " Days"), IF(U371="Closed", "", "")))</f>
        <v/>
      </c>
      <c r="AC371" s="160">
        <f>IF(U371="Pending Allocation", IF(I371="", "", TODAY()-I371), "")</f>
        <v/>
      </c>
      <c r="AD371" s="159">
        <f>IF(U371="Open Sale", TEXT(TODAY()-I371, "0"),
IF(U371="Pending", "",
IF(U371="Closed Sale", "", "")))</f>
        <v/>
      </c>
      <c r="AE371" s="161" t="n"/>
      <c r="AF371" s="161" t="n"/>
      <c r="AG371" s="161" t="n"/>
      <c r="AH371" s="136" t="n"/>
      <c r="AI371" s="164">
        <f>IF(I371="","",TEXT(I371, "mmmm yyyy"))</f>
        <v/>
      </c>
      <c r="AJ371" s="164">
        <f>IF(AND(OpenPendingCases[[#This Row],[Sale Status	]]="Open Sale",OpenPendingCases[[#This Row],[Potential Same Month]]="High"),TEXT(OpenPendingCases[[#This Row],[Request Entry Date]], "[$-en-us]mmmm"),"")</f>
        <v/>
      </c>
      <c r="AK371" s="165">
        <f>IFERROR(VALUE(SUBSTITUTE(OpenPendingCases[[#This Row],[Price]]," AED","")),"")</f>
        <v/>
      </c>
      <c r="AL371" s="165">
        <f>IFERROR(VALUE(LEFT(OpenPendingCases[[#This Row],[Price]],FIND(" ",OpenPendingCases[[#This Row],[Price]])-1)),"")</f>
        <v/>
      </c>
      <c r="AM371" s="165">
        <f>IFERROR(VALUE(_xlfn.TEXTBEFORE(OpenPendingCases[[#This Row],[Price]]," AED")),"")</f>
        <v/>
      </c>
      <c r="AN371" s="165" t="n"/>
    </row>
    <row r="372" hidden="1" ht="18" customHeight="1" s="287">
      <c r="C372" s="133" t="n"/>
      <c r="D372" s="136">
        <f>IF($U372="Open Sale", IF(MAX($D$4:D371)+1=0, "", MAX($D$4:D371)+1), "")</f>
        <v/>
      </c>
      <c r="E372" s="136">
        <f>IF($U372="Pending Allocation", IF(MAX($E$4:E371)+1=0, "", MAX($E$4:E371)+1), "")</f>
        <v/>
      </c>
      <c r="F372" s="136" t="n"/>
      <c r="G372" s="136" t="n"/>
      <c r="H372" s="150" t="n"/>
      <c r="I372" s="150" t="n"/>
      <c r="J372" s="67">
        <f>IF(OpenPendingCases[[#This Row],[Timepiece Reference ]]="", "", IF(_xlfn.XLOOKUP(OpenPendingCases[[#This Row],[Timepiece Reference ]], Table1[[Timepiece Reference ]], Table1[CRC STOCK], "Not Found")="YES", "CRC Stock", "Boutique Stock"))</f>
        <v/>
      </c>
      <c r="K372" s="136">
        <f>IF(OpenPendingCases[[#This Row],[Timepiece Reference ]]="", "", IF(_xlfn.XLOOKUP(OpenPendingCases[[#This Row],[Timepiece Reference ]], Table1[[Timepiece Reference ]], Table1[CRC STOCK], "Not Found")="YES", "CRC Stock", "Boutique Stock"))</f>
        <v/>
      </c>
      <c r="L372" s="142" t="n"/>
      <c r="M372" s="140" t="n"/>
      <c r="N372" s="136" t="n"/>
      <c r="O372" s="133" t="n"/>
      <c r="P372" s="93">
        <f>IFERROR(VLOOKUP(TRIM(O372), Collection!$B$2:$D$1001, 2, FALSE), "")</f>
        <v/>
      </c>
      <c r="Q372" s="190">
        <f>IFERROR(VLOOKUP(TRIM(O372), Collection!$B$2:$D$1001, 3, FALSE), "")</f>
        <v/>
      </c>
      <c r="R372" s="153">
        <f>IFERROR(VALUE(SUBSTITUTE(SUBSTITUTE(Q372, "Price", ""), "AED", "")), "")</f>
        <v/>
      </c>
      <c r="S372" s="151" t="n"/>
      <c r="T372" s="158" t="n"/>
      <c r="U372" s="136" t="n"/>
      <c r="V372" s="136" t="n"/>
      <c r="W372" s="156">
        <f>IF(Z372 = "",
"",
TEXT(Z372, "mmmm"))</f>
        <v/>
      </c>
      <c r="X372" s="157" t="n"/>
      <c r="Y372" s="158" t="n"/>
      <c r="Z372" s="158" t="n"/>
      <c r="AA372" s="136">
        <f>IF(H372="", "", IF(U372="Open Sale", IF(TODAY()-H372=0, "0 Days", TEXT(TODAY()-H372, "0") &amp; " Days"), IF(U372="Closed Sale", AA372, "")))</f>
        <v/>
      </c>
      <c r="AB372" s="136">
        <f>IF(H372="", "", IF(OR(U372="Pending", U372="Pending Allocation"), CONCATENATE(TODAY()-H372, " Days"), IF(U372="Closed", "", "")))</f>
        <v/>
      </c>
      <c r="AC372" s="160">
        <f>IF(U372="Pending Allocation", IF(I372="", "", TODAY()-I372), "")</f>
        <v/>
      </c>
      <c r="AD372" s="159">
        <f>IF(U372="Open Sale", TEXT(TODAY()-I372, "0"),
IF(U372="Pending", "",
IF(U372="Closed Sale", "", "")))</f>
        <v/>
      </c>
      <c r="AE372" s="161" t="n"/>
      <c r="AF372" s="161" t="n"/>
      <c r="AG372" s="161" t="n"/>
      <c r="AH372" s="136" t="n"/>
      <c r="AI372" s="164">
        <f>IF(I372="","",TEXT(I372, "mmmm yyyy"))</f>
        <v/>
      </c>
      <c r="AJ372" s="164">
        <f>IF(AND(OpenPendingCases[[#This Row],[Sale Status	]]="Open Sale",OpenPendingCases[[#This Row],[Potential Same Month]]="High"),TEXT(OpenPendingCases[[#This Row],[Request Entry Date]], "[$-en-us]mmmm"),"")</f>
        <v/>
      </c>
      <c r="AK372" s="165">
        <f>IFERROR(VALUE(SUBSTITUTE(OpenPendingCases[[#This Row],[Price]]," AED","")),"")</f>
        <v/>
      </c>
      <c r="AL372" s="165">
        <f>IFERROR(VALUE(LEFT(OpenPendingCases[[#This Row],[Price]],FIND(" ",OpenPendingCases[[#This Row],[Price]])-1)),"")</f>
        <v/>
      </c>
      <c r="AM372" s="165">
        <f>IFERROR(VALUE(_xlfn.TEXTBEFORE(OpenPendingCases[[#This Row],[Price]]," AED")),"")</f>
        <v/>
      </c>
      <c r="AN372" s="165" t="n"/>
    </row>
    <row r="373" hidden="1" ht="18" customHeight="1" s="287">
      <c r="C373" s="133" t="n"/>
      <c r="D373" s="136">
        <f>IF($U373="Open Sale", IF(MAX($D$4:D372)+1=0, "", MAX($D$4:D372)+1), "")</f>
        <v/>
      </c>
      <c r="E373" s="136">
        <f>IF($U373="Pending Allocation", IF(MAX($E$4:E372)+1=0, "", MAX($E$4:E372)+1), "")</f>
        <v/>
      </c>
      <c r="F373" s="136" t="n"/>
      <c r="G373" s="136" t="n"/>
      <c r="H373" s="150" t="n"/>
      <c r="I373" s="150" t="n"/>
      <c r="J373" s="67">
        <f>IF(OpenPendingCases[[#This Row],[Timepiece Reference ]]="", "", IF(_xlfn.XLOOKUP(OpenPendingCases[[#This Row],[Timepiece Reference ]], Table1[[Timepiece Reference ]], Table1[CRC STOCK], "Not Found")="YES", "CRC Stock", "Boutique Stock"))</f>
        <v/>
      </c>
      <c r="K373" s="136">
        <f>IF(OpenPendingCases[[#This Row],[Timepiece Reference ]]="", "", IF(_xlfn.XLOOKUP(OpenPendingCases[[#This Row],[Timepiece Reference ]], Table1[[Timepiece Reference ]], Table1[CRC STOCK], "Not Found")="YES", "CRC Stock", "Boutique Stock"))</f>
        <v/>
      </c>
      <c r="L373" s="142" t="n"/>
      <c r="M373" s="140" t="n"/>
      <c r="N373" s="136" t="n"/>
      <c r="O373" s="133" t="n"/>
      <c r="P373" s="93">
        <f>IFERROR(VLOOKUP(TRIM(O373), Collection!$B$2:$D$1001, 2, FALSE), "")</f>
        <v/>
      </c>
      <c r="Q373" s="190">
        <f>IFERROR(VLOOKUP(TRIM(O373), Collection!$B$2:$D$1001, 3, FALSE), "")</f>
        <v/>
      </c>
      <c r="R373" s="153">
        <f>IFERROR(VALUE(SUBSTITUTE(SUBSTITUTE(Q373, "Price", ""), "AED", "")), "")</f>
        <v/>
      </c>
      <c r="S373" s="151" t="n"/>
      <c r="T373" s="158" t="n"/>
      <c r="U373" s="136" t="n"/>
      <c r="V373" s="136" t="n"/>
      <c r="W373" s="156">
        <f>IF(Z373 = "",
"",
TEXT(Z373, "mmmm"))</f>
        <v/>
      </c>
      <c r="X373" s="157" t="n"/>
      <c r="Y373" s="158" t="n"/>
      <c r="Z373" s="158" t="n"/>
      <c r="AA373" s="136">
        <f>IF(H373="", "", IF(U373="Open Sale", IF(TODAY()-H373=0, "0 Days", TEXT(TODAY()-H373, "0") &amp; " Days"), IF(U373="Closed Sale", AA373, "")))</f>
        <v/>
      </c>
      <c r="AB373" s="136">
        <f>IF(H373="", "", IF(OR(U373="Pending", U373="Pending Allocation"), CONCATENATE(TODAY()-H373, " Days"), IF(U373="Closed", "", "")))</f>
        <v/>
      </c>
      <c r="AC373" s="160">
        <f>IF(U373="Pending Allocation", IF(I373="", "", TODAY()-I373), "")</f>
        <v/>
      </c>
      <c r="AD373" s="159">
        <f>IF(U373="Open Sale", TEXT(TODAY()-I373, "0"),
IF(U373="Pending", "",
IF(U373="Closed Sale", "", "")))</f>
        <v/>
      </c>
      <c r="AE373" s="161" t="n"/>
      <c r="AF373" s="161" t="n"/>
      <c r="AG373" s="161" t="n"/>
      <c r="AH373" s="136" t="n"/>
      <c r="AI373" s="164">
        <f>IF(I373="","",TEXT(I373, "mmmm yyyy"))</f>
        <v/>
      </c>
      <c r="AJ373" s="164">
        <f>IF(AND(OpenPendingCases[[#This Row],[Sale Status	]]="Open Sale",OpenPendingCases[[#This Row],[Potential Same Month]]="High"),TEXT(OpenPendingCases[[#This Row],[Request Entry Date]], "[$-en-us]mmmm"),"")</f>
        <v/>
      </c>
      <c r="AK373" s="165">
        <f>IFERROR(VALUE(SUBSTITUTE(OpenPendingCases[[#This Row],[Price]]," AED","")),"")</f>
        <v/>
      </c>
      <c r="AL373" s="165">
        <f>IFERROR(VALUE(LEFT(OpenPendingCases[[#This Row],[Price]],FIND(" ",OpenPendingCases[[#This Row],[Price]])-1)),"")</f>
        <v/>
      </c>
      <c r="AM373" s="165">
        <f>IFERROR(VALUE(_xlfn.TEXTBEFORE(OpenPendingCases[[#This Row],[Price]]," AED")),"")</f>
        <v/>
      </c>
      <c r="AN373" s="165" t="n"/>
    </row>
    <row r="374" hidden="1" ht="18" customHeight="1" s="287">
      <c r="C374" s="133" t="n"/>
      <c r="D374" s="136">
        <f>IF($U374="Open Sale", IF(MAX($D$4:D373)+1=0, "", MAX($D$4:D373)+1), "")</f>
        <v/>
      </c>
      <c r="E374" s="136">
        <f>IF($U374="Pending Allocation", IF(MAX($E$4:E373)+1=0, "", MAX($E$4:E373)+1), "")</f>
        <v/>
      </c>
      <c r="F374" s="136" t="n"/>
      <c r="G374" s="136" t="n"/>
      <c r="H374" s="150" t="n"/>
      <c r="I374" s="150" t="n"/>
      <c r="J374" s="67">
        <f>IF(OpenPendingCases[[#This Row],[Timepiece Reference ]]="", "", IF(_xlfn.XLOOKUP(OpenPendingCases[[#This Row],[Timepiece Reference ]], Table1[[Timepiece Reference ]], Table1[CRC STOCK], "Not Found")="YES", "CRC Stock", "Boutique Stock"))</f>
        <v/>
      </c>
      <c r="K374" s="136">
        <f>IF(OpenPendingCases[[#This Row],[Timepiece Reference ]]="", "", IF(_xlfn.XLOOKUP(OpenPendingCases[[#This Row],[Timepiece Reference ]], Table1[[Timepiece Reference ]], Table1[CRC STOCK], "Not Found")="YES", "CRC Stock", "Boutique Stock"))</f>
        <v/>
      </c>
      <c r="L374" s="142" t="n"/>
      <c r="M374" s="140" t="n"/>
      <c r="N374" s="136" t="n"/>
      <c r="O374" s="133" t="n"/>
      <c r="P374" s="93">
        <f>IFERROR(VLOOKUP(TRIM(O374), Collection!$B$2:$D$1001, 2, FALSE), "")</f>
        <v/>
      </c>
      <c r="Q374" s="190">
        <f>IFERROR(VLOOKUP(TRIM(O374), Collection!$B$2:$D$1001, 3, FALSE), "")</f>
        <v/>
      </c>
      <c r="R374" s="153">
        <f>IFERROR(VALUE(SUBSTITUTE(SUBSTITUTE(Q374, "Price", ""), "AED", "")), "")</f>
        <v/>
      </c>
      <c r="S374" s="151" t="n"/>
      <c r="T374" s="158" t="n"/>
      <c r="U374" s="136" t="n"/>
      <c r="V374" s="136" t="n"/>
      <c r="W374" s="156">
        <f>IF(Z374 = "",
"",
TEXT(Z374, "mmmm"))</f>
        <v/>
      </c>
      <c r="X374" s="157" t="n"/>
      <c r="Y374" s="158" t="n"/>
      <c r="Z374" s="158" t="n"/>
      <c r="AA374" s="136">
        <f>IF(H374="", "", IF(U374="Open Sale", IF(TODAY()-H374=0, "0 Days", TEXT(TODAY()-H374, "0") &amp; " Days"), IF(U374="Closed Sale", AA374, "")))</f>
        <v/>
      </c>
      <c r="AB374" s="136">
        <f>IF(H374="", "", IF(OR(U374="Pending", U374="Pending Allocation"), CONCATENATE(TODAY()-H374, " Days"), IF(U374="Closed", "", "")))</f>
        <v/>
      </c>
      <c r="AC374" s="160">
        <f>IF(U374="Pending Allocation", IF(I374="", "", TODAY()-I374), "")</f>
        <v/>
      </c>
      <c r="AD374" s="159">
        <f>IF(U374="Open Sale", TEXT(TODAY()-I374, "0"),
IF(U374="Pending", "",
IF(U374="Closed Sale", "", "")))</f>
        <v/>
      </c>
      <c r="AE374" s="161" t="n"/>
      <c r="AF374" s="161" t="n"/>
      <c r="AG374" s="161" t="n"/>
      <c r="AH374" s="136" t="n"/>
      <c r="AI374" s="164">
        <f>IF(I374="","",TEXT(I374, "mmmm yyyy"))</f>
        <v/>
      </c>
      <c r="AJ374" s="164">
        <f>IF(AND(OpenPendingCases[[#This Row],[Sale Status	]]="Open Sale",OpenPendingCases[[#This Row],[Potential Same Month]]="High"),TEXT(OpenPendingCases[[#This Row],[Request Entry Date]], "[$-en-us]mmmm"),"")</f>
        <v/>
      </c>
      <c r="AK374" s="165">
        <f>IFERROR(VALUE(SUBSTITUTE(OpenPendingCases[[#This Row],[Price]]," AED","")),"")</f>
        <v/>
      </c>
      <c r="AL374" s="165">
        <f>IFERROR(VALUE(LEFT(OpenPendingCases[[#This Row],[Price]],FIND(" ",OpenPendingCases[[#This Row],[Price]])-1)),"")</f>
        <v/>
      </c>
      <c r="AM374" s="165">
        <f>IFERROR(VALUE(_xlfn.TEXTBEFORE(OpenPendingCases[[#This Row],[Price]]," AED")),"")</f>
        <v/>
      </c>
      <c r="AN374" s="165" t="n"/>
    </row>
    <row r="375" hidden="1" ht="18" customHeight="1" s="287">
      <c r="C375" s="133" t="n"/>
      <c r="D375" s="136">
        <f>IF($U375="Open Sale", IF(MAX($D$4:D374)+1=0, "", MAX($D$4:D374)+1), "")</f>
        <v/>
      </c>
      <c r="E375" s="136">
        <f>IF($U375="Pending Allocation", IF(MAX($E$4:E374)+1=0, "", MAX($E$4:E374)+1), "")</f>
        <v/>
      </c>
      <c r="F375" s="136" t="n"/>
      <c r="G375" s="136" t="n"/>
      <c r="H375" s="150" t="n"/>
      <c r="I375" s="150" t="n"/>
      <c r="J375" s="67">
        <f>IF(OpenPendingCases[[#This Row],[Timepiece Reference ]]="", "", IF(_xlfn.XLOOKUP(OpenPendingCases[[#This Row],[Timepiece Reference ]], Table1[[Timepiece Reference ]], Table1[CRC STOCK], "Not Found")="YES", "CRC Stock", "Boutique Stock"))</f>
        <v/>
      </c>
      <c r="K375" s="136">
        <f>IF(OpenPendingCases[[#This Row],[Timepiece Reference ]]="", "", IF(_xlfn.XLOOKUP(OpenPendingCases[[#This Row],[Timepiece Reference ]], Table1[[Timepiece Reference ]], Table1[CRC STOCK], "Not Found")="YES", "CRC Stock", "Boutique Stock"))</f>
        <v/>
      </c>
      <c r="L375" s="142" t="n"/>
      <c r="M375" s="140" t="n"/>
      <c r="N375" s="136" t="n"/>
      <c r="O375" s="133" t="n"/>
      <c r="P375" s="93">
        <f>IFERROR(VLOOKUP(TRIM(O375), Collection!$B$2:$D$1001, 2, FALSE), "")</f>
        <v/>
      </c>
      <c r="Q375" s="190">
        <f>IFERROR(VLOOKUP(TRIM(O375), Collection!$B$2:$D$1001, 3, FALSE), "")</f>
        <v/>
      </c>
      <c r="R375" s="153">
        <f>IFERROR(VALUE(SUBSTITUTE(SUBSTITUTE(Q375, "Price", ""), "AED", "")), "")</f>
        <v/>
      </c>
      <c r="S375" s="151" t="n"/>
      <c r="T375" s="158" t="n"/>
      <c r="U375" s="136" t="n"/>
      <c r="V375" s="136" t="n"/>
      <c r="W375" s="156">
        <f>IF(Z375 = "",
"",
TEXT(Z375, "mmmm"))</f>
        <v/>
      </c>
      <c r="X375" s="157" t="n"/>
      <c r="Y375" s="158" t="n"/>
      <c r="Z375" s="158" t="n"/>
      <c r="AA375" s="136">
        <f>IF(H375="", "", IF(U375="Open Sale", IF(TODAY()-H375=0, "0 Days", TEXT(TODAY()-H375, "0") &amp; " Days"), IF(U375="Closed Sale", AA375, "")))</f>
        <v/>
      </c>
      <c r="AB375" s="136">
        <f>IF(H375="", "", IF(OR(U375="Pending", U375="Pending Allocation"), CONCATENATE(TODAY()-H375, " Days"), IF(U375="Closed", "", "")))</f>
        <v/>
      </c>
      <c r="AC375" s="160">
        <f>IF(U375="Pending Allocation", IF(I375="", "", TODAY()-I375), "")</f>
        <v/>
      </c>
      <c r="AD375" s="159">
        <f>IF(U375="Open Sale", TEXT(TODAY()-I375, "0"),
IF(U375="Pending", "",
IF(U375="Closed Sale", "", "")))</f>
        <v/>
      </c>
      <c r="AE375" s="161" t="n"/>
      <c r="AF375" s="161" t="n"/>
      <c r="AG375" s="161" t="n"/>
      <c r="AH375" s="136" t="n"/>
      <c r="AI375" s="164">
        <f>IF(I375="","",TEXT(I375, "mmmm yyyy"))</f>
        <v/>
      </c>
      <c r="AJ375" s="164">
        <f>IF(AND(OpenPendingCases[[#This Row],[Sale Status	]]="Open Sale",OpenPendingCases[[#This Row],[Potential Same Month]]="High"),TEXT(OpenPendingCases[[#This Row],[Request Entry Date]], "[$-en-us]mmmm"),"")</f>
        <v/>
      </c>
      <c r="AK375" s="165">
        <f>IFERROR(VALUE(SUBSTITUTE(OpenPendingCases[[#This Row],[Price]]," AED","")),"")</f>
        <v/>
      </c>
      <c r="AL375" s="165">
        <f>IFERROR(VALUE(LEFT(OpenPendingCases[[#This Row],[Price]],FIND(" ",OpenPendingCases[[#This Row],[Price]])-1)),"")</f>
        <v/>
      </c>
      <c r="AM375" s="165">
        <f>IFERROR(VALUE(_xlfn.TEXTBEFORE(OpenPendingCases[[#This Row],[Price]]," AED")),"")</f>
        <v/>
      </c>
      <c r="AN375" s="165" t="n"/>
    </row>
    <row r="376" hidden="1" ht="18" customHeight="1" s="287">
      <c r="C376" s="133" t="n"/>
      <c r="D376" s="136">
        <f>IF($U376="Open Sale", IF(MAX($D$4:D375)+1=0, "", MAX($D$4:D375)+1), "")</f>
        <v/>
      </c>
      <c r="E376" s="136">
        <f>IF($U376="Pending Allocation", IF(MAX($E$4:E375)+1=0, "", MAX($E$4:E375)+1), "")</f>
        <v/>
      </c>
      <c r="F376" s="136" t="n"/>
      <c r="G376" s="136" t="n"/>
      <c r="H376" s="150" t="n"/>
      <c r="I376" s="150" t="n"/>
      <c r="J376" s="67">
        <f>IF(OpenPendingCases[[#This Row],[Timepiece Reference ]]="", "", IF(_xlfn.XLOOKUP(OpenPendingCases[[#This Row],[Timepiece Reference ]], Table1[[Timepiece Reference ]], Table1[CRC STOCK], "Not Found")="YES", "CRC Stock", "Boutique Stock"))</f>
        <v/>
      </c>
      <c r="K376" s="136">
        <f>IF(OpenPendingCases[[#This Row],[Timepiece Reference ]]="", "", IF(_xlfn.XLOOKUP(OpenPendingCases[[#This Row],[Timepiece Reference ]], Table1[[Timepiece Reference ]], Table1[CRC STOCK], "Not Found")="YES", "CRC Stock", "Boutique Stock"))</f>
        <v/>
      </c>
      <c r="L376" s="142" t="n"/>
      <c r="M376" s="140" t="n"/>
      <c r="N376" s="136" t="n"/>
      <c r="O376" s="133" t="n"/>
      <c r="P376" s="93">
        <f>IFERROR(VLOOKUP(TRIM(O376), Collection!$B$2:$D$1001, 2, FALSE), "")</f>
        <v/>
      </c>
      <c r="Q376" s="190">
        <f>IFERROR(VLOOKUP(TRIM(O376), Collection!$B$2:$D$1001, 3, FALSE), "")</f>
        <v/>
      </c>
      <c r="R376" s="153">
        <f>IFERROR(VALUE(SUBSTITUTE(SUBSTITUTE(Q376, "Price", ""), "AED", "")), "")</f>
        <v/>
      </c>
      <c r="S376" s="151" t="n"/>
      <c r="T376" s="158" t="n"/>
      <c r="U376" s="136" t="n"/>
      <c r="V376" s="136" t="n"/>
      <c r="W376" s="156">
        <f>IF(Z376 = "",
"",
TEXT(Z376, "mmmm"))</f>
        <v/>
      </c>
      <c r="X376" s="157" t="n"/>
      <c r="Y376" s="158" t="n"/>
      <c r="Z376" s="158" t="n"/>
      <c r="AA376" s="136">
        <f>IF(H376="", "", IF(U376="Open Sale", IF(TODAY()-H376=0, "0 Days", TEXT(TODAY()-H376, "0") &amp; " Days"), IF(U376="Closed Sale", AA376, "")))</f>
        <v/>
      </c>
      <c r="AB376" s="136">
        <f>IF(H376="", "", IF(OR(U376="Pending", U376="Pending Allocation"), CONCATENATE(TODAY()-H376, " Days"), IF(U376="Closed", "", "")))</f>
        <v/>
      </c>
      <c r="AC376" s="160">
        <f>IF(U376="Pending Allocation", IF(I376="", "", TODAY()-I376), "")</f>
        <v/>
      </c>
      <c r="AD376" s="159">
        <f>IF(U376="Open Sale", TEXT(TODAY()-I376, "0"),
IF(U376="Pending", "",
IF(U376="Closed Sale", "", "")))</f>
        <v/>
      </c>
      <c r="AE376" s="161" t="n"/>
      <c r="AF376" s="161" t="n"/>
      <c r="AG376" s="161" t="n"/>
      <c r="AH376" s="136" t="n"/>
      <c r="AI376" s="164">
        <f>IF(I376="","",TEXT(I376, "mmmm yyyy"))</f>
        <v/>
      </c>
      <c r="AJ376" s="164">
        <f>IF(AND(OpenPendingCases[[#This Row],[Sale Status	]]="Open Sale",OpenPendingCases[[#This Row],[Potential Same Month]]="High"),TEXT(OpenPendingCases[[#This Row],[Request Entry Date]], "[$-en-us]mmmm"),"")</f>
        <v/>
      </c>
      <c r="AK376" s="165">
        <f>IFERROR(VALUE(SUBSTITUTE(OpenPendingCases[[#This Row],[Price]]," AED","")),"")</f>
        <v/>
      </c>
      <c r="AL376" s="165">
        <f>IFERROR(VALUE(LEFT(OpenPendingCases[[#This Row],[Price]],FIND(" ",OpenPendingCases[[#This Row],[Price]])-1)),"")</f>
        <v/>
      </c>
      <c r="AM376" s="165">
        <f>IFERROR(VALUE(_xlfn.TEXTBEFORE(OpenPendingCases[[#This Row],[Price]]," AED")),"")</f>
        <v/>
      </c>
      <c r="AN376" s="165" t="n"/>
    </row>
    <row r="377" hidden="1" ht="18" customHeight="1" s="287">
      <c r="C377" s="133" t="n"/>
      <c r="D377" s="136">
        <f>IF($U377="Open Sale", IF(MAX($D$4:D376)+1=0, "", MAX($D$4:D376)+1), "")</f>
        <v/>
      </c>
      <c r="E377" s="136">
        <f>IF($U377="Pending Allocation", IF(MAX($E$4:E376)+1=0, "", MAX($E$4:E376)+1), "")</f>
        <v/>
      </c>
      <c r="F377" s="136" t="n"/>
      <c r="G377" s="136" t="n"/>
      <c r="H377" s="150" t="n"/>
      <c r="I377" s="150" t="n"/>
      <c r="J377" s="67">
        <f>IF(OpenPendingCases[[#This Row],[Timepiece Reference ]]="", "", IF(_xlfn.XLOOKUP(OpenPendingCases[[#This Row],[Timepiece Reference ]], Table1[[Timepiece Reference ]], Table1[CRC STOCK], "Not Found")="YES", "CRC Stock", "Boutique Stock"))</f>
        <v/>
      </c>
      <c r="K377" s="136">
        <f>IF(OpenPendingCases[[#This Row],[Timepiece Reference ]]="", "", IF(_xlfn.XLOOKUP(OpenPendingCases[[#This Row],[Timepiece Reference ]], Table1[[Timepiece Reference ]], Table1[CRC STOCK], "Not Found")="YES", "CRC Stock", "Boutique Stock"))</f>
        <v/>
      </c>
      <c r="L377" s="142" t="n"/>
      <c r="M377" s="140" t="n"/>
      <c r="N377" s="136" t="n"/>
      <c r="O377" s="133" t="n"/>
      <c r="P377" s="93">
        <f>IFERROR(VLOOKUP(TRIM(O377), Collection!$B$2:$D$1001, 2, FALSE), "")</f>
        <v/>
      </c>
      <c r="Q377" s="190">
        <f>IFERROR(VLOOKUP(TRIM(O377), Collection!$B$2:$D$1001, 3, FALSE), "")</f>
        <v/>
      </c>
      <c r="R377" s="153">
        <f>IFERROR(VALUE(SUBSTITUTE(SUBSTITUTE(Q377, "Price", ""), "AED", "")), "")</f>
        <v/>
      </c>
      <c r="S377" s="151" t="n"/>
      <c r="T377" s="158" t="n"/>
      <c r="U377" s="136" t="n"/>
      <c r="V377" s="136" t="n"/>
      <c r="W377" s="156">
        <f>IF(Z377 = "",
"",
TEXT(Z377, "mmmm"))</f>
        <v/>
      </c>
      <c r="X377" s="157" t="n"/>
      <c r="Y377" s="158" t="n"/>
      <c r="Z377" s="158" t="n"/>
      <c r="AA377" s="136">
        <f>IF(H377="", "", IF(U377="Open Sale", IF(TODAY()-H377=0, "0 Days", TEXT(TODAY()-H377, "0") &amp; " Days"), IF(U377="Closed Sale", AA377, "")))</f>
        <v/>
      </c>
      <c r="AB377" s="136">
        <f>IF(H377="", "", IF(OR(U377="Pending", U377="Pending Allocation"), CONCATENATE(TODAY()-H377, " Days"), IF(U377="Closed", "", "")))</f>
        <v/>
      </c>
      <c r="AC377" s="160">
        <f>IF(U377="Pending Allocation", IF(I377="", "", TODAY()-I377), "")</f>
        <v/>
      </c>
      <c r="AD377" s="159">
        <f>IF(U377="Open Sale", TEXT(TODAY()-I377, "0"),
IF(U377="Pending", "",
IF(U377="Closed Sale", "", "")))</f>
        <v/>
      </c>
      <c r="AE377" s="161" t="n"/>
      <c r="AF377" s="161" t="n"/>
      <c r="AG377" s="161" t="n"/>
      <c r="AH377" s="136" t="n"/>
      <c r="AI377" s="164">
        <f>IF(I377="","",TEXT(I377, "mmmm yyyy"))</f>
        <v/>
      </c>
      <c r="AJ377" s="164">
        <f>IF(AND(OpenPendingCases[[#This Row],[Sale Status	]]="Open Sale",OpenPendingCases[[#This Row],[Potential Same Month]]="High"),TEXT(OpenPendingCases[[#This Row],[Request Entry Date]], "[$-en-us]mmmm"),"")</f>
        <v/>
      </c>
      <c r="AK377" s="165">
        <f>IFERROR(VALUE(SUBSTITUTE(OpenPendingCases[[#This Row],[Price]]," AED","")),"")</f>
        <v/>
      </c>
      <c r="AL377" s="165">
        <f>IFERROR(VALUE(LEFT(OpenPendingCases[[#This Row],[Price]],FIND(" ",OpenPendingCases[[#This Row],[Price]])-1)),"")</f>
        <v/>
      </c>
      <c r="AM377" s="165">
        <f>IFERROR(VALUE(_xlfn.TEXTBEFORE(OpenPendingCases[[#This Row],[Price]]," AED")),"")</f>
        <v/>
      </c>
      <c r="AN377" s="165" t="n"/>
    </row>
    <row r="378" hidden="1" ht="18" customHeight="1" s="287">
      <c r="C378" s="133" t="n"/>
      <c r="D378" s="136">
        <f>IF($U378="Open Sale", IF(MAX($D$4:D377)+1=0, "", MAX($D$4:D377)+1), "")</f>
        <v/>
      </c>
      <c r="E378" s="136">
        <f>IF($U378="Pending Allocation", IF(MAX($E$4:E377)+1=0, "", MAX($E$4:E377)+1), "")</f>
        <v/>
      </c>
      <c r="F378" s="136" t="n"/>
      <c r="G378" s="136" t="n"/>
      <c r="H378" s="150" t="n"/>
      <c r="I378" s="150" t="n"/>
      <c r="J378" s="67">
        <f>IF(OpenPendingCases[[#This Row],[Timepiece Reference ]]="", "", IF(_xlfn.XLOOKUP(OpenPendingCases[[#This Row],[Timepiece Reference ]], Table1[[Timepiece Reference ]], Table1[CRC STOCK], "Not Found")="YES", "CRC Stock", "Boutique Stock"))</f>
        <v/>
      </c>
      <c r="K378" s="136">
        <f>IF(OpenPendingCases[[#This Row],[Timepiece Reference ]]="", "", IF(_xlfn.XLOOKUP(OpenPendingCases[[#This Row],[Timepiece Reference ]], Table1[[Timepiece Reference ]], Table1[CRC STOCK], "Not Found")="YES", "CRC Stock", "Boutique Stock"))</f>
        <v/>
      </c>
      <c r="L378" s="142" t="n"/>
      <c r="M378" s="140" t="n"/>
      <c r="N378" s="136" t="n"/>
      <c r="O378" s="133" t="n"/>
      <c r="P378" s="93">
        <f>IFERROR(VLOOKUP(TRIM(O378), Collection!$B$2:$D$1001, 2, FALSE), "")</f>
        <v/>
      </c>
      <c r="Q378" s="190">
        <f>IFERROR(VLOOKUP(TRIM(O378), Collection!$B$2:$D$1001, 3, FALSE), "")</f>
        <v/>
      </c>
      <c r="R378" s="153">
        <f>IFERROR(VALUE(SUBSTITUTE(SUBSTITUTE(Q378, "Price", ""), "AED", "")), "")</f>
        <v/>
      </c>
      <c r="S378" s="151" t="n"/>
      <c r="T378" s="158" t="n"/>
      <c r="U378" s="136" t="n"/>
      <c r="V378" s="136" t="n"/>
      <c r="W378" s="156">
        <f>IF(Z378 = "",
"",
TEXT(Z378, "mmmm"))</f>
        <v/>
      </c>
      <c r="X378" s="157" t="n"/>
      <c r="Y378" s="158" t="n"/>
      <c r="Z378" s="158" t="n"/>
      <c r="AA378" s="136">
        <f>IF(H378="", "", IF(U378="Open Sale", IF(TODAY()-H378=0, "0 Days", TEXT(TODAY()-H378, "0") &amp; " Days"), IF(U378="Closed Sale", AA378, "")))</f>
        <v/>
      </c>
      <c r="AB378" s="136">
        <f>IF(H378="", "", IF(OR(U378="Pending", U378="Pending Allocation"), CONCATENATE(TODAY()-H378, " Days"), IF(U378="Closed", "", "")))</f>
        <v/>
      </c>
      <c r="AC378" s="160">
        <f>IF(U378="Pending Allocation", IF(I378="", "", TODAY()-I378), "")</f>
        <v/>
      </c>
      <c r="AD378" s="159">
        <f>IF(U378="Open Sale", TEXT(TODAY()-I378, "0"),
IF(U378="Pending", "",
IF(U378="Closed Sale", "", "")))</f>
        <v/>
      </c>
      <c r="AE378" s="161" t="n"/>
      <c r="AF378" s="161" t="n"/>
      <c r="AG378" s="161" t="n"/>
      <c r="AH378" s="136" t="n"/>
      <c r="AI378" s="164">
        <f>IF(I378="","",TEXT(I378, "mmmm yyyy"))</f>
        <v/>
      </c>
      <c r="AJ378" s="164">
        <f>IF(AND(OpenPendingCases[[#This Row],[Sale Status	]]="Open Sale",OpenPendingCases[[#This Row],[Potential Same Month]]="High"),TEXT(OpenPendingCases[[#This Row],[Request Entry Date]], "[$-en-us]mmmm"),"")</f>
        <v/>
      </c>
      <c r="AK378" s="165">
        <f>IFERROR(VALUE(SUBSTITUTE(OpenPendingCases[[#This Row],[Price]]," AED","")),"")</f>
        <v/>
      </c>
      <c r="AL378" s="165">
        <f>IFERROR(VALUE(LEFT(OpenPendingCases[[#This Row],[Price]],FIND(" ",OpenPendingCases[[#This Row],[Price]])-1)),"")</f>
        <v/>
      </c>
      <c r="AM378" s="165">
        <f>IFERROR(VALUE(_xlfn.TEXTBEFORE(OpenPendingCases[[#This Row],[Price]]," AED")),"")</f>
        <v/>
      </c>
      <c r="AN378" s="165" t="n"/>
    </row>
    <row r="379" hidden="1" ht="18" customHeight="1" s="287">
      <c r="C379" s="133" t="n"/>
      <c r="D379" s="136">
        <f>IF($U379="Open Sale", IF(MAX($D$4:D378)+1=0, "", MAX($D$4:D378)+1), "")</f>
        <v/>
      </c>
      <c r="E379" s="136">
        <f>IF($U379="Pending Allocation", IF(MAX($E$4:E378)+1=0, "", MAX($E$4:E378)+1), "")</f>
        <v/>
      </c>
      <c r="F379" s="136" t="n"/>
      <c r="G379" s="136" t="n"/>
      <c r="H379" s="150" t="n"/>
      <c r="I379" s="150" t="n"/>
      <c r="J379" s="67">
        <f>IF(OpenPendingCases[[#This Row],[Timepiece Reference ]]="", "", IF(_xlfn.XLOOKUP(OpenPendingCases[[#This Row],[Timepiece Reference ]], Table1[[Timepiece Reference ]], Table1[CRC STOCK], "Not Found")="YES", "CRC Stock", "Boutique Stock"))</f>
        <v/>
      </c>
      <c r="K379" s="136">
        <f>IF(OpenPendingCases[[#This Row],[Timepiece Reference ]]="", "", IF(_xlfn.XLOOKUP(OpenPendingCases[[#This Row],[Timepiece Reference ]], Table1[[Timepiece Reference ]], Table1[CRC STOCK], "Not Found")="YES", "CRC Stock", "Boutique Stock"))</f>
        <v/>
      </c>
      <c r="L379" s="142" t="n"/>
      <c r="M379" s="140" t="n"/>
      <c r="N379" s="136" t="n"/>
      <c r="O379" s="133" t="n"/>
      <c r="P379" s="93">
        <f>IFERROR(VLOOKUP(TRIM(O379), Collection!$B$2:$D$1001, 2, FALSE), "")</f>
        <v/>
      </c>
      <c r="Q379" s="190">
        <f>IFERROR(VLOOKUP(TRIM(O379), Collection!$B$2:$D$1001, 3, FALSE), "")</f>
        <v/>
      </c>
      <c r="R379" s="153">
        <f>IFERROR(VALUE(SUBSTITUTE(SUBSTITUTE(Q379, "Price", ""), "AED", "")), "")</f>
        <v/>
      </c>
      <c r="S379" s="151" t="n"/>
      <c r="T379" s="158" t="n"/>
      <c r="U379" s="136" t="n"/>
      <c r="V379" s="136" t="n"/>
      <c r="W379" s="156">
        <f>IF(Z379 = "",
"",
TEXT(Z379, "mmmm"))</f>
        <v/>
      </c>
      <c r="X379" s="157" t="n"/>
      <c r="Y379" s="158" t="n"/>
      <c r="Z379" s="158" t="n"/>
      <c r="AA379" s="136">
        <f>IF(H379="", "", IF(U379="Open Sale", IF(TODAY()-H379=0, "0 Days", TEXT(TODAY()-H379, "0") &amp; " Days"), IF(U379="Closed Sale", AA379, "")))</f>
        <v/>
      </c>
      <c r="AB379" s="136">
        <f>IF(H379="", "", IF(OR(U379="Pending", U379="Pending Allocation"), CONCATENATE(TODAY()-H379, " Days"), IF(U379="Closed", "", "")))</f>
        <v/>
      </c>
      <c r="AC379" s="160">
        <f>IF(U379="Pending Allocation", IF(I379="", "", TODAY()-I379), "")</f>
        <v/>
      </c>
      <c r="AD379" s="159">
        <f>IF(U379="Open Sale", TEXT(TODAY()-I379, "0"),
IF(U379="Pending", "",
IF(U379="Closed Sale", "", "")))</f>
        <v/>
      </c>
      <c r="AE379" s="161" t="n"/>
      <c r="AF379" s="161" t="n"/>
      <c r="AG379" s="161" t="n"/>
      <c r="AH379" s="136" t="n"/>
      <c r="AI379" s="164">
        <f>IF(I379="","",TEXT(I379, "mmmm yyyy"))</f>
        <v/>
      </c>
      <c r="AJ379" s="164">
        <f>IF(AND(OpenPendingCases[[#This Row],[Sale Status	]]="Open Sale",OpenPendingCases[[#This Row],[Potential Same Month]]="High"),TEXT(OpenPendingCases[[#This Row],[Request Entry Date]], "[$-en-us]mmmm"),"")</f>
        <v/>
      </c>
      <c r="AK379" s="165">
        <f>IFERROR(VALUE(SUBSTITUTE(OpenPendingCases[[#This Row],[Price]]," AED","")),"")</f>
        <v/>
      </c>
      <c r="AL379" s="165">
        <f>IFERROR(VALUE(LEFT(OpenPendingCases[[#This Row],[Price]],FIND(" ",OpenPendingCases[[#This Row],[Price]])-1)),"")</f>
        <v/>
      </c>
      <c r="AM379" s="165">
        <f>IFERROR(VALUE(_xlfn.TEXTBEFORE(OpenPendingCases[[#This Row],[Price]]," AED")),"")</f>
        <v/>
      </c>
      <c r="AN379" s="165" t="n"/>
    </row>
    <row r="380" hidden="1" ht="18" customHeight="1" s="287">
      <c r="C380" s="133" t="n"/>
      <c r="D380" s="136">
        <f>IF($U380="Open Sale", IF(MAX($D$4:D379)+1=0, "", MAX($D$4:D379)+1), "")</f>
        <v/>
      </c>
      <c r="E380" s="136">
        <f>IF($U380="Pending Allocation", IF(MAX($E$4:E379)+1=0, "", MAX($E$4:E379)+1), "")</f>
        <v/>
      </c>
      <c r="F380" s="136" t="n"/>
      <c r="G380" s="136" t="n"/>
      <c r="H380" s="150" t="n"/>
      <c r="I380" s="150" t="n"/>
      <c r="J380" s="67">
        <f>IF(OpenPendingCases[[#This Row],[Timepiece Reference ]]="", "", IF(_xlfn.XLOOKUP(OpenPendingCases[[#This Row],[Timepiece Reference ]], Table1[[Timepiece Reference ]], Table1[CRC STOCK], "Not Found")="YES", "CRC Stock", "Boutique Stock"))</f>
        <v/>
      </c>
      <c r="K380" s="136">
        <f>IF(OpenPendingCases[[#This Row],[Timepiece Reference ]]="", "", IF(_xlfn.XLOOKUP(OpenPendingCases[[#This Row],[Timepiece Reference ]], Table1[[Timepiece Reference ]], Table1[CRC STOCK], "Not Found")="YES", "CRC Stock", "Boutique Stock"))</f>
        <v/>
      </c>
      <c r="L380" s="142" t="n"/>
      <c r="M380" s="140" t="n"/>
      <c r="N380" s="136" t="n"/>
      <c r="O380" s="133" t="n"/>
      <c r="P380" s="93">
        <f>IFERROR(VLOOKUP(TRIM(O380), Collection!$B$2:$D$1001, 2, FALSE), "")</f>
        <v/>
      </c>
      <c r="Q380" s="190">
        <f>IFERROR(VLOOKUP(TRIM(O380), Collection!$B$2:$D$1001, 3, FALSE), "")</f>
        <v/>
      </c>
      <c r="R380" s="153">
        <f>IFERROR(VALUE(SUBSTITUTE(SUBSTITUTE(Q380, "Price", ""), "AED", "")), "")</f>
        <v/>
      </c>
      <c r="S380" s="151" t="n"/>
      <c r="T380" s="158" t="n"/>
      <c r="U380" s="136" t="n"/>
      <c r="V380" s="136" t="n"/>
      <c r="W380" s="156">
        <f>IF(Z380 = "",
"",
TEXT(Z380, "mmmm"))</f>
        <v/>
      </c>
      <c r="X380" s="157" t="n"/>
      <c r="Y380" s="158" t="n"/>
      <c r="Z380" s="158" t="n"/>
      <c r="AA380" s="136">
        <f>IF(H380="", "", IF(U380="Open Sale", IF(TODAY()-H380=0, "0 Days", TEXT(TODAY()-H380, "0") &amp; " Days"), IF(U380="Closed Sale", AA380, "")))</f>
        <v/>
      </c>
      <c r="AB380" s="136">
        <f>IF(H380="", "", IF(OR(U380="Pending", U380="Pending Allocation"), CONCATENATE(TODAY()-H380, " Days"), IF(U380="Closed", "", "")))</f>
        <v/>
      </c>
      <c r="AC380" s="160">
        <f>IF(U380="Pending Allocation", IF(I380="", "", TODAY()-I380), "")</f>
        <v/>
      </c>
      <c r="AD380" s="159">
        <f>IF(U380="Open Sale", TEXT(TODAY()-I380, "0"),
IF(U380="Pending", "",
IF(U380="Closed Sale", "", "")))</f>
        <v/>
      </c>
      <c r="AE380" s="161" t="n"/>
      <c r="AF380" s="161" t="n"/>
      <c r="AG380" s="161" t="n"/>
      <c r="AH380" s="136" t="n"/>
      <c r="AI380" s="164">
        <f>IF(I380="","",TEXT(I380, "mmmm yyyy"))</f>
        <v/>
      </c>
      <c r="AJ380" s="164">
        <f>IF(AND(OpenPendingCases[[#This Row],[Sale Status	]]="Open Sale",OpenPendingCases[[#This Row],[Potential Same Month]]="High"),TEXT(OpenPendingCases[[#This Row],[Request Entry Date]], "[$-en-us]mmmm"),"")</f>
        <v/>
      </c>
      <c r="AK380" s="165">
        <f>IFERROR(VALUE(SUBSTITUTE(OpenPendingCases[[#This Row],[Price]]," AED","")),"")</f>
        <v/>
      </c>
      <c r="AL380" s="165">
        <f>IFERROR(VALUE(LEFT(OpenPendingCases[[#This Row],[Price]],FIND(" ",OpenPendingCases[[#This Row],[Price]])-1)),"")</f>
        <v/>
      </c>
      <c r="AM380" s="165">
        <f>IFERROR(VALUE(_xlfn.TEXTBEFORE(OpenPendingCases[[#This Row],[Price]]," AED")),"")</f>
        <v/>
      </c>
      <c r="AN380" s="165" t="n"/>
    </row>
    <row r="381" hidden="1" ht="18" customHeight="1" s="287">
      <c r="C381" s="133" t="n"/>
      <c r="D381" s="136">
        <f>IF($U381="Open Sale", IF(MAX($D$4:D380)+1=0, "", MAX($D$4:D380)+1), "")</f>
        <v/>
      </c>
      <c r="E381" s="136">
        <f>IF($U381="Pending Allocation", IF(MAX($E$4:E380)+1=0, "", MAX($E$4:E380)+1), "")</f>
        <v/>
      </c>
      <c r="F381" s="136" t="n"/>
      <c r="G381" s="136" t="n"/>
      <c r="H381" s="150" t="n"/>
      <c r="I381" s="150" t="n"/>
      <c r="J381" s="67">
        <f>IF(OpenPendingCases[[#This Row],[Timepiece Reference ]]="", "", IF(_xlfn.XLOOKUP(OpenPendingCases[[#This Row],[Timepiece Reference ]], Table1[[Timepiece Reference ]], Table1[CRC STOCK], "Not Found")="YES", "CRC Stock", "Boutique Stock"))</f>
        <v/>
      </c>
      <c r="K381" s="136">
        <f>IF(OpenPendingCases[[#This Row],[Timepiece Reference ]]="", "", IF(_xlfn.XLOOKUP(OpenPendingCases[[#This Row],[Timepiece Reference ]], Table1[[Timepiece Reference ]], Table1[CRC STOCK], "Not Found")="YES", "CRC Stock", "Boutique Stock"))</f>
        <v/>
      </c>
      <c r="L381" s="142" t="n"/>
      <c r="M381" s="140" t="n"/>
      <c r="N381" s="136" t="n"/>
      <c r="O381" s="133" t="n"/>
      <c r="P381" s="93">
        <f>IFERROR(VLOOKUP(TRIM(O381), Collection!$B$2:$D$1001, 2, FALSE), "")</f>
        <v/>
      </c>
      <c r="Q381" s="190">
        <f>IFERROR(VLOOKUP(TRIM(O381), Collection!$B$2:$D$1001, 3, FALSE), "")</f>
        <v/>
      </c>
      <c r="R381" s="153">
        <f>IFERROR(VALUE(SUBSTITUTE(SUBSTITUTE(Q381, "Price", ""), "AED", "")), "")</f>
        <v/>
      </c>
      <c r="S381" s="151" t="n"/>
      <c r="T381" s="158" t="n"/>
      <c r="U381" s="136" t="n"/>
      <c r="V381" s="136" t="n"/>
      <c r="W381" s="156">
        <f>IF(Z381 = "",
"",
TEXT(Z381, "mmmm"))</f>
        <v/>
      </c>
      <c r="X381" s="157" t="n"/>
      <c r="Y381" s="158" t="n"/>
      <c r="Z381" s="158" t="n"/>
      <c r="AA381" s="136">
        <f>IF(H381="", "", IF(U381="Open Sale", IF(TODAY()-H381=0, "0 Days", TEXT(TODAY()-H381, "0") &amp; " Days"), IF(U381="Closed Sale", AA381, "")))</f>
        <v/>
      </c>
      <c r="AB381" s="136">
        <f>IF(H381="", "", IF(OR(U381="Pending", U381="Pending Allocation"), CONCATENATE(TODAY()-H381, " Days"), IF(U381="Closed", "", "")))</f>
        <v/>
      </c>
      <c r="AC381" s="160">
        <f>IF(U381="Pending Allocation", IF(I381="", "", TODAY()-I381), "")</f>
        <v/>
      </c>
      <c r="AD381" s="159">
        <f>IF(U381="Open Sale", TEXT(TODAY()-I381, "0"),
IF(U381="Pending", "",
IF(U381="Closed Sale", "", "")))</f>
        <v/>
      </c>
      <c r="AE381" s="161" t="n"/>
      <c r="AF381" s="161" t="n"/>
      <c r="AG381" s="161" t="n"/>
      <c r="AH381" s="136" t="n"/>
      <c r="AI381" s="164">
        <f>IF(I381="","",TEXT(I381, "mmmm yyyy"))</f>
        <v/>
      </c>
      <c r="AJ381" s="164">
        <f>IF(AND(OpenPendingCases[[#This Row],[Sale Status	]]="Open Sale",OpenPendingCases[[#This Row],[Potential Same Month]]="High"),TEXT(OpenPendingCases[[#This Row],[Request Entry Date]], "[$-en-us]mmmm"),"")</f>
        <v/>
      </c>
      <c r="AK381" s="165">
        <f>IFERROR(VALUE(SUBSTITUTE(OpenPendingCases[[#This Row],[Price]]," AED","")),"")</f>
        <v/>
      </c>
      <c r="AL381" s="165">
        <f>IFERROR(VALUE(LEFT(OpenPendingCases[[#This Row],[Price]],FIND(" ",OpenPendingCases[[#This Row],[Price]])-1)),"")</f>
        <v/>
      </c>
      <c r="AM381" s="165">
        <f>IFERROR(VALUE(_xlfn.TEXTBEFORE(OpenPendingCases[[#This Row],[Price]]," AED")),"")</f>
        <v/>
      </c>
      <c r="AN381" s="165" t="n"/>
    </row>
    <row r="382" hidden="1" ht="18" customHeight="1" s="287">
      <c r="C382" s="133" t="n"/>
      <c r="D382" s="136">
        <f>IF($U382="Open Sale", IF(MAX($D$4:D381)+1=0, "", MAX($D$4:D381)+1), "")</f>
        <v/>
      </c>
      <c r="E382" s="136">
        <f>IF($U382="Pending Allocation", IF(MAX($E$4:E381)+1=0, "", MAX($E$4:E381)+1), "")</f>
        <v/>
      </c>
      <c r="F382" s="136" t="n"/>
      <c r="G382" s="136" t="n"/>
      <c r="H382" s="150" t="n"/>
      <c r="I382" s="150" t="n"/>
      <c r="J382" s="67">
        <f>IF(OpenPendingCases[[#This Row],[Timepiece Reference ]]="", "", IF(_xlfn.XLOOKUP(OpenPendingCases[[#This Row],[Timepiece Reference ]], Table1[[Timepiece Reference ]], Table1[CRC STOCK], "Not Found")="YES", "CRC Stock", "Boutique Stock"))</f>
        <v/>
      </c>
      <c r="K382" s="136">
        <f>IF(OpenPendingCases[[#This Row],[Timepiece Reference ]]="", "", IF(_xlfn.XLOOKUP(OpenPendingCases[[#This Row],[Timepiece Reference ]], Table1[[Timepiece Reference ]], Table1[CRC STOCK], "Not Found")="YES", "CRC Stock", "Boutique Stock"))</f>
        <v/>
      </c>
      <c r="L382" s="142" t="n"/>
      <c r="M382" s="140" t="n"/>
      <c r="N382" s="136" t="n"/>
      <c r="O382" s="133" t="n"/>
      <c r="P382" s="93">
        <f>IFERROR(VLOOKUP(TRIM(O382), Collection!$B$2:$D$1001, 2, FALSE), "")</f>
        <v/>
      </c>
      <c r="Q382" s="190">
        <f>IFERROR(VLOOKUP(TRIM(O382), Collection!$B$2:$D$1001, 3, FALSE), "")</f>
        <v/>
      </c>
      <c r="R382" s="153">
        <f>IFERROR(VALUE(SUBSTITUTE(SUBSTITUTE(Q382, "Price", ""), "AED", "")), "")</f>
        <v/>
      </c>
      <c r="S382" s="151" t="n"/>
      <c r="T382" s="158" t="n"/>
      <c r="U382" s="136" t="n"/>
      <c r="V382" s="136" t="n"/>
      <c r="W382" s="156">
        <f>IF(Z382 = "",
"",
TEXT(Z382, "mmmm"))</f>
        <v/>
      </c>
      <c r="X382" s="157" t="n"/>
      <c r="Y382" s="158" t="n"/>
      <c r="Z382" s="158" t="n"/>
      <c r="AA382" s="136">
        <f>IF(H382="", "", IF(U382="Open Sale", IF(TODAY()-H382=0, "0 Days", TEXT(TODAY()-H382, "0") &amp; " Days"), IF(U382="Closed Sale", AA382, "")))</f>
        <v/>
      </c>
      <c r="AB382" s="136">
        <f>IF(H382="", "", IF(OR(U382="Pending", U382="Pending Allocation"), CONCATENATE(TODAY()-H382, " Days"), IF(U382="Closed", "", "")))</f>
        <v/>
      </c>
      <c r="AC382" s="160">
        <f>IF(U382="Pending Allocation", IF(I382="", "", TODAY()-I382), "")</f>
        <v/>
      </c>
      <c r="AD382" s="159">
        <f>IF(U382="Open Sale", TEXT(TODAY()-I382, "0"),
IF(U382="Pending", "",
IF(U382="Closed Sale", "", "")))</f>
        <v/>
      </c>
      <c r="AE382" s="161" t="n"/>
      <c r="AF382" s="161" t="n"/>
      <c r="AG382" s="161" t="n"/>
      <c r="AH382" s="136" t="n"/>
      <c r="AI382" s="164">
        <f>IF(I382="","",TEXT(I382, "mmmm yyyy"))</f>
        <v/>
      </c>
      <c r="AJ382" s="164">
        <f>IF(AND(OpenPendingCases[[#This Row],[Sale Status	]]="Open Sale",OpenPendingCases[[#This Row],[Potential Same Month]]="High"),TEXT(OpenPendingCases[[#This Row],[Request Entry Date]], "[$-en-us]mmmm"),"")</f>
        <v/>
      </c>
      <c r="AK382" s="165">
        <f>IFERROR(VALUE(SUBSTITUTE(OpenPendingCases[[#This Row],[Price]]," AED","")),"")</f>
        <v/>
      </c>
      <c r="AL382" s="165">
        <f>IFERROR(VALUE(LEFT(OpenPendingCases[[#This Row],[Price]],FIND(" ",OpenPendingCases[[#This Row],[Price]])-1)),"")</f>
        <v/>
      </c>
      <c r="AM382" s="165">
        <f>IFERROR(VALUE(_xlfn.TEXTBEFORE(OpenPendingCases[[#This Row],[Price]]," AED")),"")</f>
        <v/>
      </c>
      <c r="AN382" s="165" t="n"/>
    </row>
    <row r="383" hidden="1" ht="18" customHeight="1" s="287">
      <c r="C383" s="133" t="n"/>
      <c r="D383" s="136">
        <f>IF($U383="Open Sale", IF(MAX($D$4:D382)+1=0, "", MAX($D$4:D382)+1), "")</f>
        <v/>
      </c>
      <c r="E383" s="136">
        <f>IF($U383="Pending Allocation", IF(MAX($E$4:E382)+1=0, "", MAX($E$4:E382)+1), "")</f>
        <v/>
      </c>
      <c r="F383" s="136" t="n"/>
      <c r="G383" s="136" t="n"/>
      <c r="H383" s="150" t="n"/>
      <c r="I383" s="150" t="n"/>
      <c r="J383" s="67">
        <f>IF(OpenPendingCases[[#This Row],[Timepiece Reference ]]="", "", IF(_xlfn.XLOOKUP(OpenPendingCases[[#This Row],[Timepiece Reference ]], Table1[[Timepiece Reference ]], Table1[CRC STOCK], "Not Found")="YES", "CRC Stock", "Boutique Stock"))</f>
        <v/>
      </c>
      <c r="K383" s="136">
        <f>IF(OpenPendingCases[[#This Row],[Timepiece Reference ]]="", "", IF(_xlfn.XLOOKUP(OpenPendingCases[[#This Row],[Timepiece Reference ]], Table1[[Timepiece Reference ]], Table1[CRC STOCK], "Not Found")="YES", "CRC Stock", "Boutique Stock"))</f>
        <v/>
      </c>
      <c r="L383" s="142" t="n"/>
      <c r="M383" s="140" t="n"/>
      <c r="N383" s="136" t="n"/>
      <c r="O383" s="133" t="n"/>
      <c r="P383" s="93">
        <f>IFERROR(VLOOKUP(TRIM(O383), Collection!$B$2:$D$1001, 2, FALSE), "")</f>
        <v/>
      </c>
      <c r="Q383" s="190">
        <f>IFERROR(VLOOKUP(TRIM(O383), Collection!$B$2:$D$1001, 3, FALSE), "")</f>
        <v/>
      </c>
      <c r="R383" s="153">
        <f>IFERROR(VALUE(SUBSTITUTE(SUBSTITUTE(Q383, "Price", ""), "AED", "")), "")</f>
        <v/>
      </c>
      <c r="S383" s="151" t="n"/>
      <c r="T383" s="158" t="n"/>
      <c r="U383" s="136" t="n"/>
      <c r="V383" s="136" t="n"/>
      <c r="W383" s="156">
        <f>IF(Z383 = "",
"",
TEXT(Z383, "mmmm"))</f>
        <v/>
      </c>
      <c r="X383" s="157" t="n"/>
      <c r="Y383" s="158" t="n"/>
      <c r="Z383" s="158" t="n"/>
      <c r="AA383" s="136">
        <f>IF(H383="", "", IF(U383="Open Sale", IF(TODAY()-H383=0, "0 Days", TEXT(TODAY()-H383, "0") &amp; " Days"), IF(U383="Closed Sale", AA383, "")))</f>
        <v/>
      </c>
      <c r="AB383" s="136">
        <f>IF(H383="", "", IF(OR(U383="Pending", U383="Pending Allocation"), CONCATENATE(TODAY()-H383, " Days"), IF(U383="Closed", "", "")))</f>
        <v/>
      </c>
      <c r="AC383" s="160">
        <f>IF(U383="Pending Allocation", IF(I383="", "", TODAY()-I383), "")</f>
        <v/>
      </c>
      <c r="AD383" s="159">
        <f>IF(U383="Open Sale", TEXT(TODAY()-I383, "0"),
IF(U383="Pending", "",
IF(U383="Closed Sale", "", "")))</f>
        <v/>
      </c>
      <c r="AE383" s="161" t="n"/>
      <c r="AF383" s="161" t="n"/>
      <c r="AG383" s="161" t="n"/>
      <c r="AH383" s="136" t="n"/>
      <c r="AI383" s="164">
        <f>IF(I383="","",TEXT(I383, "mmmm yyyy"))</f>
        <v/>
      </c>
      <c r="AJ383" s="164">
        <f>IF(AND(OpenPendingCases[[#This Row],[Sale Status	]]="Open Sale",OpenPendingCases[[#This Row],[Potential Same Month]]="High"),TEXT(OpenPendingCases[[#This Row],[Request Entry Date]], "[$-en-us]mmmm"),"")</f>
        <v/>
      </c>
      <c r="AK383" s="165">
        <f>IFERROR(VALUE(SUBSTITUTE(OpenPendingCases[[#This Row],[Price]]," AED","")),"")</f>
        <v/>
      </c>
      <c r="AL383" s="165">
        <f>IFERROR(VALUE(LEFT(OpenPendingCases[[#This Row],[Price]],FIND(" ",OpenPendingCases[[#This Row],[Price]])-1)),"")</f>
        <v/>
      </c>
      <c r="AM383" s="165">
        <f>IFERROR(VALUE(_xlfn.TEXTBEFORE(OpenPendingCases[[#This Row],[Price]]," AED")),"")</f>
        <v/>
      </c>
      <c r="AN383" s="165" t="n"/>
    </row>
    <row r="384" hidden="1" ht="18" customHeight="1" s="287">
      <c r="C384" s="133" t="n"/>
      <c r="D384" s="136">
        <f>IF($U384="Open Sale", IF(MAX($D$4:D383)+1=0, "", MAX($D$4:D383)+1), "")</f>
        <v/>
      </c>
      <c r="E384" s="136">
        <f>IF($U384="Pending Allocation", IF(MAX($E$4:E383)+1=0, "", MAX($E$4:E383)+1), "")</f>
        <v/>
      </c>
      <c r="F384" s="136" t="n"/>
      <c r="G384" s="136" t="n"/>
      <c r="H384" s="150" t="n"/>
      <c r="I384" s="150" t="n"/>
      <c r="J384" s="67">
        <f>IF(OpenPendingCases[[#This Row],[Timepiece Reference ]]="", "", IF(_xlfn.XLOOKUP(OpenPendingCases[[#This Row],[Timepiece Reference ]], Table1[[Timepiece Reference ]], Table1[CRC STOCK], "Not Found")="YES", "CRC Stock", "Boutique Stock"))</f>
        <v/>
      </c>
      <c r="K384" s="136">
        <f>IF(OpenPendingCases[[#This Row],[Timepiece Reference ]]="", "", IF(_xlfn.XLOOKUP(OpenPendingCases[[#This Row],[Timepiece Reference ]], Table1[[Timepiece Reference ]], Table1[CRC STOCK], "Not Found")="YES", "CRC Stock", "Boutique Stock"))</f>
        <v/>
      </c>
      <c r="L384" s="142" t="n"/>
      <c r="M384" s="140" t="n"/>
      <c r="N384" s="136" t="n"/>
      <c r="O384" s="133" t="n"/>
      <c r="P384" s="93">
        <f>IFERROR(VLOOKUP(TRIM(O384), Collection!$B$2:$D$1001, 2, FALSE), "")</f>
        <v/>
      </c>
      <c r="Q384" s="190">
        <f>IFERROR(VLOOKUP(TRIM(O384), Collection!$B$2:$D$1001, 3, FALSE), "")</f>
        <v/>
      </c>
      <c r="R384" s="153">
        <f>IFERROR(VALUE(SUBSTITUTE(SUBSTITUTE(Q384, "Price", ""), "AED", "")), "")</f>
        <v/>
      </c>
      <c r="S384" s="151" t="n"/>
      <c r="T384" s="158" t="n"/>
      <c r="U384" s="136" t="n"/>
      <c r="V384" s="136" t="n"/>
      <c r="W384" s="156">
        <f>IF(Z384 = "",
"",
TEXT(Z384, "mmmm"))</f>
        <v/>
      </c>
      <c r="X384" s="157" t="n"/>
      <c r="Y384" s="158" t="n"/>
      <c r="Z384" s="158" t="n"/>
      <c r="AA384" s="136">
        <f>IF(H384="", "", IF(U384="Open Sale", IF(TODAY()-H384=0, "0 Days", TEXT(TODAY()-H384, "0") &amp; " Days"), IF(U384="Closed Sale", AA384, "")))</f>
        <v/>
      </c>
      <c r="AB384" s="136">
        <f>IF(H384="", "", IF(OR(U384="Pending", U384="Pending Allocation"), CONCATENATE(TODAY()-H384, " Days"), IF(U384="Closed", "", "")))</f>
        <v/>
      </c>
      <c r="AC384" s="160">
        <f>IF(U384="Pending Allocation", IF(I384="", "", TODAY()-I384), "")</f>
        <v/>
      </c>
      <c r="AD384" s="159">
        <f>IF(U384="Open Sale", TEXT(TODAY()-I384, "0"),
IF(U384="Pending", "",
IF(U384="Closed Sale", "", "")))</f>
        <v/>
      </c>
      <c r="AE384" s="161" t="n"/>
      <c r="AF384" s="161" t="n"/>
      <c r="AG384" s="161" t="n"/>
      <c r="AH384" s="136" t="n"/>
      <c r="AI384" s="164">
        <f>IF(I384="","",TEXT(I384, "mmmm yyyy"))</f>
        <v/>
      </c>
      <c r="AJ384" s="164">
        <f>IF(AND(OpenPendingCases[[#This Row],[Sale Status	]]="Open Sale",OpenPendingCases[[#This Row],[Potential Same Month]]="High"),TEXT(OpenPendingCases[[#This Row],[Request Entry Date]], "[$-en-us]mmmm"),"")</f>
        <v/>
      </c>
      <c r="AK384" s="165">
        <f>IFERROR(VALUE(SUBSTITUTE(OpenPendingCases[[#This Row],[Price]]," AED","")),"")</f>
        <v/>
      </c>
      <c r="AL384" s="165">
        <f>IFERROR(VALUE(LEFT(OpenPendingCases[[#This Row],[Price]],FIND(" ",OpenPendingCases[[#This Row],[Price]])-1)),"")</f>
        <v/>
      </c>
      <c r="AM384" s="165">
        <f>IFERROR(VALUE(_xlfn.TEXTBEFORE(OpenPendingCases[[#This Row],[Price]]," AED")),"")</f>
        <v/>
      </c>
      <c r="AN384" s="165" t="n"/>
    </row>
    <row r="385" hidden="1" ht="18" customHeight="1" s="287">
      <c r="C385" s="133" t="n"/>
      <c r="D385" s="136">
        <f>IF($U385="Open Sale", IF(MAX($D$4:D384)+1=0, "", MAX($D$4:D384)+1), "")</f>
        <v/>
      </c>
      <c r="E385" s="136">
        <f>IF($U385="Pending Allocation", IF(MAX($E$4:E384)+1=0, "", MAX($E$4:E384)+1), "")</f>
        <v/>
      </c>
      <c r="F385" s="136" t="n"/>
      <c r="G385" s="136" t="n"/>
      <c r="H385" s="150" t="n"/>
      <c r="I385" s="150" t="n"/>
      <c r="J385" s="67">
        <f>IF(OpenPendingCases[[#This Row],[Timepiece Reference ]]="", "", IF(_xlfn.XLOOKUP(OpenPendingCases[[#This Row],[Timepiece Reference ]], Table1[[Timepiece Reference ]], Table1[CRC STOCK], "Not Found")="YES", "CRC Stock", "Boutique Stock"))</f>
        <v/>
      </c>
      <c r="K385" s="136">
        <f>IF(OpenPendingCases[[#This Row],[Timepiece Reference ]]="", "", IF(_xlfn.XLOOKUP(OpenPendingCases[[#This Row],[Timepiece Reference ]], Table1[[Timepiece Reference ]], Table1[CRC STOCK], "Not Found")="YES", "CRC Stock", "Boutique Stock"))</f>
        <v/>
      </c>
      <c r="L385" s="142" t="n"/>
      <c r="M385" s="140" t="n"/>
      <c r="N385" s="136" t="n"/>
      <c r="O385" s="133" t="n"/>
      <c r="P385" s="93">
        <f>IFERROR(VLOOKUP(TRIM(O385), Collection!$B$2:$D$1001, 2, FALSE), "")</f>
        <v/>
      </c>
      <c r="Q385" s="190">
        <f>IFERROR(VLOOKUP(TRIM(O385), Collection!$B$2:$D$1001, 3, FALSE), "")</f>
        <v/>
      </c>
      <c r="R385" s="153">
        <f>IFERROR(VALUE(SUBSTITUTE(SUBSTITUTE(Q385, "Price", ""), "AED", "")), "")</f>
        <v/>
      </c>
      <c r="S385" s="151" t="n"/>
      <c r="T385" s="158" t="n"/>
      <c r="U385" s="136" t="n"/>
      <c r="V385" s="136" t="n"/>
      <c r="W385" s="156">
        <f>IF(Z385 = "",
"",
TEXT(Z385, "mmmm"))</f>
        <v/>
      </c>
      <c r="X385" s="157" t="n"/>
      <c r="Y385" s="158" t="n"/>
      <c r="Z385" s="158" t="n"/>
      <c r="AA385" s="136">
        <f>IF(H385="", "", IF(U385="Open Sale", IF(TODAY()-H385=0, "0 Days", TEXT(TODAY()-H385, "0") &amp; " Days"), IF(U385="Closed Sale", AA385, "")))</f>
        <v/>
      </c>
      <c r="AB385" s="136">
        <f>IF(H385="", "", IF(OR(U385="Pending", U385="Pending Allocation"), CONCATENATE(TODAY()-H385, " Days"), IF(U385="Closed", "", "")))</f>
        <v/>
      </c>
      <c r="AC385" s="160">
        <f>IF(U385="Pending Allocation", IF(I385="", "", TODAY()-I385), "")</f>
        <v/>
      </c>
      <c r="AD385" s="159">
        <f>IF(U385="Open Sale", TEXT(TODAY()-I385, "0"),
IF(U385="Pending", "",
IF(U385="Closed Sale", "", "")))</f>
        <v/>
      </c>
      <c r="AE385" s="161" t="n"/>
      <c r="AF385" s="161" t="n"/>
      <c r="AG385" s="161" t="n"/>
      <c r="AH385" s="136" t="n"/>
      <c r="AI385" s="164">
        <f>IF(I385="","",TEXT(I385, "mmmm yyyy"))</f>
        <v/>
      </c>
      <c r="AJ385" s="164">
        <f>IF(AND(OpenPendingCases[[#This Row],[Sale Status	]]="Open Sale",OpenPendingCases[[#This Row],[Potential Same Month]]="High"),TEXT(OpenPendingCases[[#This Row],[Request Entry Date]], "[$-en-us]mmmm"),"")</f>
        <v/>
      </c>
      <c r="AK385" s="165">
        <f>IFERROR(VALUE(SUBSTITUTE(OpenPendingCases[[#This Row],[Price]]," AED","")),"")</f>
        <v/>
      </c>
      <c r="AL385" s="165">
        <f>IFERROR(VALUE(LEFT(OpenPendingCases[[#This Row],[Price]],FIND(" ",OpenPendingCases[[#This Row],[Price]])-1)),"")</f>
        <v/>
      </c>
      <c r="AM385" s="165">
        <f>IFERROR(VALUE(_xlfn.TEXTBEFORE(OpenPendingCases[[#This Row],[Price]]," AED")),"")</f>
        <v/>
      </c>
      <c r="AN385" s="165" t="n"/>
    </row>
    <row r="386" hidden="1" ht="18" customHeight="1" s="287">
      <c r="C386" s="133" t="n"/>
      <c r="D386" s="136">
        <f>IF($U386="Open Sale", IF(MAX($D$4:D385)+1=0, "", MAX($D$4:D385)+1), "")</f>
        <v/>
      </c>
      <c r="E386" s="136">
        <f>IF($U386="Pending Allocation", IF(MAX($E$4:E385)+1=0, "", MAX($E$4:E385)+1), "")</f>
        <v/>
      </c>
      <c r="F386" s="136" t="n"/>
      <c r="G386" s="136" t="n"/>
      <c r="H386" s="150" t="n"/>
      <c r="I386" s="150" t="n"/>
      <c r="J386" s="67">
        <f>IF(OpenPendingCases[[#This Row],[Timepiece Reference ]]="", "", IF(_xlfn.XLOOKUP(OpenPendingCases[[#This Row],[Timepiece Reference ]], Table1[[Timepiece Reference ]], Table1[CRC STOCK], "Not Found")="YES", "CRC Stock", "Boutique Stock"))</f>
        <v/>
      </c>
      <c r="K386" s="136">
        <f>IF(OpenPendingCases[[#This Row],[Timepiece Reference ]]="", "", IF(_xlfn.XLOOKUP(OpenPendingCases[[#This Row],[Timepiece Reference ]], Table1[[Timepiece Reference ]], Table1[CRC STOCK], "Not Found")="YES", "CRC Stock", "Boutique Stock"))</f>
        <v/>
      </c>
      <c r="L386" s="142" t="n"/>
      <c r="M386" s="140" t="n"/>
      <c r="N386" s="136" t="n"/>
      <c r="O386" s="133" t="n"/>
      <c r="P386" s="93">
        <f>IFERROR(VLOOKUP(TRIM(O386), Collection!$B$2:$D$1001, 2, FALSE), "")</f>
        <v/>
      </c>
      <c r="Q386" s="190">
        <f>IFERROR(VLOOKUP(TRIM(O386), Collection!$B$2:$D$1001, 3, FALSE), "")</f>
        <v/>
      </c>
      <c r="R386" s="153">
        <f>IFERROR(VALUE(SUBSTITUTE(SUBSTITUTE(Q386, "Price", ""), "AED", "")), "")</f>
        <v/>
      </c>
      <c r="S386" s="151" t="n"/>
      <c r="T386" s="158" t="n"/>
      <c r="U386" s="136" t="n"/>
      <c r="V386" s="136" t="n"/>
      <c r="W386" s="156">
        <f>IF(Z386 = "",
"",
TEXT(Z386, "mmmm"))</f>
        <v/>
      </c>
      <c r="X386" s="157" t="n"/>
      <c r="Y386" s="158" t="n"/>
      <c r="Z386" s="158" t="n"/>
      <c r="AA386" s="136">
        <f>IF(H386="", "", IF(U386="Open Sale", IF(TODAY()-H386=0, "0 Days", TEXT(TODAY()-H386, "0") &amp; " Days"), IF(U386="Closed Sale", AA386, "")))</f>
        <v/>
      </c>
      <c r="AB386" s="136">
        <f>IF(H386="", "", IF(OR(U386="Pending", U386="Pending Allocation"), CONCATENATE(TODAY()-H386, " Days"), IF(U386="Closed", "", "")))</f>
        <v/>
      </c>
      <c r="AC386" s="160">
        <f>IF(U386="Pending Allocation", IF(I386="", "", TODAY()-I386), "")</f>
        <v/>
      </c>
      <c r="AD386" s="159">
        <f>IF(U386="Open Sale", TEXT(TODAY()-I386, "0"),
IF(U386="Pending", "",
IF(U386="Closed Sale", "", "")))</f>
        <v/>
      </c>
      <c r="AE386" s="161" t="n"/>
      <c r="AF386" s="161" t="n"/>
      <c r="AG386" s="161" t="n"/>
      <c r="AH386" s="136" t="n"/>
      <c r="AI386" s="164">
        <f>IF(I386="","",TEXT(I386, "mmmm yyyy"))</f>
        <v/>
      </c>
      <c r="AJ386" s="164">
        <f>IF(AND(OpenPendingCases[[#This Row],[Sale Status	]]="Open Sale",OpenPendingCases[[#This Row],[Potential Same Month]]="High"),TEXT(OpenPendingCases[[#This Row],[Request Entry Date]], "[$-en-us]mmmm"),"")</f>
        <v/>
      </c>
      <c r="AK386" s="165">
        <f>IFERROR(VALUE(SUBSTITUTE(OpenPendingCases[[#This Row],[Price]]," AED","")),"")</f>
        <v/>
      </c>
      <c r="AL386" s="165">
        <f>IFERROR(VALUE(LEFT(OpenPendingCases[[#This Row],[Price]],FIND(" ",OpenPendingCases[[#This Row],[Price]])-1)),"")</f>
        <v/>
      </c>
      <c r="AM386" s="165">
        <f>IFERROR(VALUE(_xlfn.TEXTBEFORE(OpenPendingCases[[#This Row],[Price]]," AED")),"")</f>
        <v/>
      </c>
      <c r="AN386" s="165" t="n"/>
    </row>
    <row r="387" hidden="1" ht="18" customHeight="1" s="287">
      <c r="C387" s="133" t="n"/>
      <c r="D387" s="136">
        <f>IF($U387="Open Sale", IF(MAX($D$4:D386)+1=0, "", MAX($D$4:D386)+1), "")</f>
        <v/>
      </c>
      <c r="E387" s="136">
        <f>IF($U387="Pending Allocation", IF(MAX($E$4:E386)+1=0, "", MAX($E$4:E386)+1), "")</f>
        <v/>
      </c>
      <c r="F387" s="136" t="n"/>
      <c r="G387" s="136" t="n"/>
      <c r="H387" s="150" t="n"/>
      <c r="I387" s="150" t="n"/>
      <c r="J387" s="67">
        <f>IF(OpenPendingCases[[#This Row],[Timepiece Reference ]]="", "", IF(_xlfn.XLOOKUP(OpenPendingCases[[#This Row],[Timepiece Reference ]], Table1[[Timepiece Reference ]], Table1[CRC STOCK], "Not Found")="YES", "CRC Stock", "Boutique Stock"))</f>
        <v/>
      </c>
      <c r="K387" s="136">
        <f>IF(OpenPendingCases[[#This Row],[Timepiece Reference ]]="", "", IF(_xlfn.XLOOKUP(OpenPendingCases[[#This Row],[Timepiece Reference ]], Table1[[Timepiece Reference ]], Table1[CRC STOCK], "Not Found")="YES", "CRC Stock", "Boutique Stock"))</f>
        <v/>
      </c>
      <c r="L387" s="142" t="n"/>
      <c r="M387" s="140" t="n"/>
      <c r="N387" s="136" t="n"/>
      <c r="O387" s="133" t="n"/>
      <c r="P387" s="93">
        <f>IFERROR(VLOOKUP(TRIM(O387), Collection!$B$2:$D$1001, 2, FALSE), "")</f>
        <v/>
      </c>
      <c r="Q387" s="190">
        <f>IFERROR(VLOOKUP(TRIM(O387), Collection!$B$2:$D$1001, 3, FALSE), "")</f>
        <v/>
      </c>
      <c r="R387" s="153">
        <f>IFERROR(VALUE(SUBSTITUTE(SUBSTITUTE(Q387, "Price", ""), "AED", "")), "")</f>
        <v/>
      </c>
      <c r="S387" s="151" t="n"/>
      <c r="T387" s="158" t="n"/>
      <c r="U387" s="136" t="n"/>
      <c r="V387" s="136" t="n"/>
      <c r="W387" s="156">
        <f>IF(Z387 = "",
"",
TEXT(Z387, "mmmm"))</f>
        <v/>
      </c>
      <c r="X387" s="157" t="n"/>
      <c r="Y387" s="158" t="n"/>
      <c r="Z387" s="158" t="n"/>
      <c r="AA387" s="136">
        <f>IF(H387="", "", IF(U387="Open Sale", IF(TODAY()-H387=0, "0 Days", TEXT(TODAY()-H387, "0") &amp; " Days"), IF(U387="Closed Sale", AA387, "")))</f>
        <v/>
      </c>
      <c r="AB387" s="136">
        <f>IF(H387="", "", IF(OR(U387="Pending", U387="Pending Allocation"), CONCATENATE(TODAY()-H387, " Days"), IF(U387="Closed", "", "")))</f>
        <v/>
      </c>
      <c r="AC387" s="160">
        <f>IF(U387="Pending Allocation", IF(I387="", "", TODAY()-I387), "")</f>
        <v/>
      </c>
      <c r="AD387" s="159">
        <f>IF(U387="Open Sale", TEXT(TODAY()-I387, "0"),
   IF(U387="Pending", "",
      IF(U387="Closed Sale", "", "")))</f>
        <v/>
      </c>
      <c r="AE387" s="161" t="n"/>
      <c r="AF387" s="161" t="n"/>
      <c r="AG387" s="161" t="n"/>
      <c r="AH387" s="136" t="n"/>
      <c r="AI387" s="164">
        <f>IF(I387="","",TEXT(I387, "mmmm yyyy"))</f>
        <v/>
      </c>
      <c r="AJ387" s="164">
        <f>IF(AND(OpenPendingCases[[#This Row],[Sale Status	]]="Open Sale",OpenPendingCases[[#This Row],[Potential Same Month]]="High"),TEXT(OpenPendingCases[[#This Row],[Request Entry Date]], "[$-en-us]mmmm"),"")</f>
        <v/>
      </c>
      <c r="AK387" s="165">
        <f>IFERROR(VALUE(SUBSTITUTE(OpenPendingCases[[#This Row],[Price]]," AED","")),"")</f>
        <v/>
      </c>
      <c r="AL387" s="165">
        <f>IFERROR(VALUE(LEFT(OpenPendingCases[[#This Row],[Price]],FIND(" ",OpenPendingCases[[#This Row],[Price]])-1)),"")</f>
        <v/>
      </c>
      <c r="AM387" s="165">
        <f>IFERROR(VALUE(_xlfn.TEXTBEFORE(OpenPendingCases[[#This Row],[Price]]," AED")),"")</f>
        <v/>
      </c>
      <c r="AN387" s="165" t="n"/>
    </row>
    <row r="388" hidden="1" ht="18" customHeight="1" s="287">
      <c r="C388" s="133" t="n"/>
      <c r="D388" s="136">
        <f>IF($U388="Open Sale", IF(MAX($D$4:D387)+1=0, "", MAX($D$4:D387)+1), "")</f>
        <v/>
      </c>
      <c r="E388" s="136">
        <f>IF($U388="Pending Allocation", IF(MAX($E$4:E387)+1=0, "", MAX($E$4:E387)+1), "")</f>
        <v/>
      </c>
      <c r="F388" s="136" t="n"/>
      <c r="G388" s="136" t="n"/>
      <c r="H388" s="150" t="n"/>
      <c r="I388" s="150" t="n"/>
      <c r="J388" s="67">
        <f>IF(OpenPendingCases[[#This Row],[Timepiece Reference ]]="", "", IF(_xlfn.XLOOKUP(OpenPendingCases[[#This Row],[Timepiece Reference ]], Table1[[Timepiece Reference ]], Table1[CRC STOCK], "Not Found")="YES", "CRC Stock", "Boutique Stock"))</f>
        <v/>
      </c>
      <c r="K388" s="136">
        <f>IF(OpenPendingCases[[#This Row],[Timepiece Reference ]]="", "", IF(_xlfn.XLOOKUP(OpenPendingCases[[#This Row],[Timepiece Reference ]], Table1[[Timepiece Reference ]], Table1[CRC STOCK], "Not Found")="YES", "CRC Stock", "Boutique Stock"))</f>
        <v/>
      </c>
      <c r="L388" s="142" t="n"/>
      <c r="M388" s="140" t="n"/>
      <c r="N388" s="136" t="n"/>
      <c r="O388" s="133" t="n"/>
      <c r="P388" s="93">
        <f>IFERROR(VLOOKUP(TRIM(O388), Collection!$B$2:$D$1001, 2, FALSE), "")</f>
        <v/>
      </c>
      <c r="Q388" s="190">
        <f>IFERROR(VLOOKUP(TRIM(O388), Collection!$B$2:$D$1001, 3, FALSE), "")</f>
        <v/>
      </c>
      <c r="R388" s="153">
        <f>IFERROR(VALUE(SUBSTITUTE(SUBSTITUTE(Q388, "Price", ""), "AED", "")), "")</f>
        <v/>
      </c>
      <c r="S388" s="151" t="n"/>
      <c r="T388" s="158" t="n"/>
      <c r="U388" s="136" t="n"/>
      <c r="V388" s="136" t="n"/>
      <c r="W388" s="156">
        <f>IF(Z388 = "",
     "",
     TEXT(Z388, "mmmm"))</f>
        <v/>
      </c>
      <c r="X388" s="157" t="n"/>
      <c r="Y388" s="158" t="n"/>
      <c r="Z388" s="158" t="n"/>
      <c r="AA388" s="136">
        <f>IF(H388="", "", IF(U388="Open Sale", IF(TODAY()-H388=0, "0 Days", TEXT(TODAY()-H388, "0") &amp; " Days"), IF(U388="Closed Sale", AA388, "")))</f>
        <v/>
      </c>
      <c r="AB388" s="136">
        <f>IF(H388="", "", IF(OR(U388="Pending", U388="Pending Allocation"), CONCATENATE(TODAY()-H388, " Days"), IF(U388="Closed", "", "")))</f>
        <v/>
      </c>
      <c r="AC388" s="160">
        <f>IF(U388="Pending Allocation", IF(I388="", "", TODAY()-I388), "")</f>
        <v/>
      </c>
      <c r="AD388" s="159">
        <f>IF(U388="Open Sale", TEXT(TODAY()-I388, "0"),
IF(U388="Pending", "",
IF(U388="Closed Sale", "", "")))</f>
        <v/>
      </c>
      <c r="AE388" s="161" t="n"/>
      <c r="AF388" s="161" t="n"/>
      <c r="AG388" s="161" t="n"/>
      <c r="AH388" s="136" t="n"/>
      <c r="AI388" s="164">
        <f>IF(I388="","",TEXT(I388, "mmmm yyyy"))</f>
        <v/>
      </c>
      <c r="AJ388" s="164">
        <f>IF(AND(OpenPendingCases[[#This Row],[Sale Status	]]="Open Sale",OpenPendingCases[[#This Row],[Potential Same Month]]="High"),TEXT(OpenPendingCases[[#This Row],[Request Entry Date]], "[$-en-us]mmmm"),"")</f>
        <v/>
      </c>
      <c r="AK388" s="165">
        <f>IFERROR(VALUE(SUBSTITUTE(OpenPendingCases[[#This Row],[Price]]," AED","")),"")</f>
        <v/>
      </c>
      <c r="AL388" s="165">
        <f>IFERROR(VALUE(LEFT(OpenPendingCases[[#This Row],[Price]],FIND(" ",OpenPendingCases[[#This Row],[Price]])-1)),"")</f>
        <v/>
      </c>
      <c r="AM388" s="165">
        <f>IFERROR(VALUE(_xlfn.TEXTBEFORE(OpenPendingCases[[#This Row],[Price]]," AED")),"")</f>
        <v/>
      </c>
      <c r="AN388" s="165" t="n"/>
    </row>
    <row r="389" hidden="1" ht="18" customHeight="1" s="287">
      <c r="C389" s="133" t="n"/>
      <c r="D389" s="136">
        <f>IF($U389="Open Sale", IF(MAX($D$4:D388)+1=0, "", MAX($D$4:D388)+1), "")</f>
        <v/>
      </c>
      <c r="E389" s="136">
        <f>IF($U389="Pending Allocation", IF(MAX($E$4:E388)+1=0, "", MAX($E$4:E388)+1), "")</f>
        <v/>
      </c>
      <c r="F389" s="136" t="n"/>
      <c r="G389" s="136" t="n"/>
      <c r="H389" s="150" t="n"/>
      <c r="I389" s="150" t="n"/>
      <c r="J389" s="67">
        <f>IF(OpenPendingCases[[#This Row],[Timepiece Reference ]]="", "", IF(_xlfn.XLOOKUP(OpenPendingCases[[#This Row],[Timepiece Reference ]], Table1[[Timepiece Reference ]], Table1[CRC STOCK], "Not Found")="YES", "CRC Stock", "Boutique Stock"))</f>
        <v/>
      </c>
      <c r="K389" s="136">
        <f>IF(OpenPendingCases[[#This Row],[Timepiece Reference ]]="", "", IF(_xlfn.XLOOKUP(OpenPendingCases[[#This Row],[Timepiece Reference ]], Table1[[Timepiece Reference ]], Table1[CRC STOCK], "Not Found")="YES", "CRC Stock", "Boutique Stock"))</f>
        <v/>
      </c>
      <c r="L389" s="142" t="n"/>
      <c r="M389" s="140" t="n"/>
      <c r="N389" s="136" t="n"/>
      <c r="O389" s="133" t="n"/>
      <c r="P389" s="93">
        <f>IFERROR(VLOOKUP(TRIM(O389), Collection!$B$2:$D$1001, 2, FALSE), "")</f>
        <v/>
      </c>
      <c r="Q389" s="190">
        <f>IFERROR(VLOOKUP(TRIM(O389), Collection!$B$2:$D$1001, 3, FALSE), "")</f>
        <v/>
      </c>
      <c r="R389" s="153">
        <f>IFERROR(VALUE(SUBSTITUTE(SUBSTITUTE(Q389, "Price", ""), "AED", "")), "")</f>
        <v/>
      </c>
      <c r="S389" s="151" t="n"/>
      <c r="T389" s="158" t="n"/>
      <c r="U389" s="136" t="n"/>
      <c r="V389" s="136" t="n"/>
      <c r="W389" s="156">
        <f>IF(Z389 = "",
"",
TEXT(Z389, "mmmm"))</f>
        <v/>
      </c>
      <c r="X389" s="157" t="n"/>
      <c r="Y389" s="158" t="n"/>
      <c r="Z389" s="158" t="n"/>
      <c r="AA389" s="136">
        <f>IF(H389="", "", IF(U389="Open Sale", IF(TODAY()-H389=0, "0 Days", TEXT(TODAY()-H389, "0") &amp; " Days"), IF(U389="Closed Sale", AA389, "")))</f>
        <v/>
      </c>
      <c r="AB389" s="136">
        <f>IF(H389="", "", IF(OR(U389="Pending", U389="Pending Allocation"), CONCATENATE(TODAY()-H389, " Days"), IF(U389="Closed", "", "")))</f>
        <v/>
      </c>
      <c r="AC389" s="160">
        <f>IF(U389="Pending Allocation", IF(I389="", "", TODAY()-I389), "")</f>
        <v/>
      </c>
      <c r="AD389" s="159">
        <f>IF(U389="Open Sale", TEXT(TODAY()-I389, "0"),
IF(U389="Pending", "",
IF(U389="Closed Sale", "", "")))</f>
        <v/>
      </c>
      <c r="AE389" s="161" t="n"/>
      <c r="AF389" s="161" t="n"/>
      <c r="AG389" s="161" t="n"/>
      <c r="AH389" s="136" t="n"/>
      <c r="AI389" s="164">
        <f>IF(I389="","",TEXT(I389, "mmmm yyyy"))</f>
        <v/>
      </c>
      <c r="AJ389" s="164">
        <f>IF(AND(OpenPendingCases[[#This Row],[Sale Status	]]="Open Sale",OpenPendingCases[[#This Row],[Potential Same Month]]="High"),TEXT(OpenPendingCases[[#This Row],[Request Entry Date]], "[$-en-us]mmmm"),"")</f>
        <v/>
      </c>
      <c r="AK389" s="165">
        <f>IFERROR(VALUE(SUBSTITUTE(OpenPendingCases[[#This Row],[Price]]," AED","")),"")</f>
        <v/>
      </c>
      <c r="AL389" s="165">
        <f>IFERROR(VALUE(LEFT(OpenPendingCases[[#This Row],[Price]],FIND(" ",OpenPendingCases[[#This Row],[Price]])-1)),"")</f>
        <v/>
      </c>
      <c r="AM389" s="165">
        <f>IFERROR(VALUE(_xlfn.TEXTBEFORE(OpenPendingCases[[#This Row],[Price]]," AED")),"")</f>
        <v/>
      </c>
      <c r="AN389" s="165" t="n"/>
    </row>
    <row r="390" hidden="1" ht="18" customHeight="1" s="287">
      <c r="C390" s="133" t="n"/>
      <c r="D390" s="136">
        <f>IF($U390="Open Sale", IF(MAX($D$4:D389)+1=0, "", MAX($D$4:D389)+1), "")</f>
        <v/>
      </c>
      <c r="E390" s="136">
        <f>IF($U390="Pending Allocation", IF(MAX($E$4:E389)+1=0, "", MAX($E$4:E389)+1), "")</f>
        <v/>
      </c>
      <c r="F390" s="136" t="n"/>
      <c r="G390" s="136" t="n"/>
      <c r="H390" s="150" t="n"/>
      <c r="I390" s="150" t="n"/>
      <c r="J390" s="67">
        <f>IF(OpenPendingCases[[#This Row],[Timepiece Reference ]]="", "", IF(_xlfn.XLOOKUP(OpenPendingCases[[#This Row],[Timepiece Reference ]], Table1[[Timepiece Reference ]], Table1[CRC STOCK], "Not Found")="YES", "CRC Stock", "Boutique Stock"))</f>
        <v/>
      </c>
      <c r="K390" s="136">
        <f>IF(OpenPendingCases[[#This Row],[Timepiece Reference ]]="", "", IF(_xlfn.XLOOKUP(OpenPendingCases[[#This Row],[Timepiece Reference ]], Table1[[Timepiece Reference ]], Table1[CRC STOCK], "Not Found")="YES", "CRC Stock", "Boutique Stock"))</f>
        <v/>
      </c>
      <c r="L390" s="142" t="n"/>
      <c r="M390" s="140" t="n"/>
      <c r="N390" s="136" t="n"/>
      <c r="O390" s="133" t="n"/>
      <c r="P390" s="93">
        <f>IFERROR(VLOOKUP(TRIM(O390), Collection!$B$2:$D$1001, 2, FALSE), "")</f>
        <v/>
      </c>
      <c r="Q390" s="190">
        <f>IFERROR(VLOOKUP(TRIM(O390), Collection!$B$2:$D$1001, 3, FALSE), "")</f>
        <v/>
      </c>
      <c r="R390" s="153">
        <f>IFERROR(VALUE(SUBSTITUTE(SUBSTITUTE(Q390, "Price", ""), "AED", "")), "")</f>
        <v/>
      </c>
      <c r="S390" s="151" t="n"/>
      <c r="T390" s="158" t="n"/>
      <c r="U390" s="136" t="n"/>
      <c r="V390" s="136" t="n"/>
      <c r="W390" s="156">
        <f>IF(Z390 = "",
"",
TEXT(Z390, "mmmm"))</f>
        <v/>
      </c>
      <c r="X390" s="157" t="n"/>
      <c r="Y390" s="158" t="n"/>
      <c r="Z390" s="158" t="n"/>
      <c r="AA390" s="136">
        <f>IF(H390="", "", IF(U390="Open Sale", IF(TODAY()-H390=0, "0 Days", TEXT(TODAY()-H390, "0") &amp; " Days"), IF(U390="Closed Sale", AA390, "")))</f>
        <v/>
      </c>
      <c r="AB390" s="136">
        <f>IF(H390="", "", IF(OR(U390="Pending", U390="Pending Allocation"), CONCATENATE(TODAY()-H390, " Days"), IF(U390="Closed", "", "")))</f>
        <v/>
      </c>
      <c r="AC390" s="160">
        <f>IF(U390="Pending Allocation", IF(I390="", "", TODAY()-I390), "")</f>
        <v/>
      </c>
      <c r="AD390" s="159">
        <f>IF(U390="Open Sale", TEXT(TODAY()-I390, "0"),
IF(U390="Pending", "",
IF(U390="Closed Sale", "", "")))</f>
        <v/>
      </c>
      <c r="AE390" s="161" t="n"/>
      <c r="AF390" s="161" t="n"/>
      <c r="AG390" s="161" t="n"/>
      <c r="AH390" s="136" t="n"/>
      <c r="AI390" s="164">
        <f>IF(I390="","",TEXT(I390, "mmmm yyyy"))</f>
        <v/>
      </c>
      <c r="AJ390" s="164">
        <f>IF(AND(OpenPendingCases[[#This Row],[Sale Status	]]="Open Sale",OpenPendingCases[[#This Row],[Potential Same Month]]="High"),TEXT(OpenPendingCases[[#This Row],[Request Entry Date]], "[$-en-us]mmmm"),"")</f>
        <v/>
      </c>
      <c r="AK390" s="165">
        <f>IFERROR(VALUE(SUBSTITUTE(OpenPendingCases[[#This Row],[Price]]," AED","")),"")</f>
        <v/>
      </c>
      <c r="AL390" s="165">
        <f>IFERROR(VALUE(LEFT(OpenPendingCases[[#This Row],[Price]],FIND(" ",OpenPendingCases[[#This Row],[Price]])-1)),"")</f>
        <v/>
      </c>
      <c r="AM390" s="165">
        <f>IFERROR(VALUE(_xlfn.TEXTBEFORE(OpenPendingCases[[#This Row],[Price]]," AED")),"")</f>
        <v/>
      </c>
      <c r="AN390" s="165" t="n"/>
    </row>
    <row r="391" hidden="1" ht="18" customHeight="1" s="287">
      <c r="C391" s="133" t="n"/>
      <c r="D391" s="136">
        <f>IF($U391="Open Sale", IF(MAX($D$4:D390)+1=0, "", MAX($D$4:D390)+1), "")</f>
        <v/>
      </c>
      <c r="E391" s="136">
        <f>IF($U391="Pending Allocation", IF(MAX($E$4:E390)+1=0, "", MAX($E$4:E390)+1), "")</f>
        <v/>
      </c>
      <c r="F391" s="136" t="n"/>
      <c r="G391" s="136" t="n"/>
      <c r="H391" s="150" t="n"/>
      <c r="I391" s="150" t="n"/>
      <c r="J391" s="67">
        <f>IF(OpenPendingCases[[#This Row],[Timepiece Reference ]]="", "", IF(_xlfn.XLOOKUP(OpenPendingCases[[#This Row],[Timepiece Reference ]], Table1[[Timepiece Reference ]], Table1[CRC STOCK], "Not Found")="YES", "CRC Stock", "Boutique Stock"))</f>
        <v/>
      </c>
      <c r="K391" s="136">
        <f>IF(OpenPendingCases[[#This Row],[Timepiece Reference ]]="", "", IF(_xlfn.XLOOKUP(OpenPendingCases[[#This Row],[Timepiece Reference ]], Table1[[Timepiece Reference ]], Table1[CRC STOCK], "Not Found")="YES", "CRC Stock", "Boutique Stock"))</f>
        <v/>
      </c>
      <c r="L391" s="142" t="n"/>
      <c r="M391" s="140" t="n"/>
      <c r="N391" s="136" t="n"/>
      <c r="O391" s="133" t="n"/>
      <c r="P391" s="93">
        <f>IFERROR(VLOOKUP(TRIM(O391), Collection!$B$2:$D$1001, 2, FALSE), "")</f>
        <v/>
      </c>
      <c r="Q391" s="190">
        <f>IFERROR(VLOOKUP(TRIM(O391), Collection!$B$2:$D$1001, 3, FALSE), "")</f>
        <v/>
      </c>
      <c r="R391" s="153">
        <f>IFERROR(VALUE(SUBSTITUTE(SUBSTITUTE(Q391, "Price", ""), "AED", "")), "")</f>
        <v/>
      </c>
      <c r="S391" s="151" t="n"/>
      <c r="T391" s="158" t="n"/>
      <c r="U391" s="136" t="n"/>
      <c r="V391" s="136" t="n"/>
      <c r="W391" s="156">
        <f>IF(Z391 = "",
"",
TEXT(Z391, "mmmm"))</f>
        <v/>
      </c>
      <c r="X391" s="157" t="n"/>
      <c r="Y391" s="158" t="n"/>
      <c r="Z391" s="158" t="n"/>
      <c r="AA391" s="136">
        <f>IF(H391="", "", IF(U391="Open Sale", IF(TODAY()-H391=0, "0 Days", TEXT(TODAY()-H391, "0") &amp; " Days"), IF(U391="Closed Sale", AA391, "")))</f>
        <v/>
      </c>
      <c r="AB391" s="136">
        <f>IF(H391="", "", IF(OR(U391="Pending", U391="Pending Allocation"), CONCATENATE(TODAY()-H391, " Days"), IF(U391="Closed", "", "")))</f>
        <v/>
      </c>
      <c r="AC391" s="160">
        <f>IF(U391="Pending Allocation", IF(I391="", "", TODAY()-I391), "")</f>
        <v/>
      </c>
      <c r="AD391" s="159">
        <f>IF(U391="Open Sale", TEXT(TODAY()-I391, "0"),
IF(U391="Pending", "",
IF(U391="Closed Sale", "", "")))</f>
        <v/>
      </c>
      <c r="AE391" s="161" t="n"/>
      <c r="AF391" s="161" t="n"/>
      <c r="AG391" s="161" t="n"/>
      <c r="AH391" s="136" t="n"/>
      <c r="AI391" s="164">
        <f>IF(I391="","",TEXT(I391, "mmmm yyyy"))</f>
        <v/>
      </c>
      <c r="AJ391" s="164">
        <f>IF(AND(OpenPendingCases[[#This Row],[Sale Status	]]="Open Sale",OpenPendingCases[[#This Row],[Potential Same Month]]="High"),TEXT(OpenPendingCases[[#This Row],[Request Entry Date]], "[$-en-us]mmmm"),"")</f>
        <v/>
      </c>
      <c r="AK391" s="165">
        <f>IFERROR(VALUE(SUBSTITUTE(OpenPendingCases[[#This Row],[Price]]," AED","")),"")</f>
        <v/>
      </c>
      <c r="AL391" s="165">
        <f>IFERROR(VALUE(LEFT(OpenPendingCases[[#This Row],[Price]],FIND(" ",OpenPendingCases[[#This Row],[Price]])-1)),"")</f>
        <v/>
      </c>
      <c r="AM391" s="165">
        <f>IFERROR(VALUE(_xlfn.TEXTBEFORE(OpenPendingCases[[#This Row],[Price]]," AED")),"")</f>
        <v/>
      </c>
      <c r="AN391" s="165" t="n"/>
    </row>
    <row r="392" hidden="1" ht="18" customHeight="1" s="287">
      <c r="C392" s="133" t="n"/>
      <c r="D392" s="136">
        <f>IF($U392="Open Sale", IF(MAX($D$4:D391)+1=0, "", MAX($D$4:D391)+1), "")</f>
        <v/>
      </c>
      <c r="E392" s="136">
        <f>IF($U392="Pending Allocation", IF(MAX($E$4:E391)+1=0, "", MAX($E$4:E391)+1), "")</f>
        <v/>
      </c>
      <c r="F392" s="136" t="n"/>
      <c r="G392" s="136" t="n"/>
      <c r="H392" s="150" t="n"/>
      <c r="I392" s="150" t="n"/>
      <c r="J392" s="67">
        <f>IF(OpenPendingCases[[#This Row],[Timepiece Reference ]]="", "", IF(_xlfn.XLOOKUP(OpenPendingCases[[#This Row],[Timepiece Reference ]], Table1[[Timepiece Reference ]], Table1[CRC STOCK], "Not Found")="YES", "CRC Stock", "Boutique Stock"))</f>
        <v/>
      </c>
      <c r="K392" s="136">
        <f>IF(OpenPendingCases[[#This Row],[Timepiece Reference ]]="", "", IF(_xlfn.XLOOKUP(OpenPendingCases[[#This Row],[Timepiece Reference ]], Table1[[Timepiece Reference ]], Table1[CRC STOCK], "Not Found")="YES", "CRC Stock", "Boutique Stock"))</f>
        <v/>
      </c>
      <c r="L392" s="142" t="n"/>
      <c r="M392" s="140" t="n"/>
      <c r="N392" s="136" t="n"/>
      <c r="O392" s="133" t="n"/>
      <c r="P392" s="93">
        <f>IFERROR(VLOOKUP(TRIM(O392), Collection!$B$2:$D$1001, 2, FALSE), "")</f>
        <v/>
      </c>
      <c r="Q392" s="190">
        <f>IFERROR(VLOOKUP(TRIM(O392), Collection!$B$2:$D$1001, 3, FALSE), "")</f>
        <v/>
      </c>
      <c r="R392" s="153">
        <f>IFERROR(VALUE(SUBSTITUTE(SUBSTITUTE(Q392, "Price", ""), "AED", "")), "")</f>
        <v/>
      </c>
      <c r="S392" s="151" t="n"/>
      <c r="T392" s="158" t="n"/>
      <c r="U392" s="136" t="n"/>
      <c r="V392" s="136" t="n"/>
      <c r="W392" s="156">
        <f>IF(Z392 = "",
"",
TEXT(Z392, "mmmm"))</f>
        <v/>
      </c>
      <c r="X392" s="157" t="n"/>
      <c r="Y392" s="158" t="n"/>
      <c r="Z392" s="158" t="n"/>
      <c r="AA392" s="136">
        <f>IF(H392="", "", IF(U392="Open Sale", IF(TODAY()-H392=0, "0 Days", TEXT(TODAY()-H392, "0") &amp; " Days"), IF(U392="Closed Sale", AA392, "")))</f>
        <v/>
      </c>
      <c r="AB392" s="136">
        <f>IF(H392="", "", IF(OR(U392="Pending", U392="Pending Allocation"), CONCATENATE(TODAY()-H392, " Days"), IF(U392="Closed", "", "")))</f>
        <v/>
      </c>
      <c r="AC392" s="160">
        <f>IF(U392="Pending Allocation", IF(I392="", "", TODAY()-I392), "")</f>
        <v/>
      </c>
      <c r="AD392" s="159">
        <f>IF(U392="Open Sale", TEXT(TODAY()-I392, "0"),
IF(U392="Pending", "",
IF(U392="Closed Sale", "", "")))</f>
        <v/>
      </c>
      <c r="AE392" s="161" t="n"/>
      <c r="AF392" s="161" t="n"/>
      <c r="AG392" s="161" t="n"/>
      <c r="AH392" s="136" t="n"/>
      <c r="AI392" s="164">
        <f>IF(I392="","",TEXT(I392, "mmmm yyyy"))</f>
        <v/>
      </c>
      <c r="AJ392" s="164">
        <f>IF(AND(OpenPendingCases[[#This Row],[Sale Status	]]="Open Sale",OpenPendingCases[[#This Row],[Potential Same Month]]="High"),TEXT(OpenPendingCases[[#This Row],[Request Entry Date]], "[$-en-us]mmmm"),"")</f>
        <v/>
      </c>
      <c r="AK392" s="165">
        <f>IFERROR(VALUE(SUBSTITUTE(OpenPendingCases[[#This Row],[Price]]," AED","")),"")</f>
        <v/>
      </c>
      <c r="AL392" s="165">
        <f>IFERROR(VALUE(LEFT(OpenPendingCases[[#This Row],[Price]],FIND(" ",OpenPendingCases[[#This Row],[Price]])-1)),"")</f>
        <v/>
      </c>
      <c r="AM392" s="165">
        <f>IFERROR(VALUE(_xlfn.TEXTBEFORE(OpenPendingCases[[#This Row],[Price]]," AED")),"")</f>
        <v/>
      </c>
      <c r="AN392" s="165" t="n"/>
    </row>
    <row r="393" hidden="1" ht="18" customHeight="1" s="287">
      <c r="C393" s="133" t="n"/>
      <c r="D393" s="136">
        <f>IF($U393="Open Sale", IF(MAX($D$4:D392)+1=0, "", MAX($D$4:D392)+1), "")</f>
        <v/>
      </c>
      <c r="E393" s="136">
        <f>IF($U393="Pending Allocation", IF(MAX($E$4:E392)+1=0, "", MAX($E$4:E392)+1), "")</f>
        <v/>
      </c>
      <c r="F393" s="136" t="n"/>
      <c r="G393" s="136" t="n"/>
      <c r="H393" s="150" t="n"/>
      <c r="I393" s="150" t="n"/>
      <c r="J393" s="67">
        <f>IF(OpenPendingCases[[#This Row],[Timepiece Reference ]]="", "", IF(_xlfn.XLOOKUP(OpenPendingCases[[#This Row],[Timepiece Reference ]], Table1[[Timepiece Reference ]], Table1[CRC STOCK], "Not Found")="YES", "CRC Stock", "Boutique Stock"))</f>
        <v/>
      </c>
      <c r="K393" s="136">
        <f>IF(OpenPendingCases[[#This Row],[Timepiece Reference ]]="", "", IF(_xlfn.XLOOKUP(OpenPendingCases[[#This Row],[Timepiece Reference ]], Table1[[Timepiece Reference ]], Table1[CRC STOCK], "Not Found")="YES", "CRC Stock", "Boutique Stock"))</f>
        <v/>
      </c>
      <c r="L393" s="142" t="n"/>
      <c r="M393" s="140" t="n"/>
      <c r="N393" s="136" t="n"/>
      <c r="O393" s="133" t="n"/>
      <c r="P393" s="93">
        <f>IFERROR(VLOOKUP(TRIM(O393), Collection!$B$2:$D$1001, 2, FALSE), "")</f>
        <v/>
      </c>
      <c r="Q393" s="190">
        <f>IFERROR(VLOOKUP(TRIM(O393), Collection!$B$2:$D$1001, 3, FALSE), "")</f>
        <v/>
      </c>
      <c r="R393" s="153">
        <f>IFERROR(VALUE(SUBSTITUTE(SUBSTITUTE(Q393, "Price", ""), "AED", "")), "")</f>
        <v/>
      </c>
      <c r="S393" s="151" t="n"/>
      <c r="T393" s="158" t="n"/>
      <c r="U393" s="136" t="n"/>
      <c r="V393" s="136" t="n"/>
      <c r="W393" s="156">
        <f>IF(Z393 = "",
"",
TEXT(Z393, "mmmm"))</f>
        <v/>
      </c>
      <c r="X393" s="157" t="n"/>
      <c r="Y393" s="158" t="n"/>
      <c r="Z393" s="158" t="n"/>
      <c r="AA393" s="136">
        <f>IF(H393="", "", IF(U393="Open Sale", IF(TODAY()-H393=0, "0 Days", TEXT(TODAY()-H393, "0") &amp; " Days"), IF(U393="Closed Sale", AA393, "")))</f>
        <v/>
      </c>
      <c r="AB393" s="136">
        <f>IF(H393="", "", IF(OR(U393="Pending", U393="Pending Allocation"), CONCATENATE(TODAY()-H393, " Days"), IF(U393="Closed", "", "")))</f>
        <v/>
      </c>
      <c r="AC393" s="160">
        <f>IF(U393="Pending Allocation", IF(I393="", "", TODAY()-I393), "")</f>
        <v/>
      </c>
      <c r="AD393" s="159">
        <f>IF(U393="Open Sale", TEXT(TODAY()-I393, "0"),
IF(U393="Pending", "",
IF(U393="Closed Sale", "", "")))</f>
        <v/>
      </c>
      <c r="AE393" s="161" t="n"/>
      <c r="AF393" s="161" t="n"/>
      <c r="AG393" s="161" t="n"/>
      <c r="AH393" s="136" t="n"/>
      <c r="AI393" s="164">
        <f>IF(I393="","",TEXT(I393, "mmmm yyyy"))</f>
        <v/>
      </c>
      <c r="AJ393" s="164">
        <f>IF(AND(OpenPendingCases[[#This Row],[Sale Status	]]="Open Sale",OpenPendingCases[[#This Row],[Potential Same Month]]="High"),TEXT(OpenPendingCases[[#This Row],[Request Entry Date]], "[$-en-us]mmmm"),"")</f>
        <v/>
      </c>
      <c r="AK393" s="165">
        <f>IFERROR(VALUE(SUBSTITUTE(OpenPendingCases[[#This Row],[Price]]," AED","")),"")</f>
        <v/>
      </c>
      <c r="AL393" s="165">
        <f>IFERROR(VALUE(LEFT(OpenPendingCases[[#This Row],[Price]],FIND(" ",OpenPendingCases[[#This Row],[Price]])-1)),"")</f>
        <v/>
      </c>
      <c r="AM393" s="165">
        <f>IFERROR(VALUE(_xlfn.TEXTBEFORE(OpenPendingCases[[#This Row],[Price]]," AED")),"")</f>
        <v/>
      </c>
      <c r="AN393" s="165" t="n"/>
    </row>
    <row r="394" hidden="1" ht="18" customHeight="1" s="287">
      <c r="C394" s="133" t="n"/>
      <c r="D394" s="136">
        <f>IF($U394="Open Sale", IF(MAX($D$4:D393)+1=0, "", MAX($D$4:D393)+1), "")</f>
        <v/>
      </c>
      <c r="E394" s="136">
        <f>IF($U394="Pending Allocation", IF(MAX($E$4:E393)+1=0, "", MAX($E$4:E393)+1), "")</f>
        <v/>
      </c>
      <c r="F394" s="136" t="n"/>
      <c r="G394" s="136" t="n"/>
      <c r="H394" s="150" t="n"/>
      <c r="I394" s="150" t="n"/>
      <c r="J394" s="67">
        <f>IF(OpenPendingCases[[#This Row],[Timepiece Reference ]]="", "", IF(_xlfn.XLOOKUP(OpenPendingCases[[#This Row],[Timepiece Reference ]], Table1[[Timepiece Reference ]], Table1[CRC STOCK], "Not Found")="YES", "CRC Stock", "Boutique Stock"))</f>
        <v/>
      </c>
      <c r="K394" s="136">
        <f>IF(OpenPendingCases[[#This Row],[Timepiece Reference ]]="", "", IF(_xlfn.XLOOKUP(OpenPendingCases[[#This Row],[Timepiece Reference ]], Table1[[Timepiece Reference ]], Table1[CRC STOCK], "Not Found")="YES", "CRC Stock", "Boutique Stock"))</f>
        <v/>
      </c>
      <c r="L394" s="142" t="n"/>
      <c r="M394" s="140" t="n"/>
      <c r="N394" s="136" t="n"/>
      <c r="O394" s="133" t="n"/>
      <c r="P394" s="93">
        <f>IFERROR(VLOOKUP(TRIM(O394), Collection!$B$2:$D$1001, 2, FALSE), "")</f>
        <v/>
      </c>
      <c r="Q394" s="190">
        <f>IFERROR(VLOOKUP(TRIM(O394), Collection!$B$2:$D$1001, 3, FALSE), "")</f>
        <v/>
      </c>
      <c r="R394" s="153">
        <f>IFERROR(VALUE(SUBSTITUTE(SUBSTITUTE(Q394, "Price", ""), "AED", "")), "")</f>
        <v/>
      </c>
      <c r="S394" s="151" t="n"/>
      <c r="T394" s="158" t="n"/>
      <c r="U394" s="136" t="n"/>
      <c r="V394" s="136" t="n"/>
      <c r="W394" s="156">
        <f>IF(Z394 = "",
"",
TEXT(Z394, "mmmm"))</f>
        <v/>
      </c>
      <c r="X394" s="157" t="n"/>
      <c r="Y394" s="158" t="n"/>
      <c r="Z394" s="158" t="n"/>
      <c r="AA394" s="136">
        <f>IF(H394="", "", IF(U394="Open Sale", IF(TODAY()-H394=0, "0 Days", TEXT(TODAY()-H394, "0") &amp; " Days"), IF(U394="Closed Sale", AA394, "")))</f>
        <v/>
      </c>
      <c r="AB394" s="136">
        <f>IF(H394="", "", IF(OR(U394="Pending", U394="Pending Allocation"), CONCATENATE(TODAY()-H394, " Days"), IF(U394="Closed", "", "")))</f>
        <v/>
      </c>
      <c r="AC394" s="160">
        <f>IF(U394="Pending Allocation", IF(I394="", "", TODAY()-I394), "")</f>
        <v/>
      </c>
      <c r="AD394" s="159">
        <f>IF(U394="Open Sale", TEXT(TODAY()-I394, "0"),
IF(U394="Pending", "",
IF(U394="Closed Sale", "", "")))</f>
        <v/>
      </c>
      <c r="AE394" s="161" t="n"/>
      <c r="AF394" s="161" t="n"/>
      <c r="AG394" s="161" t="n"/>
      <c r="AH394" s="136" t="n"/>
      <c r="AI394" s="164">
        <f>IF(I394="","",TEXT(I394, "mmmm yyyy"))</f>
        <v/>
      </c>
      <c r="AJ394" s="164">
        <f>IF(AND(OpenPendingCases[[#This Row],[Sale Status	]]="Open Sale",OpenPendingCases[[#This Row],[Potential Same Month]]="High"),TEXT(OpenPendingCases[[#This Row],[Request Entry Date]], "[$-en-us]mmmm"),"")</f>
        <v/>
      </c>
      <c r="AK394" s="165">
        <f>IFERROR(VALUE(SUBSTITUTE(OpenPendingCases[[#This Row],[Price]]," AED","")),"")</f>
        <v/>
      </c>
      <c r="AL394" s="165">
        <f>IFERROR(VALUE(LEFT(OpenPendingCases[[#This Row],[Price]],FIND(" ",OpenPendingCases[[#This Row],[Price]])-1)),"")</f>
        <v/>
      </c>
      <c r="AM394" s="165">
        <f>IFERROR(VALUE(_xlfn.TEXTBEFORE(OpenPendingCases[[#This Row],[Price]]," AED")),"")</f>
        <v/>
      </c>
      <c r="AN394" s="165" t="n"/>
    </row>
    <row r="395" hidden="1" ht="18" customHeight="1" s="287">
      <c r="C395" s="133" t="n"/>
      <c r="D395" s="136">
        <f>IF($U395="Open Sale", IF(MAX($D$4:D394)+1=0, "", MAX($D$4:D394)+1), "")</f>
        <v/>
      </c>
      <c r="E395" s="136">
        <f>IF($U395="Pending Allocation", IF(MAX($E$4:E394)+1=0, "", MAX($E$4:E394)+1), "")</f>
        <v/>
      </c>
      <c r="F395" s="136" t="n"/>
      <c r="G395" s="136" t="n"/>
      <c r="H395" s="150" t="n"/>
      <c r="I395" s="150" t="n"/>
      <c r="J395" s="67">
        <f>IF(OpenPendingCases[[#This Row],[Timepiece Reference ]]="", "", IF(_xlfn.XLOOKUP(OpenPendingCases[[#This Row],[Timepiece Reference ]], Table1[[Timepiece Reference ]], Table1[CRC STOCK], "Not Found")="YES", "CRC Stock", "Boutique Stock"))</f>
        <v/>
      </c>
      <c r="K395" s="136">
        <f>IF(OpenPendingCases[[#This Row],[Timepiece Reference ]]="", "", IF(_xlfn.XLOOKUP(OpenPendingCases[[#This Row],[Timepiece Reference ]], Table1[[Timepiece Reference ]], Table1[CRC STOCK], "Not Found")="YES", "CRC Stock", "Boutique Stock"))</f>
        <v/>
      </c>
      <c r="L395" s="142" t="n"/>
      <c r="M395" s="140" t="n"/>
      <c r="N395" s="136" t="n"/>
      <c r="O395" s="133" t="n"/>
      <c r="P395" s="93">
        <f>IFERROR(VLOOKUP(TRIM(O395), Collection!$B$2:$D$1001, 2, FALSE), "")</f>
        <v/>
      </c>
      <c r="Q395" s="190">
        <f>IFERROR(VLOOKUP(TRIM(O395), Collection!$B$2:$D$1001, 3, FALSE), "")</f>
        <v/>
      </c>
      <c r="R395" s="153">
        <f>IFERROR(VALUE(SUBSTITUTE(SUBSTITUTE(Q395, "Price", ""), "AED", "")), "")</f>
        <v/>
      </c>
      <c r="S395" s="151" t="n"/>
      <c r="T395" s="158" t="n"/>
      <c r="U395" s="136" t="n"/>
      <c r="V395" s="136" t="n"/>
      <c r="W395" s="156">
        <f>IF(Z395 = "",
"",
TEXT(Z395, "mmmm"))</f>
        <v/>
      </c>
      <c r="X395" s="157" t="n"/>
      <c r="Y395" s="158" t="n"/>
      <c r="Z395" s="158" t="n"/>
      <c r="AA395" s="136">
        <f>IF(H395="", "", IF(U395="Open Sale", IF(TODAY()-H395=0, "0 Days", TEXT(TODAY()-H395, "0") &amp; " Days"), IF(U395="Closed Sale", AA395, "")))</f>
        <v/>
      </c>
      <c r="AB395" s="136">
        <f>IF(H395="", "", IF(OR(U395="Pending", U395="Pending Allocation"), CONCATENATE(TODAY()-H395, " Days"), IF(U395="Closed", "", "")))</f>
        <v/>
      </c>
      <c r="AC395" s="160">
        <f>IF(U395="Pending Allocation", IF(I395="", "", TODAY()-I395), "")</f>
        <v/>
      </c>
      <c r="AD395" s="159">
        <f>IF(U395="Open Sale", TEXT(TODAY()-I395, "0"),
IF(U395="Pending", "",
IF(U395="Closed Sale", "", "")))</f>
        <v/>
      </c>
      <c r="AE395" s="161" t="n"/>
      <c r="AF395" s="161" t="n"/>
      <c r="AG395" s="161" t="n"/>
      <c r="AH395" s="136" t="n"/>
      <c r="AI395" s="164">
        <f>IF(I395="","",TEXT(I395, "mmmm yyyy"))</f>
        <v/>
      </c>
      <c r="AJ395" s="164">
        <f>IF(AND(OpenPendingCases[[#This Row],[Sale Status	]]="Open Sale",OpenPendingCases[[#This Row],[Potential Same Month]]="High"),TEXT(OpenPendingCases[[#This Row],[Request Entry Date]], "[$-en-us]mmmm"),"")</f>
        <v/>
      </c>
      <c r="AK395" s="165">
        <f>IFERROR(VALUE(SUBSTITUTE(OpenPendingCases[[#This Row],[Price]]," AED","")),"")</f>
        <v/>
      </c>
      <c r="AL395" s="165">
        <f>IFERROR(VALUE(LEFT(OpenPendingCases[[#This Row],[Price]],FIND(" ",OpenPendingCases[[#This Row],[Price]])-1)),"")</f>
        <v/>
      </c>
      <c r="AM395" s="165">
        <f>IFERROR(VALUE(_xlfn.TEXTBEFORE(OpenPendingCases[[#This Row],[Price]]," AED")),"")</f>
        <v/>
      </c>
      <c r="AN395" s="165" t="n"/>
    </row>
    <row r="396" hidden="1" ht="18" customHeight="1" s="287">
      <c r="C396" s="133" t="n"/>
      <c r="D396" s="136">
        <f>IF($U396="Open Sale", IF(MAX($D$4:D395)+1=0, "", MAX($D$4:D395)+1), "")</f>
        <v/>
      </c>
      <c r="E396" s="136">
        <f>IF($U396="Pending Allocation", IF(MAX($E$4:E395)+1=0, "", MAX($E$4:E395)+1), "")</f>
        <v/>
      </c>
      <c r="F396" s="136" t="n"/>
      <c r="G396" s="136" t="n"/>
      <c r="H396" s="150" t="n"/>
      <c r="I396" s="150" t="n"/>
      <c r="J396" s="67">
        <f>IF(OpenPendingCases[[#This Row],[Timepiece Reference ]]="", "", IF(_xlfn.XLOOKUP(OpenPendingCases[[#This Row],[Timepiece Reference ]], Table1[[Timepiece Reference ]], Table1[CRC STOCK], "Not Found")="YES", "CRC Stock", "Boutique Stock"))</f>
        <v/>
      </c>
      <c r="K396" s="136">
        <f>IF(OpenPendingCases[[#This Row],[Timepiece Reference ]]="", "", IF(_xlfn.XLOOKUP(OpenPendingCases[[#This Row],[Timepiece Reference ]], Table1[[Timepiece Reference ]], Table1[CRC STOCK], "Not Found")="YES", "CRC Stock", "Boutique Stock"))</f>
        <v/>
      </c>
      <c r="L396" s="142" t="n"/>
      <c r="M396" s="140" t="n"/>
      <c r="N396" s="136" t="n"/>
      <c r="O396" s="133" t="n"/>
      <c r="P396" s="93">
        <f>IFERROR(VLOOKUP(TRIM(O396), Collection!$B$2:$D$1001, 2, FALSE), "")</f>
        <v/>
      </c>
      <c r="Q396" s="190">
        <f>IFERROR(VLOOKUP(TRIM(O396), Collection!$B$2:$D$1001, 3, FALSE), "")</f>
        <v/>
      </c>
      <c r="R396" s="153">
        <f>IFERROR(VALUE(SUBSTITUTE(SUBSTITUTE(Q396, "Price", ""), "AED", "")), "")</f>
        <v/>
      </c>
      <c r="S396" s="151" t="n"/>
      <c r="T396" s="158" t="n"/>
      <c r="U396" s="136" t="n"/>
      <c r="V396" s="136" t="n"/>
      <c r="W396" s="156">
        <f>IF(Z396 = "",
"",
TEXT(Z396, "mmmm"))</f>
        <v/>
      </c>
      <c r="X396" s="157" t="n"/>
      <c r="Y396" s="158" t="n"/>
      <c r="Z396" s="158" t="n"/>
      <c r="AA396" s="136">
        <f>IF(H396="", "", IF(U396="Open Sale", IF(TODAY()-H396=0, "0 Days", TEXT(TODAY()-H396, "0") &amp; " Days"), IF(U396="Closed Sale", AA396, "")))</f>
        <v/>
      </c>
      <c r="AB396" s="136">
        <f>IF(H396="", "", IF(OR(U396="Pending", U396="Pending Allocation"), CONCATENATE(TODAY()-H396, " Days"), IF(U396="Closed", "", "")))</f>
        <v/>
      </c>
      <c r="AC396" s="160">
        <f>IF(U396="Pending Allocation", IF(I396="", "", TODAY()-I396), "")</f>
        <v/>
      </c>
      <c r="AD396" s="159">
        <f>IF(U396="Open Sale", TEXT(TODAY()-I396, "0"),
IF(U396="Pending", "",
IF(U396="Closed Sale", "", "")))</f>
        <v/>
      </c>
      <c r="AE396" s="161" t="n"/>
      <c r="AF396" s="161" t="n"/>
      <c r="AG396" s="161" t="n"/>
      <c r="AH396" s="136" t="n"/>
      <c r="AI396" s="164">
        <f>IF(I396="","",TEXT(I396, "mmmm yyyy"))</f>
        <v/>
      </c>
      <c r="AJ396" s="164">
        <f>IF(AND(OpenPendingCases[[#This Row],[Sale Status	]]="Open Sale",OpenPendingCases[[#This Row],[Potential Same Month]]="High"),TEXT(OpenPendingCases[[#This Row],[Request Entry Date]], "[$-en-us]mmmm"),"")</f>
        <v/>
      </c>
      <c r="AK396" s="165">
        <f>IFERROR(VALUE(SUBSTITUTE(OpenPendingCases[[#This Row],[Price]]," AED","")),"")</f>
        <v/>
      </c>
      <c r="AL396" s="165">
        <f>IFERROR(VALUE(LEFT(OpenPendingCases[[#This Row],[Price]],FIND(" ",OpenPendingCases[[#This Row],[Price]])-1)),"")</f>
        <v/>
      </c>
      <c r="AM396" s="165">
        <f>IFERROR(VALUE(_xlfn.TEXTBEFORE(OpenPendingCases[[#This Row],[Price]]," AED")),"")</f>
        <v/>
      </c>
      <c r="AN396" s="165" t="n"/>
    </row>
    <row r="397" hidden="1" ht="18" customHeight="1" s="287">
      <c r="C397" s="133" t="n"/>
      <c r="D397" s="136">
        <f>IF($U397="Open Sale", IF(MAX($D$4:D396)+1=0, "", MAX($D$4:D396)+1), "")</f>
        <v/>
      </c>
      <c r="E397" s="136">
        <f>IF($U397="Pending Allocation", IF(MAX($E$4:E396)+1=0, "", MAX($E$4:E396)+1), "")</f>
        <v/>
      </c>
      <c r="F397" s="136" t="n"/>
      <c r="G397" s="136" t="n"/>
      <c r="H397" s="150" t="n"/>
      <c r="I397" s="150" t="n"/>
      <c r="J397" s="67">
        <f>IF(OpenPendingCases[[#This Row],[Timepiece Reference ]]="", "", IF(_xlfn.XLOOKUP(OpenPendingCases[[#This Row],[Timepiece Reference ]], Table1[[Timepiece Reference ]], Table1[CRC STOCK], "Not Found")="YES", "CRC Stock", "Boutique Stock"))</f>
        <v/>
      </c>
      <c r="K397" s="136">
        <f>IF(OpenPendingCases[[#This Row],[Timepiece Reference ]]="", "", IF(_xlfn.XLOOKUP(OpenPendingCases[[#This Row],[Timepiece Reference ]], Table1[[Timepiece Reference ]], Table1[CRC STOCK], "Not Found")="YES", "CRC Stock", "Boutique Stock"))</f>
        <v/>
      </c>
      <c r="L397" s="142" t="n"/>
      <c r="M397" s="140" t="n"/>
      <c r="N397" s="136" t="n"/>
      <c r="O397" s="133" t="n"/>
      <c r="P397" s="93">
        <f>IFERROR(VLOOKUP(TRIM(O397), Collection!$B$2:$D$1001, 2, FALSE), "")</f>
        <v/>
      </c>
      <c r="Q397" s="190">
        <f>IFERROR(VLOOKUP(TRIM(O397), Collection!$B$2:$D$1001, 3, FALSE), "")</f>
        <v/>
      </c>
      <c r="R397" s="153">
        <f>IFERROR(VALUE(SUBSTITUTE(SUBSTITUTE(Q397, "Price", ""), "AED", "")), "")</f>
        <v/>
      </c>
      <c r="S397" s="151" t="n"/>
      <c r="T397" s="158" t="n"/>
      <c r="U397" s="136" t="n"/>
      <c r="V397" s="136" t="n"/>
      <c r="W397" s="156">
        <f>IF(Z397 = "",
"",
TEXT(Z397, "mmmm"))</f>
        <v/>
      </c>
      <c r="X397" s="157" t="n"/>
      <c r="Y397" s="158" t="n"/>
      <c r="Z397" s="158" t="n"/>
      <c r="AA397" s="136">
        <f>IF(H397="", "", IF(U397="Open Sale", IF(TODAY()-H397=0, "0 Days", TEXT(TODAY()-H397, "0") &amp; " Days"), IF(U397="Closed Sale", AA397, "")))</f>
        <v/>
      </c>
      <c r="AB397" s="136">
        <f>IF(H397="", "", IF(OR(U397="Pending", U397="Pending Allocation"), CONCATENATE(TODAY()-H397, " Days"), IF(U397="Closed", "", "")))</f>
        <v/>
      </c>
      <c r="AC397" s="160">
        <f>IF(U397="Pending Allocation", IF(I397="", "", TODAY()-I397), "")</f>
        <v/>
      </c>
      <c r="AD397" s="159">
        <f>IF(U397="Open Sale", TEXT(TODAY()-I397, "0"),
IF(U397="Pending", "",
IF(U397="Closed Sale", "", "")))</f>
        <v/>
      </c>
      <c r="AE397" s="161" t="n"/>
      <c r="AF397" s="161" t="n"/>
      <c r="AG397" s="161" t="n"/>
      <c r="AH397" s="136" t="n"/>
      <c r="AI397" s="164">
        <f>IF(I397="","",TEXT(I397, "mmmm yyyy"))</f>
        <v/>
      </c>
      <c r="AJ397" s="164">
        <f>IF(AND(OpenPendingCases[[#This Row],[Sale Status	]]="Open Sale",OpenPendingCases[[#This Row],[Potential Same Month]]="High"),TEXT(OpenPendingCases[[#This Row],[Request Entry Date]], "[$-en-us]mmmm"),"")</f>
        <v/>
      </c>
      <c r="AK397" s="165">
        <f>IFERROR(VALUE(SUBSTITUTE(OpenPendingCases[[#This Row],[Price]]," AED","")),"")</f>
        <v/>
      </c>
      <c r="AL397" s="165">
        <f>IFERROR(VALUE(LEFT(OpenPendingCases[[#This Row],[Price]],FIND(" ",OpenPendingCases[[#This Row],[Price]])-1)),"")</f>
        <v/>
      </c>
      <c r="AM397" s="165">
        <f>IFERROR(VALUE(_xlfn.TEXTBEFORE(OpenPendingCases[[#This Row],[Price]]," AED")),"")</f>
        <v/>
      </c>
      <c r="AN397" s="165" t="n"/>
    </row>
    <row r="398" hidden="1" ht="18" customHeight="1" s="287">
      <c r="C398" s="133" t="n"/>
      <c r="D398" s="136">
        <f>IF($U398="Open Sale", IF(MAX($D$4:D397)+1=0, "", MAX($D$4:D397)+1), "")</f>
        <v/>
      </c>
      <c r="E398" s="136">
        <f>IF($U398="Pending Allocation", IF(MAX($E$4:E397)+1=0, "", MAX($E$4:E397)+1), "")</f>
        <v/>
      </c>
      <c r="F398" s="136" t="n"/>
      <c r="G398" s="136" t="n"/>
      <c r="H398" s="150" t="n"/>
      <c r="I398" s="150" t="n"/>
      <c r="J398" s="67">
        <f>IF(OpenPendingCases[[#This Row],[Timepiece Reference ]]="", "", IF(_xlfn.XLOOKUP(OpenPendingCases[[#This Row],[Timepiece Reference ]], Table1[[Timepiece Reference ]], Table1[CRC STOCK], "Not Found")="YES", "CRC Stock", "Boutique Stock"))</f>
        <v/>
      </c>
      <c r="K398" s="136">
        <f>IF(OpenPendingCases[[#This Row],[Timepiece Reference ]]="", "", IF(_xlfn.XLOOKUP(OpenPendingCases[[#This Row],[Timepiece Reference ]], Table1[[Timepiece Reference ]], Table1[CRC STOCK], "Not Found")="YES", "CRC Stock", "Boutique Stock"))</f>
        <v/>
      </c>
      <c r="L398" s="142" t="n"/>
      <c r="M398" s="140" t="n"/>
      <c r="N398" s="136" t="n"/>
      <c r="O398" s="133" t="n"/>
      <c r="P398" s="93">
        <f>IFERROR(VLOOKUP(TRIM(O398), Collection!$B$2:$D$1001, 2, FALSE), "")</f>
        <v/>
      </c>
      <c r="Q398" s="190">
        <f>IFERROR(VLOOKUP(TRIM(O398), Collection!$B$2:$D$1001, 3, FALSE), "")</f>
        <v/>
      </c>
      <c r="R398" s="153">
        <f>IFERROR(VALUE(SUBSTITUTE(SUBSTITUTE(Q398, "Price", ""), "AED", "")), "")</f>
        <v/>
      </c>
      <c r="S398" s="151" t="n"/>
      <c r="T398" s="158" t="n"/>
      <c r="U398" s="136" t="n"/>
      <c r="V398" s="136" t="n"/>
      <c r="W398" s="156">
        <f>IF(Z398 = "",
"",
TEXT(Z398, "mmmm"))</f>
        <v/>
      </c>
      <c r="X398" s="157" t="n"/>
      <c r="Y398" s="158" t="n"/>
      <c r="Z398" s="158" t="n"/>
      <c r="AA398" s="136">
        <f>IF(H398="", "", IF(U398="Open Sale", IF(TODAY()-H398=0, "0 Days", TEXT(TODAY()-H398, "0") &amp; " Days"), IF(U398="Closed Sale", AA398, "")))</f>
        <v/>
      </c>
      <c r="AB398" s="136">
        <f>IF(H398="", "", IF(OR(U398="Pending", U398="Pending Allocation"), CONCATENATE(TODAY()-H398, " Days"), IF(U398="Closed", "", "")))</f>
        <v/>
      </c>
      <c r="AC398" s="160">
        <f>IF(U398="Pending Allocation", IF(I398="", "", TODAY()-I398), "")</f>
        <v/>
      </c>
      <c r="AD398" s="159">
        <f>IF(U398="Open Sale", TEXT(TODAY()-I398, "0"),
IF(U398="Pending", "",
IF(U398="Closed Sale", "", "")))</f>
        <v/>
      </c>
      <c r="AE398" s="161" t="n"/>
      <c r="AF398" s="161" t="n"/>
      <c r="AG398" s="161" t="n"/>
      <c r="AH398" s="136" t="n"/>
      <c r="AI398" s="164">
        <f>IF(I398="","",TEXT(I398, "mmmm yyyy"))</f>
        <v/>
      </c>
      <c r="AJ398" s="164">
        <f>IF(AND(OpenPendingCases[[#This Row],[Sale Status	]]="Open Sale",OpenPendingCases[[#This Row],[Potential Same Month]]="High"),TEXT(OpenPendingCases[[#This Row],[Request Entry Date]], "[$-en-us]mmmm"),"")</f>
        <v/>
      </c>
      <c r="AK398" s="165">
        <f>IFERROR(VALUE(SUBSTITUTE(OpenPendingCases[[#This Row],[Price]]," AED","")),"")</f>
        <v/>
      </c>
      <c r="AL398" s="165">
        <f>IFERROR(VALUE(LEFT(OpenPendingCases[[#This Row],[Price]],FIND(" ",OpenPendingCases[[#This Row],[Price]])-1)),"")</f>
        <v/>
      </c>
      <c r="AM398" s="165">
        <f>IFERROR(VALUE(_xlfn.TEXTBEFORE(OpenPendingCases[[#This Row],[Price]]," AED")),"")</f>
        <v/>
      </c>
      <c r="AN398" s="165" t="n"/>
    </row>
    <row r="399" hidden="1" ht="18" customHeight="1" s="287">
      <c r="C399" s="133" t="n"/>
      <c r="D399" s="136">
        <f>IF($U399="Open Sale", IF(MAX($D$4:D398)+1=0, "", MAX($D$4:D398)+1), "")</f>
        <v/>
      </c>
      <c r="E399" s="136">
        <f>IF($U399="Pending Allocation", IF(MAX($E$4:E398)+1=0, "", MAX($E$4:E398)+1), "")</f>
        <v/>
      </c>
      <c r="F399" s="136" t="n"/>
      <c r="G399" s="136" t="n"/>
      <c r="H399" s="150" t="n"/>
      <c r="I399" s="150" t="n"/>
      <c r="J399" s="67">
        <f>IF(OpenPendingCases[[#This Row],[Timepiece Reference ]]="", "", IF(_xlfn.XLOOKUP(OpenPendingCases[[#This Row],[Timepiece Reference ]], Table1[[Timepiece Reference ]], Table1[CRC STOCK], "Not Found")="YES", "CRC Stock", "Boutique Stock"))</f>
        <v/>
      </c>
      <c r="K399" s="136">
        <f>IF(OpenPendingCases[[#This Row],[Timepiece Reference ]]="", "", IF(_xlfn.XLOOKUP(OpenPendingCases[[#This Row],[Timepiece Reference ]], Table1[[Timepiece Reference ]], Table1[CRC STOCK], "Not Found")="YES", "CRC Stock", "Boutique Stock"))</f>
        <v/>
      </c>
      <c r="L399" s="142" t="n"/>
      <c r="M399" s="140" t="n"/>
      <c r="N399" s="136" t="n"/>
      <c r="O399" s="133" t="n"/>
      <c r="P399" s="93">
        <f>IFERROR(VLOOKUP(TRIM(O399), Collection!$B$2:$D$1001, 2, FALSE), "")</f>
        <v/>
      </c>
      <c r="Q399" s="190">
        <f>IFERROR(VLOOKUP(TRIM(O399), Collection!$B$2:$D$1001, 3, FALSE), "")</f>
        <v/>
      </c>
      <c r="R399" s="153">
        <f>IFERROR(VALUE(SUBSTITUTE(SUBSTITUTE(Q399, "Price", ""), "AED", "")), "")</f>
        <v/>
      </c>
      <c r="S399" s="151" t="n"/>
      <c r="T399" s="158" t="n"/>
      <c r="U399" s="136" t="n"/>
      <c r="V399" s="136" t="n"/>
      <c r="W399" s="156">
        <f>IF(Z399 = "",
"",
TEXT(Z399, "mmmm"))</f>
        <v/>
      </c>
      <c r="X399" s="157" t="n"/>
      <c r="Y399" s="158" t="n"/>
      <c r="Z399" s="158" t="n"/>
      <c r="AA399" s="136">
        <f>IF(H399="", "", IF(U399="Open Sale", IF(TODAY()-H399=0, "0 Days", TEXT(TODAY()-H399, "0") &amp; " Days"), IF(U399="Closed Sale", AA399, "")))</f>
        <v/>
      </c>
      <c r="AB399" s="136">
        <f>IF(H399="", "", IF(OR(U399="Pending", U399="Pending Allocation"), CONCATENATE(TODAY()-H399, " Days"), IF(U399="Closed", "", "")))</f>
        <v/>
      </c>
      <c r="AC399" s="160">
        <f>IF(U399="Pending Allocation", IF(I399="", "", TODAY()-I399), "")</f>
        <v/>
      </c>
      <c r="AD399" s="159">
        <f>IF(U399="Open Sale", TEXT(TODAY()-I399, "0"),
IF(U399="Pending", "",
IF(U399="Closed Sale", "", "")))</f>
        <v/>
      </c>
      <c r="AE399" s="161" t="n"/>
      <c r="AF399" s="161" t="n"/>
      <c r="AG399" s="161" t="n"/>
      <c r="AH399" s="136" t="n"/>
      <c r="AI399" s="164">
        <f>IF(I399="","",TEXT(I399, "mmmm yyyy"))</f>
        <v/>
      </c>
      <c r="AJ399" s="164">
        <f>IF(AND(OpenPendingCases[[#This Row],[Sale Status	]]="Open Sale",OpenPendingCases[[#This Row],[Potential Same Month]]="High"),TEXT(OpenPendingCases[[#This Row],[Request Entry Date]], "[$-en-us]mmmm"),"")</f>
        <v/>
      </c>
      <c r="AK399" s="165">
        <f>IFERROR(VALUE(SUBSTITUTE(OpenPendingCases[[#This Row],[Price]]," AED","")),"")</f>
        <v/>
      </c>
      <c r="AL399" s="165">
        <f>IFERROR(VALUE(LEFT(OpenPendingCases[[#This Row],[Price]],FIND(" ",OpenPendingCases[[#This Row],[Price]])-1)),"")</f>
        <v/>
      </c>
      <c r="AM399" s="165">
        <f>IFERROR(VALUE(_xlfn.TEXTBEFORE(OpenPendingCases[[#This Row],[Price]]," AED")),"")</f>
        <v/>
      </c>
      <c r="AN399" s="165" t="n"/>
    </row>
    <row r="400" hidden="1" ht="18" customHeight="1" s="287">
      <c r="C400" s="133" t="n"/>
      <c r="D400" s="136">
        <f>IF($U400="Open Sale", IF(MAX($D$4:D399)+1=0, "", MAX($D$4:D399)+1), "")</f>
        <v/>
      </c>
      <c r="E400" s="136">
        <f>IF($U400="Pending Allocation", IF(MAX($E$4:E399)+1=0, "", MAX($E$4:E399)+1), "")</f>
        <v/>
      </c>
      <c r="F400" s="136" t="n"/>
      <c r="G400" s="136" t="n"/>
      <c r="H400" s="150" t="n"/>
      <c r="I400" s="150" t="n"/>
      <c r="J400" s="67">
        <f>IF(OpenPendingCases[[#This Row],[Timepiece Reference ]]="", "", IF(_xlfn.XLOOKUP(OpenPendingCases[[#This Row],[Timepiece Reference ]], Table1[[Timepiece Reference ]], Table1[CRC STOCK], "Not Found")="YES", "CRC Stock", "Boutique Stock"))</f>
        <v/>
      </c>
      <c r="K400" s="136">
        <f>IF(OpenPendingCases[[#This Row],[Timepiece Reference ]]="", "", IF(_xlfn.XLOOKUP(OpenPendingCases[[#This Row],[Timepiece Reference ]], Table1[[Timepiece Reference ]], Table1[CRC STOCK], "Not Found")="YES", "CRC Stock", "Boutique Stock"))</f>
        <v/>
      </c>
      <c r="L400" s="142" t="n"/>
      <c r="M400" s="140" t="n"/>
      <c r="N400" s="136" t="n"/>
      <c r="O400" s="133" t="n"/>
      <c r="P400" s="93">
        <f>IFERROR(VLOOKUP(TRIM(O400), Collection!$B$2:$D$1001, 2, FALSE), "")</f>
        <v/>
      </c>
      <c r="Q400" s="190">
        <f>IFERROR(VLOOKUP(TRIM(O400), Collection!$B$2:$D$1001, 3, FALSE), "")</f>
        <v/>
      </c>
      <c r="R400" s="153">
        <f>IFERROR(VALUE(SUBSTITUTE(SUBSTITUTE(Q400, "Price", ""), "AED", "")), "")</f>
        <v/>
      </c>
      <c r="S400" s="151" t="n"/>
      <c r="T400" s="158" t="n"/>
      <c r="U400" s="136" t="n"/>
      <c r="V400" s="136" t="n"/>
      <c r="W400" s="156">
        <f>IF(Z400 = "",
"",
TEXT(Z400, "mmmm"))</f>
        <v/>
      </c>
      <c r="X400" s="157" t="n"/>
      <c r="Y400" s="158" t="n"/>
      <c r="Z400" s="158" t="n"/>
      <c r="AA400" s="136">
        <f>IF(H400="", "", IF(U400="Open Sale", IF(TODAY()-H400=0, "0 Days", TEXT(TODAY()-H400, "0") &amp; " Days"), IF(U400="Closed Sale", AA400, "")))</f>
        <v/>
      </c>
      <c r="AB400" s="136">
        <f>IF(H400="", "", IF(OR(U400="Pending", U400="Pending Allocation"), CONCATENATE(TODAY()-H400, " Days"), IF(U400="Closed", "", "")))</f>
        <v/>
      </c>
      <c r="AC400" s="160">
        <f>IF(U400="Pending Allocation", IF(I400="", "", TODAY()-I400), "")</f>
        <v/>
      </c>
      <c r="AD400" s="159">
        <f>IF(U400="Open Sale", TEXT(TODAY()-I400, "0"),
IF(U400="Pending", "",
IF(U400="Closed Sale", "", "")))</f>
        <v/>
      </c>
      <c r="AE400" s="161" t="n"/>
      <c r="AF400" s="161" t="n"/>
      <c r="AG400" s="161" t="n"/>
      <c r="AH400" s="136" t="n"/>
      <c r="AI400" s="164">
        <f>IF(I400="","",TEXT(I400, "mmmm yyyy"))</f>
        <v/>
      </c>
      <c r="AJ400" s="164">
        <f>IF(AND(OpenPendingCases[[#This Row],[Sale Status	]]="Open Sale",OpenPendingCases[[#This Row],[Potential Same Month]]="High"),TEXT(OpenPendingCases[[#This Row],[Request Entry Date]], "[$-en-us]mmmm"),"")</f>
        <v/>
      </c>
      <c r="AK400" s="165">
        <f>IFERROR(VALUE(SUBSTITUTE(OpenPendingCases[[#This Row],[Price]]," AED","")),"")</f>
        <v/>
      </c>
      <c r="AL400" s="165">
        <f>IFERROR(VALUE(LEFT(OpenPendingCases[[#This Row],[Price]],FIND(" ",OpenPendingCases[[#This Row],[Price]])-1)),"")</f>
        <v/>
      </c>
      <c r="AM400" s="165">
        <f>IFERROR(VALUE(_xlfn.TEXTBEFORE(OpenPendingCases[[#This Row],[Price]]," AED")),"")</f>
        <v/>
      </c>
      <c r="AN400" s="165" t="n"/>
    </row>
    <row r="401" hidden="1" ht="18" customHeight="1" s="287">
      <c r="C401" s="133" t="n"/>
      <c r="D401" s="136">
        <f>IF($U401="Open Sale", IF(MAX($D$4:D400)+1=0, "", MAX($D$4:D400)+1), "")</f>
        <v/>
      </c>
      <c r="E401" s="136">
        <f>IF($U401="Pending Allocation", IF(MAX($E$4:E400)+1=0, "", MAX($E$4:E400)+1), "")</f>
        <v/>
      </c>
      <c r="F401" s="136" t="n"/>
      <c r="G401" s="136" t="n"/>
      <c r="H401" s="150" t="n"/>
      <c r="I401" s="150" t="n"/>
      <c r="J401" s="67">
        <f>IF(OpenPendingCases[[#This Row],[Timepiece Reference ]]="", "", IF(_xlfn.XLOOKUP(OpenPendingCases[[#This Row],[Timepiece Reference ]], Table1[[Timepiece Reference ]], Table1[CRC STOCK], "Not Found")="YES", "CRC Stock", "Boutique Stock"))</f>
        <v/>
      </c>
      <c r="K401" s="136">
        <f>IF(OpenPendingCases[[#This Row],[Timepiece Reference ]]="", "", IF(_xlfn.XLOOKUP(OpenPendingCases[[#This Row],[Timepiece Reference ]], Table1[[Timepiece Reference ]], Table1[CRC STOCK], "Not Found")="YES", "CRC Stock", "Boutique Stock"))</f>
        <v/>
      </c>
      <c r="L401" s="142" t="n"/>
      <c r="M401" s="140" t="n"/>
      <c r="N401" s="136" t="n"/>
      <c r="O401" s="133" t="n"/>
      <c r="P401" s="93">
        <f>IFERROR(VLOOKUP(TRIM(O401), Collection!$B$2:$D$1001, 2, FALSE), "")</f>
        <v/>
      </c>
      <c r="Q401" s="190">
        <f>IFERROR(VLOOKUP(TRIM(O401), Collection!$B$2:$D$1001, 3, FALSE), "")</f>
        <v/>
      </c>
      <c r="R401" s="153">
        <f>IFERROR(VALUE(SUBSTITUTE(SUBSTITUTE(Q401, "Price", ""), "AED", "")), "")</f>
        <v/>
      </c>
      <c r="S401" s="151" t="n"/>
      <c r="T401" s="158" t="n"/>
      <c r="U401" s="136" t="n"/>
      <c r="V401" s="136" t="n"/>
      <c r="W401" s="156">
        <f>IF(Z401 = "",
"",
TEXT(Z401, "mmmm"))</f>
        <v/>
      </c>
      <c r="X401" s="157" t="n"/>
      <c r="Y401" s="158" t="n"/>
      <c r="Z401" s="158" t="n"/>
      <c r="AA401" s="136">
        <f>IF(H401="", "", IF(U401="Open Sale", IF(TODAY()-H401=0, "0 Days", TEXT(TODAY()-H401, "0") &amp; " Days"), IF(U401="Closed Sale", AA401, "")))</f>
        <v/>
      </c>
      <c r="AB401" s="136">
        <f>IF(H401="", "", IF(OR(U401="Pending", U401="Pending Allocation"), CONCATENATE(TODAY()-H401, " Days"), IF(U401="Closed", "", "")))</f>
        <v/>
      </c>
      <c r="AC401" s="160">
        <f>IF(U401="Pending Allocation", IF(I401="", "", TODAY()-I401), "")</f>
        <v/>
      </c>
      <c r="AD401" s="159">
        <f>IF(U401="Open Sale", TEXT(TODAY()-I401, "0"),
IF(U401="Pending", "",
IF(U401="Closed Sale", "", "")))</f>
        <v/>
      </c>
      <c r="AE401" s="161" t="n"/>
      <c r="AF401" s="161" t="n"/>
      <c r="AG401" s="161" t="n"/>
      <c r="AH401" s="136" t="n"/>
      <c r="AI401" s="164">
        <f>IF(I401="","",TEXT(I401, "mmmm yyyy"))</f>
        <v/>
      </c>
      <c r="AJ401" s="164">
        <f>IF(AND(OpenPendingCases[[#This Row],[Sale Status	]]="Open Sale",OpenPendingCases[[#This Row],[Potential Same Month]]="High"),TEXT(OpenPendingCases[[#This Row],[Request Entry Date]], "[$-en-us]mmmm"),"")</f>
        <v/>
      </c>
      <c r="AK401" s="165">
        <f>IFERROR(VALUE(SUBSTITUTE(OpenPendingCases[[#This Row],[Price]]," AED","")),"")</f>
        <v/>
      </c>
      <c r="AL401" s="165">
        <f>IFERROR(VALUE(LEFT(OpenPendingCases[[#This Row],[Price]],FIND(" ",OpenPendingCases[[#This Row],[Price]])-1)),"")</f>
        <v/>
      </c>
      <c r="AM401" s="165">
        <f>IFERROR(VALUE(_xlfn.TEXTBEFORE(OpenPendingCases[[#This Row],[Price]]," AED")),"")</f>
        <v/>
      </c>
      <c r="AN401" s="165" t="n"/>
    </row>
    <row r="402" hidden="1" ht="18" customHeight="1" s="287">
      <c r="C402" s="133" t="n"/>
      <c r="D402" s="136">
        <f>IF($U402="Open Sale", IF(MAX($D$4:D401)+1=0, "", MAX($D$4:D401)+1), "")</f>
        <v/>
      </c>
      <c r="E402" s="136">
        <f>IF($U402="Pending Allocation", IF(MAX($E$4:E401)+1=0, "", MAX($E$4:E401)+1), "")</f>
        <v/>
      </c>
      <c r="F402" s="136" t="n"/>
      <c r="G402" s="136" t="n"/>
      <c r="H402" s="150" t="n"/>
      <c r="I402" s="150" t="n"/>
      <c r="J402" s="67">
        <f>IF(OpenPendingCases[[#This Row],[Timepiece Reference ]]="", "", IF(_xlfn.XLOOKUP(OpenPendingCases[[#This Row],[Timepiece Reference ]], Table1[[Timepiece Reference ]], Table1[CRC STOCK], "Not Found")="YES", "CRC Stock", "Boutique Stock"))</f>
        <v/>
      </c>
      <c r="K402" s="136">
        <f>IF(OpenPendingCases[[#This Row],[Timepiece Reference ]]="", "", IF(_xlfn.XLOOKUP(OpenPendingCases[[#This Row],[Timepiece Reference ]], Table1[[Timepiece Reference ]], Table1[CRC STOCK], "Not Found")="YES", "CRC Stock", "Boutique Stock"))</f>
        <v/>
      </c>
      <c r="L402" s="142" t="n"/>
      <c r="M402" s="140" t="n"/>
      <c r="N402" s="136" t="n"/>
      <c r="O402" s="133" t="n"/>
      <c r="P402" s="93">
        <f>IFERROR(VLOOKUP(TRIM(O402), Collection!$B$2:$D$1001, 2, FALSE), "")</f>
        <v/>
      </c>
      <c r="Q402" s="190">
        <f>IFERROR(VLOOKUP(TRIM(O402), Collection!$B$2:$D$1001, 3, FALSE), "")</f>
        <v/>
      </c>
      <c r="R402" s="153">
        <f>IFERROR(VALUE(SUBSTITUTE(SUBSTITUTE(Q402, "Price", ""), "AED", "")), "")</f>
        <v/>
      </c>
      <c r="S402" s="151" t="n"/>
      <c r="T402" s="158" t="n"/>
      <c r="U402" s="136" t="n"/>
      <c r="V402" s="136" t="n"/>
      <c r="W402" s="156">
        <f>IF(Z402 = "",
"",
TEXT(Z402, "mmmm"))</f>
        <v/>
      </c>
      <c r="X402" s="157" t="n"/>
      <c r="Y402" s="158" t="n"/>
      <c r="Z402" s="158" t="n"/>
      <c r="AA402" s="136">
        <f>IF(H402="", "", IF(U402="Open Sale", IF(TODAY()-H402=0, "0 Days", TEXT(TODAY()-H402, "0") &amp; " Days"), IF(U402="Closed Sale", AA402, "")))</f>
        <v/>
      </c>
      <c r="AB402" s="136">
        <f>IF(H402="", "", IF(OR(U402="Pending", U402="Pending Allocation"), CONCATENATE(TODAY()-H402, " Days"), IF(U402="Closed", "", "")))</f>
        <v/>
      </c>
      <c r="AC402" s="160">
        <f>IF(U402="Pending Allocation", IF(I402="", "", TODAY()-I402), "")</f>
        <v/>
      </c>
      <c r="AD402" s="159">
        <f>IF(U402="Open Sale", TEXT(TODAY()-I402, "0"),
IF(U402="Pending", "",
IF(U402="Closed Sale", "", "")))</f>
        <v/>
      </c>
      <c r="AE402" s="161" t="n"/>
      <c r="AF402" s="161" t="n"/>
      <c r="AG402" s="161" t="n"/>
      <c r="AH402" s="136" t="n"/>
      <c r="AI402" s="164">
        <f>IF(I402="","",TEXT(I402, "mmmm yyyy"))</f>
        <v/>
      </c>
      <c r="AJ402" s="164">
        <f>IF(AND(OpenPendingCases[[#This Row],[Sale Status	]]="Open Sale",OpenPendingCases[[#This Row],[Potential Same Month]]="High"),TEXT(OpenPendingCases[[#This Row],[Request Entry Date]], "[$-en-us]mmmm"),"")</f>
        <v/>
      </c>
      <c r="AK402" s="165">
        <f>IFERROR(VALUE(SUBSTITUTE(OpenPendingCases[[#This Row],[Price]]," AED","")),"")</f>
        <v/>
      </c>
      <c r="AL402" s="165">
        <f>IFERROR(VALUE(LEFT(OpenPendingCases[[#This Row],[Price]],FIND(" ",OpenPendingCases[[#This Row],[Price]])-1)),"")</f>
        <v/>
      </c>
      <c r="AM402" s="165">
        <f>IFERROR(VALUE(_xlfn.TEXTBEFORE(OpenPendingCases[[#This Row],[Price]]," AED")),"")</f>
        <v/>
      </c>
      <c r="AN402" s="165" t="n"/>
    </row>
    <row r="403" hidden="1" ht="18" customHeight="1" s="287">
      <c r="C403" s="133" t="n"/>
      <c r="D403" s="136">
        <f>IF($U403="Open Sale", IF(MAX($D$4:D402)+1=0, "", MAX($D$4:D402)+1), "")</f>
        <v/>
      </c>
      <c r="E403" s="136">
        <f>IF($U403="Pending Allocation", IF(MAX($E$4:E402)+1=0, "", MAX($E$4:E402)+1), "")</f>
        <v/>
      </c>
      <c r="F403" s="136" t="n"/>
      <c r="G403" s="136" t="n"/>
      <c r="H403" s="150" t="n"/>
      <c r="I403" s="150" t="n"/>
      <c r="J403" s="67">
        <f>IF(OpenPendingCases[[#This Row],[Timepiece Reference ]]="", "", IF(_xlfn.XLOOKUP(OpenPendingCases[[#This Row],[Timepiece Reference ]], Table1[[Timepiece Reference ]], Table1[CRC STOCK], "Not Found")="YES", "CRC Stock", "Boutique Stock"))</f>
        <v/>
      </c>
      <c r="K403" s="136">
        <f>IF(OpenPendingCases[[#This Row],[Timepiece Reference ]]="", "", IF(_xlfn.XLOOKUP(OpenPendingCases[[#This Row],[Timepiece Reference ]], Table1[[Timepiece Reference ]], Table1[CRC STOCK], "Not Found")="YES", "CRC Stock", "Boutique Stock"))</f>
        <v/>
      </c>
      <c r="L403" s="142" t="n"/>
      <c r="M403" s="140" t="n"/>
      <c r="N403" s="136" t="n"/>
      <c r="O403" s="133" t="n"/>
      <c r="P403" s="93">
        <f>IFERROR(VLOOKUP(TRIM(O403), Collection!$B$2:$D$1001, 2, FALSE), "")</f>
        <v/>
      </c>
      <c r="Q403" s="190">
        <f>IFERROR(VLOOKUP(TRIM(O403), Collection!$B$2:$D$1001, 3, FALSE), "")</f>
        <v/>
      </c>
      <c r="R403" s="153">
        <f>IFERROR(VALUE(SUBSTITUTE(SUBSTITUTE(Q403, "Price", ""), "AED", "")), "")</f>
        <v/>
      </c>
      <c r="S403" s="151" t="n"/>
      <c r="T403" s="158" t="n"/>
      <c r="U403" s="136" t="n"/>
      <c r="V403" s="136" t="n"/>
      <c r="W403" s="156">
        <f>IF(Z403 = "",
"",
TEXT(Z403, "mmmm"))</f>
        <v/>
      </c>
      <c r="X403" s="157" t="n"/>
      <c r="Y403" s="158" t="n"/>
      <c r="Z403" s="158" t="n"/>
      <c r="AA403" s="136">
        <f>IF(H403="", "", IF(U403="Open Sale", IF(TODAY()-H403=0, "0 Days", TEXT(TODAY()-H403, "0") &amp; " Days"), IF(U403="Closed Sale", AA403, "")))</f>
        <v/>
      </c>
      <c r="AB403" s="136">
        <f>IF(H403="", "", IF(OR(U403="Pending", U403="Pending Allocation"), CONCATENATE(TODAY()-H403, " Days"), IF(U403="Closed", "", "")))</f>
        <v/>
      </c>
      <c r="AC403" s="160">
        <f>IF(U403="Pending Allocation", IF(I403="", "", TODAY()-I403), "")</f>
        <v/>
      </c>
      <c r="AD403" s="159">
        <f>IF(U403="Open Sale", TEXT(TODAY()-I403, "0"),
IF(U403="Pending", "",
IF(U403="Closed Sale", "", "")))</f>
        <v/>
      </c>
      <c r="AE403" s="161" t="n"/>
      <c r="AF403" s="161" t="n"/>
      <c r="AG403" s="161" t="n"/>
      <c r="AH403" s="136" t="n"/>
      <c r="AI403" s="164">
        <f>IF(I403="","",TEXT(I403, "mmmm yyyy"))</f>
        <v/>
      </c>
      <c r="AJ403" s="164">
        <f>IF(AND(OpenPendingCases[[#This Row],[Sale Status	]]="Open Sale",OpenPendingCases[[#This Row],[Potential Same Month]]="High"),TEXT(OpenPendingCases[[#This Row],[Request Entry Date]], "[$-en-us]mmmm"),"")</f>
        <v/>
      </c>
      <c r="AK403" s="165">
        <f>IFERROR(VALUE(SUBSTITUTE(OpenPendingCases[[#This Row],[Price]]," AED","")),"")</f>
        <v/>
      </c>
      <c r="AL403" s="165">
        <f>IFERROR(VALUE(LEFT(OpenPendingCases[[#This Row],[Price]],FIND(" ",OpenPendingCases[[#This Row],[Price]])-1)),"")</f>
        <v/>
      </c>
      <c r="AM403" s="165">
        <f>IFERROR(VALUE(_xlfn.TEXTBEFORE(OpenPendingCases[[#This Row],[Price]]," AED")),"")</f>
        <v/>
      </c>
      <c r="AN403" s="165" t="n"/>
    </row>
    <row r="404" hidden="1" ht="18" customHeight="1" s="287">
      <c r="C404" s="133" t="n"/>
      <c r="D404" s="136">
        <f>IF($U404="Open Sale", IF(MAX($D$4:D403)+1=0, "", MAX($D$4:D403)+1), "")</f>
        <v/>
      </c>
      <c r="E404" s="136">
        <f>IF($U404="Pending Allocation", IF(MAX($E$4:E403)+1=0, "", MAX($E$4:E403)+1), "")</f>
        <v/>
      </c>
      <c r="F404" s="136" t="n"/>
      <c r="G404" s="136" t="n"/>
      <c r="H404" s="150" t="n"/>
      <c r="I404" s="150" t="n"/>
      <c r="J404" s="67">
        <f>IF(OpenPendingCases[[#This Row],[Timepiece Reference ]]="", "", IF(_xlfn.XLOOKUP(OpenPendingCases[[#This Row],[Timepiece Reference ]], Table1[[Timepiece Reference ]], Table1[CRC STOCK], "Not Found")="YES", "CRC Stock", "Boutique Stock"))</f>
        <v/>
      </c>
      <c r="K404" s="136">
        <f>IF(OpenPendingCases[[#This Row],[Timepiece Reference ]]="", "", IF(_xlfn.XLOOKUP(OpenPendingCases[[#This Row],[Timepiece Reference ]], Table1[[Timepiece Reference ]], Table1[CRC STOCK], "Not Found")="YES", "CRC Stock", "Boutique Stock"))</f>
        <v/>
      </c>
      <c r="L404" s="142" t="n"/>
      <c r="M404" s="140" t="n"/>
      <c r="N404" s="136" t="n"/>
      <c r="O404" s="133" t="n"/>
      <c r="P404" s="93">
        <f>IFERROR(VLOOKUP(TRIM(O404), Collection!$B$2:$D$1001, 2, FALSE), "")</f>
        <v/>
      </c>
      <c r="Q404" s="190">
        <f>IFERROR(VLOOKUP(TRIM(O404), Collection!$B$2:$D$1001, 3, FALSE), "")</f>
        <v/>
      </c>
      <c r="R404" s="153">
        <f>IFERROR(VALUE(SUBSTITUTE(SUBSTITUTE(Q404, "Price", ""), "AED", "")), "")</f>
        <v/>
      </c>
      <c r="S404" s="151" t="n"/>
      <c r="T404" s="158" t="n"/>
      <c r="U404" s="136" t="n"/>
      <c r="V404" s="136" t="n"/>
      <c r="W404" s="156">
        <f>IF(Z404 = "",
"",
TEXT(Z404, "mmmm"))</f>
        <v/>
      </c>
      <c r="X404" s="157" t="n"/>
      <c r="Y404" s="158" t="n"/>
      <c r="Z404" s="158" t="n"/>
      <c r="AA404" s="136">
        <f>IF(H404="", "", IF(U404="Open Sale", IF(TODAY()-H404=0, "0 Days", TEXT(TODAY()-H404, "0") &amp; " Days"), IF(U404="Closed Sale", AA404, "")))</f>
        <v/>
      </c>
      <c r="AB404" s="136">
        <f>IF(H404="", "", IF(OR(U404="Pending", U404="Pending Allocation"), CONCATENATE(TODAY()-H404, " Days"), IF(U404="Closed", "", "")))</f>
        <v/>
      </c>
      <c r="AC404" s="160">
        <f>IF(U404="Pending Allocation", IF(I404="", "", TODAY()-I404), "")</f>
        <v/>
      </c>
      <c r="AD404" s="159">
        <f>IF(U404="Open Sale", TEXT(TODAY()-I404, "0"),
IF(U404="Pending", "",
IF(U404="Closed Sale", "", "")))</f>
        <v/>
      </c>
      <c r="AE404" s="161" t="n"/>
      <c r="AF404" s="161" t="n"/>
      <c r="AG404" s="161" t="n"/>
      <c r="AH404" s="136" t="n"/>
      <c r="AI404" s="164">
        <f>IF(I404="","",TEXT(I404, "mmmm yyyy"))</f>
        <v/>
      </c>
      <c r="AJ404" s="164">
        <f>IF(AND(OpenPendingCases[[#This Row],[Sale Status	]]="Open Sale",OpenPendingCases[[#This Row],[Potential Same Month]]="High"),TEXT(OpenPendingCases[[#This Row],[Request Entry Date]], "[$-en-us]mmmm"),"")</f>
        <v/>
      </c>
      <c r="AK404" s="165">
        <f>IFERROR(VALUE(SUBSTITUTE(OpenPendingCases[[#This Row],[Price]]," AED","")),"")</f>
        <v/>
      </c>
      <c r="AL404" s="165">
        <f>IFERROR(VALUE(LEFT(OpenPendingCases[[#This Row],[Price]],FIND(" ",OpenPendingCases[[#This Row],[Price]])-1)),"")</f>
        <v/>
      </c>
      <c r="AM404" s="165">
        <f>IFERROR(VALUE(_xlfn.TEXTBEFORE(OpenPendingCases[[#This Row],[Price]]," AED")),"")</f>
        <v/>
      </c>
      <c r="AN404" s="165" t="n"/>
    </row>
    <row r="405" hidden="1" ht="18" customHeight="1" s="287">
      <c r="C405" s="133" t="n"/>
      <c r="D405" s="136">
        <f>IF($U405="Open Sale", IF(MAX($D$4:D404)+1=0, "", MAX($D$4:D404)+1), "")</f>
        <v/>
      </c>
      <c r="E405" s="136">
        <f>IF($U405="Pending Allocation", IF(MAX($E$4:E404)+1=0, "", MAX($E$4:E404)+1), "")</f>
        <v/>
      </c>
      <c r="F405" s="136" t="n"/>
      <c r="G405" s="136" t="n"/>
      <c r="H405" s="150" t="n"/>
      <c r="I405" s="150" t="n"/>
      <c r="J405" s="67">
        <f>IF(OpenPendingCases[[#This Row],[Timepiece Reference ]]="", "", IF(_xlfn.XLOOKUP(OpenPendingCases[[#This Row],[Timepiece Reference ]], Table1[[Timepiece Reference ]], Table1[CRC STOCK], "Not Found")="YES", "CRC Stock", "Boutique Stock"))</f>
        <v/>
      </c>
      <c r="K405" s="136">
        <f>IF(OpenPendingCases[[#This Row],[Timepiece Reference ]]="", "", IF(_xlfn.XLOOKUP(OpenPendingCases[[#This Row],[Timepiece Reference ]], Table1[[Timepiece Reference ]], Table1[CRC STOCK], "Not Found")="YES", "CRC Stock", "Boutique Stock"))</f>
        <v/>
      </c>
      <c r="L405" s="142" t="n"/>
      <c r="M405" s="140" t="n"/>
      <c r="N405" s="136" t="n"/>
      <c r="O405" s="133" t="n"/>
      <c r="P405" s="93">
        <f>IFERROR(VLOOKUP(TRIM(O405), Collection!$B$2:$D$1001, 2, FALSE), "")</f>
        <v/>
      </c>
      <c r="Q405" s="190">
        <f>IFERROR(VLOOKUP(TRIM(O405), Collection!$B$2:$D$1001, 3, FALSE), "")</f>
        <v/>
      </c>
      <c r="R405" s="153">
        <f>IFERROR(VALUE(SUBSTITUTE(SUBSTITUTE(Q405, "Price", ""), "AED", "")), "")</f>
        <v/>
      </c>
      <c r="S405" s="151" t="n"/>
      <c r="T405" s="158" t="n"/>
      <c r="U405" s="136" t="n"/>
      <c r="V405" s="136" t="n"/>
      <c r="W405" s="156">
        <f>IF(Z405 = "",
"",
TEXT(Z405, "mmmm"))</f>
        <v/>
      </c>
      <c r="X405" s="157" t="n"/>
      <c r="Y405" s="158" t="n"/>
      <c r="Z405" s="158" t="n"/>
      <c r="AA405" s="136">
        <f>IF(H405="", "", IF(U405="Open Sale", IF(TODAY()-H405=0, "0 Days", TEXT(TODAY()-H405, "0") &amp; " Days"), IF(U405="Closed Sale", AA405, "")))</f>
        <v/>
      </c>
      <c r="AB405" s="136">
        <f>IF(H405="", "", IF(OR(U405="Pending", U405="Pending Allocation"), CONCATENATE(TODAY()-H405, " Days"), IF(U405="Closed", "", "")))</f>
        <v/>
      </c>
      <c r="AC405" s="160">
        <f>IF(U405="Pending Allocation", IF(I405="", "", TODAY()-I405), "")</f>
        <v/>
      </c>
      <c r="AD405" s="159">
        <f>IF(U405="Open Sale", TEXT(TODAY()-I405, "0"),
IF(U405="Pending", "",
IF(U405="Closed Sale", "", "")))</f>
        <v/>
      </c>
      <c r="AE405" s="161" t="n"/>
      <c r="AF405" s="161" t="n"/>
      <c r="AG405" s="161" t="n"/>
      <c r="AH405" s="136" t="n"/>
      <c r="AI405" s="164">
        <f>IF(I405="","",TEXT(I405, "mmmm yyyy"))</f>
        <v/>
      </c>
      <c r="AJ405" s="164">
        <f>IF(AND(OpenPendingCases[[#This Row],[Sale Status	]]="Open Sale",OpenPendingCases[[#This Row],[Potential Same Month]]="High"),TEXT(OpenPendingCases[[#This Row],[Request Entry Date]], "[$-en-us]mmmm"),"")</f>
        <v/>
      </c>
      <c r="AK405" s="165">
        <f>IFERROR(VALUE(SUBSTITUTE(OpenPendingCases[[#This Row],[Price]]," AED","")),"")</f>
        <v/>
      </c>
      <c r="AL405" s="165">
        <f>IFERROR(VALUE(LEFT(OpenPendingCases[[#This Row],[Price]],FIND(" ",OpenPendingCases[[#This Row],[Price]])-1)),"")</f>
        <v/>
      </c>
      <c r="AM405" s="165">
        <f>IFERROR(VALUE(_xlfn.TEXTBEFORE(OpenPendingCases[[#This Row],[Price]]," AED")),"")</f>
        <v/>
      </c>
      <c r="AN405" s="165" t="n"/>
    </row>
    <row r="406" hidden="1" ht="18" customHeight="1" s="287">
      <c r="C406" s="133" t="n"/>
      <c r="D406" s="136">
        <f>IF($U406="Open Sale", IF(MAX($D$4:D405)+1=0, "", MAX($D$4:D405)+1), "")</f>
        <v/>
      </c>
      <c r="E406" s="136">
        <f>IF($U406="Pending Allocation", IF(MAX($E$4:E405)+1=0, "", MAX($E$4:E405)+1), "")</f>
        <v/>
      </c>
      <c r="F406" s="136" t="n"/>
      <c r="G406" s="136" t="n"/>
      <c r="H406" s="150" t="n"/>
      <c r="I406" s="150" t="n"/>
      <c r="J406" s="67">
        <f>IF(OpenPendingCases[[#This Row],[Timepiece Reference ]]="", "", IF(_xlfn.XLOOKUP(OpenPendingCases[[#This Row],[Timepiece Reference ]], Table1[[Timepiece Reference ]], Table1[CRC STOCK], "Not Found")="YES", "CRC Stock", "Boutique Stock"))</f>
        <v/>
      </c>
      <c r="K406" s="136">
        <f>IF(OpenPendingCases[[#This Row],[Timepiece Reference ]]="", "", IF(_xlfn.XLOOKUP(OpenPendingCases[[#This Row],[Timepiece Reference ]], Table1[[Timepiece Reference ]], Table1[CRC STOCK], "Not Found")="YES", "CRC Stock", "Boutique Stock"))</f>
        <v/>
      </c>
      <c r="L406" s="142" t="n"/>
      <c r="M406" s="140" t="n"/>
      <c r="N406" s="136" t="n"/>
      <c r="O406" s="133" t="n"/>
      <c r="P406" s="93">
        <f>IFERROR(VLOOKUP(TRIM(O406), Collection!$B$2:$D$1001, 2, FALSE), "")</f>
        <v/>
      </c>
      <c r="Q406" s="190">
        <f>IFERROR(VLOOKUP(TRIM(O406), Collection!$B$2:$D$1001, 3, FALSE), "")</f>
        <v/>
      </c>
      <c r="R406" s="153">
        <f>IFERROR(VALUE(SUBSTITUTE(SUBSTITUTE(Q406, "Price", ""), "AED", "")), "")</f>
        <v/>
      </c>
      <c r="S406" s="151" t="n"/>
      <c r="T406" s="158" t="n"/>
      <c r="U406" s="136" t="n"/>
      <c r="V406" s="136" t="n"/>
      <c r="W406" s="156">
        <f>IF(Z406 = "",
"",
TEXT(Z406, "mmmm"))</f>
        <v/>
      </c>
      <c r="X406" s="157" t="n"/>
      <c r="Y406" s="158" t="n"/>
      <c r="Z406" s="158" t="n"/>
      <c r="AA406" s="136">
        <f>IF(H406="", "", IF(U406="Open Sale", IF(TODAY()-H406=0, "0 Days", TEXT(TODAY()-H406, "0") &amp; " Days"), IF(U406="Closed Sale", AA406, "")))</f>
        <v/>
      </c>
      <c r="AB406" s="136">
        <f>IF(H406="", "", IF(OR(U406="Pending", U406="Pending Allocation"), CONCATENATE(TODAY()-H406, " Days"), IF(U406="Closed", "", "")))</f>
        <v/>
      </c>
      <c r="AC406" s="160">
        <f>IF(U406="Pending Allocation", IF(I406="", "", TODAY()-I406), "")</f>
        <v/>
      </c>
      <c r="AD406" s="159">
        <f>IF(U406="Open Sale", TEXT(TODAY()-I406, "0"),
IF(U406="Pending", "",
IF(U406="Closed Sale", "", "")))</f>
        <v/>
      </c>
      <c r="AE406" s="161" t="n"/>
      <c r="AF406" s="161" t="n"/>
      <c r="AG406" s="161" t="n"/>
      <c r="AH406" s="136" t="n"/>
      <c r="AI406" s="164">
        <f>IF(I406="","",TEXT(I406, "mmmm yyyy"))</f>
        <v/>
      </c>
      <c r="AJ406" s="164">
        <f>IF(AND(OpenPendingCases[[#This Row],[Sale Status	]]="Open Sale",OpenPendingCases[[#This Row],[Potential Same Month]]="High"),TEXT(OpenPendingCases[[#This Row],[Request Entry Date]], "[$-en-us]mmmm"),"")</f>
        <v/>
      </c>
      <c r="AK406" s="165">
        <f>IFERROR(VALUE(SUBSTITUTE(OpenPendingCases[[#This Row],[Price]]," AED","")),"")</f>
        <v/>
      </c>
      <c r="AL406" s="165">
        <f>IFERROR(VALUE(LEFT(OpenPendingCases[[#This Row],[Price]],FIND(" ",OpenPendingCases[[#This Row],[Price]])-1)),"")</f>
        <v/>
      </c>
      <c r="AM406" s="165">
        <f>IFERROR(VALUE(_xlfn.TEXTBEFORE(OpenPendingCases[[#This Row],[Price]]," AED")),"")</f>
        <v/>
      </c>
      <c r="AN406" s="165" t="n"/>
    </row>
    <row r="407" hidden="1" ht="18" customHeight="1" s="287">
      <c r="C407" s="133" t="n"/>
      <c r="D407" s="136">
        <f>IF($U407="Open Sale", IF(MAX($D$4:D406)+1=0, "", MAX($D$4:D406)+1), "")</f>
        <v/>
      </c>
      <c r="E407" s="136">
        <f>IF($U407="Pending Allocation", IF(MAX($E$4:E406)+1=0, "", MAX($E$4:E406)+1), "")</f>
        <v/>
      </c>
      <c r="F407" s="136" t="n"/>
      <c r="G407" s="136" t="n"/>
      <c r="H407" s="150" t="n"/>
      <c r="I407" s="150" t="n"/>
      <c r="J407" s="67">
        <f>IF(OpenPendingCases[[#This Row],[Timepiece Reference ]]="", "", IF(_xlfn.XLOOKUP(OpenPendingCases[[#This Row],[Timepiece Reference ]], Table1[[Timepiece Reference ]], Table1[CRC STOCK], "Not Found")="YES", "CRC Stock", "Boutique Stock"))</f>
        <v/>
      </c>
      <c r="K407" s="136">
        <f>IF(OpenPendingCases[[#This Row],[Timepiece Reference ]]="", "", IF(_xlfn.XLOOKUP(OpenPendingCases[[#This Row],[Timepiece Reference ]], Table1[[Timepiece Reference ]], Table1[CRC STOCK], "Not Found")="YES", "CRC Stock", "Boutique Stock"))</f>
        <v/>
      </c>
      <c r="L407" s="142" t="n"/>
      <c r="M407" s="140" t="n"/>
      <c r="N407" s="136" t="n"/>
      <c r="O407" s="133" t="n"/>
      <c r="P407" s="93">
        <f>IFERROR(VLOOKUP(TRIM(O407), Collection!$B$2:$D$1001, 2, FALSE), "")</f>
        <v/>
      </c>
      <c r="Q407" s="190">
        <f>IFERROR(VLOOKUP(TRIM(O407), Collection!$B$2:$D$1001, 3, FALSE), "")</f>
        <v/>
      </c>
      <c r="R407" s="153">
        <f>IFERROR(VALUE(SUBSTITUTE(SUBSTITUTE(Q407, "Price", ""), "AED", "")), "")</f>
        <v/>
      </c>
      <c r="S407" s="151" t="n"/>
      <c r="T407" s="158" t="n"/>
      <c r="U407" s="136" t="n"/>
      <c r="V407" s="136" t="n"/>
      <c r="W407" s="156">
        <f>IF(Z407 = "",
"",
TEXT(Z407, "mmmm"))</f>
        <v/>
      </c>
      <c r="X407" s="157" t="n"/>
      <c r="Y407" s="158" t="n"/>
      <c r="Z407" s="158" t="n"/>
      <c r="AA407" s="136">
        <f>IF(H407="", "", IF(U407="Open Sale", IF(TODAY()-H407=0, "0 Days", TEXT(TODAY()-H407, "0") &amp; " Days"), IF(U407="Closed Sale", AA407, "")))</f>
        <v/>
      </c>
      <c r="AB407" s="136">
        <f>IF(H407="", "", IF(OR(U407="Pending", U407="Pending Allocation"), CONCATENATE(TODAY()-H407, " Days"), IF(U407="Closed", "", "")))</f>
        <v/>
      </c>
      <c r="AC407" s="160">
        <f>IF(U407="Pending Allocation", IF(I407="", "", TODAY()-I407), "")</f>
        <v/>
      </c>
      <c r="AD407" s="159">
        <f>IF(U407="Open Sale", TEXT(TODAY()-I407, "0"),
IF(U407="Pending", "",
IF(U407="Closed Sale", "", "")))</f>
        <v/>
      </c>
      <c r="AE407" s="161" t="n"/>
      <c r="AF407" s="161" t="n"/>
      <c r="AG407" s="161" t="n"/>
      <c r="AH407" s="136" t="n"/>
      <c r="AI407" s="164">
        <f>IF(I407="","",TEXT(I407, "mmmm yyyy"))</f>
        <v/>
      </c>
      <c r="AJ407" s="164">
        <f>IF(AND(OpenPendingCases[[#This Row],[Sale Status	]]="Open Sale",OpenPendingCases[[#This Row],[Potential Same Month]]="High"),TEXT(OpenPendingCases[[#This Row],[Request Entry Date]], "[$-en-us]mmmm"),"")</f>
        <v/>
      </c>
      <c r="AK407" s="165">
        <f>IFERROR(VALUE(SUBSTITUTE(OpenPendingCases[[#This Row],[Price]]," AED","")),"")</f>
        <v/>
      </c>
      <c r="AL407" s="165">
        <f>IFERROR(VALUE(LEFT(OpenPendingCases[[#This Row],[Price]],FIND(" ",OpenPendingCases[[#This Row],[Price]])-1)),"")</f>
        <v/>
      </c>
      <c r="AM407" s="165">
        <f>IFERROR(VALUE(_xlfn.TEXTBEFORE(OpenPendingCases[[#This Row],[Price]]," AED")),"")</f>
        <v/>
      </c>
      <c r="AN407" s="165" t="n"/>
    </row>
    <row r="408" hidden="1" ht="18" customHeight="1" s="287">
      <c r="C408" s="133" t="n"/>
      <c r="D408" s="136">
        <f>IF($U408="Open Sale", IF(MAX($D$4:D407)+1=0, "", MAX($D$4:D407)+1), "")</f>
        <v/>
      </c>
      <c r="E408" s="136">
        <f>IF($U408="Pending Allocation", IF(MAX($E$4:E407)+1=0, "", MAX($E$4:E407)+1), "")</f>
        <v/>
      </c>
      <c r="F408" s="136" t="n"/>
      <c r="G408" s="136" t="n"/>
      <c r="H408" s="150" t="n"/>
      <c r="I408" s="150" t="n"/>
      <c r="J408" s="67">
        <f>IF(OpenPendingCases[[#This Row],[Timepiece Reference ]]="", "", IF(_xlfn.XLOOKUP(OpenPendingCases[[#This Row],[Timepiece Reference ]], Table1[[Timepiece Reference ]], Table1[CRC STOCK], "Not Found")="YES", "CRC Stock", "Boutique Stock"))</f>
        <v/>
      </c>
      <c r="K408" s="136">
        <f>IF(OpenPendingCases[[#This Row],[Timepiece Reference ]]="", "", IF(_xlfn.XLOOKUP(OpenPendingCases[[#This Row],[Timepiece Reference ]], Table1[[Timepiece Reference ]], Table1[CRC STOCK], "Not Found")="YES", "CRC Stock", "Boutique Stock"))</f>
        <v/>
      </c>
      <c r="L408" s="142" t="n"/>
      <c r="M408" s="140" t="n"/>
      <c r="N408" s="136" t="n"/>
      <c r="O408" s="133" t="n"/>
      <c r="P408" s="93">
        <f>IFERROR(VLOOKUP(TRIM(O408), Collection!$B$2:$D$1001, 2, FALSE), "")</f>
        <v/>
      </c>
      <c r="Q408" s="190">
        <f>IFERROR(VLOOKUP(TRIM(O408), Collection!$B$2:$D$1001, 3, FALSE), "")</f>
        <v/>
      </c>
      <c r="R408" s="153">
        <f>IFERROR(VALUE(SUBSTITUTE(SUBSTITUTE(Q408, "Price", ""), "AED", "")), "")</f>
        <v/>
      </c>
      <c r="S408" s="151" t="n"/>
      <c r="T408" s="158" t="n"/>
      <c r="U408" s="136" t="n"/>
      <c r="V408" s="136" t="n"/>
      <c r="W408" s="156">
        <f>IF(Z408 = "",
"",
TEXT(Z408, "mmmm"))</f>
        <v/>
      </c>
      <c r="X408" s="157" t="n"/>
      <c r="Y408" s="158" t="n"/>
      <c r="Z408" s="158" t="n"/>
      <c r="AA408" s="136">
        <f>IF(H408="", "", IF(U408="Open Sale", IF(TODAY()-H408=0, "0 Days", TEXT(TODAY()-H408, "0") &amp; " Days"), IF(U408="Closed Sale", AA408, "")))</f>
        <v/>
      </c>
      <c r="AB408" s="136">
        <f>IF(H408="", "", IF(OR(U408="Pending", U408="Pending Allocation"), CONCATENATE(TODAY()-H408, " Days"), IF(U408="Closed", "", "")))</f>
        <v/>
      </c>
      <c r="AC408" s="160">
        <f>IF(U408="Pending Allocation", IF(I408="", "", TODAY()-I408), "")</f>
        <v/>
      </c>
      <c r="AD408" s="159">
        <f>IF(U408="Open Sale", TEXT(TODAY()-I408, "0"),
IF(U408="Pending", "",
IF(U408="Closed Sale", "", "")))</f>
        <v/>
      </c>
      <c r="AE408" s="161" t="n"/>
      <c r="AF408" s="161" t="n"/>
      <c r="AG408" s="161" t="n"/>
      <c r="AH408" s="136" t="n"/>
      <c r="AI408" s="164">
        <f>IF(I408="","",TEXT(I408, "mmmm yyyy"))</f>
        <v/>
      </c>
      <c r="AJ408" s="164">
        <f>IF(AND(OpenPendingCases[[#This Row],[Sale Status	]]="Open Sale",OpenPendingCases[[#This Row],[Potential Same Month]]="High"),TEXT(OpenPendingCases[[#This Row],[Request Entry Date]], "[$-en-us]mmmm"),"")</f>
        <v/>
      </c>
      <c r="AK408" s="165">
        <f>IFERROR(VALUE(SUBSTITUTE(OpenPendingCases[[#This Row],[Price]]," AED","")),"")</f>
        <v/>
      </c>
      <c r="AL408" s="165">
        <f>IFERROR(VALUE(LEFT(OpenPendingCases[[#This Row],[Price]],FIND(" ",OpenPendingCases[[#This Row],[Price]])-1)),"")</f>
        <v/>
      </c>
      <c r="AM408" s="165">
        <f>IFERROR(VALUE(_xlfn.TEXTBEFORE(OpenPendingCases[[#This Row],[Price]]," AED")),"")</f>
        <v/>
      </c>
      <c r="AN408" s="165" t="n"/>
    </row>
    <row r="409" hidden="1" ht="18" customHeight="1" s="287">
      <c r="C409" s="133" t="n"/>
      <c r="D409" s="136">
        <f>IF($U409="Open Sale", IF(MAX($D$4:D408)+1=0, "", MAX($D$4:D408)+1), "")</f>
        <v/>
      </c>
      <c r="E409" s="136">
        <f>IF($U409="Pending Allocation", IF(MAX($E$4:E408)+1=0, "", MAX($E$4:E408)+1), "")</f>
        <v/>
      </c>
      <c r="F409" s="136" t="n"/>
      <c r="G409" s="136" t="n"/>
      <c r="H409" s="150" t="n"/>
      <c r="I409" s="150" t="n"/>
      <c r="J409" s="67">
        <f>IF(OpenPendingCases[[#This Row],[Timepiece Reference ]]="", "", IF(_xlfn.XLOOKUP(OpenPendingCases[[#This Row],[Timepiece Reference ]], Table1[[Timepiece Reference ]], Table1[CRC STOCK], "Not Found")="YES", "CRC Stock", "Boutique Stock"))</f>
        <v/>
      </c>
      <c r="K409" s="136">
        <f>IF(OpenPendingCases[[#This Row],[Timepiece Reference ]]="", "", IF(_xlfn.XLOOKUP(OpenPendingCases[[#This Row],[Timepiece Reference ]], Table1[[Timepiece Reference ]], Table1[CRC STOCK], "Not Found")="YES", "CRC Stock", "Boutique Stock"))</f>
        <v/>
      </c>
      <c r="L409" s="142" t="n"/>
      <c r="M409" s="140" t="n"/>
      <c r="N409" s="136" t="n"/>
      <c r="O409" s="133" t="n"/>
      <c r="P409" s="93">
        <f>IFERROR(VLOOKUP(TRIM(O409), Collection!$B$2:$D$1001, 2, FALSE), "")</f>
        <v/>
      </c>
      <c r="Q409" s="190">
        <f>IFERROR(VLOOKUP(TRIM(O409), Collection!$B$2:$D$1001, 3, FALSE), "")</f>
        <v/>
      </c>
      <c r="R409" s="153">
        <f>IFERROR(VALUE(SUBSTITUTE(SUBSTITUTE(Q409, "Price", ""), "AED", "")), "")</f>
        <v/>
      </c>
      <c r="S409" s="151" t="n"/>
      <c r="T409" s="158" t="n"/>
      <c r="U409" s="136" t="n"/>
      <c r="V409" s="136" t="n"/>
      <c r="W409" s="156">
        <f>IF(Z409 = "",
"",
TEXT(Z409, "mmmm"))</f>
        <v/>
      </c>
      <c r="X409" s="157" t="n"/>
      <c r="Y409" s="158" t="n"/>
      <c r="Z409" s="158" t="n"/>
      <c r="AA409" s="136">
        <f>IF(H409="", "", IF(U409="Open Sale", IF(TODAY()-H409=0, "0 Days", TEXT(TODAY()-H409, "0") &amp; " Days"), IF(U409="Closed Sale", AA409, "")))</f>
        <v/>
      </c>
      <c r="AB409" s="136">
        <f>IF(H409="", "", IF(OR(U409="Pending", U409="Pending Allocation"), CONCATENATE(TODAY()-H409, " Days"), IF(U409="Closed", "", "")))</f>
        <v/>
      </c>
      <c r="AC409" s="160">
        <f>IF(U409="Pending Allocation", IF(I409="", "", TODAY()-I409), "")</f>
        <v/>
      </c>
      <c r="AD409" s="159">
        <f>IF(U409="Open Sale", TEXT(TODAY()-I409, "0"),
IF(U409="Pending", "",
IF(U409="Closed Sale", "", "")))</f>
        <v/>
      </c>
      <c r="AE409" s="161" t="n"/>
      <c r="AF409" s="161" t="n"/>
      <c r="AG409" s="161" t="n"/>
      <c r="AH409" s="136" t="n"/>
      <c r="AI409" s="164">
        <f>IF(I409="","",TEXT(I409, "mmmm yyyy"))</f>
        <v/>
      </c>
      <c r="AJ409" s="164">
        <f>IF(AND(OpenPendingCases[[#This Row],[Sale Status	]]="Open Sale",OpenPendingCases[[#This Row],[Potential Same Month]]="High"),TEXT(OpenPendingCases[[#This Row],[Request Entry Date]], "[$-en-us]mmmm"),"")</f>
        <v/>
      </c>
      <c r="AK409" s="165">
        <f>IFERROR(VALUE(SUBSTITUTE(OpenPendingCases[[#This Row],[Price]]," AED","")),"")</f>
        <v/>
      </c>
      <c r="AL409" s="165">
        <f>IFERROR(VALUE(LEFT(OpenPendingCases[[#This Row],[Price]],FIND(" ",OpenPendingCases[[#This Row],[Price]])-1)),"")</f>
        <v/>
      </c>
      <c r="AM409" s="165">
        <f>IFERROR(VALUE(_xlfn.TEXTBEFORE(OpenPendingCases[[#This Row],[Price]]," AED")),"")</f>
        <v/>
      </c>
      <c r="AN409" s="165" t="n"/>
    </row>
    <row r="410" hidden="1" ht="18" customHeight="1" s="287">
      <c r="C410" s="133" t="n"/>
      <c r="D410" s="136">
        <f>IF($U410="Open Sale", IF(MAX($D$4:D409)+1=0, "", MAX($D$4:D409)+1), "")</f>
        <v/>
      </c>
      <c r="E410" s="136">
        <f>IF($U410="Pending Allocation", IF(MAX($E$4:E409)+1=0, "", MAX($E$4:E409)+1), "")</f>
        <v/>
      </c>
      <c r="F410" s="136" t="n"/>
      <c r="G410" s="136" t="n"/>
      <c r="H410" s="150" t="n"/>
      <c r="I410" s="150" t="n"/>
      <c r="J410" s="67">
        <f>IF(OpenPendingCases[[#This Row],[Timepiece Reference ]]="", "", IF(_xlfn.XLOOKUP(OpenPendingCases[[#This Row],[Timepiece Reference ]], Table1[[Timepiece Reference ]], Table1[CRC STOCK], "Not Found")="YES", "CRC Stock", "Boutique Stock"))</f>
        <v/>
      </c>
      <c r="K410" s="136">
        <f>IF(OpenPendingCases[[#This Row],[Timepiece Reference ]]="", "", IF(_xlfn.XLOOKUP(OpenPendingCases[[#This Row],[Timepiece Reference ]], Table1[[Timepiece Reference ]], Table1[CRC STOCK], "Not Found")="YES", "CRC Stock", "Boutique Stock"))</f>
        <v/>
      </c>
      <c r="L410" s="142" t="n"/>
      <c r="M410" s="140" t="n"/>
      <c r="N410" s="136" t="n"/>
      <c r="O410" s="133" t="n"/>
      <c r="P410" s="93">
        <f>IFERROR(VLOOKUP(TRIM(O410), Collection!$B$2:$D$1001, 2, FALSE), "")</f>
        <v/>
      </c>
      <c r="Q410" s="190">
        <f>IFERROR(VLOOKUP(TRIM(O410), Collection!$B$2:$D$1001, 3, FALSE), "")</f>
        <v/>
      </c>
      <c r="R410" s="153">
        <f>IFERROR(VALUE(SUBSTITUTE(SUBSTITUTE(Q410, "Price", ""), "AED", "")), "")</f>
        <v/>
      </c>
      <c r="S410" s="151" t="n"/>
      <c r="T410" s="158" t="n"/>
      <c r="U410" s="136" t="n"/>
      <c r="V410" s="136" t="n"/>
      <c r="W410" s="156">
        <f>IF(Z410 = "",
"",
TEXT(Z410, "mmmm"))</f>
        <v/>
      </c>
      <c r="X410" s="157" t="n"/>
      <c r="Y410" s="158" t="n"/>
      <c r="Z410" s="158" t="n"/>
      <c r="AA410" s="136">
        <f>IF(H410="", "", IF(U410="Open Sale", IF(TODAY()-H410=0, "0 Days", TEXT(TODAY()-H410, "0") &amp; " Days"), IF(U410="Closed Sale", AA410, "")))</f>
        <v/>
      </c>
      <c r="AB410" s="136">
        <f>IF(H410="", "", IF(OR(U410="Pending", U410="Pending Allocation"), CONCATENATE(TODAY()-H410, " Days"), IF(U410="Closed", "", "")))</f>
        <v/>
      </c>
      <c r="AC410" s="160">
        <f>IF(U410="Pending Allocation", IF(I410="", "", TODAY()-I410), "")</f>
        <v/>
      </c>
      <c r="AD410" s="159">
        <f>IF(U410="Open Sale", TEXT(TODAY()-I410, "0"),
IF(U410="Pending", "",
IF(U410="Closed Sale", "", "")))</f>
        <v/>
      </c>
      <c r="AE410" s="161" t="n"/>
      <c r="AF410" s="161" t="n"/>
      <c r="AG410" s="161" t="n"/>
      <c r="AH410" s="136" t="n"/>
      <c r="AI410" s="164">
        <f>IF(I410="","",TEXT(I410, "mmmm yyyy"))</f>
        <v/>
      </c>
      <c r="AJ410" s="164">
        <f>IF(AND(OpenPendingCases[[#This Row],[Sale Status	]]="Open Sale",OpenPendingCases[[#This Row],[Potential Same Month]]="High"),TEXT(OpenPendingCases[[#This Row],[Request Entry Date]], "[$-en-us]mmmm"),"")</f>
        <v/>
      </c>
      <c r="AK410" s="165">
        <f>IFERROR(VALUE(SUBSTITUTE(OpenPendingCases[[#This Row],[Price]]," AED","")),"")</f>
        <v/>
      </c>
      <c r="AL410" s="165">
        <f>IFERROR(VALUE(LEFT(OpenPendingCases[[#This Row],[Price]],FIND(" ",OpenPendingCases[[#This Row],[Price]])-1)),"")</f>
        <v/>
      </c>
      <c r="AM410" s="165">
        <f>IFERROR(VALUE(_xlfn.TEXTBEFORE(OpenPendingCases[[#This Row],[Price]]," AED")),"")</f>
        <v/>
      </c>
      <c r="AN410" s="165" t="n"/>
    </row>
    <row r="411" hidden="1" ht="18" customHeight="1" s="287">
      <c r="C411" s="133" t="n"/>
      <c r="D411" s="136">
        <f>IF($U411="Open Sale", IF(MAX($D$4:D410)+1=0, "", MAX($D$4:D410)+1), "")</f>
        <v/>
      </c>
      <c r="E411" s="136">
        <f>IF($U411="Pending Allocation", IF(MAX($E$4:E410)+1=0, "", MAX($E$4:E410)+1), "")</f>
        <v/>
      </c>
      <c r="F411" s="136" t="n"/>
      <c r="G411" s="136" t="n"/>
      <c r="H411" s="150" t="n"/>
      <c r="I411" s="150" t="n"/>
      <c r="J411" s="67">
        <f>IF(OpenPendingCases[[#This Row],[Timepiece Reference ]]="", "", IF(_xlfn.XLOOKUP(OpenPendingCases[[#This Row],[Timepiece Reference ]], Table1[[Timepiece Reference ]], Table1[CRC STOCK], "Not Found")="YES", "CRC Stock", "Boutique Stock"))</f>
        <v/>
      </c>
      <c r="K411" s="136">
        <f>IF(OpenPendingCases[[#This Row],[Timepiece Reference ]]="", "", IF(_xlfn.XLOOKUP(OpenPendingCases[[#This Row],[Timepiece Reference ]], Table1[[Timepiece Reference ]], Table1[CRC STOCK], "Not Found")="YES", "CRC Stock", "Boutique Stock"))</f>
        <v/>
      </c>
      <c r="L411" s="142" t="n"/>
      <c r="M411" s="140" t="n"/>
      <c r="N411" s="136" t="n"/>
      <c r="O411" s="133" t="n"/>
      <c r="P411" s="93">
        <f>IFERROR(VLOOKUP(TRIM(O411), Collection!$B$2:$D$1001, 2, FALSE), "")</f>
        <v/>
      </c>
      <c r="Q411" s="190">
        <f>IFERROR(VLOOKUP(TRIM(O411), Collection!$B$2:$D$1001, 3, FALSE), "")</f>
        <v/>
      </c>
      <c r="R411" s="153">
        <f>IFERROR(VALUE(SUBSTITUTE(SUBSTITUTE(Q411, "Price", ""), "AED", "")), "")</f>
        <v/>
      </c>
      <c r="S411" s="151" t="n"/>
      <c r="T411" s="158" t="n"/>
      <c r="U411" s="136" t="n"/>
      <c r="V411" s="136" t="n"/>
      <c r="W411" s="156">
        <f>IF(Z411 = "",
"",
TEXT(Z411, "mmmm"))</f>
        <v/>
      </c>
      <c r="X411" s="157" t="n"/>
      <c r="Y411" s="158" t="n"/>
      <c r="Z411" s="158" t="n"/>
      <c r="AA411" s="136">
        <f>IF(H411="", "", IF(U411="Open Sale", IF(TODAY()-H411=0, "0 Days", TEXT(TODAY()-H411, "0") &amp; " Days"), IF(U411="Closed Sale", AA411, "")))</f>
        <v/>
      </c>
      <c r="AB411" s="136">
        <f>IF(H411="", "", IF(OR(U411="Pending", U411="Pending Allocation"), CONCATENATE(TODAY()-H411, " Days"), IF(U411="Closed", "", "")))</f>
        <v/>
      </c>
      <c r="AC411" s="160">
        <f>IF(U411="Pending Allocation", IF(I411="", "", TODAY()-I411), "")</f>
        <v/>
      </c>
      <c r="AD411" s="159">
        <f>IF(U411="Open Sale", TEXT(TODAY()-I411, "0"),
IF(U411="Pending", "",
IF(U411="Closed Sale", "", "")))</f>
        <v/>
      </c>
      <c r="AE411" s="161" t="n"/>
      <c r="AF411" s="161" t="n"/>
      <c r="AG411" s="161" t="n"/>
      <c r="AH411" s="136" t="n"/>
      <c r="AI411" s="164">
        <f>IF(I411="","",TEXT(I411, "mmmm yyyy"))</f>
        <v/>
      </c>
      <c r="AJ411" s="164">
        <f>IF(AND(OpenPendingCases[[#This Row],[Sale Status	]]="Open Sale",OpenPendingCases[[#This Row],[Potential Same Month]]="High"),TEXT(OpenPendingCases[[#This Row],[Request Entry Date]], "[$-en-us]mmmm"),"")</f>
        <v/>
      </c>
      <c r="AK411" s="165">
        <f>IFERROR(VALUE(SUBSTITUTE(OpenPendingCases[[#This Row],[Price]]," AED","")),"")</f>
        <v/>
      </c>
      <c r="AL411" s="165">
        <f>IFERROR(VALUE(LEFT(OpenPendingCases[[#This Row],[Price]],FIND(" ",OpenPendingCases[[#This Row],[Price]])-1)),"")</f>
        <v/>
      </c>
      <c r="AM411" s="165">
        <f>IFERROR(VALUE(_xlfn.TEXTBEFORE(OpenPendingCases[[#This Row],[Price]]," AED")),"")</f>
        <v/>
      </c>
      <c r="AN411" s="165" t="n"/>
    </row>
    <row r="412" hidden="1" ht="18" customHeight="1" s="287">
      <c r="C412" s="133" t="n"/>
      <c r="D412" s="136">
        <f>IF($U412="Open Sale", IF(MAX($D$4:D411)+1=0, "", MAX($D$4:D411)+1), "")</f>
        <v/>
      </c>
      <c r="E412" s="136">
        <f>IF($U412="Pending Allocation", IF(MAX($E$4:E411)+1=0, "", MAX($E$4:E411)+1), "")</f>
        <v/>
      </c>
      <c r="F412" s="136" t="n"/>
      <c r="G412" s="136" t="n"/>
      <c r="H412" s="150" t="n"/>
      <c r="I412" s="150" t="n"/>
      <c r="J412" s="67">
        <f>IF(OpenPendingCases[[#This Row],[Timepiece Reference ]]="", "", IF(_xlfn.XLOOKUP(OpenPendingCases[[#This Row],[Timepiece Reference ]], Table1[[Timepiece Reference ]], Table1[CRC STOCK], "Not Found")="YES", "CRC Stock", "Boutique Stock"))</f>
        <v/>
      </c>
      <c r="K412" s="136">
        <f>IF(OpenPendingCases[[#This Row],[Timepiece Reference ]]="", "", IF(_xlfn.XLOOKUP(OpenPendingCases[[#This Row],[Timepiece Reference ]], Table1[[Timepiece Reference ]], Table1[CRC STOCK], "Not Found")="YES", "CRC Stock", "Boutique Stock"))</f>
        <v/>
      </c>
      <c r="L412" s="142" t="n"/>
      <c r="M412" s="140" t="n"/>
      <c r="N412" s="136" t="n"/>
      <c r="O412" s="133" t="n"/>
      <c r="P412" s="93">
        <f>IFERROR(VLOOKUP(TRIM(O412), Collection!$B$2:$D$1001, 2, FALSE), "")</f>
        <v/>
      </c>
      <c r="Q412" s="190">
        <f>IFERROR(VLOOKUP(TRIM(O412), Collection!$B$2:$D$1001, 3, FALSE), "")</f>
        <v/>
      </c>
      <c r="R412" s="153">
        <f>IFERROR(VALUE(SUBSTITUTE(SUBSTITUTE(Q412, "Price", ""), "AED", "")), "")</f>
        <v/>
      </c>
      <c r="S412" s="151" t="n"/>
      <c r="T412" s="158" t="n"/>
      <c r="U412" s="136" t="n"/>
      <c r="V412" s="136" t="n"/>
      <c r="W412" s="156">
        <f>IF(Z412 = "",
"",
TEXT(Z412, "mmmm"))</f>
        <v/>
      </c>
      <c r="X412" s="157" t="n"/>
      <c r="Y412" s="158" t="n"/>
      <c r="Z412" s="158" t="n"/>
      <c r="AA412" s="136">
        <f>IF(H412="", "", IF(U412="Open Sale", IF(TODAY()-H412=0, "0 Days", TEXT(TODAY()-H412, "0") &amp; " Days"), IF(U412="Closed Sale", AA412, "")))</f>
        <v/>
      </c>
      <c r="AB412" s="136">
        <f>IF(H412="", "", IF(OR(U412="Pending", U412="Pending Allocation"), CONCATENATE(TODAY()-H412, " Days"), IF(U412="Closed", "", "")))</f>
        <v/>
      </c>
      <c r="AC412" s="160">
        <f>IF(U412="Pending Allocation", IF(I412="", "", TODAY()-I412), "")</f>
        <v/>
      </c>
      <c r="AD412" s="159">
        <f>IF(U412="Open Sale", TEXT(TODAY()-I412, "0"),
IF(U412="Pending", "",
IF(U412="Closed Sale", "", "")))</f>
        <v/>
      </c>
      <c r="AE412" s="161" t="n"/>
      <c r="AF412" s="161" t="n"/>
      <c r="AG412" s="161" t="n"/>
      <c r="AH412" s="136" t="n"/>
      <c r="AI412" s="164">
        <f>IF(I412="","",TEXT(I412, "mmmm yyyy"))</f>
        <v/>
      </c>
      <c r="AJ412" s="164">
        <f>IF(AND(OpenPendingCases[[#This Row],[Sale Status	]]="Open Sale",OpenPendingCases[[#This Row],[Potential Same Month]]="High"),TEXT(OpenPendingCases[[#This Row],[Request Entry Date]], "[$-en-us]mmmm"),"")</f>
        <v/>
      </c>
      <c r="AK412" s="165">
        <f>IFERROR(VALUE(SUBSTITUTE(OpenPendingCases[[#This Row],[Price]]," AED","")),"")</f>
        <v/>
      </c>
      <c r="AL412" s="165">
        <f>IFERROR(VALUE(LEFT(OpenPendingCases[[#This Row],[Price]],FIND(" ",OpenPendingCases[[#This Row],[Price]])-1)),"")</f>
        <v/>
      </c>
      <c r="AM412" s="165">
        <f>IFERROR(VALUE(_xlfn.TEXTBEFORE(OpenPendingCases[[#This Row],[Price]]," AED")),"")</f>
        <v/>
      </c>
      <c r="AN412" s="165" t="n"/>
    </row>
    <row r="413" hidden="1" ht="18" customHeight="1" s="287">
      <c r="C413" s="133" t="n"/>
      <c r="D413" s="136">
        <f>IF($U413="Open Sale", IF(MAX($D$4:D412)+1=0, "", MAX($D$4:D412)+1), "")</f>
        <v/>
      </c>
      <c r="E413" s="136">
        <f>IF($U413="Pending Allocation", IF(MAX($E$4:E412)+1=0, "", MAX($E$4:E412)+1), "")</f>
        <v/>
      </c>
      <c r="F413" s="136" t="n"/>
      <c r="G413" s="136" t="n"/>
      <c r="H413" s="150" t="n"/>
      <c r="I413" s="150" t="n"/>
      <c r="J413" s="67">
        <f>IF(OpenPendingCases[[#This Row],[Timepiece Reference ]]="", "", IF(_xlfn.XLOOKUP(OpenPendingCases[[#This Row],[Timepiece Reference ]], Table1[[Timepiece Reference ]], Table1[CRC STOCK], "Not Found")="YES", "CRC Stock", "Boutique Stock"))</f>
        <v/>
      </c>
      <c r="K413" s="136">
        <f>IF(OpenPendingCases[[#This Row],[Timepiece Reference ]]="", "", IF(_xlfn.XLOOKUP(OpenPendingCases[[#This Row],[Timepiece Reference ]], Table1[[Timepiece Reference ]], Table1[CRC STOCK], "Not Found")="YES", "CRC Stock", "Boutique Stock"))</f>
        <v/>
      </c>
      <c r="L413" s="142" t="n"/>
      <c r="M413" s="140" t="n"/>
      <c r="N413" s="136" t="n"/>
      <c r="O413" s="133" t="n"/>
      <c r="P413" s="93">
        <f>IFERROR(VLOOKUP(TRIM(O413), Collection!$B$2:$D$1001, 2, FALSE), "")</f>
        <v/>
      </c>
      <c r="Q413" s="190">
        <f>IFERROR(VLOOKUP(TRIM(O413), Collection!$B$2:$D$1001, 3, FALSE), "")</f>
        <v/>
      </c>
      <c r="R413" s="153">
        <f>IFERROR(VALUE(SUBSTITUTE(SUBSTITUTE(Q413, "Price", ""), "AED", "")), "")</f>
        <v/>
      </c>
      <c r="S413" s="151" t="n"/>
      <c r="T413" s="158" t="n"/>
      <c r="U413" s="136" t="n"/>
      <c r="V413" s="136" t="n"/>
      <c r="W413" s="156">
        <f>IF(Z413 = "",
"",
TEXT(Z413, "mmmm"))</f>
        <v/>
      </c>
      <c r="X413" s="157" t="n"/>
      <c r="Y413" s="158" t="n"/>
      <c r="Z413" s="158" t="n"/>
      <c r="AA413" s="136">
        <f>IF(H413="", "", IF(U413="Open Sale", IF(TODAY()-H413=0, "0 Days", TEXT(TODAY()-H413, "0") &amp; " Days"), IF(U413="Closed Sale", AA413, "")))</f>
        <v/>
      </c>
      <c r="AB413" s="136">
        <f>IF(H413="", "", IF(OR(U413="Pending", U413="Pending Allocation"), CONCATENATE(TODAY()-H413, " Days"), IF(U413="Closed", "", "")))</f>
        <v/>
      </c>
      <c r="AC413" s="160">
        <f>IF(U413="Pending Allocation", IF(I413="", "", TODAY()-I413), "")</f>
        <v/>
      </c>
      <c r="AD413" s="159">
        <f>IF(U413="Open Sale", TEXT(TODAY()-I413, "0"),
IF(U413="Pending", "",
IF(U413="Closed Sale", "", "")))</f>
        <v/>
      </c>
      <c r="AE413" s="161" t="n"/>
      <c r="AF413" s="161" t="n"/>
      <c r="AG413" s="161" t="n"/>
      <c r="AH413" s="136" t="n"/>
      <c r="AI413" s="164">
        <f>IF(I413="","",TEXT(I413, "mmmm yyyy"))</f>
        <v/>
      </c>
      <c r="AJ413" s="164">
        <f>IF(AND(OpenPendingCases[[#This Row],[Sale Status	]]="Open Sale",OpenPendingCases[[#This Row],[Potential Same Month]]="High"),TEXT(OpenPendingCases[[#This Row],[Request Entry Date]], "[$-en-us]mmmm"),"")</f>
        <v/>
      </c>
      <c r="AK413" s="165">
        <f>IFERROR(VALUE(SUBSTITUTE(OpenPendingCases[[#This Row],[Price]]," AED","")),"")</f>
        <v/>
      </c>
      <c r="AL413" s="165">
        <f>IFERROR(VALUE(LEFT(OpenPendingCases[[#This Row],[Price]],FIND(" ",OpenPendingCases[[#This Row],[Price]])-1)),"")</f>
        <v/>
      </c>
      <c r="AM413" s="165">
        <f>IFERROR(VALUE(_xlfn.TEXTBEFORE(OpenPendingCases[[#This Row],[Price]]," AED")),"")</f>
        <v/>
      </c>
      <c r="AN413" s="165" t="n"/>
    </row>
    <row r="414" hidden="1" ht="18" customHeight="1" s="287">
      <c r="C414" s="133" t="n"/>
      <c r="D414" s="136">
        <f>IF($U414="Open Sale", IF(MAX($D$4:D413)+1=0, "", MAX($D$4:D413)+1), "")</f>
        <v/>
      </c>
      <c r="E414" s="136">
        <f>IF($U414="Pending Allocation", IF(MAX($E$4:E413)+1=0, "", MAX($E$4:E413)+1), "")</f>
        <v/>
      </c>
      <c r="F414" s="136" t="n"/>
      <c r="G414" s="136" t="n"/>
      <c r="H414" s="150" t="n"/>
      <c r="I414" s="150" t="n"/>
      <c r="J414" s="67">
        <f>IF(OpenPendingCases[[#This Row],[Timepiece Reference ]]="", "", IF(_xlfn.XLOOKUP(OpenPendingCases[[#This Row],[Timepiece Reference ]], Table1[[Timepiece Reference ]], Table1[CRC STOCK], "Not Found")="YES", "CRC Stock", "Boutique Stock"))</f>
        <v/>
      </c>
      <c r="K414" s="136">
        <f>IF(OpenPendingCases[[#This Row],[Timepiece Reference ]]="", "", IF(_xlfn.XLOOKUP(OpenPendingCases[[#This Row],[Timepiece Reference ]], Table1[[Timepiece Reference ]], Table1[CRC STOCK], "Not Found")="YES", "CRC Stock", "Boutique Stock"))</f>
        <v/>
      </c>
      <c r="L414" s="142" t="n"/>
      <c r="M414" s="140" t="n"/>
      <c r="N414" s="136" t="n"/>
      <c r="O414" s="133" t="n"/>
      <c r="P414" s="93">
        <f>IFERROR(VLOOKUP(TRIM(O414), Collection!$B$2:$D$1001, 2, FALSE), "")</f>
        <v/>
      </c>
      <c r="Q414" s="190">
        <f>IFERROR(VLOOKUP(TRIM(O414), Collection!$B$2:$D$1001, 3, FALSE), "")</f>
        <v/>
      </c>
      <c r="R414" s="153">
        <f>IFERROR(VALUE(SUBSTITUTE(SUBSTITUTE(Q414, "Price", ""), "AED", "")), "")</f>
        <v/>
      </c>
      <c r="S414" s="151" t="n"/>
      <c r="T414" s="158" t="n"/>
      <c r="U414" s="136" t="n"/>
      <c r="V414" s="136" t="n"/>
      <c r="W414" s="156">
        <f>IF(Z414 = "",
"",
TEXT(Z414, "mmmm"))</f>
        <v/>
      </c>
      <c r="X414" s="157" t="n"/>
      <c r="Y414" s="158" t="n"/>
      <c r="Z414" s="158" t="n"/>
      <c r="AA414" s="136">
        <f>IF(H414="", "", IF(U414="Open Sale", IF(TODAY()-H414=0, "0 Days", TEXT(TODAY()-H414, "0") &amp; " Days"), IF(U414="Closed Sale", AA414, "")))</f>
        <v/>
      </c>
      <c r="AB414" s="136">
        <f>IF(H414="", "", IF(OR(U414="Pending", U414="Pending Allocation"), CONCATENATE(TODAY()-H414, " Days"), IF(U414="Closed", "", "")))</f>
        <v/>
      </c>
      <c r="AC414" s="160">
        <f>IF(U414="Pending Allocation", IF(I414="", "", TODAY()-I414), "")</f>
        <v/>
      </c>
      <c r="AD414" s="159">
        <f>IF(U414="Open Sale", TEXT(TODAY()-I414, "0"),
IF(U414="Pending", "",
IF(U414="Closed Sale", "", "")))</f>
        <v/>
      </c>
      <c r="AE414" s="161" t="n"/>
      <c r="AF414" s="161" t="n"/>
      <c r="AG414" s="161" t="n"/>
      <c r="AH414" s="136" t="n"/>
      <c r="AI414" s="164">
        <f>IF(I414="","",TEXT(I414, "mmmm yyyy"))</f>
        <v/>
      </c>
      <c r="AJ414" s="164">
        <f>IF(AND(OpenPendingCases[[#This Row],[Sale Status	]]="Open Sale",OpenPendingCases[[#This Row],[Potential Same Month]]="High"),TEXT(OpenPendingCases[[#This Row],[Request Entry Date]], "[$-en-us]mmmm"),"")</f>
        <v/>
      </c>
      <c r="AK414" s="165">
        <f>IFERROR(VALUE(SUBSTITUTE(OpenPendingCases[[#This Row],[Price]]," AED","")),"")</f>
        <v/>
      </c>
      <c r="AL414" s="165">
        <f>IFERROR(VALUE(LEFT(OpenPendingCases[[#This Row],[Price]],FIND(" ",OpenPendingCases[[#This Row],[Price]])-1)),"")</f>
        <v/>
      </c>
      <c r="AM414" s="165">
        <f>IFERROR(VALUE(_xlfn.TEXTBEFORE(OpenPendingCases[[#This Row],[Price]]," AED")),"")</f>
        <v/>
      </c>
      <c r="AN414" s="165" t="n"/>
    </row>
    <row r="415" hidden="1" ht="18" customHeight="1" s="287">
      <c r="C415" s="133" t="n"/>
      <c r="D415" s="136">
        <f>IF($U415="Open Sale", IF(MAX($D$4:D414)+1=0, "", MAX($D$4:D414)+1), "")</f>
        <v/>
      </c>
      <c r="E415" s="136">
        <f>IF($U415="Pending Allocation", IF(MAX($E$4:E414)+1=0, "", MAX($E$4:E414)+1), "")</f>
        <v/>
      </c>
      <c r="F415" s="136" t="n"/>
      <c r="G415" s="136" t="n"/>
      <c r="H415" s="150" t="n"/>
      <c r="I415" s="150" t="n"/>
      <c r="J415" s="67">
        <f>IF(OpenPendingCases[[#This Row],[Timepiece Reference ]]="", "", IF(_xlfn.XLOOKUP(OpenPendingCases[[#This Row],[Timepiece Reference ]], Table1[[Timepiece Reference ]], Table1[CRC STOCK], "Not Found")="YES", "CRC Stock", "Boutique Stock"))</f>
        <v/>
      </c>
      <c r="K415" s="136">
        <f>IF(OpenPendingCases[[#This Row],[Timepiece Reference ]]="", "", IF(_xlfn.XLOOKUP(OpenPendingCases[[#This Row],[Timepiece Reference ]], Table1[[Timepiece Reference ]], Table1[CRC STOCK], "Not Found")="YES", "CRC Stock", "Boutique Stock"))</f>
        <v/>
      </c>
      <c r="L415" s="142" t="n"/>
      <c r="M415" s="140" t="n"/>
      <c r="N415" s="136" t="n"/>
      <c r="O415" s="133" t="n"/>
      <c r="P415" s="93">
        <f>IFERROR(VLOOKUP(TRIM(O415), Collection!$B$2:$D$1001, 2, FALSE), "")</f>
        <v/>
      </c>
      <c r="Q415" s="190">
        <f>IFERROR(VLOOKUP(TRIM(O415), Collection!$B$2:$D$1001, 3, FALSE), "")</f>
        <v/>
      </c>
      <c r="R415" s="153">
        <f>IFERROR(VALUE(SUBSTITUTE(SUBSTITUTE(Q415, "Price", ""), "AED", "")), "")</f>
        <v/>
      </c>
      <c r="S415" s="151" t="n"/>
      <c r="T415" s="158" t="n"/>
      <c r="U415" s="136" t="n"/>
      <c r="V415" s="136" t="n"/>
      <c r="W415" s="156">
        <f>IF(Z415 = "",
"",
TEXT(Z415, "mmmm"))</f>
        <v/>
      </c>
      <c r="X415" s="157" t="n"/>
      <c r="Y415" s="158" t="n"/>
      <c r="Z415" s="158" t="n"/>
      <c r="AA415" s="136">
        <f>IF(H415="", "", IF(U415="Open Sale", IF(TODAY()-H415=0, "0 Days", TEXT(TODAY()-H415, "0") &amp; " Days"), IF(U415="Closed Sale", AA415, "")))</f>
        <v/>
      </c>
      <c r="AB415" s="136">
        <f>IF(H415="", "", IF(OR(U415="Pending", U415="Pending Allocation"), CONCATENATE(TODAY()-H415, " Days"), IF(U415="Closed", "", "")))</f>
        <v/>
      </c>
      <c r="AC415" s="160">
        <f>IF(U415="Pending Allocation", IF(I415="", "", TODAY()-I415), "")</f>
        <v/>
      </c>
      <c r="AD415" s="159">
        <f>IF(U415="Open Sale", TEXT(TODAY()-I415, "0"),
IF(U415="Pending", "",
IF(U415="Closed Sale", "", "")))</f>
        <v/>
      </c>
      <c r="AE415" s="161" t="n"/>
      <c r="AF415" s="161" t="n"/>
      <c r="AG415" s="161" t="n"/>
      <c r="AH415" s="136" t="n"/>
      <c r="AI415" s="164">
        <f>IF(I415="","",TEXT(I415, "mmmm yyyy"))</f>
        <v/>
      </c>
      <c r="AJ415" s="164">
        <f>IF(AND(OpenPendingCases[[#This Row],[Sale Status	]]="Open Sale",OpenPendingCases[[#This Row],[Potential Same Month]]="High"),TEXT(OpenPendingCases[[#This Row],[Request Entry Date]], "[$-en-us]mmmm"),"")</f>
        <v/>
      </c>
      <c r="AK415" s="165">
        <f>IFERROR(VALUE(SUBSTITUTE(OpenPendingCases[[#This Row],[Price]]," AED","")),"")</f>
        <v/>
      </c>
      <c r="AL415" s="165">
        <f>IFERROR(VALUE(LEFT(OpenPendingCases[[#This Row],[Price]],FIND(" ",OpenPendingCases[[#This Row],[Price]])-1)),"")</f>
        <v/>
      </c>
      <c r="AM415" s="165">
        <f>IFERROR(VALUE(_xlfn.TEXTBEFORE(OpenPendingCases[[#This Row],[Price]]," AED")),"")</f>
        <v/>
      </c>
      <c r="AN415" s="165" t="n"/>
    </row>
    <row r="416" hidden="1" ht="18" customHeight="1" s="287">
      <c r="C416" s="133" t="n"/>
      <c r="D416" s="136">
        <f>IF($U416="Open Sale", IF(MAX($D$4:D415)+1=0, "", MAX($D$4:D415)+1), "")</f>
        <v/>
      </c>
      <c r="E416" s="136">
        <f>IF($U416="Pending Allocation", IF(MAX($E$4:E415)+1=0, "", MAX($E$4:E415)+1), "")</f>
        <v/>
      </c>
      <c r="F416" s="136" t="n"/>
      <c r="G416" s="136" t="n"/>
      <c r="H416" s="150" t="n"/>
      <c r="I416" s="150" t="n"/>
      <c r="J416" s="67">
        <f>IF(OpenPendingCases[[#This Row],[Timepiece Reference ]]="", "", IF(_xlfn.XLOOKUP(OpenPendingCases[[#This Row],[Timepiece Reference ]], Table1[[Timepiece Reference ]], Table1[CRC STOCK], "Not Found")="YES", "CRC Stock", "Boutique Stock"))</f>
        <v/>
      </c>
      <c r="K416" s="136">
        <f>IF(OpenPendingCases[[#This Row],[Timepiece Reference ]]="", "", IF(_xlfn.XLOOKUP(OpenPendingCases[[#This Row],[Timepiece Reference ]], Table1[[Timepiece Reference ]], Table1[CRC STOCK], "Not Found")="YES", "CRC Stock", "Boutique Stock"))</f>
        <v/>
      </c>
      <c r="L416" s="142" t="n"/>
      <c r="M416" s="140" t="n"/>
      <c r="N416" s="136" t="n"/>
      <c r="O416" s="133" t="n"/>
      <c r="P416" s="93">
        <f>IFERROR(VLOOKUP(TRIM(O416), Collection!$B$2:$D$1001, 2, FALSE), "")</f>
        <v/>
      </c>
      <c r="Q416" s="190">
        <f>IFERROR(VLOOKUP(TRIM(O416), Collection!$B$2:$D$1001, 3, FALSE), "")</f>
        <v/>
      </c>
      <c r="R416" s="153">
        <f>IFERROR(VALUE(SUBSTITUTE(SUBSTITUTE(Q416, "Price", ""), "AED", "")), "")</f>
        <v/>
      </c>
      <c r="S416" s="151" t="n"/>
      <c r="T416" s="158" t="n"/>
      <c r="U416" s="136" t="n"/>
      <c r="V416" s="136" t="n"/>
      <c r="W416" s="156">
        <f>IF(Z416 = "",
"",
TEXT(Z416, "mmmm"))</f>
        <v/>
      </c>
      <c r="X416" s="157" t="n"/>
      <c r="Y416" s="158" t="n"/>
      <c r="Z416" s="158" t="n"/>
      <c r="AA416" s="136">
        <f>IF(H416="", "", IF(U416="Open Sale", IF(TODAY()-H416=0, "0 Days", TEXT(TODAY()-H416, "0") &amp; " Days"), IF(U416="Closed Sale", AA416, "")))</f>
        <v/>
      </c>
      <c r="AB416" s="136">
        <f>IF(H416="", "", IF(OR(U416="Pending", U416="Pending Allocation"), CONCATENATE(TODAY()-H416, " Days"), IF(U416="Closed", "", "")))</f>
        <v/>
      </c>
      <c r="AC416" s="160">
        <f>IF(U416="Pending Allocation", IF(I416="", "", TODAY()-I416), "")</f>
        <v/>
      </c>
      <c r="AD416" s="159">
        <f>IF(U416="Open Sale", TEXT(TODAY()-I416, "0"),
IF(U416="Pending", "",
IF(U416="Closed Sale", "", "")))</f>
        <v/>
      </c>
      <c r="AE416" s="161" t="n"/>
      <c r="AF416" s="161" t="n"/>
      <c r="AG416" s="161" t="n"/>
      <c r="AH416" s="136" t="n"/>
      <c r="AI416" s="164">
        <f>IF(I416="","",TEXT(I416, "mmmm yyyy"))</f>
        <v/>
      </c>
      <c r="AJ416" s="164">
        <f>IF(AND(OpenPendingCases[[#This Row],[Sale Status	]]="Open Sale",OpenPendingCases[[#This Row],[Potential Same Month]]="High"),TEXT(OpenPendingCases[[#This Row],[Request Entry Date]], "[$-en-us]mmmm"),"")</f>
        <v/>
      </c>
      <c r="AK416" s="165">
        <f>IFERROR(VALUE(SUBSTITUTE(OpenPendingCases[[#This Row],[Price]]," AED","")),"")</f>
        <v/>
      </c>
      <c r="AL416" s="165">
        <f>IFERROR(VALUE(LEFT(OpenPendingCases[[#This Row],[Price]],FIND(" ",OpenPendingCases[[#This Row],[Price]])-1)),"")</f>
        <v/>
      </c>
      <c r="AM416" s="165">
        <f>IFERROR(VALUE(_xlfn.TEXTBEFORE(OpenPendingCases[[#This Row],[Price]]," AED")),"")</f>
        <v/>
      </c>
      <c r="AN416" s="165" t="n"/>
    </row>
    <row r="417" hidden="1" ht="18" customHeight="1" s="287">
      <c r="C417" s="133" t="n"/>
      <c r="D417" s="136">
        <f>IF($U417="Open Sale", IF(MAX($D$4:D416)+1=0, "", MAX($D$4:D416)+1), "")</f>
        <v/>
      </c>
      <c r="E417" s="136">
        <f>IF($U417="Pending Allocation", IF(MAX($E$4:E416)+1=0, "", MAX($E$4:E416)+1), "")</f>
        <v/>
      </c>
      <c r="F417" s="136" t="n"/>
      <c r="G417" s="136" t="n"/>
      <c r="H417" s="150" t="n"/>
      <c r="I417" s="150" t="n"/>
      <c r="J417" s="67">
        <f>IF(OpenPendingCases[[#This Row],[Timepiece Reference ]]="", "", IF(_xlfn.XLOOKUP(OpenPendingCases[[#This Row],[Timepiece Reference ]], Table1[[Timepiece Reference ]], Table1[CRC STOCK], "Not Found")="YES", "CRC Stock", "Boutique Stock"))</f>
        <v/>
      </c>
      <c r="K417" s="136">
        <f>IF(OpenPendingCases[[#This Row],[Timepiece Reference ]]="", "", IF(_xlfn.XLOOKUP(OpenPendingCases[[#This Row],[Timepiece Reference ]], Table1[[Timepiece Reference ]], Table1[CRC STOCK], "Not Found")="YES", "CRC Stock", "Boutique Stock"))</f>
        <v/>
      </c>
      <c r="L417" s="142" t="n"/>
      <c r="M417" s="140" t="n"/>
      <c r="N417" s="136" t="n"/>
      <c r="O417" s="133" t="n"/>
      <c r="P417" s="93">
        <f>IFERROR(VLOOKUP(TRIM(O417), Collection!$B$2:$D$1001, 2, FALSE), "")</f>
        <v/>
      </c>
      <c r="Q417" s="190">
        <f>IFERROR(VLOOKUP(TRIM(O417), Collection!$B$2:$D$1001, 3, FALSE), "")</f>
        <v/>
      </c>
      <c r="R417" s="153">
        <f>IFERROR(VALUE(SUBSTITUTE(SUBSTITUTE(Q417, "Price", ""), "AED", "")), "")</f>
        <v/>
      </c>
      <c r="S417" s="151" t="n"/>
      <c r="T417" s="158" t="n"/>
      <c r="U417" s="136" t="n"/>
      <c r="V417" s="136" t="n"/>
      <c r="W417" s="156">
        <f>IF(Z417 = "",
"",
TEXT(Z417, "mmmm"))</f>
        <v/>
      </c>
      <c r="X417" s="157" t="n"/>
      <c r="Y417" s="158" t="n"/>
      <c r="Z417" s="158" t="n"/>
      <c r="AA417" s="136">
        <f>IF(H417="", "", IF(U417="Open Sale", IF(TODAY()-H417=0, "0 Days", TEXT(TODAY()-H417, "0") &amp; " Days"), IF(U417="Closed Sale", AA417, "")))</f>
        <v/>
      </c>
      <c r="AB417" s="136">
        <f>IF(H417="", "", IF(OR(U417="Pending", U417="Pending Allocation"), CONCATENATE(TODAY()-H417, " Days"), IF(U417="Closed", "", "")))</f>
        <v/>
      </c>
      <c r="AC417" s="160">
        <f>IF(U417="Pending Allocation", IF(I417="", "", TODAY()-I417), "")</f>
        <v/>
      </c>
      <c r="AD417" s="159">
        <f>IF(U417="Open Sale", TEXT(TODAY()-I417, "0"),
IF(U417="Pending", "",
IF(U417="Closed Sale", "", "")))</f>
        <v/>
      </c>
      <c r="AE417" s="161" t="n"/>
      <c r="AF417" s="161" t="n"/>
      <c r="AG417" s="161" t="n"/>
      <c r="AH417" s="136" t="n"/>
      <c r="AI417" s="164">
        <f>IF(I417="","",TEXT(I417, "mmmm yyyy"))</f>
        <v/>
      </c>
      <c r="AJ417" s="164">
        <f>IF(AND(OpenPendingCases[[#This Row],[Sale Status	]]="Open Sale",OpenPendingCases[[#This Row],[Potential Same Month]]="High"),TEXT(OpenPendingCases[[#This Row],[Request Entry Date]], "[$-en-us]mmmm"),"")</f>
        <v/>
      </c>
      <c r="AK417" s="165">
        <f>IFERROR(VALUE(SUBSTITUTE(OpenPendingCases[[#This Row],[Price]]," AED","")),"")</f>
        <v/>
      </c>
      <c r="AL417" s="165">
        <f>IFERROR(VALUE(LEFT(OpenPendingCases[[#This Row],[Price]],FIND(" ",OpenPendingCases[[#This Row],[Price]])-1)),"")</f>
        <v/>
      </c>
      <c r="AM417" s="165">
        <f>IFERROR(VALUE(_xlfn.TEXTBEFORE(OpenPendingCases[[#This Row],[Price]]," AED")),"")</f>
        <v/>
      </c>
      <c r="AN417" s="165" t="n"/>
    </row>
    <row r="418" hidden="1" ht="18" customHeight="1" s="287">
      <c r="C418" s="133" t="n"/>
      <c r="D418" s="136">
        <f>IF($U418="Open Sale", IF(MAX($D$4:D417)+1=0, "", MAX($D$4:D417)+1), "")</f>
        <v/>
      </c>
      <c r="E418" s="136">
        <f>IF($U418="Pending Allocation", IF(MAX($E$4:E417)+1=0, "", MAX($E$4:E417)+1), "")</f>
        <v/>
      </c>
      <c r="F418" s="136" t="n"/>
      <c r="G418" s="136" t="n"/>
      <c r="H418" s="150" t="n"/>
      <c r="I418" s="150" t="n"/>
      <c r="J418" s="67">
        <f>IF(OpenPendingCases[[#This Row],[Timepiece Reference ]]="", "", IF(_xlfn.XLOOKUP(OpenPendingCases[[#This Row],[Timepiece Reference ]], Table1[[Timepiece Reference ]], Table1[CRC STOCK], "Not Found")="YES", "CRC Stock", "Boutique Stock"))</f>
        <v/>
      </c>
      <c r="K418" s="136">
        <f>IF(OpenPendingCases[[#This Row],[Timepiece Reference ]]="", "", IF(_xlfn.XLOOKUP(OpenPendingCases[[#This Row],[Timepiece Reference ]], Table1[[Timepiece Reference ]], Table1[CRC STOCK], "Not Found")="YES", "CRC Stock", "Boutique Stock"))</f>
        <v/>
      </c>
      <c r="L418" s="142" t="n"/>
      <c r="M418" s="140" t="n"/>
      <c r="N418" s="136" t="n"/>
      <c r="O418" s="133" t="n"/>
      <c r="P418" s="93">
        <f>IFERROR(VLOOKUP(TRIM(O418), Collection!$B$2:$D$1001, 2, FALSE), "")</f>
        <v/>
      </c>
      <c r="Q418" s="190">
        <f>IFERROR(VLOOKUP(TRIM(O418), Collection!$B$2:$D$1001, 3, FALSE), "")</f>
        <v/>
      </c>
      <c r="R418" s="153">
        <f>IFERROR(VALUE(SUBSTITUTE(SUBSTITUTE(Q418, "Price", ""), "AED", "")), "")</f>
        <v/>
      </c>
      <c r="S418" s="151" t="n"/>
      <c r="T418" s="158" t="n"/>
      <c r="U418" s="136" t="n"/>
      <c r="V418" s="136" t="n"/>
      <c r="W418" s="156">
        <f>IF(Z418 = "",
"",
TEXT(Z418, "mmmm"))</f>
        <v/>
      </c>
      <c r="X418" s="157" t="n"/>
      <c r="Y418" s="158" t="n"/>
      <c r="Z418" s="158" t="n"/>
      <c r="AA418" s="136">
        <f>IF(H418="", "", IF(U418="Open Sale", IF(TODAY()-H418=0, "0 Days", TEXT(TODAY()-H418, "0") &amp; " Days"), IF(U418="Closed Sale", AA418, "")))</f>
        <v/>
      </c>
      <c r="AB418" s="136">
        <f>IF(H418="", "", IF(OR(U418="Pending", U418="Pending Allocation"), CONCATENATE(TODAY()-H418, " Days"), IF(U418="Closed", "", "")))</f>
        <v/>
      </c>
      <c r="AC418" s="160">
        <f>IF(U418="Pending Allocation", IF(I418="", "", TODAY()-I418), "")</f>
        <v/>
      </c>
      <c r="AD418" s="159">
        <f>IF(U418="Open Sale", TEXT(TODAY()-I418, "0"),
IF(U418="Pending", "",
IF(U418="Closed Sale", "", "")))</f>
        <v/>
      </c>
      <c r="AE418" s="161" t="n"/>
      <c r="AF418" s="161" t="n"/>
      <c r="AG418" s="161" t="n"/>
      <c r="AH418" s="136" t="n"/>
      <c r="AI418" s="164">
        <f>IF(I418="","",TEXT(I418, "mmmm yyyy"))</f>
        <v/>
      </c>
      <c r="AJ418" s="164">
        <f>IF(AND(OpenPendingCases[[#This Row],[Sale Status	]]="Open Sale",OpenPendingCases[[#This Row],[Potential Same Month]]="High"),TEXT(OpenPendingCases[[#This Row],[Request Entry Date]], "[$-en-us]mmmm"),"")</f>
        <v/>
      </c>
      <c r="AK418" s="165">
        <f>IFERROR(VALUE(SUBSTITUTE(OpenPendingCases[[#This Row],[Price]]," AED","")),"")</f>
        <v/>
      </c>
      <c r="AL418" s="165">
        <f>IFERROR(VALUE(LEFT(OpenPendingCases[[#This Row],[Price]],FIND(" ",OpenPendingCases[[#This Row],[Price]])-1)),"")</f>
        <v/>
      </c>
      <c r="AM418" s="165">
        <f>IFERROR(VALUE(_xlfn.TEXTBEFORE(OpenPendingCases[[#This Row],[Price]]," AED")),"")</f>
        <v/>
      </c>
      <c r="AN418" s="165" t="n"/>
    </row>
    <row r="419" hidden="1" ht="18" customHeight="1" s="287">
      <c r="C419" s="133" t="n"/>
      <c r="D419" s="136">
        <f>IF($U419="Open Sale", IF(MAX($D$4:D418)+1=0, "", MAX($D$4:D418)+1), "")</f>
        <v/>
      </c>
      <c r="E419" s="136">
        <f>IF($U419="Pending Allocation", IF(MAX($E$4:E418)+1=0, "", MAX($E$4:E418)+1), "")</f>
        <v/>
      </c>
      <c r="F419" s="136" t="n"/>
      <c r="G419" s="136" t="n"/>
      <c r="H419" s="150" t="n"/>
      <c r="I419" s="150" t="n"/>
      <c r="J419" s="67">
        <f>IF(OpenPendingCases[[#This Row],[Timepiece Reference ]]="", "", IF(_xlfn.XLOOKUP(OpenPendingCases[[#This Row],[Timepiece Reference ]], Table1[[Timepiece Reference ]], Table1[CRC STOCK], "Not Found")="YES", "CRC Stock", "Boutique Stock"))</f>
        <v/>
      </c>
      <c r="K419" s="136">
        <f>IF(OpenPendingCases[[#This Row],[Timepiece Reference ]]="", "", IF(_xlfn.XLOOKUP(OpenPendingCases[[#This Row],[Timepiece Reference ]], Table1[[Timepiece Reference ]], Table1[CRC STOCK], "Not Found")="YES", "CRC Stock", "Boutique Stock"))</f>
        <v/>
      </c>
      <c r="L419" s="142" t="n"/>
      <c r="M419" s="140" t="n"/>
      <c r="N419" s="136" t="n"/>
      <c r="O419" s="133" t="n"/>
      <c r="P419" s="93">
        <f>IFERROR(VLOOKUP(TRIM(O419), Collection!$B$2:$D$1001, 2, FALSE), "")</f>
        <v/>
      </c>
      <c r="Q419" s="190">
        <f>IFERROR(VLOOKUP(TRIM(O419), Collection!$B$2:$D$1001, 3, FALSE), "")</f>
        <v/>
      </c>
      <c r="R419" s="153">
        <f>IFERROR(VALUE(SUBSTITUTE(SUBSTITUTE(Q419, "Price", ""), "AED", "")), "")</f>
        <v/>
      </c>
      <c r="S419" s="151" t="n"/>
      <c r="T419" s="158" t="n"/>
      <c r="U419" s="136" t="n"/>
      <c r="V419" s="136" t="n"/>
      <c r="W419" s="156">
        <f>IF(Z419 = "",
"",
TEXT(Z419, "mmmm"))</f>
        <v/>
      </c>
      <c r="X419" s="157" t="n"/>
      <c r="Y419" s="158" t="n"/>
      <c r="Z419" s="158" t="n"/>
      <c r="AA419" s="136">
        <f>IF(H419="", "", IF(U419="Open Sale", IF(TODAY()-H419=0, "0 Days", TEXT(TODAY()-H419, "0") &amp; " Days"), IF(U419="Closed Sale", AA419, "")))</f>
        <v/>
      </c>
      <c r="AB419" s="136">
        <f>IF(H419="", "", IF(OR(U419="Pending", U419="Pending Allocation"), CONCATENATE(TODAY()-H419, " Days"), IF(U419="Closed", "", "")))</f>
        <v/>
      </c>
      <c r="AC419" s="160">
        <f>IF(U419="Pending Allocation", IF(I419="", "", TODAY()-I419), "")</f>
        <v/>
      </c>
      <c r="AD419" s="159">
        <f>IF(U419="Open Sale", TEXT(TODAY()-I419, "0"),
IF(U419="Pending", "",
IF(U419="Closed Sale", "", "")))</f>
        <v/>
      </c>
      <c r="AE419" s="161" t="n"/>
      <c r="AF419" s="161" t="n"/>
      <c r="AG419" s="161" t="n"/>
      <c r="AH419" s="136" t="n"/>
      <c r="AI419" s="164">
        <f>IF(I419="","",TEXT(I419, "mmmm yyyy"))</f>
        <v/>
      </c>
      <c r="AJ419" s="164">
        <f>IF(AND(OpenPendingCases[[#This Row],[Sale Status	]]="Open Sale",OpenPendingCases[[#This Row],[Potential Same Month]]="High"),TEXT(OpenPendingCases[[#This Row],[Request Entry Date]], "[$-en-us]mmmm"),"")</f>
        <v/>
      </c>
      <c r="AK419" s="165">
        <f>IFERROR(VALUE(SUBSTITUTE(OpenPendingCases[[#This Row],[Price]]," AED","")),"")</f>
        <v/>
      </c>
      <c r="AL419" s="165">
        <f>IFERROR(VALUE(LEFT(OpenPendingCases[[#This Row],[Price]],FIND(" ",OpenPendingCases[[#This Row],[Price]])-1)),"")</f>
        <v/>
      </c>
      <c r="AM419" s="165">
        <f>IFERROR(VALUE(_xlfn.TEXTBEFORE(OpenPendingCases[[#This Row],[Price]]," AED")),"")</f>
        <v/>
      </c>
      <c r="AN419" s="165" t="n"/>
    </row>
    <row r="420" hidden="1" ht="18" customHeight="1" s="287">
      <c r="C420" s="133" t="n"/>
      <c r="D420" s="136">
        <f>IF($U420="Open Sale", IF(MAX($D$4:D419)+1=0, "", MAX($D$4:D419)+1), "")</f>
        <v/>
      </c>
      <c r="E420" s="136">
        <f>IF($U420="Pending Allocation", IF(MAX($E$4:E419)+1=0, "", MAX($E$4:E419)+1), "")</f>
        <v/>
      </c>
      <c r="F420" s="136" t="n"/>
      <c r="G420" s="136" t="n"/>
      <c r="H420" s="150" t="n"/>
      <c r="I420" s="150" t="n"/>
      <c r="J420" s="67">
        <f>IF(OpenPendingCases[[#This Row],[Timepiece Reference ]]="", "", IF(_xlfn.XLOOKUP(OpenPendingCases[[#This Row],[Timepiece Reference ]], Table1[[Timepiece Reference ]], Table1[CRC STOCK], "Not Found")="YES", "CRC Stock", "Boutique Stock"))</f>
        <v/>
      </c>
      <c r="K420" s="136">
        <f>IF(OpenPendingCases[[#This Row],[Timepiece Reference ]]="", "", IF(_xlfn.XLOOKUP(OpenPendingCases[[#This Row],[Timepiece Reference ]], Table1[[Timepiece Reference ]], Table1[CRC STOCK], "Not Found")="YES", "CRC Stock", "Boutique Stock"))</f>
        <v/>
      </c>
      <c r="L420" s="142" t="n"/>
      <c r="M420" s="140" t="n"/>
      <c r="N420" s="136" t="n"/>
      <c r="O420" s="133" t="n"/>
      <c r="P420" s="93">
        <f>IFERROR(VLOOKUP(TRIM(O420), Collection!$B$2:$D$1001, 2, FALSE), "")</f>
        <v/>
      </c>
      <c r="Q420" s="190">
        <f>IFERROR(VLOOKUP(TRIM(O420), Collection!$B$2:$D$1001, 3, FALSE), "")</f>
        <v/>
      </c>
      <c r="R420" s="153">
        <f>IFERROR(VALUE(SUBSTITUTE(SUBSTITUTE(Q420, "Price", ""), "AED", "")), "")</f>
        <v/>
      </c>
      <c r="S420" s="151" t="n"/>
      <c r="T420" s="158" t="n"/>
      <c r="U420" s="136" t="n"/>
      <c r="V420" s="136" t="n"/>
      <c r="W420" s="156">
        <f>IF(Z420 = "",
"",
TEXT(Z420, "mmmm"))</f>
        <v/>
      </c>
      <c r="X420" s="157" t="n"/>
      <c r="Y420" s="158" t="n"/>
      <c r="Z420" s="158" t="n"/>
      <c r="AA420" s="136">
        <f>IF(H420="", "", IF(U420="Open Sale", IF(TODAY()-H420=0, "0 Days", TEXT(TODAY()-H420, "0") &amp; " Days"), IF(U420="Closed Sale", AA420, "")))</f>
        <v/>
      </c>
      <c r="AB420" s="136">
        <f>IF(H420="", "", IF(OR(U420="Pending", U420="Pending Allocation"), CONCATENATE(TODAY()-H420, " Days"), IF(U420="Closed", "", "")))</f>
        <v/>
      </c>
      <c r="AC420" s="160">
        <f>IF(U420="Pending Allocation", IF(I420="", "", TODAY()-I420), "")</f>
        <v/>
      </c>
      <c r="AD420" s="159">
        <f>IF(U420="Open Sale", TEXT(TODAY()-I420, "0"),
IF(U420="Pending", "",
IF(U420="Closed Sale", "", "")))</f>
        <v/>
      </c>
      <c r="AE420" s="161" t="n"/>
      <c r="AF420" s="161" t="n"/>
      <c r="AG420" s="161" t="n"/>
      <c r="AH420" s="136" t="n"/>
      <c r="AI420" s="164">
        <f>IF(I420="","",TEXT(I420, "mmmm yyyy"))</f>
        <v/>
      </c>
      <c r="AJ420" s="164">
        <f>IF(AND(OpenPendingCases[[#This Row],[Sale Status	]]="Open Sale",OpenPendingCases[[#This Row],[Potential Same Month]]="High"),TEXT(OpenPendingCases[[#This Row],[Request Entry Date]], "[$-en-us]mmmm"),"")</f>
        <v/>
      </c>
      <c r="AK420" s="165">
        <f>IFERROR(VALUE(SUBSTITUTE(OpenPendingCases[[#This Row],[Price]]," AED","")),"")</f>
        <v/>
      </c>
      <c r="AL420" s="165">
        <f>IFERROR(VALUE(LEFT(OpenPendingCases[[#This Row],[Price]],FIND(" ",OpenPendingCases[[#This Row],[Price]])-1)),"")</f>
        <v/>
      </c>
      <c r="AM420" s="165">
        <f>IFERROR(VALUE(_xlfn.TEXTBEFORE(OpenPendingCases[[#This Row],[Price]]," AED")),"")</f>
        <v/>
      </c>
      <c r="AN420" s="165" t="n"/>
    </row>
    <row r="421" hidden="1" ht="18" customHeight="1" s="287">
      <c r="C421" s="133" t="n"/>
      <c r="D421" s="136">
        <f>IF($U421="Open Sale", IF(MAX($D$4:D420)+1=0, "", MAX($D$4:D420)+1), "")</f>
        <v/>
      </c>
      <c r="E421" s="136">
        <f>IF($U421="Pending Allocation", IF(MAX($E$4:E420)+1=0, "", MAX($E$4:E420)+1), "")</f>
        <v/>
      </c>
      <c r="F421" s="136" t="n"/>
      <c r="G421" s="136" t="n"/>
      <c r="H421" s="150" t="n"/>
      <c r="I421" s="150" t="n"/>
      <c r="J421" s="67">
        <f>IF(OpenPendingCases[[#This Row],[Timepiece Reference ]]="", "", IF(_xlfn.XLOOKUP(OpenPendingCases[[#This Row],[Timepiece Reference ]], Table1[[Timepiece Reference ]], Table1[CRC STOCK], "Not Found")="YES", "CRC Stock", "Boutique Stock"))</f>
        <v/>
      </c>
      <c r="K421" s="136">
        <f>IF(OpenPendingCases[[#This Row],[Timepiece Reference ]]="", "", IF(_xlfn.XLOOKUP(OpenPendingCases[[#This Row],[Timepiece Reference ]], Table1[[Timepiece Reference ]], Table1[CRC STOCK], "Not Found")="YES", "CRC Stock", "Boutique Stock"))</f>
        <v/>
      </c>
      <c r="L421" s="142" t="n"/>
      <c r="M421" s="140" t="n"/>
      <c r="N421" s="136" t="n"/>
      <c r="O421" s="133" t="n"/>
      <c r="P421" s="93">
        <f>IFERROR(VLOOKUP(TRIM(O421), Collection!$B$2:$D$1001, 2, FALSE), "")</f>
        <v/>
      </c>
      <c r="Q421" s="190">
        <f>IFERROR(VLOOKUP(TRIM(O421), Collection!$B$2:$D$1001, 3, FALSE), "")</f>
        <v/>
      </c>
      <c r="R421" s="153">
        <f>IFERROR(VALUE(SUBSTITUTE(SUBSTITUTE(Q421, "Price", ""), "AED", "")), "")</f>
        <v/>
      </c>
      <c r="S421" s="151" t="n"/>
      <c r="T421" s="158" t="n"/>
      <c r="U421" s="136" t="n"/>
      <c r="V421" s="136" t="n"/>
      <c r="W421" s="156">
        <f>IF(Z421 = "",
"",
TEXT(Z421, "mmmm"))</f>
        <v/>
      </c>
      <c r="X421" s="157" t="n"/>
      <c r="Y421" s="158" t="n"/>
      <c r="Z421" s="158" t="n"/>
      <c r="AA421" s="136">
        <f>IF(H421="", "", IF(U421="Open Sale", IF(TODAY()-H421=0, "0 Days", TEXT(TODAY()-H421, "0") &amp; " Days"), IF(U421="Closed Sale", AA421, "")))</f>
        <v/>
      </c>
      <c r="AB421" s="136">
        <f>IF(H421="", "", IF(OR(U421="Pending", U421="Pending Allocation"), CONCATENATE(TODAY()-H421, " Days"), IF(U421="Closed", "", "")))</f>
        <v/>
      </c>
      <c r="AC421" s="160">
        <f>IF(U421="Pending Allocation", IF(I421="", "", TODAY()-I421), "")</f>
        <v/>
      </c>
      <c r="AD421" s="159">
        <f>IF(U421="Open Sale", TEXT(TODAY()-I421, "0"),
IF(U421="Pending", "",
IF(U421="Closed Sale", "", "")))</f>
        <v/>
      </c>
      <c r="AE421" s="161" t="n"/>
      <c r="AF421" s="161" t="n"/>
      <c r="AG421" s="161" t="n"/>
      <c r="AH421" s="136" t="n"/>
      <c r="AI421" s="164">
        <f>IF(I421="","",TEXT(I421, "mmmm yyyy"))</f>
        <v/>
      </c>
      <c r="AJ421" s="164">
        <f>IF(AND(OpenPendingCases[[#This Row],[Sale Status	]]="Open Sale",OpenPendingCases[[#This Row],[Potential Same Month]]="High"),TEXT(OpenPendingCases[[#This Row],[Request Entry Date]], "[$-en-us]mmmm"),"")</f>
        <v/>
      </c>
      <c r="AK421" s="165">
        <f>IFERROR(VALUE(SUBSTITUTE(OpenPendingCases[[#This Row],[Price]]," AED","")),"")</f>
        <v/>
      </c>
      <c r="AL421" s="165">
        <f>IFERROR(VALUE(LEFT(OpenPendingCases[[#This Row],[Price]],FIND(" ",OpenPendingCases[[#This Row],[Price]])-1)),"")</f>
        <v/>
      </c>
      <c r="AM421" s="165">
        <f>IFERROR(VALUE(_xlfn.TEXTBEFORE(OpenPendingCases[[#This Row],[Price]]," AED")),"")</f>
        <v/>
      </c>
      <c r="AN421" s="165" t="n"/>
    </row>
    <row r="422" hidden="1" ht="18" customHeight="1" s="287">
      <c r="C422" s="133" t="n"/>
      <c r="D422" s="136">
        <f>IF($U422="Open Sale", IF(MAX($D$4:D421)+1=0, "", MAX($D$4:D421)+1), "")</f>
        <v/>
      </c>
      <c r="E422" s="136">
        <f>IF($U422="Pending Allocation", IF(MAX($E$4:E421)+1=0, "", MAX($E$4:E421)+1), "")</f>
        <v/>
      </c>
      <c r="F422" s="136" t="n"/>
      <c r="G422" s="136" t="n"/>
      <c r="H422" s="150" t="n"/>
      <c r="I422" s="150" t="n"/>
      <c r="J422" s="67">
        <f>IF(OpenPendingCases[[#This Row],[Timepiece Reference ]]="", "", IF(_xlfn.XLOOKUP(OpenPendingCases[[#This Row],[Timepiece Reference ]], Table1[[Timepiece Reference ]], Table1[CRC STOCK], "Not Found")="YES", "CRC Stock", "Boutique Stock"))</f>
        <v/>
      </c>
      <c r="K422" s="136">
        <f>IF(OpenPendingCases[[#This Row],[Timepiece Reference ]]="", "", IF(_xlfn.XLOOKUP(OpenPendingCases[[#This Row],[Timepiece Reference ]], Table1[[Timepiece Reference ]], Table1[CRC STOCK], "Not Found")="YES", "CRC Stock", "Boutique Stock"))</f>
        <v/>
      </c>
      <c r="L422" s="142" t="n"/>
      <c r="M422" s="140" t="n"/>
      <c r="N422" s="136" t="n"/>
      <c r="O422" s="133" t="n"/>
      <c r="P422" s="93">
        <f>IFERROR(VLOOKUP(TRIM(O422), Collection!$B$2:$D$1001, 2, FALSE), "")</f>
        <v/>
      </c>
      <c r="Q422" s="190">
        <f>IFERROR(VLOOKUP(TRIM(O422), Collection!$B$2:$D$1001, 3, FALSE), "")</f>
        <v/>
      </c>
      <c r="R422" s="153">
        <f>IFERROR(VALUE(SUBSTITUTE(SUBSTITUTE(Q422, "Price", ""), "AED", "")), "")</f>
        <v/>
      </c>
      <c r="S422" s="151" t="n"/>
      <c r="T422" s="158" t="n"/>
      <c r="U422" s="136" t="n"/>
      <c r="V422" s="136" t="n"/>
      <c r="W422" s="156">
        <f>IF(Z422 = "",
"",
TEXT(Z422, "mmmm"))</f>
        <v/>
      </c>
      <c r="X422" s="157" t="n"/>
      <c r="Y422" s="158" t="n"/>
      <c r="Z422" s="158" t="n"/>
      <c r="AA422" s="136">
        <f>IF(H422="", "", IF(U422="Open Sale", IF(TODAY()-H422=0, "0 Days", TEXT(TODAY()-H422, "0") &amp; " Days"), IF(U422="Closed Sale", AA422, "")))</f>
        <v/>
      </c>
      <c r="AB422" s="136">
        <f>IF(H422="", "", IF(OR(U422="Pending", U422="Pending Allocation"), CONCATENATE(TODAY()-H422, " Days"), IF(U422="Closed", "", "")))</f>
        <v/>
      </c>
      <c r="AC422" s="160">
        <f>IF(U422="Pending Allocation", IF(I422="", "", TODAY()-I422), "")</f>
        <v/>
      </c>
      <c r="AD422" s="159">
        <f>IF(U422="Open Sale", TEXT(TODAY()-I422, "0"),
IF(U422="Pending", "",
IF(U422="Closed Sale", "", "")))</f>
        <v/>
      </c>
      <c r="AE422" s="161" t="n"/>
      <c r="AF422" s="161" t="n"/>
      <c r="AG422" s="161" t="n"/>
      <c r="AH422" s="136" t="n"/>
      <c r="AI422" s="164">
        <f>IF(I422="","",TEXT(I422, "mmmm yyyy"))</f>
        <v/>
      </c>
      <c r="AJ422" s="164">
        <f>IF(AND(OpenPendingCases[[#This Row],[Sale Status	]]="Open Sale",OpenPendingCases[[#This Row],[Potential Same Month]]="High"),TEXT(OpenPendingCases[[#This Row],[Request Entry Date]], "[$-en-us]mmmm"),"")</f>
        <v/>
      </c>
      <c r="AK422" s="165">
        <f>IFERROR(VALUE(SUBSTITUTE(OpenPendingCases[[#This Row],[Price]]," AED","")),"")</f>
        <v/>
      </c>
      <c r="AL422" s="165">
        <f>IFERROR(VALUE(LEFT(OpenPendingCases[[#This Row],[Price]],FIND(" ",OpenPendingCases[[#This Row],[Price]])-1)),"")</f>
        <v/>
      </c>
      <c r="AM422" s="165">
        <f>IFERROR(VALUE(_xlfn.TEXTBEFORE(OpenPendingCases[[#This Row],[Price]]," AED")),"")</f>
        <v/>
      </c>
      <c r="AN422" s="165" t="n"/>
    </row>
    <row r="423" hidden="1" ht="18" customHeight="1" s="287">
      <c r="C423" s="133" t="n"/>
      <c r="D423" s="136">
        <f>IF($U423="Open Sale", IF(MAX($D$4:D422)+1=0, "", MAX($D$4:D422)+1), "")</f>
        <v/>
      </c>
      <c r="E423" s="136">
        <f>IF($U423="Pending Allocation", IF(MAX($E$4:E422)+1=0, "", MAX($E$4:E422)+1), "")</f>
        <v/>
      </c>
      <c r="F423" s="136" t="n"/>
      <c r="G423" s="136" t="n"/>
      <c r="H423" s="150" t="n"/>
      <c r="I423" s="150" t="n"/>
      <c r="J423" s="67">
        <f>IF(OpenPendingCases[[#This Row],[Timepiece Reference ]]="", "", IF(_xlfn.XLOOKUP(OpenPendingCases[[#This Row],[Timepiece Reference ]], Table1[[Timepiece Reference ]], Table1[CRC STOCK], "Not Found")="YES", "CRC Stock", "Boutique Stock"))</f>
        <v/>
      </c>
      <c r="K423" s="136">
        <f>IF(OpenPendingCases[[#This Row],[Timepiece Reference ]]="", "", IF(_xlfn.XLOOKUP(OpenPendingCases[[#This Row],[Timepiece Reference ]], Table1[[Timepiece Reference ]], Table1[CRC STOCK], "Not Found")="YES", "CRC Stock", "Boutique Stock"))</f>
        <v/>
      </c>
      <c r="L423" s="142" t="n"/>
      <c r="M423" s="140" t="n"/>
      <c r="N423" s="136" t="n"/>
      <c r="O423" s="133" t="n"/>
      <c r="P423" s="93">
        <f>IFERROR(VLOOKUP(TRIM(O423), Collection!$B$2:$D$1001, 2, FALSE), "")</f>
        <v/>
      </c>
      <c r="Q423" s="190">
        <f>IFERROR(VLOOKUP(TRIM(O423), Collection!$B$2:$D$1001, 3, FALSE), "")</f>
        <v/>
      </c>
      <c r="R423" s="153">
        <f>IFERROR(VALUE(SUBSTITUTE(SUBSTITUTE(Q423, "Price", ""), "AED", "")), "")</f>
        <v/>
      </c>
      <c r="S423" s="151" t="n"/>
      <c r="T423" s="158" t="n"/>
      <c r="U423" s="136" t="n"/>
      <c r="V423" s="136" t="n"/>
      <c r="W423" s="156">
        <f>IF(Z423 = "",
"",
TEXT(Z423, "mmmm"))</f>
        <v/>
      </c>
      <c r="X423" s="157" t="n"/>
      <c r="Y423" s="158" t="n"/>
      <c r="Z423" s="158" t="n"/>
      <c r="AA423" s="136">
        <f>IF(H423="", "", IF(U423="Open Sale", IF(TODAY()-H423=0, "0 Days", TEXT(TODAY()-H423, "0") &amp; " Days"), IF(U423="Closed Sale", AA423, "")))</f>
        <v/>
      </c>
      <c r="AB423" s="136">
        <f>IF(H423="", "", IF(OR(U423="Pending", U423="Pending Allocation"), CONCATENATE(TODAY()-H423, " Days"), IF(U423="Closed", "", "")))</f>
        <v/>
      </c>
      <c r="AC423" s="160">
        <f>IF(U423="Pending Allocation", IF(I423="", "", TODAY()-I423), "")</f>
        <v/>
      </c>
      <c r="AD423" s="159">
        <f>IF(U423="Open Sale", TEXT(TODAY()-I423, "0"),
IF(U423="Pending", "",
IF(U423="Closed Sale", "", "")))</f>
        <v/>
      </c>
      <c r="AE423" s="161" t="n"/>
      <c r="AF423" s="161" t="n"/>
      <c r="AG423" s="161" t="n"/>
      <c r="AH423" s="136" t="n"/>
      <c r="AI423" s="164">
        <f>IF(I423="","",TEXT(I423, "mmmm yyyy"))</f>
        <v/>
      </c>
      <c r="AJ423" s="164">
        <f>IF(AND(OpenPendingCases[[#This Row],[Sale Status	]]="Open Sale",OpenPendingCases[[#This Row],[Potential Same Month]]="High"),TEXT(OpenPendingCases[[#This Row],[Request Entry Date]], "[$-en-us]mmmm"),"")</f>
        <v/>
      </c>
      <c r="AK423" s="165">
        <f>IFERROR(VALUE(SUBSTITUTE(OpenPendingCases[[#This Row],[Price]]," AED","")),"")</f>
        <v/>
      </c>
      <c r="AL423" s="165">
        <f>IFERROR(VALUE(LEFT(OpenPendingCases[[#This Row],[Price]],FIND(" ",OpenPendingCases[[#This Row],[Price]])-1)),"")</f>
        <v/>
      </c>
      <c r="AM423" s="165">
        <f>IFERROR(VALUE(_xlfn.TEXTBEFORE(OpenPendingCases[[#This Row],[Price]]," AED")),"")</f>
        <v/>
      </c>
      <c r="AN423" s="165" t="n"/>
    </row>
    <row r="424" hidden="1" ht="18" customHeight="1" s="287">
      <c r="C424" s="133" t="n"/>
      <c r="D424" s="136">
        <f>IF($U424="Open Sale", IF(MAX($D$4:D423)+1=0, "", MAX($D$4:D423)+1), "")</f>
        <v/>
      </c>
      <c r="E424" s="136">
        <f>IF($U424="Pending Allocation", IF(MAX($E$4:E423)+1=0, "", MAX($E$4:E423)+1), "")</f>
        <v/>
      </c>
      <c r="F424" s="136" t="n"/>
      <c r="G424" s="136" t="n"/>
      <c r="H424" s="150" t="n"/>
      <c r="I424" s="150" t="n"/>
      <c r="J424" s="67">
        <f>IF(OpenPendingCases[[#This Row],[Timepiece Reference ]]="", "", IF(_xlfn.XLOOKUP(OpenPendingCases[[#This Row],[Timepiece Reference ]], Table1[[Timepiece Reference ]], Table1[CRC STOCK], "Not Found")="YES", "CRC Stock", "Boutique Stock"))</f>
        <v/>
      </c>
      <c r="K424" s="136">
        <f>IF(OpenPendingCases[[#This Row],[Timepiece Reference ]]="", "", IF(_xlfn.XLOOKUP(OpenPendingCases[[#This Row],[Timepiece Reference ]], Table1[[Timepiece Reference ]], Table1[CRC STOCK], "Not Found")="YES", "CRC Stock", "Boutique Stock"))</f>
        <v/>
      </c>
      <c r="L424" s="142" t="n"/>
      <c r="M424" s="140" t="n"/>
      <c r="N424" s="136" t="n"/>
      <c r="O424" s="133" t="n"/>
      <c r="P424" s="93">
        <f>IFERROR(VLOOKUP(TRIM(O424), Collection!$B$2:$D$1001, 2, FALSE), "")</f>
        <v/>
      </c>
      <c r="Q424" s="190">
        <f>IFERROR(VLOOKUP(TRIM(O424), Collection!$B$2:$D$1001, 3, FALSE), "")</f>
        <v/>
      </c>
      <c r="R424" s="153">
        <f>IFERROR(VALUE(SUBSTITUTE(SUBSTITUTE(Q424, "Price", ""), "AED", "")), "")</f>
        <v/>
      </c>
      <c r="S424" s="151" t="n"/>
      <c r="T424" s="158" t="n"/>
      <c r="U424" s="136" t="n"/>
      <c r="V424" s="136" t="n"/>
      <c r="W424" s="156">
        <f>IF(Z424 = "",
"",
TEXT(Z424, "mmmm"))</f>
        <v/>
      </c>
      <c r="X424" s="157" t="n"/>
      <c r="Y424" s="158" t="n"/>
      <c r="Z424" s="158" t="n"/>
      <c r="AA424" s="136">
        <f>IF(H424="", "", IF(U424="Open Sale", IF(TODAY()-H424=0, "0 Days", TEXT(TODAY()-H424, "0") &amp; " Days"), IF(U424="Closed Sale", AA424, "")))</f>
        <v/>
      </c>
      <c r="AB424" s="136">
        <f>IF(H424="", "", IF(OR(U424="Pending", U424="Pending Allocation"), CONCATENATE(TODAY()-H424, " Days"), IF(U424="Closed", "", "")))</f>
        <v/>
      </c>
      <c r="AC424" s="160">
        <f>IF(U424="Pending Allocation", IF(I424="", "", TODAY()-I424), "")</f>
        <v/>
      </c>
      <c r="AD424" s="159">
        <f>IF(U424="Open Sale", TEXT(TODAY()-I424, "0"),
IF(U424="Pending", "",
IF(U424="Closed Sale", "", "")))</f>
        <v/>
      </c>
      <c r="AE424" s="161" t="n"/>
      <c r="AF424" s="161" t="n"/>
      <c r="AG424" s="161" t="n"/>
      <c r="AH424" s="136" t="n"/>
      <c r="AI424" s="164">
        <f>IF(I424="","",TEXT(I424, "mmmm yyyy"))</f>
        <v/>
      </c>
      <c r="AJ424" s="164">
        <f>IF(AND(OpenPendingCases[[#This Row],[Sale Status	]]="Open Sale",OpenPendingCases[[#This Row],[Potential Same Month]]="High"),TEXT(OpenPendingCases[[#This Row],[Request Entry Date]], "[$-en-us]mmmm"),"")</f>
        <v/>
      </c>
      <c r="AK424" s="165">
        <f>IFERROR(VALUE(SUBSTITUTE(OpenPendingCases[[#This Row],[Price]]," AED","")),"")</f>
        <v/>
      </c>
      <c r="AL424" s="165">
        <f>IFERROR(VALUE(LEFT(OpenPendingCases[[#This Row],[Price]],FIND(" ",OpenPendingCases[[#This Row],[Price]])-1)),"")</f>
        <v/>
      </c>
      <c r="AM424" s="165">
        <f>IFERROR(VALUE(_xlfn.TEXTBEFORE(OpenPendingCases[[#This Row],[Price]]," AED")),"")</f>
        <v/>
      </c>
      <c r="AN424" s="165" t="n"/>
    </row>
    <row r="425" hidden="1" ht="18" customHeight="1" s="287">
      <c r="C425" s="133" t="n"/>
      <c r="D425" s="136">
        <f>IF($U425="Open Sale", IF(MAX($D$4:D424)+1=0, "", MAX($D$4:D424)+1), "")</f>
        <v/>
      </c>
      <c r="E425" s="136">
        <f>IF($U425="Pending Allocation", IF(MAX($E$4:E424)+1=0, "", MAX($E$4:E424)+1), "")</f>
        <v/>
      </c>
      <c r="F425" s="136" t="n"/>
      <c r="G425" s="136" t="n"/>
      <c r="H425" s="150" t="n"/>
      <c r="I425" s="150" t="n"/>
      <c r="J425" s="67">
        <f>IF(OpenPendingCases[[#This Row],[Timepiece Reference ]]="", "", IF(_xlfn.XLOOKUP(OpenPendingCases[[#This Row],[Timepiece Reference ]], Table1[[Timepiece Reference ]], Table1[CRC STOCK], "Not Found")="YES", "CRC Stock", "Boutique Stock"))</f>
        <v/>
      </c>
      <c r="K425" s="136">
        <f>IF(OpenPendingCases[[#This Row],[Timepiece Reference ]]="", "", IF(_xlfn.XLOOKUP(OpenPendingCases[[#This Row],[Timepiece Reference ]], Table1[[Timepiece Reference ]], Table1[CRC STOCK], "Not Found")="YES", "CRC Stock", "Boutique Stock"))</f>
        <v/>
      </c>
      <c r="L425" s="142" t="n"/>
      <c r="M425" s="140" t="n"/>
      <c r="N425" s="136" t="n"/>
      <c r="O425" s="133" t="n"/>
      <c r="P425" s="93">
        <f>IFERROR(VLOOKUP(TRIM(O425), Collection!$B$2:$D$1001, 2, FALSE), "")</f>
        <v/>
      </c>
      <c r="Q425" s="190">
        <f>IFERROR(VLOOKUP(TRIM(O425), Collection!$B$2:$D$1001, 3, FALSE), "")</f>
        <v/>
      </c>
      <c r="R425" s="153">
        <f>IFERROR(VALUE(SUBSTITUTE(SUBSTITUTE(Q425, "Price", ""), "AED", "")), "")</f>
        <v/>
      </c>
      <c r="S425" s="151" t="n"/>
      <c r="T425" s="158" t="n"/>
      <c r="U425" s="136" t="n"/>
      <c r="V425" s="136" t="n"/>
      <c r="W425" s="156">
        <f>IF(Z425 = "",
"",
TEXT(Z425, "mmmm"))</f>
        <v/>
      </c>
      <c r="X425" s="157" t="n"/>
      <c r="Y425" s="158" t="n"/>
      <c r="Z425" s="158" t="n"/>
      <c r="AA425" s="136">
        <f>IF(H425="", "", IF(U425="Open Sale", IF(TODAY()-H425=0, "0 Days", TEXT(TODAY()-H425, "0") &amp; " Days"), IF(U425="Closed Sale", AA425, "")))</f>
        <v/>
      </c>
      <c r="AB425" s="136">
        <f>IF(H425="", "", IF(OR(U425="Pending", U425="Pending Allocation"), CONCATENATE(TODAY()-H425, " Days"), IF(U425="Closed", "", "")))</f>
        <v/>
      </c>
      <c r="AC425" s="160">
        <f>IF(U425="Pending Allocation", IF(I425="", "", TODAY()-I425), "")</f>
        <v/>
      </c>
      <c r="AD425" s="159">
        <f>IF(U425="Open Sale", TEXT(TODAY()-I425, "0"),
IF(U425="Pending", "",
IF(U425="Closed Sale", "", "")))</f>
        <v/>
      </c>
      <c r="AE425" s="161" t="n"/>
      <c r="AF425" s="161" t="n"/>
      <c r="AG425" s="161" t="n"/>
      <c r="AH425" s="136" t="n"/>
      <c r="AI425" s="164">
        <f>IF(I425="","",TEXT(I425, "mmmm yyyy"))</f>
        <v/>
      </c>
      <c r="AJ425" s="164">
        <f>IF(AND(OpenPendingCases[[#This Row],[Sale Status	]]="Open Sale",OpenPendingCases[[#This Row],[Potential Same Month]]="High"),TEXT(OpenPendingCases[[#This Row],[Request Entry Date]], "[$-en-us]mmmm"),"")</f>
        <v/>
      </c>
      <c r="AK425" s="165">
        <f>IFERROR(VALUE(SUBSTITUTE(OpenPendingCases[[#This Row],[Price]]," AED","")),"")</f>
        <v/>
      </c>
      <c r="AL425" s="165">
        <f>IFERROR(VALUE(LEFT(OpenPendingCases[[#This Row],[Price]],FIND(" ",OpenPendingCases[[#This Row],[Price]])-1)),"")</f>
        <v/>
      </c>
      <c r="AM425" s="165">
        <f>IFERROR(VALUE(_xlfn.TEXTBEFORE(OpenPendingCases[[#This Row],[Price]]," AED")),"")</f>
        <v/>
      </c>
      <c r="AN425" s="165" t="n"/>
    </row>
    <row r="426" hidden="1" ht="18" customHeight="1" s="287">
      <c r="C426" s="133" t="n"/>
      <c r="D426" s="136">
        <f>IF($U426="Open Sale", IF(MAX($D$4:D425)+1=0, "", MAX($D$4:D425)+1), "")</f>
        <v/>
      </c>
      <c r="E426" s="136">
        <f>IF($U426="Pending Allocation", IF(MAX($E$4:E425)+1=0, "", MAX($E$4:E425)+1), "")</f>
        <v/>
      </c>
      <c r="F426" s="136" t="n"/>
      <c r="G426" s="136" t="n"/>
      <c r="H426" s="150" t="n"/>
      <c r="I426" s="150" t="n"/>
      <c r="J426" s="67">
        <f>IF(OpenPendingCases[[#This Row],[Timepiece Reference ]]="", "", IF(_xlfn.XLOOKUP(OpenPendingCases[[#This Row],[Timepiece Reference ]], Table1[[Timepiece Reference ]], Table1[CRC STOCK], "Not Found")="YES", "CRC Stock", "Boutique Stock"))</f>
        <v/>
      </c>
      <c r="K426" s="136">
        <f>IF(OpenPendingCases[[#This Row],[Timepiece Reference ]]="", "", IF(_xlfn.XLOOKUP(OpenPendingCases[[#This Row],[Timepiece Reference ]], Table1[[Timepiece Reference ]], Table1[CRC STOCK], "Not Found")="YES", "CRC Stock", "Boutique Stock"))</f>
        <v/>
      </c>
      <c r="L426" s="142" t="n"/>
      <c r="M426" s="140" t="n"/>
      <c r="N426" s="136" t="n"/>
      <c r="O426" s="133" t="n"/>
      <c r="P426" s="93">
        <f>IFERROR(VLOOKUP(TRIM(O426), Collection!$B$2:$D$1001, 2, FALSE), "")</f>
        <v/>
      </c>
      <c r="Q426" s="190">
        <f>IFERROR(VLOOKUP(TRIM(O426), Collection!$B$2:$D$1001, 3, FALSE), "")</f>
        <v/>
      </c>
      <c r="R426" s="153">
        <f>IFERROR(VALUE(SUBSTITUTE(SUBSTITUTE(Q426, "Price", ""), "AED", "")), "")</f>
        <v/>
      </c>
      <c r="S426" s="151" t="n"/>
      <c r="T426" s="158" t="n"/>
      <c r="U426" s="136" t="n"/>
      <c r="V426" s="136" t="n"/>
      <c r="W426" s="156">
        <f>IF(Z426 = "",
"",
TEXT(Z426, "mmmm"))</f>
        <v/>
      </c>
      <c r="X426" s="157" t="n"/>
      <c r="Y426" s="158" t="n"/>
      <c r="Z426" s="158" t="n"/>
      <c r="AA426" s="136">
        <f>IF(H426="", "", IF(U426="Open Sale", IF(TODAY()-H426=0, "0 Days", TEXT(TODAY()-H426, "0") &amp; " Days"), IF(U426="Closed Sale", AA426, "")))</f>
        <v/>
      </c>
      <c r="AB426" s="136">
        <f>IF(H426="", "", IF(OR(U426="Pending", U426="Pending Allocation"), CONCATENATE(TODAY()-H426, " Days"), IF(U426="Closed", "", "")))</f>
        <v/>
      </c>
      <c r="AC426" s="160">
        <f>IF(U426="Pending Allocation", IF(I426="", "", TODAY()-I426), "")</f>
        <v/>
      </c>
      <c r="AD426" s="159">
        <f>IF(U426="Open Sale", TEXT(TODAY()-I426, "0"),
IF(U426="Pending", "",
IF(U426="Closed Sale", "", "")))</f>
        <v/>
      </c>
      <c r="AE426" s="161" t="n"/>
      <c r="AF426" s="161" t="n"/>
      <c r="AG426" s="161" t="n"/>
      <c r="AH426" s="136" t="n"/>
      <c r="AI426" s="164">
        <f>IF(I426="","",TEXT(I426, "mmmm yyyy"))</f>
        <v/>
      </c>
      <c r="AJ426" s="164">
        <f>IF(AND(OpenPendingCases[[#This Row],[Sale Status	]]="Open Sale",OpenPendingCases[[#This Row],[Potential Same Month]]="High"),TEXT(OpenPendingCases[[#This Row],[Request Entry Date]], "[$-en-us]mmmm"),"")</f>
        <v/>
      </c>
      <c r="AK426" s="165">
        <f>IFERROR(VALUE(SUBSTITUTE(OpenPendingCases[[#This Row],[Price]]," AED","")),"")</f>
        <v/>
      </c>
      <c r="AL426" s="165">
        <f>IFERROR(VALUE(LEFT(OpenPendingCases[[#This Row],[Price]],FIND(" ",OpenPendingCases[[#This Row],[Price]])-1)),"")</f>
        <v/>
      </c>
      <c r="AM426" s="165">
        <f>IFERROR(VALUE(_xlfn.TEXTBEFORE(OpenPendingCases[[#This Row],[Price]]," AED")),"")</f>
        <v/>
      </c>
      <c r="AN426" s="165" t="n"/>
    </row>
    <row r="427" hidden="1" ht="18" customHeight="1" s="287">
      <c r="C427" s="133" t="n"/>
      <c r="D427" s="136">
        <f>IF($U427="Open Sale", IF(MAX($D$4:D426)+1=0, "", MAX($D$4:D426)+1), "")</f>
        <v/>
      </c>
      <c r="E427" s="136">
        <f>IF($U427="Pending Allocation", IF(MAX($E$4:E426)+1=0, "", MAX($E$4:E426)+1), "")</f>
        <v/>
      </c>
      <c r="F427" s="136" t="n"/>
      <c r="G427" s="136" t="n"/>
      <c r="H427" s="150" t="n"/>
      <c r="I427" s="150" t="n"/>
      <c r="J427" s="67">
        <f>IF(OpenPendingCases[[#This Row],[Timepiece Reference ]]="", "", IF(_xlfn.XLOOKUP(OpenPendingCases[[#This Row],[Timepiece Reference ]], Table1[[Timepiece Reference ]], Table1[CRC STOCK], "Not Found")="YES", "CRC Stock", "Boutique Stock"))</f>
        <v/>
      </c>
      <c r="K427" s="136">
        <f>IF(OpenPendingCases[[#This Row],[Timepiece Reference ]]="", "", IF(_xlfn.XLOOKUP(OpenPendingCases[[#This Row],[Timepiece Reference ]], Table1[[Timepiece Reference ]], Table1[CRC STOCK], "Not Found")="YES", "CRC Stock", "Boutique Stock"))</f>
        <v/>
      </c>
      <c r="L427" s="142" t="n"/>
      <c r="M427" s="140" t="n"/>
      <c r="N427" s="136" t="n"/>
      <c r="O427" s="133" t="n"/>
      <c r="P427" s="93">
        <f>IFERROR(VLOOKUP(TRIM(O427), Collection!$B$2:$D$1001, 2, FALSE), "")</f>
        <v/>
      </c>
      <c r="Q427" s="190">
        <f>IFERROR(VLOOKUP(TRIM(O427), Collection!$B$2:$D$1001, 3, FALSE), "")</f>
        <v/>
      </c>
      <c r="R427" s="153">
        <f>IFERROR(VALUE(SUBSTITUTE(SUBSTITUTE(Q427, "Price", ""), "AED", "")), "")</f>
        <v/>
      </c>
      <c r="S427" s="151" t="n"/>
      <c r="T427" s="158" t="n"/>
      <c r="U427" s="136" t="n"/>
      <c r="V427" s="136" t="n"/>
      <c r="W427" s="156">
        <f>IF(Z427 = "",
"",
TEXT(Z427, "mmmm"))</f>
        <v/>
      </c>
      <c r="X427" s="157" t="n"/>
      <c r="Y427" s="158" t="n"/>
      <c r="Z427" s="158" t="n"/>
      <c r="AA427" s="136">
        <f>IF(H427="", "", IF(U427="Open Sale", IF(TODAY()-H427=0, "0 Days", TEXT(TODAY()-H427, "0") &amp; " Days"), IF(U427="Closed Sale", AA427, "")))</f>
        <v/>
      </c>
      <c r="AB427" s="136">
        <f>IF(H427="", "", IF(OR(U427="Pending", U427="Pending Allocation"), CONCATENATE(TODAY()-H427, " Days"), IF(U427="Closed", "", "")))</f>
        <v/>
      </c>
      <c r="AC427" s="160">
        <f>IF(U427="Pending Allocation", IF(I427="", "", TODAY()-I427), "")</f>
        <v/>
      </c>
      <c r="AD427" s="159">
        <f>IF(U427="Open Sale", TEXT(TODAY()-I427, "0"),
IF(U427="Pending", "",
IF(U427="Closed Sale", "", "")))</f>
        <v/>
      </c>
      <c r="AE427" s="161" t="n"/>
      <c r="AF427" s="161" t="n"/>
      <c r="AG427" s="161" t="n"/>
      <c r="AH427" s="136" t="n"/>
      <c r="AI427" s="164">
        <f>IF(I427="","",TEXT(I427, "mmmm yyyy"))</f>
        <v/>
      </c>
      <c r="AJ427" s="164">
        <f>IF(AND(OpenPendingCases[[#This Row],[Sale Status	]]="Open Sale",OpenPendingCases[[#This Row],[Potential Same Month]]="High"),TEXT(OpenPendingCases[[#This Row],[Request Entry Date]], "[$-en-us]mmmm"),"")</f>
        <v/>
      </c>
      <c r="AK427" s="165">
        <f>IFERROR(VALUE(SUBSTITUTE(OpenPendingCases[[#This Row],[Price]]," AED","")),"")</f>
        <v/>
      </c>
      <c r="AL427" s="165">
        <f>IFERROR(VALUE(LEFT(OpenPendingCases[[#This Row],[Price]],FIND(" ",OpenPendingCases[[#This Row],[Price]])-1)),"")</f>
        <v/>
      </c>
      <c r="AM427" s="165">
        <f>IFERROR(VALUE(_xlfn.TEXTBEFORE(OpenPendingCases[[#This Row],[Price]]," AED")),"")</f>
        <v/>
      </c>
      <c r="AN427" s="165" t="n"/>
    </row>
    <row r="428" hidden="1" ht="18" customHeight="1" s="287">
      <c r="C428" s="133" t="n"/>
      <c r="D428" s="136">
        <f>IF($U428="Open Sale", IF(MAX($D$4:D427)+1=0, "", MAX($D$4:D427)+1), "")</f>
        <v/>
      </c>
      <c r="E428" s="136">
        <f>IF($U428="Pending Allocation", IF(MAX($E$4:E427)+1=0, "", MAX($E$4:E427)+1), "")</f>
        <v/>
      </c>
      <c r="F428" s="136" t="n"/>
      <c r="G428" s="136" t="n"/>
      <c r="H428" s="150" t="n"/>
      <c r="I428" s="150" t="n"/>
      <c r="J428" s="67">
        <f>IF(OpenPendingCases[[#This Row],[Timepiece Reference ]]="", "", IF(_xlfn.XLOOKUP(OpenPendingCases[[#This Row],[Timepiece Reference ]], Table1[[Timepiece Reference ]], Table1[CRC STOCK], "Not Found")="YES", "CRC Stock", "Boutique Stock"))</f>
        <v/>
      </c>
      <c r="K428" s="136">
        <f>IF(OpenPendingCases[[#This Row],[Timepiece Reference ]]="", "", IF(_xlfn.XLOOKUP(OpenPendingCases[[#This Row],[Timepiece Reference ]], Table1[[Timepiece Reference ]], Table1[CRC STOCK], "Not Found")="YES", "CRC Stock", "Boutique Stock"))</f>
        <v/>
      </c>
      <c r="L428" s="142" t="n"/>
      <c r="M428" s="140" t="n"/>
      <c r="N428" s="136" t="n"/>
      <c r="O428" s="133" t="n"/>
      <c r="P428" s="93">
        <f>IFERROR(VLOOKUP(TRIM(O428), Collection!$B$2:$D$1001, 2, FALSE), "")</f>
        <v/>
      </c>
      <c r="Q428" s="190">
        <f>IFERROR(VLOOKUP(TRIM(O428), Collection!$B$2:$D$1001, 3, FALSE), "")</f>
        <v/>
      </c>
      <c r="R428" s="153">
        <f>IFERROR(VALUE(SUBSTITUTE(SUBSTITUTE(Q428, "Price", ""), "AED", "")), "")</f>
        <v/>
      </c>
      <c r="S428" s="151" t="n"/>
      <c r="T428" s="158" t="n"/>
      <c r="U428" s="136" t="n"/>
      <c r="V428" s="136" t="n"/>
      <c r="W428" s="156">
        <f>IF(Z428 = "",
"",
TEXT(Z428, "mmmm"))</f>
        <v/>
      </c>
      <c r="X428" s="157" t="n"/>
      <c r="Y428" s="158" t="n"/>
      <c r="Z428" s="158" t="n"/>
      <c r="AA428" s="136">
        <f>IF(H428="", "", IF(U428="Open Sale", IF(TODAY()-H428=0, "0 Days", TEXT(TODAY()-H428, "0") &amp; " Days"), IF(U428="Closed Sale", AA428, "")))</f>
        <v/>
      </c>
      <c r="AB428" s="136">
        <f>IF(H428="", "", IF(OR(U428="Pending", U428="Pending Allocation"), CONCATENATE(TODAY()-H428, " Days"), IF(U428="Closed", "", "")))</f>
        <v/>
      </c>
      <c r="AC428" s="160">
        <f>IF(U428="Pending Allocation", IF(I428="", "", TODAY()-I428), "")</f>
        <v/>
      </c>
      <c r="AD428" s="159">
        <f>IF(U428="Open Sale", TEXT(TODAY()-I428, "0"),
IF(U428="Pending", "",
IF(U428="Closed Sale", "", "")))</f>
        <v/>
      </c>
      <c r="AE428" s="161" t="n"/>
      <c r="AF428" s="161" t="n"/>
      <c r="AG428" s="161" t="n"/>
      <c r="AH428" s="136" t="n"/>
      <c r="AI428" s="164">
        <f>IF(I428="","",TEXT(I428, "mmmm yyyy"))</f>
        <v/>
      </c>
      <c r="AJ428" s="164">
        <f>IF(AND(OpenPendingCases[[#This Row],[Sale Status	]]="Open Sale",OpenPendingCases[[#This Row],[Potential Same Month]]="High"),TEXT(OpenPendingCases[[#This Row],[Request Entry Date]], "[$-en-us]mmmm"),"")</f>
        <v/>
      </c>
      <c r="AK428" s="165">
        <f>IFERROR(VALUE(SUBSTITUTE(OpenPendingCases[[#This Row],[Price]]," AED","")),"")</f>
        <v/>
      </c>
      <c r="AL428" s="165">
        <f>IFERROR(VALUE(LEFT(OpenPendingCases[[#This Row],[Price]],FIND(" ",OpenPendingCases[[#This Row],[Price]])-1)),"")</f>
        <v/>
      </c>
      <c r="AM428" s="165">
        <f>IFERROR(VALUE(_xlfn.TEXTBEFORE(OpenPendingCases[[#This Row],[Price]]," AED")),"")</f>
        <v/>
      </c>
      <c r="AN428" s="165" t="n"/>
    </row>
    <row r="429" hidden="1" ht="18" customHeight="1" s="287">
      <c r="C429" s="133" t="n"/>
      <c r="D429" s="136">
        <f>IF($U429="Open Sale", IF(MAX($D$4:D428)+1=0, "", MAX($D$4:D428)+1), "")</f>
        <v/>
      </c>
      <c r="E429" s="136">
        <f>IF($U429="Pending Allocation", IF(MAX($E$4:E428)+1=0, "", MAX($E$4:E428)+1), "")</f>
        <v/>
      </c>
      <c r="F429" s="136" t="n"/>
      <c r="G429" s="136" t="n"/>
      <c r="H429" s="150" t="n"/>
      <c r="I429" s="150" t="n"/>
      <c r="J429" s="67">
        <f>IF(OpenPendingCases[[#This Row],[Timepiece Reference ]]="", "", IF(_xlfn.XLOOKUP(OpenPendingCases[[#This Row],[Timepiece Reference ]], Table1[[Timepiece Reference ]], Table1[CRC STOCK], "Not Found")="YES", "CRC Stock", "Boutique Stock"))</f>
        <v/>
      </c>
      <c r="K429" s="136">
        <f>IF(OpenPendingCases[[#This Row],[Timepiece Reference ]]="", "", IF(_xlfn.XLOOKUP(OpenPendingCases[[#This Row],[Timepiece Reference ]], Table1[[Timepiece Reference ]], Table1[CRC STOCK], "Not Found")="YES", "CRC Stock", "Boutique Stock"))</f>
        <v/>
      </c>
      <c r="L429" s="142" t="n"/>
      <c r="M429" s="140" t="n"/>
      <c r="N429" s="136" t="n"/>
      <c r="O429" s="133" t="n"/>
      <c r="P429" s="93">
        <f>IFERROR(VLOOKUP(TRIM(O429), Collection!$B$2:$D$1001, 2, FALSE), "")</f>
        <v/>
      </c>
      <c r="Q429" s="190">
        <f>IFERROR(VLOOKUP(TRIM(O429), Collection!$B$2:$D$1001, 3, FALSE), "")</f>
        <v/>
      </c>
      <c r="R429" s="153">
        <f>IFERROR(VALUE(SUBSTITUTE(SUBSTITUTE(Q429, "Price", ""), "AED", "")), "")</f>
        <v/>
      </c>
      <c r="S429" s="151" t="n"/>
      <c r="T429" s="158" t="n"/>
      <c r="U429" s="136" t="n"/>
      <c r="V429" s="136" t="n"/>
      <c r="W429" s="156">
        <f>IF(Z429 = "",
"",
TEXT(Z429, "mmmm"))</f>
        <v/>
      </c>
      <c r="X429" s="157" t="n"/>
      <c r="Y429" s="158" t="n"/>
      <c r="Z429" s="158" t="n"/>
      <c r="AA429" s="136">
        <f>IF(H429="", "", IF(U429="Open Sale", IF(TODAY()-H429=0, "0 Days", TEXT(TODAY()-H429, "0") &amp; " Days"), IF(U429="Closed Sale", AA429, "")))</f>
        <v/>
      </c>
      <c r="AB429" s="136">
        <f>IF(H429="", "", IF(OR(U429="Pending", U429="Pending Allocation"), CONCATENATE(TODAY()-H429, " Days"), IF(U429="Closed", "", "")))</f>
        <v/>
      </c>
      <c r="AC429" s="160">
        <f>IF(U429="Pending Allocation", IF(I429="", "", TODAY()-I429), "")</f>
        <v/>
      </c>
      <c r="AD429" s="159">
        <f>IF(U429="Open Sale", TEXT(TODAY()-I429, "0"),
IF(U429="Pending", "",
IF(U429="Closed Sale", "", "")))</f>
        <v/>
      </c>
      <c r="AE429" s="161" t="n"/>
      <c r="AF429" s="161" t="n"/>
      <c r="AG429" s="161" t="n"/>
      <c r="AH429" s="136" t="n"/>
      <c r="AI429" s="164">
        <f>IF(I429="","",TEXT(I429, "mmmm yyyy"))</f>
        <v/>
      </c>
      <c r="AJ429" s="164">
        <f>IF(AND(OpenPendingCases[[#This Row],[Sale Status	]]="Open Sale",OpenPendingCases[[#This Row],[Potential Same Month]]="High"),TEXT(OpenPendingCases[[#This Row],[Request Entry Date]], "[$-en-us]mmmm"),"")</f>
        <v/>
      </c>
      <c r="AK429" s="165">
        <f>IFERROR(VALUE(SUBSTITUTE(OpenPendingCases[[#This Row],[Price]]," AED","")),"")</f>
        <v/>
      </c>
      <c r="AL429" s="165">
        <f>IFERROR(VALUE(LEFT(OpenPendingCases[[#This Row],[Price]],FIND(" ",OpenPendingCases[[#This Row],[Price]])-1)),"")</f>
        <v/>
      </c>
      <c r="AM429" s="165">
        <f>IFERROR(VALUE(_xlfn.TEXTBEFORE(OpenPendingCases[[#This Row],[Price]]," AED")),"")</f>
        <v/>
      </c>
      <c r="AN429" s="165" t="n"/>
    </row>
    <row r="430" hidden="1" ht="18" customHeight="1" s="287">
      <c r="C430" s="133" t="n"/>
      <c r="D430" s="136">
        <f>IF($U430="Open Sale", IF(MAX($D$4:D429)+1=0, "", MAX($D$4:D429)+1), "")</f>
        <v/>
      </c>
      <c r="E430" s="136">
        <f>IF($U430="Pending Allocation", IF(MAX($E$4:E429)+1=0, "", MAX($E$4:E429)+1), "")</f>
        <v/>
      </c>
      <c r="F430" s="136" t="n"/>
      <c r="G430" s="136" t="n"/>
      <c r="H430" s="150" t="n"/>
      <c r="I430" s="150" t="n"/>
      <c r="J430" s="67">
        <f>IF(OpenPendingCases[[#This Row],[Timepiece Reference ]]="", "", IF(_xlfn.XLOOKUP(OpenPendingCases[[#This Row],[Timepiece Reference ]], Table1[[Timepiece Reference ]], Table1[CRC STOCK], "Not Found")="YES", "CRC Stock", "Boutique Stock"))</f>
        <v/>
      </c>
      <c r="K430" s="136">
        <f>IF(OpenPendingCases[[#This Row],[Timepiece Reference ]]="", "", IF(_xlfn.XLOOKUP(OpenPendingCases[[#This Row],[Timepiece Reference ]], Table1[[Timepiece Reference ]], Table1[CRC STOCK], "Not Found")="YES", "CRC Stock", "Boutique Stock"))</f>
        <v/>
      </c>
      <c r="L430" s="142" t="n"/>
      <c r="M430" s="140" t="n"/>
      <c r="N430" s="136" t="n"/>
      <c r="O430" s="133" t="n"/>
      <c r="P430" s="93">
        <f>IFERROR(VLOOKUP(TRIM(O430), Collection!$B$2:$D$1001, 2, FALSE), "")</f>
        <v/>
      </c>
      <c r="Q430" s="190">
        <f>IFERROR(VLOOKUP(TRIM(O430), Collection!$B$2:$D$1001, 3, FALSE), "")</f>
        <v/>
      </c>
      <c r="R430" s="153">
        <f>IFERROR(VALUE(SUBSTITUTE(SUBSTITUTE(Q430, "Price", ""), "AED", "")), "")</f>
        <v/>
      </c>
      <c r="S430" s="151" t="n"/>
      <c r="T430" s="158" t="n"/>
      <c r="U430" s="136" t="n"/>
      <c r="V430" s="136" t="n"/>
      <c r="W430" s="156">
        <f>IF(Z430 = "",
"",
TEXT(Z430, "mmmm"))</f>
        <v/>
      </c>
      <c r="X430" s="157" t="n"/>
      <c r="Y430" s="158" t="n"/>
      <c r="Z430" s="158" t="n"/>
      <c r="AA430" s="136">
        <f>IF(H430="", "", IF(U430="Open Sale", IF(TODAY()-H430=0, "0 Days", TEXT(TODAY()-H430, "0") &amp; " Days"), IF(U430="Closed Sale", AA430, "")))</f>
        <v/>
      </c>
      <c r="AB430" s="136">
        <f>IF(H430="", "", IF(OR(U430="Pending", U430="Pending Allocation"), CONCATENATE(TODAY()-H430, " Days"), IF(U430="Closed", "", "")))</f>
        <v/>
      </c>
      <c r="AC430" s="160">
        <f>IF(U430="Pending Allocation", IF(I430="", "", TODAY()-I430), "")</f>
        <v/>
      </c>
      <c r="AD430" s="159">
        <f>IF(U430="Open Sale", TEXT(TODAY()-I430, "0"),
IF(U430="Pending", "",
IF(U430="Closed Sale", "", "")))</f>
        <v/>
      </c>
      <c r="AE430" s="161" t="n"/>
      <c r="AF430" s="161" t="n"/>
      <c r="AG430" s="161" t="n"/>
      <c r="AH430" s="136" t="n"/>
      <c r="AI430" s="164">
        <f>IF(I430="","",TEXT(I430, "mmmm yyyy"))</f>
        <v/>
      </c>
      <c r="AJ430" s="164">
        <f>IF(AND(OpenPendingCases[[#This Row],[Sale Status	]]="Open Sale",OpenPendingCases[[#This Row],[Potential Same Month]]="High"),TEXT(OpenPendingCases[[#This Row],[Request Entry Date]], "[$-en-us]mmmm"),"")</f>
        <v/>
      </c>
      <c r="AK430" s="165">
        <f>IFERROR(VALUE(SUBSTITUTE(OpenPendingCases[[#This Row],[Price]]," AED","")),"")</f>
        <v/>
      </c>
      <c r="AL430" s="165">
        <f>IFERROR(VALUE(LEFT(OpenPendingCases[[#This Row],[Price]],FIND(" ",OpenPendingCases[[#This Row],[Price]])-1)),"")</f>
        <v/>
      </c>
      <c r="AM430" s="165">
        <f>IFERROR(VALUE(_xlfn.TEXTBEFORE(OpenPendingCases[[#This Row],[Price]]," AED")),"")</f>
        <v/>
      </c>
      <c r="AN430" s="165" t="n"/>
    </row>
    <row r="431" hidden="1" ht="18" customHeight="1" s="287">
      <c r="C431" s="133" t="n"/>
      <c r="D431" s="136">
        <f>IF($U431="Open Sale", IF(MAX($D$4:D430)+1=0, "", MAX($D$4:D430)+1), "")</f>
        <v/>
      </c>
      <c r="E431" s="136">
        <f>IF($U431="Pending Allocation", IF(MAX($E$4:E430)+1=0, "", MAX($E$4:E430)+1), "")</f>
        <v/>
      </c>
      <c r="F431" s="136" t="n"/>
      <c r="G431" s="136" t="n"/>
      <c r="H431" s="150" t="n"/>
      <c r="I431" s="150" t="n"/>
      <c r="J431" s="67">
        <f>IF(OpenPendingCases[[#This Row],[Timepiece Reference ]]="", "", IF(_xlfn.XLOOKUP(OpenPendingCases[[#This Row],[Timepiece Reference ]], Table1[[Timepiece Reference ]], Table1[CRC STOCK], "Not Found")="YES", "CRC Stock", "Boutique Stock"))</f>
        <v/>
      </c>
      <c r="K431" s="136">
        <f>IF(OpenPendingCases[[#This Row],[Timepiece Reference ]]="", "", IF(_xlfn.XLOOKUP(OpenPendingCases[[#This Row],[Timepiece Reference ]], Table1[[Timepiece Reference ]], Table1[CRC STOCK], "Not Found")="YES", "CRC Stock", "Boutique Stock"))</f>
        <v/>
      </c>
      <c r="L431" s="142" t="n"/>
      <c r="M431" s="140" t="n"/>
      <c r="N431" s="136" t="n"/>
      <c r="O431" s="133" t="n"/>
      <c r="P431" s="93">
        <f>IFERROR(VLOOKUP(TRIM(O431), Collection!$B$2:$D$1001, 2, FALSE), "")</f>
        <v/>
      </c>
      <c r="Q431" s="190">
        <f>IFERROR(VLOOKUP(TRIM(O431), Collection!$B$2:$D$1001, 3, FALSE), "")</f>
        <v/>
      </c>
      <c r="R431" s="153">
        <f>IFERROR(VALUE(SUBSTITUTE(SUBSTITUTE(Q431, "Price", ""), "AED", "")), "")</f>
        <v/>
      </c>
      <c r="S431" s="151" t="n"/>
      <c r="T431" s="158" t="n"/>
      <c r="U431" s="136" t="n"/>
      <c r="V431" s="136" t="n"/>
      <c r="W431" s="156">
        <f>IF(Z431 = "",
"",
TEXT(Z431, "mmmm"))</f>
        <v/>
      </c>
      <c r="X431" s="157" t="n"/>
      <c r="Y431" s="158" t="n"/>
      <c r="Z431" s="158" t="n"/>
      <c r="AA431" s="136">
        <f>IF(H431="", "", IF(U431="Open Sale", IF(TODAY()-H431=0, "0 Days", TEXT(TODAY()-H431, "0") &amp; " Days"), IF(U431="Closed Sale", AA431, "")))</f>
        <v/>
      </c>
      <c r="AB431" s="136">
        <f>IF(H431="", "", IF(OR(U431="Pending", U431="Pending Allocation"), CONCATENATE(TODAY()-H431, " Days"), IF(U431="Closed", "", "")))</f>
        <v/>
      </c>
      <c r="AC431" s="160">
        <f>IF(U431="Pending Allocation", IF(I431="", "", TODAY()-I431), "")</f>
        <v/>
      </c>
      <c r="AD431" s="159">
        <f>IF(U431="Open Sale", TEXT(TODAY()-I431, "0"),
IF(U431="Pending", "",
IF(U431="Closed Sale", "", "")))</f>
        <v/>
      </c>
      <c r="AE431" s="161" t="n"/>
      <c r="AF431" s="161" t="n"/>
      <c r="AG431" s="161" t="n"/>
      <c r="AH431" s="136" t="n"/>
      <c r="AI431" s="164">
        <f>IF(I431="","",TEXT(I431, "mmmm yyyy"))</f>
        <v/>
      </c>
      <c r="AJ431" s="164">
        <f>IF(AND(OpenPendingCases[[#This Row],[Sale Status	]]="Open Sale",OpenPendingCases[[#This Row],[Potential Same Month]]="High"),TEXT(OpenPendingCases[[#This Row],[Request Entry Date]], "[$-en-us]mmmm"),"")</f>
        <v/>
      </c>
      <c r="AK431" s="165">
        <f>IFERROR(VALUE(SUBSTITUTE(OpenPendingCases[[#This Row],[Price]]," AED","")),"")</f>
        <v/>
      </c>
      <c r="AL431" s="165">
        <f>IFERROR(VALUE(LEFT(OpenPendingCases[[#This Row],[Price]],FIND(" ",OpenPendingCases[[#This Row],[Price]])-1)),"")</f>
        <v/>
      </c>
      <c r="AM431" s="165">
        <f>IFERROR(VALUE(_xlfn.TEXTBEFORE(OpenPendingCases[[#This Row],[Price]]," AED")),"")</f>
        <v/>
      </c>
      <c r="AN431" s="165" t="n"/>
    </row>
    <row r="432" hidden="1" ht="18" customHeight="1" s="287">
      <c r="C432" s="133" t="n"/>
      <c r="D432" s="136">
        <f>IF($U432="Open Sale", IF(MAX($D$4:D431)+1=0, "", MAX($D$4:D431)+1), "")</f>
        <v/>
      </c>
      <c r="E432" s="136">
        <f>IF($U432="Pending Allocation", IF(MAX($E$4:E431)+1=0, "", MAX($E$4:E431)+1), "")</f>
        <v/>
      </c>
      <c r="F432" s="136" t="n"/>
      <c r="G432" s="136" t="n"/>
      <c r="H432" s="150" t="n"/>
      <c r="I432" s="150" t="n"/>
      <c r="J432" s="67">
        <f>IF(OpenPendingCases[[#This Row],[Timepiece Reference ]]="", "", IF(_xlfn.XLOOKUP(OpenPendingCases[[#This Row],[Timepiece Reference ]], Table1[[Timepiece Reference ]], Table1[CRC STOCK], "Not Found")="YES", "CRC Stock", "Boutique Stock"))</f>
        <v/>
      </c>
      <c r="K432" s="136">
        <f>IF(OpenPendingCases[[#This Row],[Timepiece Reference ]]="", "", IF(_xlfn.XLOOKUP(OpenPendingCases[[#This Row],[Timepiece Reference ]], Table1[[Timepiece Reference ]], Table1[CRC STOCK], "Not Found")="YES", "CRC Stock", "Boutique Stock"))</f>
        <v/>
      </c>
      <c r="L432" s="142" t="n"/>
      <c r="M432" s="140" t="n"/>
      <c r="N432" s="136" t="n"/>
      <c r="O432" s="133" t="n"/>
      <c r="P432" s="93">
        <f>IFERROR(VLOOKUP(TRIM(O432), Collection!$B$2:$D$1001, 2, FALSE), "")</f>
        <v/>
      </c>
      <c r="Q432" s="190">
        <f>IFERROR(VLOOKUP(TRIM(O432), Collection!$B$2:$D$1001, 3, FALSE), "")</f>
        <v/>
      </c>
      <c r="R432" s="153">
        <f>IFERROR(VALUE(SUBSTITUTE(SUBSTITUTE(Q432, "Price", ""), "AED", "")), "")</f>
        <v/>
      </c>
      <c r="S432" s="151" t="n"/>
      <c r="T432" s="158" t="n"/>
      <c r="U432" s="136" t="n"/>
      <c r="V432" s="136" t="n"/>
      <c r="W432" s="156">
        <f>IF(Z432 = "",
"",
TEXT(Z432, "mmmm"))</f>
        <v/>
      </c>
      <c r="X432" s="157" t="n"/>
      <c r="Y432" s="158" t="n"/>
      <c r="Z432" s="158" t="n"/>
      <c r="AA432" s="136">
        <f>IF(H432="", "", IF(U432="Open Sale", IF(TODAY()-H432=0, "0 Days", TEXT(TODAY()-H432, "0") &amp; " Days"), IF(U432="Closed Sale", AA432, "")))</f>
        <v/>
      </c>
      <c r="AB432" s="136">
        <f>IF(H432="", "", IF(OR(U432="Pending", U432="Pending Allocation"), CONCATENATE(TODAY()-H432, " Days"), IF(U432="Closed", "", "")))</f>
        <v/>
      </c>
      <c r="AC432" s="160">
        <f>IF(U432="Pending Allocation", IF(I432="", "", TODAY()-I432), "")</f>
        <v/>
      </c>
      <c r="AD432" s="159">
        <f>IF(U432="Open Sale", TEXT(TODAY()-I432, "0"),
IF(U432="Pending", "",
IF(U432="Closed Sale", "", "")))</f>
        <v/>
      </c>
      <c r="AE432" s="161" t="n"/>
      <c r="AF432" s="161" t="n"/>
      <c r="AG432" s="161" t="n"/>
      <c r="AH432" s="136" t="n"/>
      <c r="AI432" s="164">
        <f>IF(I432="","",TEXT(I432, "mmmm yyyy"))</f>
        <v/>
      </c>
      <c r="AJ432" s="164">
        <f>IF(AND(OpenPendingCases[[#This Row],[Sale Status	]]="Open Sale",OpenPendingCases[[#This Row],[Potential Same Month]]="High"),TEXT(OpenPendingCases[[#This Row],[Request Entry Date]], "[$-en-us]mmmm"),"")</f>
        <v/>
      </c>
      <c r="AK432" s="165">
        <f>IFERROR(VALUE(SUBSTITUTE(OpenPendingCases[[#This Row],[Price]]," AED","")),"")</f>
        <v/>
      </c>
      <c r="AL432" s="165">
        <f>IFERROR(VALUE(LEFT(OpenPendingCases[[#This Row],[Price]],FIND(" ",OpenPendingCases[[#This Row],[Price]])-1)),"")</f>
        <v/>
      </c>
      <c r="AM432" s="165">
        <f>IFERROR(VALUE(_xlfn.TEXTBEFORE(OpenPendingCases[[#This Row],[Price]]," AED")),"")</f>
        <v/>
      </c>
      <c r="AN432" s="165" t="n"/>
    </row>
    <row r="433" hidden="1" ht="18" customHeight="1" s="287">
      <c r="C433" s="133" t="n"/>
      <c r="D433" s="136">
        <f>IF($U433="Open Sale", IF(MAX($D$4:D432)+1=0, "", MAX($D$4:D432)+1), "")</f>
        <v/>
      </c>
      <c r="E433" s="136">
        <f>IF($U433="Pending Allocation", IF(MAX($E$4:E432)+1=0, "", MAX($E$4:E432)+1), "")</f>
        <v/>
      </c>
      <c r="F433" s="136" t="n"/>
      <c r="G433" s="136" t="n"/>
      <c r="H433" s="150" t="n"/>
      <c r="I433" s="150" t="n"/>
      <c r="J433" s="67">
        <f>IF(OpenPendingCases[[#This Row],[Timepiece Reference ]]="", "", IF(_xlfn.XLOOKUP(OpenPendingCases[[#This Row],[Timepiece Reference ]], Table1[[Timepiece Reference ]], Table1[CRC STOCK], "Not Found")="YES", "CRC Stock", "Boutique Stock"))</f>
        <v/>
      </c>
      <c r="K433" s="136">
        <f>IF(OpenPendingCases[[#This Row],[Timepiece Reference ]]="", "", IF(_xlfn.XLOOKUP(OpenPendingCases[[#This Row],[Timepiece Reference ]], Table1[[Timepiece Reference ]], Table1[CRC STOCK], "Not Found")="YES", "CRC Stock", "Boutique Stock"))</f>
        <v/>
      </c>
      <c r="L433" s="142" t="n"/>
      <c r="M433" s="140" t="n"/>
      <c r="N433" s="136" t="n"/>
      <c r="O433" s="133" t="n"/>
      <c r="P433" s="93">
        <f>IFERROR(VLOOKUP(TRIM(O433), Collection!$B$2:$D$1001, 2, FALSE), "")</f>
        <v/>
      </c>
      <c r="Q433" s="190">
        <f>IFERROR(VLOOKUP(TRIM(O433), Collection!$B$2:$D$1001, 3, FALSE), "")</f>
        <v/>
      </c>
      <c r="R433" s="153">
        <f>IFERROR(VALUE(SUBSTITUTE(SUBSTITUTE(Q433, "Price", ""), "AED", "")), "")</f>
        <v/>
      </c>
      <c r="S433" s="151" t="n"/>
      <c r="T433" s="158" t="n"/>
      <c r="U433" s="136" t="n"/>
      <c r="V433" s="136" t="n"/>
      <c r="W433" s="156">
        <f>IF(Z433 = "",
"",
TEXT(Z433, "mmmm"))</f>
        <v/>
      </c>
      <c r="X433" s="157" t="n"/>
      <c r="Y433" s="158" t="n"/>
      <c r="Z433" s="158" t="n"/>
      <c r="AA433" s="136">
        <f>IF(H433="", "", IF(U433="Open Sale", IF(TODAY()-H433=0, "0 Days", TEXT(TODAY()-H433, "0") &amp; " Days"), IF(U433="Closed Sale", AA433, "")))</f>
        <v/>
      </c>
      <c r="AB433" s="136">
        <f>IF(H433="", "", IF(OR(U433="Pending", U433="Pending Allocation"), CONCATENATE(TODAY()-H433, " Days"), IF(U433="Closed", "", "")))</f>
        <v/>
      </c>
      <c r="AC433" s="160">
        <f>IF(U433="Pending Allocation", IF(I433="", "", TODAY()-I433), "")</f>
        <v/>
      </c>
      <c r="AD433" s="159">
        <f>IF(U433="Open Sale", TEXT(TODAY()-I433, "0"),
IF(U433="Pending", "",
IF(U433="Closed Sale", "", "")))</f>
        <v/>
      </c>
      <c r="AE433" s="161" t="n"/>
      <c r="AF433" s="161" t="n"/>
      <c r="AG433" s="161" t="n"/>
      <c r="AH433" s="136" t="n"/>
      <c r="AI433" s="164">
        <f>IF(I433="","",TEXT(I433, "mmmm yyyy"))</f>
        <v/>
      </c>
      <c r="AJ433" s="164">
        <f>IF(AND(OpenPendingCases[[#This Row],[Sale Status	]]="Open Sale",OpenPendingCases[[#This Row],[Potential Same Month]]="High"),TEXT(OpenPendingCases[[#This Row],[Request Entry Date]], "[$-en-us]mmmm"),"")</f>
        <v/>
      </c>
      <c r="AK433" s="165">
        <f>IFERROR(VALUE(SUBSTITUTE(OpenPendingCases[[#This Row],[Price]]," AED","")),"")</f>
        <v/>
      </c>
      <c r="AL433" s="165">
        <f>IFERROR(VALUE(LEFT(OpenPendingCases[[#This Row],[Price]],FIND(" ",OpenPendingCases[[#This Row],[Price]])-1)),"")</f>
        <v/>
      </c>
      <c r="AM433" s="165">
        <f>IFERROR(VALUE(_xlfn.TEXTBEFORE(OpenPendingCases[[#This Row],[Price]]," AED")),"")</f>
        <v/>
      </c>
      <c r="AN433" s="165" t="n"/>
    </row>
    <row r="434" hidden="1" ht="18" customHeight="1" s="287">
      <c r="C434" s="133" t="n"/>
      <c r="D434" s="136">
        <f>IF($U434="Open Sale", IF(MAX($D$4:D433)+1=0, "", MAX($D$4:D433)+1), "")</f>
        <v/>
      </c>
      <c r="E434" s="136">
        <f>IF($U434="Pending Allocation", IF(MAX($E$4:E433)+1=0, "", MAX($E$4:E433)+1), "")</f>
        <v/>
      </c>
      <c r="F434" s="136" t="n"/>
      <c r="G434" s="136" t="n"/>
      <c r="H434" s="150" t="n"/>
      <c r="I434" s="150" t="n"/>
      <c r="J434" s="67">
        <f>IF(OpenPendingCases[[#This Row],[Timepiece Reference ]]="", "", IF(_xlfn.XLOOKUP(OpenPendingCases[[#This Row],[Timepiece Reference ]], Table1[[Timepiece Reference ]], Table1[CRC STOCK], "Not Found")="YES", "CRC Stock", "Boutique Stock"))</f>
        <v/>
      </c>
      <c r="K434" s="136">
        <f>IF(OpenPendingCases[[#This Row],[Timepiece Reference ]]="", "", IF(_xlfn.XLOOKUP(OpenPendingCases[[#This Row],[Timepiece Reference ]], Table1[[Timepiece Reference ]], Table1[CRC STOCK], "Not Found")="YES", "CRC Stock", "Boutique Stock"))</f>
        <v/>
      </c>
      <c r="L434" s="142" t="n"/>
      <c r="M434" s="140" t="n"/>
      <c r="N434" s="136" t="n"/>
      <c r="O434" s="133" t="n"/>
      <c r="P434" s="93">
        <f>IFERROR(VLOOKUP(TRIM(O434), Collection!$B$2:$D$1001, 2, FALSE), "")</f>
        <v/>
      </c>
      <c r="Q434" s="190">
        <f>IFERROR(VLOOKUP(TRIM(O434), Collection!$B$2:$D$1001, 3, FALSE), "")</f>
        <v/>
      </c>
      <c r="R434" s="153">
        <f>IFERROR(VALUE(SUBSTITUTE(SUBSTITUTE(Q434, "Price", ""), "AED", "")), "")</f>
        <v/>
      </c>
      <c r="S434" s="151" t="n"/>
      <c r="T434" s="158" t="n"/>
      <c r="U434" s="136" t="n"/>
      <c r="V434" s="136" t="n"/>
      <c r="W434" s="156">
        <f>IF(Z434 = "",
"",
TEXT(Z434, "mmmm"))</f>
        <v/>
      </c>
      <c r="X434" s="157" t="n"/>
      <c r="Y434" s="158" t="n"/>
      <c r="Z434" s="158" t="n"/>
      <c r="AA434" s="136">
        <f>IF(H434="", "", IF(U434="Open Sale", IF(TODAY()-H434=0, "0 Days", TEXT(TODAY()-H434, "0") &amp; " Days"), IF(U434="Closed Sale", AA434, "")))</f>
        <v/>
      </c>
      <c r="AB434" s="136">
        <f>IF(H434="", "", IF(OR(U434="Pending", U434="Pending Allocation"), CONCATENATE(TODAY()-H434, " Days"), IF(U434="Closed", "", "")))</f>
        <v/>
      </c>
      <c r="AC434" s="160">
        <f>IF(U434="Pending Allocation", IF(I434="", "", TODAY()-I434), "")</f>
        <v/>
      </c>
      <c r="AD434" s="159">
        <f>IF(U434="Open Sale", TEXT(TODAY()-I434, "0"),
IF(U434="Pending", "",
IF(U434="Closed Sale", "", "")))</f>
        <v/>
      </c>
      <c r="AE434" s="161" t="n"/>
      <c r="AF434" s="161" t="n"/>
      <c r="AG434" s="161" t="n"/>
      <c r="AH434" s="136" t="n"/>
      <c r="AI434" s="164">
        <f>IF(I434="","",TEXT(I434, "mmmm yyyy"))</f>
        <v/>
      </c>
      <c r="AJ434" s="164">
        <f>IF(AND(OpenPendingCases[[#This Row],[Sale Status	]]="Open Sale",OpenPendingCases[[#This Row],[Potential Same Month]]="High"),TEXT(OpenPendingCases[[#This Row],[Request Entry Date]], "[$-en-us]mmmm"),"")</f>
        <v/>
      </c>
      <c r="AK434" s="165">
        <f>IFERROR(VALUE(SUBSTITUTE(OpenPendingCases[[#This Row],[Price]]," AED","")),"")</f>
        <v/>
      </c>
      <c r="AL434" s="165">
        <f>IFERROR(VALUE(LEFT(OpenPendingCases[[#This Row],[Price]],FIND(" ",OpenPendingCases[[#This Row],[Price]])-1)),"")</f>
        <v/>
      </c>
      <c r="AM434" s="165">
        <f>IFERROR(VALUE(_xlfn.TEXTBEFORE(OpenPendingCases[[#This Row],[Price]]," AED")),"")</f>
        <v/>
      </c>
      <c r="AN434" s="165" t="n"/>
    </row>
    <row r="435" hidden="1" ht="18" customHeight="1" s="287">
      <c r="C435" s="133" t="n"/>
      <c r="D435" s="136">
        <f>IF($U435="Open Sale", IF(MAX($D$4:D434)+1=0, "", MAX($D$4:D434)+1), "")</f>
        <v/>
      </c>
      <c r="E435" s="136">
        <f>IF($U435="Pending Allocation", IF(MAX($E$4:E434)+1=0, "", MAX($E$4:E434)+1), "")</f>
        <v/>
      </c>
      <c r="F435" s="136" t="n"/>
      <c r="G435" s="136" t="n"/>
      <c r="H435" s="150" t="n"/>
      <c r="I435" s="150" t="n"/>
      <c r="J435" s="67">
        <f>IF(OpenPendingCases[[#This Row],[Timepiece Reference ]]="", "", IF(_xlfn.XLOOKUP(OpenPendingCases[[#This Row],[Timepiece Reference ]], Table1[[Timepiece Reference ]], Table1[CRC STOCK], "Not Found")="YES", "CRC Stock", "Boutique Stock"))</f>
        <v/>
      </c>
      <c r="K435" s="136">
        <f>IF(OpenPendingCases[[#This Row],[Timepiece Reference ]]="", "", IF(_xlfn.XLOOKUP(OpenPendingCases[[#This Row],[Timepiece Reference ]], Table1[[Timepiece Reference ]], Table1[CRC STOCK], "Not Found")="YES", "CRC Stock", "Boutique Stock"))</f>
        <v/>
      </c>
      <c r="L435" s="142" t="n"/>
      <c r="M435" s="140" t="n"/>
      <c r="N435" s="136" t="n"/>
      <c r="O435" s="133" t="n"/>
      <c r="P435" s="93">
        <f>IFERROR(VLOOKUP(TRIM(O435), Collection!$B$2:$D$1001, 2, FALSE), "")</f>
        <v/>
      </c>
      <c r="Q435" s="190">
        <f>IFERROR(VLOOKUP(TRIM(O435), Collection!$B$2:$D$1001, 3, FALSE), "")</f>
        <v/>
      </c>
      <c r="R435" s="153">
        <f>IFERROR(VALUE(SUBSTITUTE(SUBSTITUTE(Q435, "Price", ""), "AED", "")), "")</f>
        <v/>
      </c>
      <c r="S435" s="151" t="n"/>
      <c r="T435" s="158" t="n"/>
      <c r="U435" s="136" t="n"/>
      <c r="V435" s="136" t="n"/>
      <c r="W435" s="156">
        <f>IF(Z435 = "",
"",
TEXT(Z435, "mmmm"))</f>
        <v/>
      </c>
      <c r="X435" s="157" t="n"/>
      <c r="Y435" s="158" t="n"/>
      <c r="Z435" s="158" t="n"/>
      <c r="AA435" s="136">
        <f>IF(H435="", "", IF(U435="Open Sale", IF(TODAY()-H435=0, "0 Days", TEXT(TODAY()-H435, "0") &amp; " Days"), IF(U435="Closed Sale", AA435, "")))</f>
        <v/>
      </c>
      <c r="AB435" s="136">
        <f>IF(H435="", "", IF(OR(U435="Pending", U435="Pending Allocation"), CONCATENATE(TODAY()-H435, " Days"), IF(U435="Closed", "", "")))</f>
        <v/>
      </c>
      <c r="AC435" s="160">
        <f>IF(U435="Pending Allocation", IF(I435="", "", TODAY()-I435), "")</f>
        <v/>
      </c>
      <c r="AD435" s="159">
        <f>IF(U435="Open Sale", TEXT(TODAY()-I435, "0"),
IF(U435="Pending", "",
IF(U435="Closed Sale", "", "")))</f>
        <v/>
      </c>
      <c r="AE435" s="161" t="n"/>
      <c r="AF435" s="161" t="n"/>
      <c r="AG435" s="161" t="n"/>
      <c r="AH435" s="136" t="n"/>
      <c r="AI435" s="164">
        <f>IF(I435="","",TEXT(I435, "mmmm yyyy"))</f>
        <v/>
      </c>
      <c r="AJ435" s="164">
        <f>IF(AND(OpenPendingCases[[#This Row],[Sale Status	]]="Open Sale",OpenPendingCases[[#This Row],[Potential Same Month]]="High"),TEXT(OpenPendingCases[[#This Row],[Request Entry Date]], "[$-en-us]mmmm"),"")</f>
        <v/>
      </c>
      <c r="AK435" s="165">
        <f>IFERROR(VALUE(SUBSTITUTE(OpenPendingCases[[#This Row],[Price]]," AED","")),"")</f>
        <v/>
      </c>
      <c r="AL435" s="165">
        <f>IFERROR(VALUE(LEFT(OpenPendingCases[[#This Row],[Price]],FIND(" ",OpenPendingCases[[#This Row],[Price]])-1)),"")</f>
        <v/>
      </c>
      <c r="AM435" s="165">
        <f>IFERROR(VALUE(_xlfn.TEXTBEFORE(OpenPendingCases[[#This Row],[Price]]," AED")),"")</f>
        <v/>
      </c>
      <c r="AN435" s="165" t="n"/>
    </row>
    <row r="436" hidden="1" ht="18" customHeight="1" s="287">
      <c r="C436" s="133" t="n"/>
      <c r="D436" s="136">
        <f>IF($U436="Open Sale", IF(MAX($D$4:D435)+1=0, "", MAX($D$4:D435)+1), "")</f>
        <v/>
      </c>
      <c r="E436" s="136">
        <f>IF($U436="Pending Allocation", IF(MAX($E$4:E435)+1=0, "", MAX($E$4:E435)+1), "")</f>
        <v/>
      </c>
      <c r="F436" s="136" t="n"/>
      <c r="G436" s="136" t="n"/>
      <c r="H436" s="150" t="n"/>
      <c r="I436" s="150" t="n"/>
      <c r="J436" s="67">
        <f>IF(OpenPendingCases[[#This Row],[Timepiece Reference ]]="", "", IF(_xlfn.XLOOKUP(OpenPendingCases[[#This Row],[Timepiece Reference ]], Table1[[Timepiece Reference ]], Table1[CRC STOCK], "Not Found")="YES", "CRC Stock", "Boutique Stock"))</f>
        <v/>
      </c>
      <c r="K436" s="136">
        <f>IF(OpenPendingCases[[#This Row],[Timepiece Reference ]]="", "", IF(_xlfn.XLOOKUP(OpenPendingCases[[#This Row],[Timepiece Reference ]], Table1[[Timepiece Reference ]], Table1[CRC STOCK], "Not Found")="YES", "CRC Stock", "Boutique Stock"))</f>
        <v/>
      </c>
      <c r="L436" s="142" t="n"/>
      <c r="M436" s="140" t="n"/>
      <c r="N436" s="136" t="n"/>
      <c r="O436" s="133" t="n"/>
      <c r="P436" s="93">
        <f>IFERROR(VLOOKUP(TRIM(O436), Collection!$B$2:$D$1001, 2, FALSE), "")</f>
        <v/>
      </c>
      <c r="Q436" s="190">
        <f>IFERROR(VLOOKUP(TRIM(O436), Collection!$B$2:$D$1001, 3, FALSE), "")</f>
        <v/>
      </c>
      <c r="R436" s="153">
        <f>IFERROR(VALUE(SUBSTITUTE(SUBSTITUTE(Q436, "Price", ""), "AED", "")), "")</f>
        <v/>
      </c>
      <c r="S436" s="151" t="n"/>
      <c r="T436" s="158" t="n"/>
      <c r="U436" s="136" t="n"/>
      <c r="V436" s="136" t="n"/>
      <c r="W436" s="156">
        <f>IF(Z436 = "",
"",
TEXT(Z436, "mmmm"))</f>
        <v/>
      </c>
      <c r="X436" s="157" t="n"/>
      <c r="Y436" s="158" t="n"/>
      <c r="Z436" s="158" t="n"/>
      <c r="AA436" s="136">
        <f>IF(H436="", "", IF(U436="Open Sale", IF(TODAY()-H436=0, "0 Days", TEXT(TODAY()-H436, "0") &amp; " Days"), IF(U436="Closed Sale", AA436, "")))</f>
        <v/>
      </c>
      <c r="AB436" s="136">
        <f>IF(H436="", "", IF(OR(U436="Pending", U436="Pending Allocation"), CONCATENATE(TODAY()-H436, " Days"), IF(U436="Closed", "", "")))</f>
        <v/>
      </c>
      <c r="AC436" s="160">
        <f>IF(U436="Pending Allocation", IF(I436="", "", TODAY()-I436), "")</f>
        <v/>
      </c>
      <c r="AD436" s="159">
        <f>IF(U436="Open Sale", TEXT(TODAY()-I436, "0"),
IF(U436="Pending", "",
IF(U436="Closed Sale", "", "")))</f>
        <v/>
      </c>
      <c r="AE436" s="161" t="n"/>
      <c r="AF436" s="161" t="n"/>
      <c r="AG436" s="161" t="n"/>
      <c r="AH436" s="136" t="n"/>
      <c r="AI436" s="164">
        <f>IF(I436="","",TEXT(I436, "mmmm yyyy"))</f>
        <v/>
      </c>
      <c r="AJ436" s="164">
        <f>IF(AND(OpenPendingCases[[#This Row],[Sale Status	]]="Open Sale",OpenPendingCases[[#This Row],[Potential Same Month]]="High"),TEXT(OpenPendingCases[[#This Row],[Request Entry Date]], "[$-en-us]mmmm"),"")</f>
        <v/>
      </c>
      <c r="AK436" s="165">
        <f>IFERROR(VALUE(SUBSTITUTE(OpenPendingCases[[#This Row],[Price]]," AED","")),"")</f>
        <v/>
      </c>
      <c r="AL436" s="165">
        <f>IFERROR(VALUE(LEFT(OpenPendingCases[[#This Row],[Price]],FIND(" ",OpenPendingCases[[#This Row],[Price]])-1)),"")</f>
        <v/>
      </c>
      <c r="AM436" s="165">
        <f>IFERROR(VALUE(_xlfn.TEXTBEFORE(OpenPendingCases[[#This Row],[Price]]," AED")),"")</f>
        <v/>
      </c>
      <c r="AN436" s="165" t="n"/>
    </row>
    <row r="437" hidden="1" ht="18" customHeight="1" s="287">
      <c r="C437" s="133" t="n"/>
      <c r="D437" s="136">
        <f>IF($U437="Open Sale", IF(MAX($D$4:D436)+1=0, "", MAX($D$4:D436)+1), "")</f>
        <v/>
      </c>
      <c r="E437" s="136">
        <f>IF($U437="Pending Allocation", IF(MAX($E$4:E436)+1=0, "", MAX($E$4:E436)+1), "")</f>
        <v/>
      </c>
      <c r="F437" s="136" t="n"/>
      <c r="G437" s="136" t="n"/>
      <c r="H437" s="150" t="n"/>
      <c r="I437" s="150" t="n"/>
      <c r="J437" s="67">
        <f>IF(OpenPendingCases[[#This Row],[Timepiece Reference ]]="", "", IF(_xlfn.XLOOKUP(OpenPendingCases[[#This Row],[Timepiece Reference ]], Table1[[Timepiece Reference ]], Table1[CRC STOCK], "Not Found")="YES", "CRC Stock", "Boutique Stock"))</f>
        <v/>
      </c>
      <c r="K437" s="136">
        <f>IF(OpenPendingCases[[#This Row],[Timepiece Reference ]]="", "", IF(_xlfn.XLOOKUP(OpenPendingCases[[#This Row],[Timepiece Reference ]], Table1[[Timepiece Reference ]], Table1[CRC STOCK], "Not Found")="YES", "CRC Stock", "Boutique Stock"))</f>
        <v/>
      </c>
      <c r="L437" s="142" t="n"/>
      <c r="M437" s="140" t="n"/>
      <c r="N437" s="136" t="n"/>
      <c r="O437" s="133" t="n"/>
      <c r="P437" s="93">
        <f>IFERROR(VLOOKUP(TRIM(O437), Collection!$B$2:$D$1001, 2, FALSE), "")</f>
        <v/>
      </c>
      <c r="Q437" s="190">
        <f>IFERROR(VLOOKUP(TRIM(O437), Collection!$B$2:$D$1001, 3, FALSE), "")</f>
        <v/>
      </c>
      <c r="R437" s="153">
        <f>IFERROR(VALUE(SUBSTITUTE(SUBSTITUTE(Q437, "Price", ""), "AED", "")), "")</f>
        <v/>
      </c>
      <c r="S437" s="151" t="n"/>
      <c r="T437" s="158" t="n"/>
      <c r="U437" s="136" t="n"/>
      <c r="V437" s="136" t="n"/>
      <c r="W437" s="156">
        <f>IF(Z437 = "",
"",
TEXT(Z437, "mmmm"))</f>
        <v/>
      </c>
      <c r="X437" s="157" t="n"/>
      <c r="Y437" s="158" t="n"/>
      <c r="Z437" s="158" t="n"/>
      <c r="AA437" s="136">
        <f>IF(H437="", "", IF(U437="Open Sale", IF(TODAY()-H437=0, "0 Days", TEXT(TODAY()-H437, "0") &amp; " Days"), IF(U437="Closed Sale", AA437, "")))</f>
        <v/>
      </c>
      <c r="AB437" s="136">
        <f>IF(H437="", "", IF(OR(U437="Pending", U437="Pending Allocation"), CONCATENATE(TODAY()-H437, " Days"), IF(U437="Closed", "", "")))</f>
        <v/>
      </c>
      <c r="AC437" s="160">
        <f>IF(U437="Pending Allocation", IF(I437="", "", TODAY()-I437), "")</f>
        <v/>
      </c>
      <c r="AD437" s="159">
        <f>IF(U437="Open Sale", TEXT(TODAY()-I437, "0"),
IF(U437="Pending", "",
IF(U437="Closed Sale", "", "")))</f>
        <v/>
      </c>
      <c r="AE437" s="161" t="n"/>
      <c r="AF437" s="161" t="n"/>
      <c r="AG437" s="161" t="n"/>
      <c r="AH437" s="136" t="n"/>
      <c r="AI437" s="164">
        <f>IF(I437="","",TEXT(I437, "mmmm yyyy"))</f>
        <v/>
      </c>
      <c r="AJ437" s="164">
        <f>IF(AND(OpenPendingCases[[#This Row],[Sale Status	]]="Open Sale",OpenPendingCases[[#This Row],[Potential Same Month]]="High"),TEXT(OpenPendingCases[[#This Row],[Request Entry Date]], "[$-en-us]mmmm"),"")</f>
        <v/>
      </c>
      <c r="AK437" s="165">
        <f>IFERROR(VALUE(SUBSTITUTE(OpenPendingCases[[#This Row],[Price]]," AED","")),"")</f>
        <v/>
      </c>
      <c r="AL437" s="165">
        <f>IFERROR(VALUE(LEFT(OpenPendingCases[[#This Row],[Price]],FIND(" ",OpenPendingCases[[#This Row],[Price]])-1)),"")</f>
        <v/>
      </c>
      <c r="AM437" s="165">
        <f>IFERROR(VALUE(_xlfn.TEXTBEFORE(OpenPendingCases[[#This Row],[Price]]," AED")),"")</f>
        <v/>
      </c>
      <c r="AN437" s="165" t="n"/>
    </row>
    <row r="438" hidden="1" ht="18" customHeight="1" s="287">
      <c r="C438" s="133" t="n"/>
      <c r="D438" s="136">
        <f>IF($U438="Open Sale", IF(MAX($D$4:D437)+1=0, "", MAX($D$4:D437)+1), "")</f>
        <v/>
      </c>
      <c r="E438" s="136">
        <f>IF($U438="Pending Allocation", IF(MAX($E$4:E437)+1=0, "", MAX($E$4:E437)+1), "")</f>
        <v/>
      </c>
      <c r="F438" s="136" t="n"/>
      <c r="G438" s="136" t="n"/>
      <c r="H438" s="150" t="n"/>
      <c r="I438" s="150" t="n"/>
      <c r="J438" s="67">
        <f>IF(OpenPendingCases[[#This Row],[Timepiece Reference ]]="", "", IF(_xlfn.XLOOKUP(OpenPendingCases[[#This Row],[Timepiece Reference ]], Table1[[Timepiece Reference ]], Table1[CRC STOCK], "Not Found")="YES", "CRC Stock", "Boutique Stock"))</f>
        <v/>
      </c>
      <c r="K438" s="136">
        <f>IF(OpenPendingCases[[#This Row],[Timepiece Reference ]]="", "", IF(_xlfn.XLOOKUP(OpenPendingCases[[#This Row],[Timepiece Reference ]], Table1[[Timepiece Reference ]], Table1[CRC STOCK], "Not Found")="YES", "CRC Stock", "Boutique Stock"))</f>
        <v/>
      </c>
      <c r="L438" s="142" t="n"/>
      <c r="M438" s="140" t="n"/>
      <c r="N438" s="136" t="n"/>
      <c r="O438" s="133" t="n"/>
      <c r="P438" s="93">
        <f>IFERROR(VLOOKUP(TRIM(O438), Collection!$B$2:$D$1001, 2, FALSE), "")</f>
        <v/>
      </c>
      <c r="Q438" s="190">
        <f>IFERROR(VLOOKUP(TRIM(O438), Collection!$B$2:$D$1001, 3, FALSE), "")</f>
        <v/>
      </c>
      <c r="R438" s="153">
        <f>IFERROR(VALUE(SUBSTITUTE(SUBSTITUTE(Q438, "Price", ""), "AED", "")), "")</f>
        <v/>
      </c>
      <c r="S438" s="151" t="n"/>
      <c r="T438" s="158" t="n"/>
      <c r="U438" s="136" t="n"/>
      <c r="V438" s="136" t="n"/>
      <c r="W438" s="156">
        <f>IF(Z438 = "",
"",
TEXT(Z438, "mmmm"))</f>
        <v/>
      </c>
      <c r="X438" s="157" t="n"/>
      <c r="Y438" s="158" t="n"/>
      <c r="Z438" s="158" t="n"/>
      <c r="AA438" s="136">
        <f>IF(H438="", "", IF(U438="Open Sale", IF(TODAY()-H438=0, "0 Days", TEXT(TODAY()-H438, "0") &amp; " Days"), IF(U438="Closed Sale", AA438, "")))</f>
        <v/>
      </c>
      <c r="AB438" s="136">
        <f>IF(H438="", "", IF(OR(U438="Pending", U438="Pending Allocation"), CONCATENATE(TODAY()-H438, " Days"), IF(U438="Closed", "", "")))</f>
        <v/>
      </c>
      <c r="AC438" s="160">
        <f>IF(U438="Pending Allocation", IF(I438="", "", TODAY()-I438), "")</f>
        <v/>
      </c>
      <c r="AD438" s="159">
        <f>IF(U438="Open Sale", TEXT(TODAY()-I438, "0"),
IF(U438="Pending", "",
IF(U438="Closed Sale", "", "")))</f>
        <v/>
      </c>
      <c r="AE438" s="161" t="n"/>
      <c r="AF438" s="161" t="n"/>
      <c r="AG438" s="161" t="n"/>
      <c r="AH438" s="136" t="n"/>
      <c r="AI438" s="164">
        <f>IF(I438="","",TEXT(I438, "mmmm yyyy"))</f>
        <v/>
      </c>
      <c r="AJ438" s="164">
        <f>IF(AND(OpenPendingCases[[#This Row],[Sale Status	]]="Open Sale",OpenPendingCases[[#This Row],[Potential Same Month]]="High"),TEXT(OpenPendingCases[[#This Row],[Request Entry Date]], "[$-en-us]mmmm"),"")</f>
        <v/>
      </c>
      <c r="AK438" s="165">
        <f>IFERROR(VALUE(SUBSTITUTE(OpenPendingCases[[#This Row],[Price]]," AED","")),"")</f>
        <v/>
      </c>
      <c r="AL438" s="165">
        <f>IFERROR(VALUE(LEFT(OpenPendingCases[[#This Row],[Price]],FIND(" ",OpenPendingCases[[#This Row],[Price]])-1)),"")</f>
        <v/>
      </c>
      <c r="AM438" s="165">
        <f>IFERROR(VALUE(_xlfn.TEXTBEFORE(OpenPendingCases[[#This Row],[Price]]," AED")),"")</f>
        <v/>
      </c>
      <c r="AN438" s="165" t="n"/>
    </row>
    <row r="439" hidden="1" ht="18" customHeight="1" s="287">
      <c r="C439" s="133" t="n"/>
      <c r="D439" s="136">
        <f>IF($U439="Open Sale", IF(MAX($D$4:D438)+1=0, "", MAX($D$4:D438)+1), "")</f>
        <v/>
      </c>
      <c r="E439" s="136">
        <f>IF($U439="Pending Allocation", IF(MAX($E$4:E438)+1=0, "", MAX($E$4:E438)+1), "")</f>
        <v/>
      </c>
      <c r="F439" s="136" t="n"/>
      <c r="G439" s="136" t="n"/>
      <c r="H439" s="150" t="n"/>
      <c r="I439" s="150" t="n"/>
      <c r="J439" s="67">
        <f>IF(OpenPendingCases[[#This Row],[Timepiece Reference ]]="", "", IF(_xlfn.XLOOKUP(OpenPendingCases[[#This Row],[Timepiece Reference ]], Table1[[Timepiece Reference ]], Table1[CRC STOCK], "Not Found")="YES", "CRC Stock", "Boutique Stock"))</f>
        <v/>
      </c>
      <c r="K439" s="136">
        <f>IF(OpenPendingCases[[#This Row],[Timepiece Reference ]]="", "", IF(_xlfn.XLOOKUP(OpenPendingCases[[#This Row],[Timepiece Reference ]], Table1[[Timepiece Reference ]], Table1[CRC STOCK], "Not Found")="YES", "CRC Stock", "Boutique Stock"))</f>
        <v/>
      </c>
      <c r="L439" s="142" t="n"/>
      <c r="M439" s="140" t="n"/>
      <c r="N439" s="136" t="n"/>
      <c r="O439" s="133" t="n"/>
      <c r="P439" s="93">
        <f>IFERROR(VLOOKUP(TRIM(O439), Collection!$B$2:$D$1001, 2, FALSE), "")</f>
        <v/>
      </c>
      <c r="Q439" s="190">
        <f>IFERROR(VLOOKUP(TRIM(O439), Collection!$B$2:$D$1001, 3, FALSE), "")</f>
        <v/>
      </c>
      <c r="R439" s="153">
        <f>IFERROR(VALUE(SUBSTITUTE(SUBSTITUTE(Q439, "Price", ""), "AED", "")), "")</f>
        <v/>
      </c>
      <c r="S439" s="151" t="n"/>
      <c r="T439" s="158" t="n"/>
      <c r="U439" s="136" t="n"/>
      <c r="V439" s="136" t="n"/>
      <c r="W439" s="156">
        <f>IF(Z439 = "",
"",
TEXT(Z439, "mmmm"))</f>
        <v/>
      </c>
      <c r="X439" s="157" t="n"/>
      <c r="Y439" s="158" t="n"/>
      <c r="Z439" s="158" t="n"/>
      <c r="AA439" s="136">
        <f>IF(H439="", "", IF(U439="Open Sale", IF(TODAY()-H439=0, "0 Days", TEXT(TODAY()-H439, "0") &amp; " Days"), IF(U439="Closed Sale", AA439, "")))</f>
        <v/>
      </c>
      <c r="AB439" s="136">
        <f>IF(H439="", "", IF(OR(U439="Pending", U439="Pending Allocation"), CONCATENATE(TODAY()-H439, " Days"), IF(U439="Closed", "", "")))</f>
        <v/>
      </c>
      <c r="AC439" s="160">
        <f>IF(U439="Pending Allocation", IF(I439="", "", TODAY()-I439), "")</f>
        <v/>
      </c>
      <c r="AD439" s="159">
        <f>IF(U439="Open Sale", TEXT(TODAY()-I439, "0"),
IF(U439="Pending", "",
IF(U439="Closed Sale", "", "")))</f>
        <v/>
      </c>
      <c r="AE439" s="161" t="n"/>
      <c r="AF439" s="161" t="n"/>
      <c r="AG439" s="161" t="n"/>
      <c r="AH439" s="136" t="n"/>
      <c r="AI439" s="164">
        <f>IF(I439="","",TEXT(I439, "mmmm yyyy"))</f>
        <v/>
      </c>
      <c r="AJ439" s="164">
        <f>IF(AND(OpenPendingCases[[#This Row],[Sale Status	]]="Open Sale",OpenPendingCases[[#This Row],[Potential Same Month]]="High"),TEXT(OpenPendingCases[[#This Row],[Request Entry Date]], "[$-en-us]mmmm"),"")</f>
        <v/>
      </c>
      <c r="AK439" s="165">
        <f>IFERROR(VALUE(SUBSTITUTE(OpenPendingCases[[#This Row],[Price]]," AED","")),"")</f>
        <v/>
      </c>
      <c r="AL439" s="165">
        <f>IFERROR(VALUE(LEFT(OpenPendingCases[[#This Row],[Price]],FIND(" ",OpenPendingCases[[#This Row],[Price]])-1)),"")</f>
        <v/>
      </c>
      <c r="AM439" s="165">
        <f>IFERROR(VALUE(_xlfn.TEXTBEFORE(OpenPendingCases[[#This Row],[Price]]," AED")),"")</f>
        <v/>
      </c>
      <c r="AN439" s="165" t="n"/>
    </row>
    <row r="440" hidden="1" ht="18" customHeight="1" s="287">
      <c r="C440" s="133" t="n"/>
      <c r="D440" s="136">
        <f>IF($U440="Open Sale", IF(MAX($D$4:D439)+1=0, "", MAX($D$4:D439)+1), "")</f>
        <v/>
      </c>
      <c r="E440" s="136">
        <f>IF($U440="Pending Allocation", IF(MAX($E$4:E439)+1=0, "", MAX($E$4:E439)+1), "")</f>
        <v/>
      </c>
      <c r="F440" s="136" t="n"/>
      <c r="G440" s="136" t="n"/>
      <c r="H440" s="150" t="n"/>
      <c r="I440" s="150" t="n"/>
      <c r="J440" s="67">
        <f>IF(OpenPendingCases[[#This Row],[Timepiece Reference ]]="", "", IF(_xlfn.XLOOKUP(OpenPendingCases[[#This Row],[Timepiece Reference ]], Table1[[Timepiece Reference ]], Table1[CRC STOCK], "Not Found")="YES", "CRC Stock", "Boutique Stock"))</f>
        <v/>
      </c>
      <c r="K440" s="136">
        <f>IF(OpenPendingCases[[#This Row],[Timepiece Reference ]]="", "", IF(_xlfn.XLOOKUP(OpenPendingCases[[#This Row],[Timepiece Reference ]], Table1[[Timepiece Reference ]], Table1[CRC STOCK], "Not Found")="YES", "CRC Stock", "Boutique Stock"))</f>
        <v/>
      </c>
      <c r="L440" s="142" t="n"/>
      <c r="M440" s="140" t="n"/>
      <c r="N440" s="136" t="n"/>
      <c r="O440" s="133" t="n"/>
      <c r="P440" s="93">
        <f>IFERROR(VLOOKUP(TRIM(O440), Collection!$B$2:$D$1001, 2, FALSE), "")</f>
        <v/>
      </c>
      <c r="Q440" s="190">
        <f>IFERROR(VLOOKUP(TRIM(O440), Collection!$B$2:$D$1001, 3, FALSE), "")</f>
        <v/>
      </c>
      <c r="R440" s="153">
        <f>IFERROR(VALUE(SUBSTITUTE(SUBSTITUTE(Q440, "Price", ""), "AED", "")), "")</f>
        <v/>
      </c>
      <c r="S440" s="151" t="n"/>
      <c r="T440" s="158" t="n"/>
      <c r="U440" s="136" t="n"/>
      <c r="V440" s="136" t="n"/>
      <c r="W440" s="156">
        <f>IF(Z440 = "",
"",
TEXT(Z440, "mmmm"))</f>
        <v/>
      </c>
      <c r="X440" s="157" t="n"/>
      <c r="Y440" s="158" t="n"/>
      <c r="Z440" s="158" t="n"/>
      <c r="AA440" s="136">
        <f>IF(H440="", "", IF(U440="Open Sale", IF(TODAY()-H440=0, "0 Days", TEXT(TODAY()-H440, "0") &amp; " Days"), IF(U440="Closed Sale", AA440, "")))</f>
        <v/>
      </c>
      <c r="AB440" s="136">
        <f>IF(H440="", "", IF(OR(U440="Pending", U440="Pending Allocation"), CONCATENATE(TODAY()-H440, " Days"), IF(U440="Closed", "", "")))</f>
        <v/>
      </c>
      <c r="AC440" s="160">
        <f>IF(U440="Pending Allocation", IF(I440="", "", TODAY()-I440), "")</f>
        <v/>
      </c>
      <c r="AD440" s="159">
        <f>IF(U440="Open Sale", TEXT(TODAY()-I440, "0"),
IF(U440="Pending", "",
IF(U440="Closed Sale", "", "")))</f>
        <v/>
      </c>
      <c r="AE440" s="161" t="n"/>
      <c r="AF440" s="161" t="n"/>
      <c r="AG440" s="161" t="n"/>
      <c r="AH440" s="136" t="n"/>
      <c r="AI440" s="164">
        <f>IF(I440="","",TEXT(I440, "mmmm yyyy"))</f>
        <v/>
      </c>
      <c r="AJ440" s="164">
        <f>IF(AND(OpenPendingCases[[#This Row],[Sale Status	]]="Open Sale",OpenPendingCases[[#This Row],[Potential Same Month]]="High"),TEXT(OpenPendingCases[[#This Row],[Request Entry Date]], "[$-en-us]mmmm"),"")</f>
        <v/>
      </c>
      <c r="AK440" s="165">
        <f>IFERROR(VALUE(SUBSTITUTE(OpenPendingCases[[#This Row],[Price]]," AED","")),"")</f>
        <v/>
      </c>
      <c r="AL440" s="165">
        <f>IFERROR(VALUE(LEFT(OpenPendingCases[[#This Row],[Price]],FIND(" ",OpenPendingCases[[#This Row],[Price]])-1)),"")</f>
        <v/>
      </c>
      <c r="AM440" s="165">
        <f>IFERROR(VALUE(_xlfn.TEXTBEFORE(OpenPendingCases[[#This Row],[Price]]," AED")),"")</f>
        <v/>
      </c>
      <c r="AN440" s="165" t="n"/>
    </row>
    <row r="441" hidden="1" ht="18" customHeight="1" s="287">
      <c r="C441" s="133" t="n"/>
      <c r="D441" s="136">
        <f>IF($U441="Open Sale", IF(MAX($D$4:D440)+1=0, "", MAX($D$4:D440)+1), "")</f>
        <v/>
      </c>
      <c r="E441" s="136">
        <f>IF($U441="Pending Allocation", IF(MAX($E$4:E440)+1=0, "", MAX($E$4:E440)+1), "")</f>
        <v/>
      </c>
      <c r="F441" s="136" t="n"/>
      <c r="G441" s="136" t="n"/>
      <c r="H441" s="150" t="n"/>
      <c r="I441" s="150" t="n"/>
      <c r="J441" s="67">
        <f>IF(OpenPendingCases[[#This Row],[Timepiece Reference ]]="", "", IF(_xlfn.XLOOKUP(OpenPendingCases[[#This Row],[Timepiece Reference ]], Table1[[Timepiece Reference ]], Table1[CRC STOCK], "Not Found")="YES", "CRC Stock", "Boutique Stock"))</f>
        <v/>
      </c>
      <c r="K441" s="136">
        <f>IF(OpenPendingCases[[#This Row],[Timepiece Reference ]]="", "", IF(_xlfn.XLOOKUP(OpenPendingCases[[#This Row],[Timepiece Reference ]], Table1[[Timepiece Reference ]], Table1[CRC STOCK], "Not Found")="YES", "CRC Stock", "Boutique Stock"))</f>
        <v/>
      </c>
      <c r="L441" s="142" t="n"/>
      <c r="M441" s="140" t="n"/>
      <c r="N441" s="136" t="n"/>
      <c r="O441" s="133" t="n"/>
      <c r="P441" s="93">
        <f>IFERROR(VLOOKUP(TRIM(O441), Collection!$B$2:$D$1001, 2, FALSE), "")</f>
        <v/>
      </c>
      <c r="Q441" s="190">
        <f>IFERROR(VLOOKUP(TRIM(O441), Collection!$B$2:$D$1001, 3, FALSE), "")</f>
        <v/>
      </c>
      <c r="R441" s="153">
        <f>IFERROR(VALUE(SUBSTITUTE(SUBSTITUTE(Q441, "Price", ""), "AED", "")), "")</f>
        <v/>
      </c>
      <c r="S441" s="151" t="n"/>
      <c r="T441" s="158" t="n"/>
      <c r="U441" s="136" t="n"/>
      <c r="V441" s="136" t="n"/>
      <c r="W441" s="156">
        <f>IF(Z441 = "",
"",
TEXT(Z441, "mmmm"))</f>
        <v/>
      </c>
      <c r="X441" s="157" t="n"/>
      <c r="Y441" s="158" t="n"/>
      <c r="Z441" s="158" t="n"/>
      <c r="AA441" s="136">
        <f>IF(H441="", "", IF(U441="Open Sale", IF(TODAY()-H441=0, "0 Days", TEXT(TODAY()-H441, "0") &amp; " Days"), IF(U441="Closed Sale", AA441, "")))</f>
        <v/>
      </c>
      <c r="AB441" s="136">
        <f>IF(H441="", "", IF(OR(U441="Pending", U441="Pending Allocation"), CONCATENATE(TODAY()-H441, " Days"), IF(U441="Closed", "", "")))</f>
        <v/>
      </c>
      <c r="AC441" s="160">
        <f>IF(U441="Pending Allocation", IF(I441="", "", TODAY()-I441), "")</f>
        <v/>
      </c>
      <c r="AD441" s="159">
        <f>IF(U441="Open Sale", TEXT(TODAY()-I441, "0"),
IF(U441="Pending", "",
IF(U441="Closed Sale", "", "")))</f>
        <v/>
      </c>
      <c r="AE441" s="161" t="n"/>
      <c r="AF441" s="161" t="n"/>
      <c r="AG441" s="161" t="n"/>
      <c r="AH441" s="136" t="n"/>
      <c r="AI441" s="164">
        <f>IF(I441="","",TEXT(I441, "mmmm yyyy"))</f>
        <v/>
      </c>
      <c r="AJ441" s="164">
        <f>IF(AND(OpenPendingCases[[#This Row],[Sale Status	]]="Open Sale",OpenPendingCases[[#This Row],[Potential Same Month]]="High"),TEXT(OpenPendingCases[[#This Row],[Request Entry Date]], "[$-en-us]mmmm"),"")</f>
        <v/>
      </c>
      <c r="AK441" s="165">
        <f>IFERROR(VALUE(SUBSTITUTE(OpenPendingCases[[#This Row],[Price]]," AED","")),"")</f>
        <v/>
      </c>
      <c r="AL441" s="165">
        <f>IFERROR(VALUE(LEFT(OpenPendingCases[[#This Row],[Price]],FIND(" ",OpenPendingCases[[#This Row],[Price]])-1)),"")</f>
        <v/>
      </c>
      <c r="AM441" s="165">
        <f>IFERROR(VALUE(_xlfn.TEXTBEFORE(OpenPendingCases[[#This Row],[Price]]," AED")),"")</f>
        <v/>
      </c>
      <c r="AN441" s="165" t="n"/>
    </row>
    <row r="442" hidden="1" ht="18" customHeight="1" s="287">
      <c r="C442" s="133" t="n"/>
      <c r="D442" s="136">
        <f>IF($U442="Open Sale", IF(MAX($D$4:D441)+1=0, "", MAX($D$4:D441)+1), "")</f>
        <v/>
      </c>
      <c r="E442" s="136">
        <f>IF($U442="Pending Allocation", IF(MAX($E$4:E441)+1=0, "", MAX($E$4:E441)+1), "")</f>
        <v/>
      </c>
      <c r="F442" s="136" t="n"/>
      <c r="G442" s="136" t="n"/>
      <c r="H442" s="150" t="n"/>
      <c r="I442" s="150" t="n"/>
      <c r="J442" s="67">
        <f>IF(OpenPendingCases[[#This Row],[Timepiece Reference ]]="", "", IF(_xlfn.XLOOKUP(OpenPendingCases[[#This Row],[Timepiece Reference ]], Table1[[Timepiece Reference ]], Table1[CRC STOCK], "Not Found")="YES", "CRC Stock", "Boutique Stock"))</f>
        <v/>
      </c>
      <c r="K442" s="136">
        <f>IF(OpenPendingCases[[#This Row],[Timepiece Reference ]]="", "", IF(_xlfn.XLOOKUP(OpenPendingCases[[#This Row],[Timepiece Reference ]], Table1[[Timepiece Reference ]], Table1[CRC STOCK], "Not Found")="YES", "CRC Stock", "Boutique Stock"))</f>
        <v/>
      </c>
      <c r="L442" s="142" t="n"/>
      <c r="M442" s="140" t="n"/>
      <c r="N442" s="136" t="n"/>
      <c r="O442" s="133" t="n"/>
      <c r="P442" s="93">
        <f>IFERROR(VLOOKUP(TRIM(O442), Collection!$B$2:$D$1001, 2, FALSE), "")</f>
        <v/>
      </c>
      <c r="Q442" s="190">
        <f>IFERROR(VLOOKUP(TRIM(O442), Collection!$B$2:$D$1001, 3, FALSE), "")</f>
        <v/>
      </c>
      <c r="R442" s="153">
        <f>IFERROR(VALUE(SUBSTITUTE(SUBSTITUTE(Q442, "Price", ""), "AED", "")), "")</f>
        <v/>
      </c>
      <c r="S442" s="151" t="n"/>
      <c r="T442" s="158" t="n"/>
      <c r="U442" s="136" t="n"/>
      <c r="V442" s="136" t="n"/>
      <c r="W442" s="156">
        <f>IF(Z442 = "",
"",
TEXT(Z442, "mmmm"))</f>
        <v/>
      </c>
      <c r="X442" s="157" t="n"/>
      <c r="Y442" s="158" t="n"/>
      <c r="Z442" s="158" t="n"/>
      <c r="AA442" s="136">
        <f>IF(H442="", "", IF(U442="Open Sale", IF(TODAY()-H442=0, "0 Days", TEXT(TODAY()-H442, "0") &amp; " Days"), IF(U442="Closed Sale", AA442, "")))</f>
        <v/>
      </c>
      <c r="AB442" s="136">
        <f>IF(H442="", "", IF(OR(U442="Pending", U442="Pending Allocation"), CONCATENATE(TODAY()-H442, " Days"), IF(U442="Closed", "", "")))</f>
        <v/>
      </c>
      <c r="AC442" s="160">
        <f>IF(U442="Pending Allocation", IF(I442="", "", TODAY()-I442), "")</f>
        <v/>
      </c>
      <c r="AD442" s="159">
        <f>IF(U442="Open Sale", TEXT(TODAY()-I442, "0"),
IF(U442="Pending", "",
IF(U442="Closed Sale", "", "")))</f>
        <v/>
      </c>
      <c r="AE442" s="161" t="n"/>
      <c r="AF442" s="161" t="n"/>
      <c r="AG442" s="161" t="n"/>
      <c r="AH442" s="136" t="n"/>
      <c r="AI442" s="164">
        <f>IF(I442="","",TEXT(I442, "mmmm yyyy"))</f>
        <v/>
      </c>
      <c r="AJ442" s="164">
        <f>IF(AND(OpenPendingCases[[#This Row],[Sale Status	]]="Open Sale",OpenPendingCases[[#This Row],[Potential Same Month]]="High"),TEXT(OpenPendingCases[[#This Row],[Request Entry Date]], "[$-en-us]mmmm"),"")</f>
        <v/>
      </c>
      <c r="AK442" s="165">
        <f>IFERROR(VALUE(SUBSTITUTE(OpenPendingCases[[#This Row],[Price]]," AED","")),"")</f>
        <v/>
      </c>
      <c r="AL442" s="165">
        <f>IFERROR(VALUE(LEFT(OpenPendingCases[[#This Row],[Price]],FIND(" ",OpenPendingCases[[#This Row],[Price]])-1)),"")</f>
        <v/>
      </c>
      <c r="AM442" s="165">
        <f>IFERROR(VALUE(_xlfn.TEXTBEFORE(OpenPendingCases[[#This Row],[Price]]," AED")),"")</f>
        <v/>
      </c>
      <c r="AN442" s="165" t="n"/>
    </row>
    <row r="443" hidden="1" ht="18" customHeight="1" s="287">
      <c r="C443" s="133" t="n"/>
      <c r="D443" s="136">
        <f>IF($U443="Open Sale", IF(MAX($D$4:D442)+1=0, "", MAX($D$4:D442)+1), "")</f>
        <v/>
      </c>
      <c r="E443" s="136">
        <f>IF($U443="Pending Allocation", IF(MAX($E$4:E442)+1=0, "", MAX($E$4:E442)+1), "")</f>
        <v/>
      </c>
      <c r="F443" s="136" t="n"/>
      <c r="G443" s="136" t="n"/>
      <c r="H443" s="150" t="n"/>
      <c r="I443" s="150" t="n"/>
      <c r="J443" s="67">
        <f>IF(OpenPendingCases[[#This Row],[Timepiece Reference ]]="", "", IF(_xlfn.XLOOKUP(OpenPendingCases[[#This Row],[Timepiece Reference ]], Table1[[Timepiece Reference ]], Table1[CRC STOCK], "Not Found")="YES", "CRC Stock", "Boutique Stock"))</f>
        <v/>
      </c>
      <c r="K443" s="136">
        <f>IF(OpenPendingCases[[#This Row],[Timepiece Reference ]]="", "", IF(_xlfn.XLOOKUP(OpenPendingCases[[#This Row],[Timepiece Reference ]], Table1[[Timepiece Reference ]], Table1[CRC STOCK], "Not Found")="YES", "CRC Stock", "Boutique Stock"))</f>
        <v/>
      </c>
      <c r="L443" s="142" t="n"/>
      <c r="M443" s="140" t="n"/>
      <c r="N443" s="136" t="n"/>
      <c r="O443" s="133" t="n"/>
      <c r="P443" s="93">
        <f>IFERROR(VLOOKUP(TRIM(O443), Collection!$B$2:$D$1001, 2, FALSE), "")</f>
        <v/>
      </c>
      <c r="Q443" s="190">
        <f>IFERROR(VLOOKUP(TRIM(O443), Collection!$B$2:$D$1001, 3, FALSE), "")</f>
        <v/>
      </c>
      <c r="R443" s="153">
        <f>IFERROR(VALUE(SUBSTITUTE(SUBSTITUTE(Q443, "Price", ""), "AED", "")), "")</f>
        <v/>
      </c>
      <c r="S443" s="151" t="n"/>
      <c r="T443" s="158" t="n"/>
      <c r="U443" s="136" t="n"/>
      <c r="V443" s="136" t="n"/>
      <c r="W443" s="156">
        <f>IF(Z443 = "",
"",
TEXT(Z443, "mmmm"))</f>
        <v/>
      </c>
      <c r="X443" s="157" t="n"/>
      <c r="Y443" s="158" t="n"/>
      <c r="Z443" s="158" t="n"/>
      <c r="AA443" s="136">
        <f>IF(H443="", "", IF(U443="Open Sale", IF(TODAY()-H443=0, "0 Days", TEXT(TODAY()-H443, "0") &amp; " Days"), IF(U443="Closed Sale", AA443, "")))</f>
        <v/>
      </c>
      <c r="AB443" s="136">
        <f>IF(H443="", "", IF(OR(U443="Pending", U443="Pending Allocation"), CONCATENATE(TODAY()-H443, " Days"), IF(U443="Closed", "", "")))</f>
        <v/>
      </c>
      <c r="AC443" s="160">
        <f>IF(U443="Pending Allocation", IF(I443="", "", TODAY()-I443), "")</f>
        <v/>
      </c>
      <c r="AD443" s="159">
        <f>IF(U443="Open Sale", TEXT(TODAY()-I443, "0"),
IF(U443="Pending", "",
IF(U443="Closed Sale", "", "")))</f>
        <v/>
      </c>
      <c r="AE443" s="161" t="n"/>
      <c r="AF443" s="161" t="n"/>
      <c r="AG443" s="161" t="n"/>
      <c r="AH443" s="136" t="n"/>
      <c r="AI443" s="164">
        <f>IF(I443="","",TEXT(I443, "mmmm yyyy"))</f>
        <v/>
      </c>
      <c r="AJ443" s="164">
        <f>IF(AND(OpenPendingCases[[#This Row],[Sale Status	]]="Open Sale",OpenPendingCases[[#This Row],[Potential Same Month]]="High"),TEXT(OpenPendingCases[[#This Row],[Request Entry Date]], "[$-en-us]mmmm"),"")</f>
        <v/>
      </c>
      <c r="AK443" s="165">
        <f>IFERROR(VALUE(SUBSTITUTE(OpenPendingCases[[#This Row],[Price]]," AED","")),"")</f>
        <v/>
      </c>
      <c r="AL443" s="165">
        <f>IFERROR(VALUE(LEFT(OpenPendingCases[[#This Row],[Price]],FIND(" ",OpenPendingCases[[#This Row],[Price]])-1)),"")</f>
        <v/>
      </c>
      <c r="AM443" s="165">
        <f>IFERROR(VALUE(_xlfn.TEXTBEFORE(OpenPendingCases[[#This Row],[Price]]," AED")),"")</f>
        <v/>
      </c>
      <c r="AN443" s="165" t="n"/>
    </row>
    <row r="444" hidden="1" ht="18" customHeight="1" s="287">
      <c r="C444" s="133" t="n"/>
      <c r="D444" s="136">
        <f>IF($U444="Open Sale", IF(MAX($D$4:D443)+1=0, "", MAX($D$4:D443)+1), "")</f>
        <v/>
      </c>
      <c r="E444" s="136">
        <f>IF($U444="Pending Allocation", IF(MAX($E$4:E443)+1=0, "", MAX($E$4:E443)+1), "")</f>
        <v/>
      </c>
      <c r="F444" s="136" t="n"/>
      <c r="G444" s="136" t="n"/>
      <c r="H444" s="150" t="n"/>
      <c r="I444" s="150" t="n"/>
      <c r="J444" s="67">
        <f>IF(OpenPendingCases[[#This Row],[Timepiece Reference ]]="", "", IF(_xlfn.XLOOKUP(OpenPendingCases[[#This Row],[Timepiece Reference ]], Table1[[Timepiece Reference ]], Table1[CRC STOCK], "Not Found")="YES", "CRC Stock", "Boutique Stock"))</f>
        <v/>
      </c>
      <c r="K444" s="136">
        <f>IF(OpenPendingCases[[#This Row],[Timepiece Reference ]]="", "", IF(_xlfn.XLOOKUP(OpenPendingCases[[#This Row],[Timepiece Reference ]], Table1[[Timepiece Reference ]], Table1[CRC STOCK], "Not Found")="YES", "CRC Stock", "Boutique Stock"))</f>
        <v/>
      </c>
      <c r="L444" s="142" t="n"/>
      <c r="M444" s="140" t="n"/>
      <c r="N444" s="136" t="n"/>
      <c r="O444" s="133" t="n"/>
      <c r="P444" s="93">
        <f>IFERROR(VLOOKUP(TRIM(O444), Collection!$B$2:$D$1001, 2, FALSE), "")</f>
        <v/>
      </c>
      <c r="Q444" s="190">
        <f>IFERROR(VLOOKUP(TRIM(O444), Collection!$B$2:$D$1001, 3, FALSE), "")</f>
        <v/>
      </c>
      <c r="R444" s="153">
        <f>IFERROR(VALUE(SUBSTITUTE(SUBSTITUTE(Q444, "Price", ""), "AED", "")), "")</f>
        <v/>
      </c>
      <c r="S444" s="151" t="n"/>
      <c r="T444" s="158" t="n"/>
      <c r="U444" s="136" t="n"/>
      <c r="V444" s="136" t="n"/>
      <c r="W444" s="156">
        <f>IF(Z444 = "",
"",
TEXT(Z444, "mmmm"))</f>
        <v/>
      </c>
      <c r="X444" s="157" t="n"/>
      <c r="Y444" s="158" t="n"/>
      <c r="Z444" s="158" t="n"/>
      <c r="AA444" s="136">
        <f>IF(H444="", "", IF(U444="Open Sale", IF(TODAY()-H444=0, "0 Days", TEXT(TODAY()-H444, "0") &amp; " Days"), IF(U444="Closed Sale", AA444, "")))</f>
        <v/>
      </c>
      <c r="AB444" s="136">
        <f>IF(H444="", "", IF(OR(U444="Pending", U444="Pending Allocation"), CONCATENATE(TODAY()-H444, " Days"), IF(U444="Closed", "", "")))</f>
        <v/>
      </c>
      <c r="AC444" s="160">
        <f>IF(U444="Pending Allocation", IF(I444="", "", TODAY()-I444), "")</f>
        <v/>
      </c>
      <c r="AD444" s="159">
        <f>IF(U444="Open Sale", TEXT(TODAY()-I444, "0"),
IF(U444="Pending", "",
IF(U444="Closed Sale", "", "")))</f>
        <v/>
      </c>
      <c r="AE444" s="161" t="n"/>
      <c r="AF444" s="161" t="n"/>
      <c r="AG444" s="161" t="n"/>
      <c r="AH444" s="136" t="n"/>
      <c r="AI444" s="164">
        <f>IF(I444="","",TEXT(I444, "mmmm yyyy"))</f>
        <v/>
      </c>
      <c r="AJ444" s="164">
        <f>IF(AND(OpenPendingCases[[#This Row],[Sale Status	]]="Open Sale",OpenPendingCases[[#This Row],[Potential Same Month]]="High"),TEXT(OpenPendingCases[[#This Row],[Request Entry Date]], "[$-en-us]mmmm"),"")</f>
        <v/>
      </c>
      <c r="AK444" s="165">
        <f>IFERROR(VALUE(SUBSTITUTE(OpenPendingCases[[#This Row],[Price]]," AED","")),"")</f>
        <v/>
      </c>
      <c r="AL444" s="165">
        <f>IFERROR(VALUE(LEFT(OpenPendingCases[[#This Row],[Price]],FIND(" ",OpenPendingCases[[#This Row],[Price]])-1)),"")</f>
        <v/>
      </c>
      <c r="AM444" s="165">
        <f>IFERROR(VALUE(_xlfn.TEXTBEFORE(OpenPendingCases[[#This Row],[Price]]," AED")),"")</f>
        <v/>
      </c>
      <c r="AN444" s="165" t="n"/>
    </row>
    <row r="445" hidden="1" ht="18" customHeight="1" s="287">
      <c r="C445" s="133" t="n"/>
      <c r="D445" s="136">
        <f>IF($U445="Open Sale", IF(MAX($D$4:D444)+1=0, "", MAX($D$4:D444)+1), "")</f>
        <v/>
      </c>
      <c r="E445" s="136">
        <f>IF($U445="Pending Allocation", IF(MAX($E$4:E444)+1=0, "", MAX($E$4:E444)+1), "")</f>
        <v/>
      </c>
      <c r="F445" s="136" t="n"/>
      <c r="G445" s="136" t="n"/>
      <c r="H445" s="150" t="n"/>
      <c r="I445" s="150" t="n"/>
      <c r="J445" s="67">
        <f>IF(OpenPendingCases[[#This Row],[Timepiece Reference ]]="", "", IF(_xlfn.XLOOKUP(OpenPendingCases[[#This Row],[Timepiece Reference ]], Table1[[Timepiece Reference ]], Table1[CRC STOCK], "Not Found")="YES", "CRC Stock", "Boutique Stock"))</f>
        <v/>
      </c>
      <c r="K445" s="136">
        <f>IF(OpenPendingCases[[#This Row],[Timepiece Reference ]]="", "", IF(_xlfn.XLOOKUP(OpenPendingCases[[#This Row],[Timepiece Reference ]], Table1[[Timepiece Reference ]], Table1[CRC STOCK], "Not Found")="YES", "CRC Stock", "Boutique Stock"))</f>
        <v/>
      </c>
      <c r="L445" s="142" t="n"/>
      <c r="M445" s="140" t="n"/>
      <c r="N445" s="136" t="n"/>
      <c r="O445" s="133" t="n"/>
      <c r="P445" s="93">
        <f>IFERROR(VLOOKUP(TRIM(O445), Collection!$B$2:$D$1001, 2, FALSE), "")</f>
        <v/>
      </c>
      <c r="Q445" s="190">
        <f>IFERROR(VLOOKUP(TRIM(O445), Collection!$B$2:$D$1001, 3, FALSE), "")</f>
        <v/>
      </c>
      <c r="R445" s="153">
        <f>IFERROR(VALUE(SUBSTITUTE(SUBSTITUTE(Q445, "Price", ""), "AED", "")), "")</f>
        <v/>
      </c>
      <c r="S445" s="151" t="n"/>
      <c r="T445" s="158" t="n"/>
      <c r="U445" s="136" t="n"/>
      <c r="V445" s="136" t="n"/>
      <c r="W445" s="156">
        <f>IF(Z445 = "",
"",
TEXT(Z445, "mmmm"))</f>
        <v/>
      </c>
      <c r="X445" s="157" t="n"/>
      <c r="Y445" s="158" t="n"/>
      <c r="Z445" s="158" t="n"/>
      <c r="AA445" s="136">
        <f>IF(H445="", "", IF(U445="Open Sale", IF(TODAY()-H445=0, "0 Days", TEXT(TODAY()-H445, "0") &amp; " Days"), IF(U445="Closed Sale", AA445, "")))</f>
        <v/>
      </c>
      <c r="AB445" s="136">
        <f>IF(H445="", "", IF(OR(U445="Pending", U445="Pending Allocation"), CONCATENATE(TODAY()-H445, " Days"), IF(U445="Closed", "", "")))</f>
        <v/>
      </c>
      <c r="AC445" s="160">
        <f>IF(U445="Pending Allocation", IF(I445="", "", TODAY()-I445), "")</f>
        <v/>
      </c>
      <c r="AD445" s="159">
        <f>IF(U445="Open Sale", TEXT(TODAY()-I445, "0"),
IF(U445="Pending", "",
IF(U445="Closed Sale", "", "")))</f>
        <v/>
      </c>
      <c r="AE445" s="161" t="n"/>
      <c r="AF445" s="161" t="n"/>
      <c r="AG445" s="161" t="n"/>
      <c r="AH445" s="136" t="n"/>
      <c r="AI445" s="164">
        <f>IF(I445="","",TEXT(I445, "mmmm yyyy"))</f>
        <v/>
      </c>
      <c r="AJ445" s="164">
        <f>IF(AND(OpenPendingCases[[#This Row],[Sale Status	]]="Open Sale",OpenPendingCases[[#This Row],[Potential Same Month]]="High"),TEXT(OpenPendingCases[[#This Row],[Request Entry Date]], "[$-en-us]mmmm"),"")</f>
        <v/>
      </c>
      <c r="AK445" s="165">
        <f>IFERROR(VALUE(SUBSTITUTE(OpenPendingCases[[#This Row],[Price]]," AED","")),"")</f>
        <v/>
      </c>
      <c r="AL445" s="165">
        <f>IFERROR(VALUE(LEFT(OpenPendingCases[[#This Row],[Price]],FIND(" ",OpenPendingCases[[#This Row],[Price]])-1)),"")</f>
        <v/>
      </c>
      <c r="AM445" s="165">
        <f>IFERROR(VALUE(_xlfn.TEXTBEFORE(OpenPendingCases[[#This Row],[Price]]," AED")),"")</f>
        <v/>
      </c>
      <c r="AN445" s="165" t="n"/>
    </row>
    <row r="446" hidden="1" ht="18" customHeight="1" s="287">
      <c r="C446" s="133" t="n"/>
      <c r="D446" s="136">
        <f>IF($U446="Open Sale", IF(MAX($D$4:D445)+1=0, "", MAX($D$4:D445)+1), "")</f>
        <v/>
      </c>
      <c r="E446" s="136">
        <f>IF($U446="Pending Allocation", IF(MAX($E$4:E445)+1=0, "", MAX($E$4:E445)+1), "")</f>
        <v/>
      </c>
      <c r="F446" s="136" t="n"/>
      <c r="G446" s="136" t="n"/>
      <c r="H446" s="150" t="n"/>
      <c r="I446" s="150" t="n"/>
      <c r="J446" s="67">
        <f>IF(OpenPendingCases[[#This Row],[Timepiece Reference ]]="", "", IF(_xlfn.XLOOKUP(OpenPendingCases[[#This Row],[Timepiece Reference ]], Table1[[Timepiece Reference ]], Table1[CRC STOCK], "Not Found")="YES", "CRC Stock", "Boutique Stock"))</f>
        <v/>
      </c>
      <c r="K446" s="136">
        <f>IF(OpenPendingCases[[#This Row],[Timepiece Reference ]]="", "", IF(_xlfn.XLOOKUP(OpenPendingCases[[#This Row],[Timepiece Reference ]], Table1[[Timepiece Reference ]], Table1[CRC STOCK], "Not Found")="YES", "CRC Stock", "Boutique Stock"))</f>
        <v/>
      </c>
      <c r="L446" s="142" t="n"/>
      <c r="M446" s="140" t="n"/>
      <c r="N446" s="136" t="n"/>
      <c r="O446" s="133" t="n"/>
      <c r="P446" s="93">
        <f>IFERROR(VLOOKUP(TRIM(O446), Collection!$B$2:$D$1001, 2, FALSE), "")</f>
        <v/>
      </c>
      <c r="Q446" s="190">
        <f>IFERROR(VLOOKUP(TRIM(O446), Collection!$B$2:$D$1001, 3, FALSE), "")</f>
        <v/>
      </c>
      <c r="R446" s="153">
        <f>IFERROR(VALUE(SUBSTITUTE(SUBSTITUTE(Q446, "Price", ""), "AED", "")), "")</f>
        <v/>
      </c>
      <c r="S446" s="151" t="n"/>
      <c r="T446" s="158" t="n"/>
      <c r="U446" s="136" t="n"/>
      <c r="V446" s="136" t="n"/>
      <c r="W446" s="156">
        <f>IF(Z446 = "",
"",
TEXT(Z446, "mmmm"))</f>
        <v/>
      </c>
      <c r="X446" s="157" t="n"/>
      <c r="Y446" s="158" t="n"/>
      <c r="Z446" s="158" t="n"/>
      <c r="AA446" s="136">
        <f>IF(H446="", "", IF(U446="Open Sale", IF(TODAY()-H446=0, "0 Days", TEXT(TODAY()-H446, "0") &amp; " Days"), IF(U446="Closed Sale", AA446, "")))</f>
        <v/>
      </c>
      <c r="AB446" s="136">
        <f>IF(H446="", "", IF(OR(U446="Pending", U446="Pending Allocation"), CONCATENATE(TODAY()-H446, " Days"), IF(U446="Closed", "", "")))</f>
        <v/>
      </c>
      <c r="AC446" s="160">
        <f>IF(U446="Pending Allocation", IF(I446="", "", TODAY()-I446), "")</f>
        <v/>
      </c>
      <c r="AD446" s="159">
        <f>IF(U446="Open Sale", TEXT(TODAY()-I446, "0"),
IF(U446="Pending", "",
IF(U446="Closed Sale", "", "")))</f>
        <v/>
      </c>
      <c r="AE446" s="161" t="n"/>
      <c r="AF446" s="161" t="n"/>
      <c r="AG446" s="161" t="n"/>
      <c r="AH446" s="136" t="n"/>
      <c r="AI446" s="164">
        <f>IF(I446="","",TEXT(I446, "mmmm yyyy"))</f>
        <v/>
      </c>
      <c r="AJ446" s="164">
        <f>IF(AND(OpenPendingCases[[#This Row],[Sale Status	]]="Open Sale",OpenPendingCases[[#This Row],[Potential Same Month]]="High"),TEXT(OpenPendingCases[[#This Row],[Request Entry Date]], "[$-en-us]mmmm"),"")</f>
        <v/>
      </c>
      <c r="AK446" s="165">
        <f>IFERROR(VALUE(SUBSTITUTE(OpenPendingCases[[#This Row],[Price]]," AED","")),"")</f>
        <v/>
      </c>
      <c r="AL446" s="165">
        <f>IFERROR(VALUE(LEFT(OpenPendingCases[[#This Row],[Price]],FIND(" ",OpenPendingCases[[#This Row],[Price]])-1)),"")</f>
        <v/>
      </c>
      <c r="AM446" s="165">
        <f>IFERROR(VALUE(_xlfn.TEXTBEFORE(OpenPendingCases[[#This Row],[Price]]," AED")),"")</f>
        <v/>
      </c>
      <c r="AN446" s="165" t="n"/>
    </row>
    <row r="447" hidden="1" ht="18" customHeight="1" s="287">
      <c r="C447" s="133" t="n"/>
      <c r="D447" s="136">
        <f>IF($U447="Open Sale", IF(MAX($D$4:D446)+1=0, "", MAX($D$4:D446)+1), "")</f>
        <v/>
      </c>
      <c r="E447" s="136">
        <f>IF($U447="Pending Allocation", IF(MAX($E$4:E446)+1=0, "", MAX($E$4:E446)+1), "")</f>
        <v/>
      </c>
      <c r="F447" s="136" t="n"/>
      <c r="G447" s="136" t="n"/>
      <c r="H447" s="150" t="n"/>
      <c r="I447" s="150" t="n"/>
      <c r="J447" s="67">
        <f>IF(OpenPendingCases[[#This Row],[Timepiece Reference ]]="", "", IF(_xlfn.XLOOKUP(OpenPendingCases[[#This Row],[Timepiece Reference ]], Table1[[Timepiece Reference ]], Table1[CRC STOCK], "Not Found")="YES", "CRC Stock", "Boutique Stock"))</f>
        <v/>
      </c>
      <c r="K447" s="136">
        <f>IF(OpenPendingCases[[#This Row],[Timepiece Reference ]]="", "", IF(_xlfn.XLOOKUP(OpenPendingCases[[#This Row],[Timepiece Reference ]], Table1[[Timepiece Reference ]], Table1[CRC STOCK], "Not Found")="YES", "CRC Stock", "Boutique Stock"))</f>
        <v/>
      </c>
      <c r="L447" s="142" t="n"/>
      <c r="M447" s="140" t="n"/>
      <c r="N447" s="136" t="n"/>
      <c r="O447" s="133" t="n"/>
      <c r="P447" s="93">
        <f>IFERROR(VLOOKUP(TRIM(O447), Collection!$B$2:$D$1001, 2, FALSE), "")</f>
        <v/>
      </c>
      <c r="Q447" s="190">
        <f>IFERROR(VLOOKUP(TRIM(O447), Collection!$B$2:$D$1001, 3, FALSE), "")</f>
        <v/>
      </c>
      <c r="R447" s="153">
        <f>IFERROR(VALUE(SUBSTITUTE(SUBSTITUTE(Q447, "Price", ""), "AED", "")), "")</f>
        <v/>
      </c>
      <c r="S447" s="151" t="n"/>
      <c r="T447" s="158" t="n"/>
      <c r="U447" s="136" t="n"/>
      <c r="V447" s="136" t="n"/>
      <c r="W447" s="156">
        <f>IF(Z447 = "",
"",
TEXT(Z447, "mmmm"))</f>
        <v/>
      </c>
      <c r="X447" s="157" t="n"/>
      <c r="Y447" s="158" t="n"/>
      <c r="Z447" s="158" t="n"/>
      <c r="AA447" s="136">
        <f>IF(H447="", "", IF(U447="Open Sale", IF(TODAY()-H447=0, "0 Days", TEXT(TODAY()-H447, "0") &amp; " Days"), IF(U447="Closed Sale", AA447, "")))</f>
        <v/>
      </c>
      <c r="AB447" s="136">
        <f>IF(H447="", "", IF(OR(U447="Pending", U447="Pending Allocation"), CONCATENATE(TODAY()-H447, " Days"), IF(U447="Closed", "", "")))</f>
        <v/>
      </c>
      <c r="AC447" s="160">
        <f>IF(U447="Pending Allocation", IF(I447="", "", TODAY()-I447), "")</f>
        <v/>
      </c>
      <c r="AD447" s="159">
        <f>IF(U447="Open Sale", TEXT(TODAY()-I447, "0"),
IF(U447="Pending", "",
IF(U447="Closed Sale", "", "")))</f>
        <v/>
      </c>
      <c r="AE447" s="161" t="n"/>
      <c r="AF447" s="161" t="n"/>
      <c r="AG447" s="161" t="n"/>
      <c r="AH447" s="136" t="n"/>
      <c r="AI447" s="164">
        <f>IF(I447="","",TEXT(I447, "mmmm yyyy"))</f>
        <v/>
      </c>
      <c r="AJ447" s="164">
        <f>IF(AND(OpenPendingCases[[#This Row],[Sale Status	]]="Open Sale",OpenPendingCases[[#This Row],[Potential Same Month]]="High"),TEXT(OpenPendingCases[[#This Row],[Request Entry Date]], "[$-en-us]mmmm"),"")</f>
        <v/>
      </c>
      <c r="AK447" s="165">
        <f>IFERROR(VALUE(SUBSTITUTE(OpenPendingCases[[#This Row],[Price]]," AED","")),"")</f>
        <v/>
      </c>
      <c r="AL447" s="165">
        <f>IFERROR(VALUE(LEFT(OpenPendingCases[[#This Row],[Price]],FIND(" ",OpenPendingCases[[#This Row],[Price]])-1)),"")</f>
        <v/>
      </c>
      <c r="AM447" s="165">
        <f>IFERROR(VALUE(_xlfn.TEXTBEFORE(OpenPendingCases[[#This Row],[Price]]," AED")),"")</f>
        <v/>
      </c>
      <c r="AN447" s="165" t="n"/>
    </row>
    <row r="448" hidden="1" ht="18" customHeight="1" s="287">
      <c r="C448" s="133" t="n"/>
      <c r="D448" s="136">
        <f>IF($U448="Open Sale", IF(MAX($D$4:D447)+1=0, "", MAX($D$4:D447)+1), "")</f>
        <v/>
      </c>
      <c r="E448" s="136">
        <f>IF($U448="Pending Allocation", IF(MAX($E$4:E447)+1=0, "", MAX($E$4:E447)+1), "")</f>
        <v/>
      </c>
      <c r="F448" s="136" t="n"/>
      <c r="G448" s="136" t="n"/>
      <c r="H448" s="150" t="n"/>
      <c r="I448" s="150" t="n"/>
      <c r="J448" s="67">
        <f>IF(OpenPendingCases[[#This Row],[Timepiece Reference ]]="", "", IF(_xlfn.XLOOKUP(OpenPendingCases[[#This Row],[Timepiece Reference ]], Table1[[Timepiece Reference ]], Table1[CRC STOCK], "Not Found")="YES", "CRC Stock", "Boutique Stock"))</f>
        <v/>
      </c>
      <c r="K448" s="136">
        <f>IF(OpenPendingCases[[#This Row],[Timepiece Reference ]]="", "", IF(_xlfn.XLOOKUP(OpenPendingCases[[#This Row],[Timepiece Reference ]], Table1[[Timepiece Reference ]], Table1[CRC STOCK], "Not Found")="YES", "CRC Stock", "Boutique Stock"))</f>
        <v/>
      </c>
      <c r="L448" s="142" t="n"/>
      <c r="M448" s="140" t="n"/>
      <c r="N448" s="136" t="n"/>
      <c r="O448" s="133" t="n"/>
      <c r="P448" s="93">
        <f>IFERROR(VLOOKUP(TRIM(O448), Collection!$B$2:$D$1001, 2, FALSE), "")</f>
        <v/>
      </c>
      <c r="Q448" s="190">
        <f>IFERROR(VLOOKUP(TRIM(O448), Collection!$B$2:$D$1001, 3, FALSE), "")</f>
        <v/>
      </c>
      <c r="R448" s="153">
        <f>IFERROR(VALUE(SUBSTITUTE(SUBSTITUTE(Q448, "Price", ""), "AED", "")), "")</f>
        <v/>
      </c>
      <c r="S448" s="151" t="n"/>
      <c r="T448" s="158" t="n"/>
      <c r="U448" s="136" t="n"/>
      <c r="V448" s="136" t="n"/>
      <c r="W448" s="156">
        <f>IF(Z448 = "",
"",
TEXT(Z448, "mmmm"))</f>
        <v/>
      </c>
      <c r="X448" s="157" t="n"/>
      <c r="Y448" s="158" t="n"/>
      <c r="Z448" s="158" t="n"/>
      <c r="AA448" s="136">
        <f>IF(H448="", "", IF(U448="Open Sale", IF(TODAY()-H448=0, "0 Days", TEXT(TODAY()-H448, "0") &amp; " Days"), IF(U448="Closed Sale", AA448, "")))</f>
        <v/>
      </c>
      <c r="AB448" s="136">
        <f>IF(H448="", "", IF(OR(U448="Pending", U448="Pending Allocation"), CONCATENATE(TODAY()-H448, " Days"), IF(U448="Closed", "", "")))</f>
        <v/>
      </c>
      <c r="AC448" s="160">
        <f>IF(U448="Pending Allocation", IF(I448="", "", TODAY()-I448), "")</f>
        <v/>
      </c>
      <c r="AD448" s="159">
        <f>IF(U448="Open Sale", TEXT(TODAY()-I448, "0"),
IF(U448="Pending", "",
IF(U448="Closed Sale", "", "")))</f>
        <v/>
      </c>
      <c r="AE448" s="161" t="n"/>
      <c r="AF448" s="161" t="n"/>
      <c r="AG448" s="161" t="n"/>
      <c r="AH448" s="136" t="n"/>
      <c r="AI448" s="164">
        <f>IF(I448="","",TEXT(I448, "mmmm yyyy"))</f>
        <v/>
      </c>
      <c r="AJ448" s="164">
        <f>IF(AND(OpenPendingCases[[#This Row],[Sale Status	]]="Open Sale",OpenPendingCases[[#This Row],[Potential Same Month]]="High"),TEXT(OpenPendingCases[[#This Row],[Request Entry Date]], "[$-en-us]mmmm"),"")</f>
        <v/>
      </c>
      <c r="AK448" s="165">
        <f>IFERROR(VALUE(SUBSTITUTE(OpenPendingCases[[#This Row],[Price]]," AED","")),"")</f>
        <v/>
      </c>
      <c r="AL448" s="165">
        <f>IFERROR(VALUE(LEFT(OpenPendingCases[[#This Row],[Price]],FIND(" ",OpenPendingCases[[#This Row],[Price]])-1)),"")</f>
        <v/>
      </c>
      <c r="AM448" s="165">
        <f>IFERROR(VALUE(_xlfn.TEXTBEFORE(OpenPendingCases[[#This Row],[Price]]," AED")),"")</f>
        <v/>
      </c>
      <c r="AN448" s="165" t="n"/>
    </row>
    <row r="449" hidden="1" ht="18" customHeight="1" s="287">
      <c r="C449" s="133" t="n"/>
      <c r="D449" s="136">
        <f>IF($U449="Open Sale", IF(MAX($D$4:D448)+1=0, "", MAX($D$4:D448)+1), "")</f>
        <v/>
      </c>
      <c r="E449" s="136">
        <f>IF($U449="Pending Allocation", IF(MAX($E$4:E448)+1=0, "", MAX($E$4:E448)+1), "")</f>
        <v/>
      </c>
      <c r="F449" s="136" t="n"/>
      <c r="G449" s="136" t="n"/>
      <c r="H449" s="150" t="n"/>
      <c r="I449" s="150" t="n"/>
      <c r="J449" s="67">
        <f>IF(OpenPendingCases[[#This Row],[Timepiece Reference ]]="", "", IF(_xlfn.XLOOKUP(OpenPendingCases[[#This Row],[Timepiece Reference ]], Table1[[Timepiece Reference ]], Table1[CRC STOCK], "Not Found")="YES", "CRC Stock", "Boutique Stock"))</f>
        <v/>
      </c>
      <c r="K449" s="136">
        <f>IF(OpenPendingCases[[#This Row],[Timepiece Reference ]]="", "", IF(_xlfn.XLOOKUP(OpenPendingCases[[#This Row],[Timepiece Reference ]], Table1[[Timepiece Reference ]], Table1[CRC STOCK], "Not Found")="YES", "CRC Stock", "Boutique Stock"))</f>
        <v/>
      </c>
      <c r="L449" s="142" t="n"/>
      <c r="M449" s="140" t="n"/>
      <c r="N449" s="136" t="n"/>
      <c r="O449" s="133" t="n"/>
      <c r="P449" s="93">
        <f>IFERROR(VLOOKUP(TRIM(O449), Collection!$B$2:$D$1001, 2, FALSE), "")</f>
        <v/>
      </c>
      <c r="Q449" s="190">
        <f>IFERROR(VLOOKUP(TRIM(O449), Collection!$B$2:$D$1001, 3, FALSE), "")</f>
        <v/>
      </c>
      <c r="R449" s="153">
        <f>IFERROR(VALUE(SUBSTITUTE(SUBSTITUTE(Q449, "Price", ""), "AED", "")), "")</f>
        <v/>
      </c>
      <c r="S449" s="151" t="n"/>
      <c r="T449" s="158" t="n"/>
      <c r="U449" s="136" t="n"/>
      <c r="V449" s="136" t="n"/>
      <c r="W449" s="156">
        <f>IF(Z449 = "",
"",
TEXT(Z449, "mmmm"))</f>
        <v/>
      </c>
      <c r="X449" s="157" t="n"/>
      <c r="Y449" s="158" t="n"/>
      <c r="Z449" s="158" t="n"/>
      <c r="AA449" s="136">
        <f>IF(H449="", "", IF(U449="Open Sale", IF(TODAY()-H449=0, "0 Days", TEXT(TODAY()-H449, "0") &amp; " Days"), IF(U449="Closed Sale", AA449, "")))</f>
        <v/>
      </c>
      <c r="AB449" s="136">
        <f>IF(H449="", "", IF(OR(U449="Pending", U449="Pending Allocation"), CONCATENATE(TODAY()-H449, " Days"), IF(U449="Closed", "", "")))</f>
        <v/>
      </c>
      <c r="AC449" s="160">
        <f>IF(U449="Pending Allocation", IF(I449="", "", TODAY()-I449), "")</f>
        <v/>
      </c>
      <c r="AD449" s="159">
        <f>IF(U449="Open Sale", TEXT(TODAY()-I449, "0"),
IF(U449="Pending", "",
IF(U449="Closed Sale", "", "")))</f>
        <v/>
      </c>
      <c r="AE449" s="161" t="n"/>
      <c r="AF449" s="161" t="n"/>
      <c r="AG449" s="161" t="n"/>
      <c r="AH449" s="136" t="n"/>
      <c r="AI449" s="164">
        <f>IF(I449="","",TEXT(I449, "mmmm yyyy"))</f>
        <v/>
      </c>
      <c r="AJ449" s="164">
        <f>IF(AND(OpenPendingCases[[#This Row],[Sale Status	]]="Open Sale",OpenPendingCases[[#This Row],[Potential Same Month]]="High"),TEXT(OpenPendingCases[[#This Row],[Request Entry Date]], "[$-en-us]mmmm"),"")</f>
        <v/>
      </c>
      <c r="AK449" s="165">
        <f>IFERROR(VALUE(SUBSTITUTE(OpenPendingCases[[#This Row],[Price]]," AED","")),"")</f>
        <v/>
      </c>
      <c r="AL449" s="165">
        <f>IFERROR(VALUE(LEFT(OpenPendingCases[[#This Row],[Price]],FIND(" ",OpenPendingCases[[#This Row],[Price]])-1)),"")</f>
        <v/>
      </c>
      <c r="AM449" s="165">
        <f>IFERROR(VALUE(_xlfn.TEXTBEFORE(OpenPendingCases[[#This Row],[Price]]," AED")),"")</f>
        <v/>
      </c>
      <c r="AN449" s="165" t="n"/>
    </row>
    <row r="450" hidden="1" ht="18" customHeight="1" s="287">
      <c r="C450" s="133" t="n"/>
      <c r="D450" s="136">
        <f>IF($U450="Open Sale", IF(MAX($D$4:D449)+1=0, "", MAX($D$4:D449)+1), "")</f>
        <v/>
      </c>
      <c r="E450" s="136">
        <f>IF($U450="Pending Allocation", IF(MAX($E$4:E449)+1=0, "", MAX($E$4:E449)+1), "")</f>
        <v/>
      </c>
      <c r="F450" s="136" t="n"/>
      <c r="G450" s="136" t="n"/>
      <c r="H450" s="150" t="n"/>
      <c r="I450" s="150" t="n"/>
      <c r="J450" s="67">
        <f>IF(OpenPendingCases[[#This Row],[Timepiece Reference ]]="", "", IF(_xlfn.XLOOKUP(OpenPendingCases[[#This Row],[Timepiece Reference ]], Table1[[Timepiece Reference ]], Table1[CRC STOCK], "Not Found")="YES", "CRC Stock", "Boutique Stock"))</f>
        <v/>
      </c>
      <c r="K450" s="136">
        <f>IF(OpenPendingCases[[#This Row],[Timepiece Reference ]]="", "", IF(_xlfn.XLOOKUP(OpenPendingCases[[#This Row],[Timepiece Reference ]], Table1[[Timepiece Reference ]], Table1[CRC STOCK], "Not Found")="YES", "CRC Stock", "Boutique Stock"))</f>
        <v/>
      </c>
      <c r="L450" s="142" t="n"/>
      <c r="M450" s="140" t="n"/>
      <c r="N450" s="136" t="n"/>
      <c r="O450" s="133" t="n"/>
      <c r="P450" s="93">
        <f>IFERROR(VLOOKUP(TRIM(O450), Collection!$B$2:$D$1001, 2, FALSE), "")</f>
        <v/>
      </c>
      <c r="Q450" s="190">
        <f>IFERROR(VLOOKUP(TRIM(O450), Collection!$B$2:$D$1001, 3, FALSE), "")</f>
        <v/>
      </c>
      <c r="R450" s="153">
        <f>IFERROR(VALUE(SUBSTITUTE(SUBSTITUTE(Q450, "Price", ""), "AED", "")), "")</f>
        <v/>
      </c>
      <c r="S450" s="151" t="n"/>
      <c r="T450" s="158" t="n"/>
      <c r="U450" s="136" t="n"/>
      <c r="V450" s="136" t="n"/>
      <c r="W450" s="156">
        <f>IF(Z450 = "",
"",
TEXT(Z450, "mmmm"))</f>
        <v/>
      </c>
      <c r="X450" s="157" t="n"/>
      <c r="Y450" s="158" t="n"/>
      <c r="Z450" s="158" t="n"/>
      <c r="AA450" s="136">
        <f>IF(H450="", "", IF(U450="Open Sale", IF(TODAY()-H450=0, "0 Days", TEXT(TODAY()-H450, "0") &amp; " Days"), IF(U450="Closed Sale", AA450, "")))</f>
        <v/>
      </c>
      <c r="AB450" s="136">
        <f>IF(H450="", "", IF(OR(U450="Pending", U450="Pending Allocation"), CONCATENATE(TODAY()-H450, " Days"), IF(U450="Closed", "", "")))</f>
        <v/>
      </c>
      <c r="AC450" s="160">
        <f>IF(U450="Pending Allocation", IF(I450="", "", TODAY()-I450), "")</f>
        <v/>
      </c>
      <c r="AD450" s="159">
        <f>IF(U450="Open Sale", TEXT(TODAY()-I450, "0"),
IF(U450="Pending", "",
IF(U450="Closed Sale", "", "")))</f>
        <v/>
      </c>
      <c r="AE450" s="161" t="n"/>
      <c r="AF450" s="161" t="n"/>
      <c r="AG450" s="161" t="n"/>
      <c r="AH450" s="136" t="n"/>
      <c r="AI450" s="164">
        <f>IF(I450="","",TEXT(I450, "mmmm yyyy"))</f>
        <v/>
      </c>
      <c r="AJ450" s="164">
        <f>IF(AND(OpenPendingCases[[#This Row],[Sale Status	]]="Open Sale",OpenPendingCases[[#This Row],[Potential Same Month]]="High"),TEXT(OpenPendingCases[[#This Row],[Request Entry Date]], "[$-en-us]mmmm"),"")</f>
        <v/>
      </c>
      <c r="AK450" s="165">
        <f>IFERROR(VALUE(SUBSTITUTE(OpenPendingCases[[#This Row],[Price]]," AED","")),"")</f>
        <v/>
      </c>
      <c r="AL450" s="165">
        <f>IFERROR(VALUE(LEFT(OpenPendingCases[[#This Row],[Price]],FIND(" ",OpenPendingCases[[#This Row],[Price]])-1)),"")</f>
        <v/>
      </c>
      <c r="AM450" s="165">
        <f>IFERROR(VALUE(_xlfn.TEXTBEFORE(OpenPendingCases[[#This Row],[Price]]," AED")),"")</f>
        <v/>
      </c>
      <c r="AN450" s="165" t="n"/>
    </row>
    <row r="451" hidden="1" ht="18" customHeight="1" s="287">
      <c r="C451" s="133" t="n"/>
      <c r="D451" s="136">
        <f>IF($U451="Open Sale", IF(MAX($D$4:D450)+1=0, "", MAX($D$4:D450)+1), "")</f>
        <v/>
      </c>
      <c r="E451" s="136">
        <f>IF($U451="Pending Allocation", IF(MAX($E$4:E450)+1=0, "", MAX($E$4:E450)+1), "")</f>
        <v/>
      </c>
      <c r="F451" s="136" t="n"/>
      <c r="G451" s="136" t="n"/>
      <c r="H451" s="150" t="n"/>
      <c r="I451" s="150" t="n"/>
      <c r="J451" s="67">
        <f>IF(OpenPendingCases[[#This Row],[Timepiece Reference ]]="", "", IF(_xlfn.XLOOKUP(OpenPendingCases[[#This Row],[Timepiece Reference ]], Table1[[Timepiece Reference ]], Table1[CRC STOCK], "Not Found")="YES", "CRC Stock", "Boutique Stock"))</f>
        <v/>
      </c>
      <c r="K451" s="136">
        <f>IF(OpenPendingCases[[#This Row],[Timepiece Reference ]]="", "", IF(_xlfn.XLOOKUP(OpenPendingCases[[#This Row],[Timepiece Reference ]], Table1[[Timepiece Reference ]], Table1[CRC STOCK], "Not Found")="YES", "CRC Stock", "Boutique Stock"))</f>
        <v/>
      </c>
      <c r="L451" s="142" t="n"/>
      <c r="M451" s="140" t="n"/>
      <c r="N451" s="136" t="n"/>
      <c r="O451" s="133" t="n"/>
      <c r="P451" s="93">
        <f>IFERROR(VLOOKUP(TRIM(O451), Collection!$B$2:$D$1001, 2, FALSE), "")</f>
        <v/>
      </c>
      <c r="Q451" s="190">
        <f>IFERROR(VLOOKUP(TRIM(O451), Collection!$B$2:$D$1001, 3, FALSE), "")</f>
        <v/>
      </c>
      <c r="R451" s="153">
        <f>IFERROR(VALUE(SUBSTITUTE(SUBSTITUTE(Q451, "Price", ""), "AED", "")), "")</f>
        <v/>
      </c>
      <c r="S451" s="151" t="n"/>
      <c r="T451" s="158" t="n"/>
      <c r="U451" s="136" t="n"/>
      <c r="V451" s="136" t="n"/>
      <c r="W451" s="156">
        <f>IF(Z451 = "",
"",
TEXT(Z451, "mmmm"))</f>
        <v/>
      </c>
      <c r="X451" s="157" t="n"/>
      <c r="Y451" s="158" t="n"/>
      <c r="Z451" s="158" t="n"/>
      <c r="AA451" s="136">
        <f>IF(H451="", "", IF(U451="Open Sale", IF(TODAY()-H451=0, "0 Days", TEXT(TODAY()-H451, "0") &amp; " Days"), IF(U451="Closed Sale", AA451, "")))</f>
        <v/>
      </c>
      <c r="AB451" s="136">
        <f>IF(H451="", "", IF(OR(U451="Pending", U451="Pending Allocation"), CONCATENATE(TODAY()-H451, " Days"), IF(U451="Closed", "", "")))</f>
        <v/>
      </c>
      <c r="AC451" s="160">
        <f>IF(U451="Pending Allocation", IF(I451="", "", TODAY()-I451), "")</f>
        <v/>
      </c>
      <c r="AD451" s="159">
        <f>IF(U451="Open Sale", TEXT(TODAY()-I451, "0"),
   IF(U451="Pending", "",
      IF(U451="Closed Sale", "", "")))</f>
        <v/>
      </c>
      <c r="AE451" s="161" t="n"/>
      <c r="AF451" s="161" t="n"/>
      <c r="AG451" s="161" t="n"/>
      <c r="AH451" s="136" t="n"/>
      <c r="AI451" s="164">
        <f>IF(I451="","",TEXT(I451, "mmmm yyyy"))</f>
        <v/>
      </c>
      <c r="AJ451" s="164">
        <f>IF(AND(OpenPendingCases[[#This Row],[Sale Status	]]="Open Sale",OpenPendingCases[[#This Row],[Potential Same Month]]="High"),TEXT(OpenPendingCases[[#This Row],[Request Entry Date]], "[$-en-us]mmmm"),"")</f>
        <v/>
      </c>
      <c r="AK451" s="165">
        <f>IFERROR(VALUE(SUBSTITUTE(OpenPendingCases[[#This Row],[Price]]," AED","")),"")</f>
        <v/>
      </c>
      <c r="AL451" s="165">
        <f>IFERROR(VALUE(LEFT(OpenPendingCases[[#This Row],[Price]],FIND(" ",OpenPendingCases[[#This Row],[Price]])-1)),"")</f>
        <v/>
      </c>
      <c r="AM451" s="165">
        <f>IFERROR(VALUE(_xlfn.TEXTBEFORE(OpenPendingCases[[#This Row],[Price]]," AED")),"")</f>
        <v/>
      </c>
      <c r="AN451" s="165" t="n"/>
    </row>
    <row r="452" hidden="1" ht="18" customHeight="1" s="287">
      <c r="C452" s="133" t="n"/>
      <c r="D452" s="136">
        <f>IF($U452="Open Sale", IF(MAX($D$4:D451)+1=0, "", MAX($D$4:D451)+1), "")</f>
        <v/>
      </c>
      <c r="E452" s="136">
        <f>IF($U452="Pending Allocation", IF(MAX($E$4:E451)+1=0, "", MAX($E$4:E451)+1), "")</f>
        <v/>
      </c>
      <c r="F452" s="136" t="n"/>
      <c r="G452" s="136" t="n"/>
      <c r="H452" s="150" t="n"/>
      <c r="I452" s="150" t="n"/>
      <c r="J452" s="67">
        <f>IF(OpenPendingCases[[#This Row],[Timepiece Reference ]]="", "", IF(_xlfn.XLOOKUP(OpenPendingCases[[#This Row],[Timepiece Reference ]], Table1[[Timepiece Reference ]], Table1[CRC STOCK], "Not Found")="YES", "CRC Stock", "Boutique Stock"))</f>
        <v/>
      </c>
      <c r="K452" s="136">
        <f>IF(OpenPendingCases[[#This Row],[Timepiece Reference ]]="", "", IF(_xlfn.XLOOKUP(OpenPendingCases[[#This Row],[Timepiece Reference ]], Table1[[Timepiece Reference ]], Table1[CRC STOCK], "Not Found")="YES", "CRC Stock", "Boutique Stock"))</f>
        <v/>
      </c>
      <c r="L452" s="142" t="n"/>
      <c r="M452" s="140" t="n"/>
      <c r="N452" s="136" t="n"/>
      <c r="O452" s="133" t="n"/>
      <c r="P452" s="93">
        <f>IFERROR(VLOOKUP(TRIM(O452), Collection!$B$2:$D$1001, 2, FALSE), "")</f>
        <v/>
      </c>
      <c r="Q452" s="190">
        <f>IFERROR(VLOOKUP(TRIM(O452), Collection!$B$2:$D$1001, 3, FALSE), "")</f>
        <v/>
      </c>
      <c r="R452" s="153">
        <f>IFERROR(VALUE(SUBSTITUTE(SUBSTITUTE(Q452, "Price", ""), "AED", "")), "")</f>
        <v/>
      </c>
      <c r="S452" s="151" t="n"/>
      <c r="T452" s="158" t="n"/>
      <c r="U452" s="136" t="n"/>
      <c r="V452" s="136" t="n"/>
      <c r="W452" s="156">
        <f>IF(Z452 = "",
     "",
     TEXT(Z452, "mmmm"))</f>
        <v/>
      </c>
      <c r="X452" s="157" t="n"/>
      <c r="Y452" s="158" t="n"/>
      <c r="Z452" s="158" t="n"/>
      <c r="AA452" s="136">
        <f>IF(H452="", "", IF(U452="Open Sale", IF(TODAY()-H452=0, "0 Days", TEXT(TODAY()-H452, "0") &amp; " Days"), IF(U452="Closed Sale", AA452, "")))</f>
        <v/>
      </c>
      <c r="AB452" s="136">
        <f>IF(H452="", "", IF(OR(U452="Pending", U452="Pending Allocation"), CONCATENATE(TODAY()-H452, " Days"), IF(U452="Closed", "", "")))</f>
        <v/>
      </c>
      <c r="AC452" s="160">
        <f>IF(U452="Pending Allocation", IF(I452="", "", TODAY()-I452), "")</f>
        <v/>
      </c>
      <c r="AD452" s="159">
        <f>IF(U452="Open Sale", TEXT(TODAY()-I452, "0"),
IF(U452="Pending", "",
IF(U452="Closed Sale", "", "")))</f>
        <v/>
      </c>
      <c r="AE452" s="161" t="n"/>
      <c r="AF452" s="161" t="n"/>
      <c r="AG452" s="161" t="n"/>
      <c r="AH452" s="136" t="n"/>
      <c r="AI452" s="164">
        <f>IF(I452="","",TEXT(I452, "mmmm yyyy"))</f>
        <v/>
      </c>
      <c r="AJ452" s="164">
        <f>IF(AND(OpenPendingCases[[#This Row],[Sale Status	]]="Open Sale",OpenPendingCases[[#This Row],[Potential Same Month]]="High"),TEXT(OpenPendingCases[[#This Row],[Request Entry Date]], "[$-en-us]mmmm"),"")</f>
        <v/>
      </c>
      <c r="AK452" s="165">
        <f>IFERROR(VALUE(SUBSTITUTE(OpenPendingCases[[#This Row],[Price]]," AED","")),"")</f>
        <v/>
      </c>
      <c r="AL452" s="165">
        <f>IFERROR(VALUE(LEFT(OpenPendingCases[[#This Row],[Price]],FIND(" ",OpenPendingCases[[#This Row],[Price]])-1)),"")</f>
        <v/>
      </c>
      <c r="AM452" s="165">
        <f>IFERROR(VALUE(_xlfn.TEXTBEFORE(OpenPendingCases[[#This Row],[Price]]," AED")),"")</f>
        <v/>
      </c>
      <c r="AN452" s="165" t="n"/>
    </row>
    <row r="453" hidden="1" ht="18" customHeight="1" s="287">
      <c r="C453" s="133" t="n"/>
      <c r="D453" s="136">
        <f>IF($U453="Open Sale", IF(MAX($D$4:D452)+1=0, "", MAX($D$4:D452)+1), "")</f>
        <v/>
      </c>
      <c r="E453" s="136">
        <f>IF($U453="Pending Allocation", IF(MAX($E$4:E452)+1=0, "", MAX($E$4:E452)+1), "")</f>
        <v/>
      </c>
      <c r="F453" s="136" t="n"/>
      <c r="G453" s="136" t="n"/>
      <c r="H453" s="150" t="n"/>
      <c r="I453" s="150" t="n"/>
      <c r="J453" s="67">
        <f>IF(OpenPendingCases[[#This Row],[Timepiece Reference ]]="", "", IF(_xlfn.XLOOKUP(OpenPendingCases[[#This Row],[Timepiece Reference ]], Table1[[Timepiece Reference ]], Table1[CRC STOCK], "Not Found")="YES", "CRC Stock", "Boutique Stock"))</f>
        <v/>
      </c>
      <c r="K453" s="136">
        <f>IF(OpenPendingCases[[#This Row],[Timepiece Reference ]]="", "", IF(_xlfn.XLOOKUP(OpenPendingCases[[#This Row],[Timepiece Reference ]], Table1[[Timepiece Reference ]], Table1[CRC STOCK], "Not Found")="YES", "CRC Stock", "Boutique Stock"))</f>
        <v/>
      </c>
      <c r="L453" s="142" t="n"/>
      <c r="M453" s="140" t="n"/>
      <c r="N453" s="136" t="n"/>
      <c r="O453" s="133" t="n"/>
      <c r="P453" s="93">
        <f>IFERROR(VLOOKUP(TRIM(O453), Collection!$B$2:$D$1001, 2, FALSE), "")</f>
        <v/>
      </c>
      <c r="Q453" s="190">
        <f>IFERROR(VLOOKUP(TRIM(O453), Collection!$B$2:$D$1001, 3, FALSE), "")</f>
        <v/>
      </c>
      <c r="R453" s="153">
        <f>IFERROR(VALUE(SUBSTITUTE(SUBSTITUTE(Q453, "Price", ""), "AED", "")), "")</f>
        <v/>
      </c>
      <c r="S453" s="151" t="n"/>
      <c r="T453" s="158" t="n"/>
      <c r="U453" s="136" t="n"/>
      <c r="V453" s="136" t="n"/>
      <c r="W453" s="156">
        <f>IF(Z453 = "",
"",
TEXT(Z453, "mmmm"))</f>
        <v/>
      </c>
      <c r="X453" s="157" t="n"/>
      <c r="Y453" s="158" t="n"/>
      <c r="Z453" s="158" t="n"/>
      <c r="AA453" s="136">
        <f>IF(H453="", "", IF(U453="Open Sale", IF(TODAY()-H453=0, "0 Days", TEXT(TODAY()-H453, "0") &amp; " Days"), IF(U453="Closed Sale", AA453, "")))</f>
        <v/>
      </c>
      <c r="AB453" s="136">
        <f>IF(H453="", "", IF(OR(U453="Pending", U453="Pending Allocation"), CONCATENATE(TODAY()-H453, " Days"), IF(U453="Closed", "", "")))</f>
        <v/>
      </c>
      <c r="AC453" s="160">
        <f>IF(U453="Pending Allocation", IF(I453="", "", TODAY()-I453), "")</f>
        <v/>
      </c>
      <c r="AD453" s="159">
        <f>IF(U453="Open Sale", TEXT(TODAY()-I453, "0"),
IF(U453="Pending", "",
IF(U453="Closed Sale", "", "")))</f>
        <v/>
      </c>
      <c r="AE453" s="161" t="n"/>
      <c r="AF453" s="161" t="n"/>
      <c r="AG453" s="161" t="n"/>
      <c r="AH453" s="136" t="n"/>
      <c r="AI453" s="164">
        <f>IF(I453="","",TEXT(I453, "mmmm yyyy"))</f>
        <v/>
      </c>
      <c r="AJ453" s="164">
        <f>IF(AND(OpenPendingCases[[#This Row],[Sale Status	]]="Open Sale",OpenPendingCases[[#This Row],[Potential Same Month]]="High"),TEXT(OpenPendingCases[[#This Row],[Request Entry Date]], "[$-en-us]mmmm"),"")</f>
        <v/>
      </c>
      <c r="AK453" s="165">
        <f>IFERROR(VALUE(SUBSTITUTE(OpenPendingCases[[#This Row],[Price]]," AED","")),"")</f>
        <v/>
      </c>
      <c r="AL453" s="165">
        <f>IFERROR(VALUE(LEFT(OpenPendingCases[[#This Row],[Price]],FIND(" ",OpenPendingCases[[#This Row],[Price]])-1)),"")</f>
        <v/>
      </c>
      <c r="AM453" s="165">
        <f>IFERROR(VALUE(_xlfn.TEXTBEFORE(OpenPendingCases[[#This Row],[Price]]," AED")),"")</f>
        <v/>
      </c>
      <c r="AN453" s="165" t="n"/>
    </row>
    <row r="454" hidden="1" ht="18" customHeight="1" s="287">
      <c r="C454" s="133" t="n"/>
      <c r="D454" s="136">
        <f>IF($U454="Open Sale", IF(MAX($D$4:D453)+1=0, "", MAX($D$4:D453)+1), "")</f>
        <v/>
      </c>
      <c r="E454" s="136">
        <f>IF($U454="Pending Allocation", IF(MAX($E$4:E453)+1=0, "", MAX($E$4:E453)+1), "")</f>
        <v/>
      </c>
      <c r="F454" s="136" t="n"/>
      <c r="G454" s="136" t="n"/>
      <c r="H454" s="150" t="n"/>
      <c r="I454" s="150" t="n"/>
      <c r="J454" s="67">
        <f>IF(OpenPendingCases[[#This Row],[Timepiece Reference ]]="", "", IF(_xlfn.XLOOKUP(OpenPendingCases[[#This Row],[Timepiece Reference ]], Table1[[Timepiece Reference ]], Table1[CRC STOCK], "Not Found")="YES", "CRC Stock", "Boutique Stock"))</f>
        <v/>
      </c>
      <c r="K454" s="136">
        <f>IF(OpenPendingCases[[#This Row],[Timepiece Reference ]]="", "", IF(_xlfn.XLOOKUP(OpenPendingCases[[#This Row],[Timepiece Reference ]], Table1[[Timepiece Reference ]], Table1[CRC STOCK], "Not Found")="YES", "CRC Stock", "Boutique Stock"))</f>
        <v/>
      </c>
      <c r="L454" s="142" t="n"/>
      <c r="M454" s="140" t="n"/>
      <c r="N454" s="136" t="n"/>
      <c r="O454" s="133" t="n"/>
      <c r="P454" s="93">
        <f>IFERROR(VLOOKUP(TRIM(O454), Collection!$B$2:$D$1001, 2, FALSE), "")</f>
        <v/>
      </c>
      <c r="Q454" s="190">
        <f>IFERROR(VLOOKUP(TRIM(O454), Collection!$B$2:$D$1001, 3, FALSE), "")</f>
        <v/>
      </c>
      <c r="R454" s="153">
        <f>IFERROR(VALUE(SUBSTITUTE(SUBSTITUTE(Q454, "Price", ""), "AED", "")), "")</f>
        <v/>
      </c>
      <c r="S454" s="151" t="n"/>
      <c r="T454" s="158" t="n"/>
      <c r="U454" s="136" t="n"/>
      <c r="V454" s="136" t="n"/>
      <c r="W454" s="156">
        <f>IF(Z454 = "",
"",
TEXT(Z454, "mmmm"))</f>
        <v/>
      </c>
      <c r="X454" s="157" t="n"/>
      <c r="Y454" s="158" t="n"/>
      <c r="Z454" s="158" t="n"/>
      <c r="AA454" s="136">
        <f>IF(H454="", "", IF(U454="Open Sale", IF(TODAY()-H454=0, "0 Days", TEXT(TODAY()-H454, "0") &amp; " Days"), IF(U454="Closed Sale", AA454, "")))</f>
        <v/>
      </c>
      <c r="AB454" s="136">
        <f>IF(H454="", "", IF(OR(U454="Pending", U454="Pending Allocation"), CONCATENATE(TODAY()-H454, " Days"), IF(U454="Closed", "", "")))</f>
        <v/>
      </c>
      <c r="AC454" s="160">
        <f>IF(U454="Pending Allocation", IF(I454="", "", TODAY()-I454), "")</f>
        <v/>
      </c>
      <c r="AD454" s="159">
        <f>IF(U454="Open Sale", TEXT(TODAY()-I454, "0"),
IF(U454="Pending", "",
IF(U454="Closed Sale", "", "")))</f>
        <v/>
      </c>
      <c r="AE454" s="161" t="n"/>
      <c r="AF454" s="161" t="n"/>
      <c r="AG454" s="161" t="n"/>
      <c r="AH454" s="136" t="n"/>
      <c r="AI454" s="164">
        <f>IF(I454="","",TEXT(I454, "mmmm yyyy"))</f>
        <v/>
      </c>
      <c r="AJ454" s="164">
        <f>IF(AND(OpenPendingCases[[#This Row],[Sale Status	]]="Open Sale",OpenPendingCases[[#This Row],[Potential Same Month]]="High"),TEXT(OpenPendingCases[[#This Row],[Request Entry Date]], "[$-en-us]mmmm"),"")</f>
        <v/>
      </c>
      <c r="AK454" s="165">
        <f>IFERROR(VALUE(SUBSTITUTE(OpenPendingCases[[#This Row],[Price]]," AED","")),"")</f>
        <v/>
      </c>
      <c r="AL454" s="165">
        <f>IFERROR(VALUE(LEFT(OpenPendingCases[[#This Row],[Price]],FIND(" ",OpenPendingCases[[#This Row],[Price]])-1)),"")</f>
        <v/>
      </c>
      <c r="AM454" s="165">
        <f>IFERROR(VALUE(_xlfn.TEXTBEFORE(OpenPendingCases[[#This Row],[Price]]," AED")),"")</f>
        <v/>
      </c>
      <c r="AN454" s="165" t="n"/>
    </row>
    <row r="455" hidden="1" ht="18" customHeight="1" s="287">
      <c r="C455" s="133" t="n"/>
      <c r="D455" s="136">
        <f>IF($U455="Open Sale", IF(MAX($D$4:D454)+1=0, "", MAX($D$4:D454)+1), "")</f>
        <v/>
      </c>
      <c r="E455" s="136">
        <f>IF($U455="Pending Allocation", IF(MAX($E$4:E454)+1=0, "", MAX($E$4:E454)+1), "")</f>
        <v/>
      </c>
      <c r="F455" s="136" t="n"/>
      <c r="G455" s="136" t="n"/>
      <c r="H455" s="150" t="n"/>
      <c r="I455" s="150" t="n"/>
      <c r="J455" s="67">
        <f>IF(OpenPendingCases[[#This Row],[Timepiece Reference ]]="", "", IF(_xlfn.XLOOKUP(OpenPendingCases[[#This Row],[Timepiece Reference ]], Table1[[Timepiece Reference ]], Table1[CRC STOCK], "Not Found")="YES", "CRC Stock", "Boutique Stock"))</f>
        <v/>
      </c>
      <c r="K455" s="136">
        <f>IF(OpenPendingCases[[#This Row],[Timepiece Reference ]]="", "", IF(_xlfn.XLOOKUP(OpenPendingCases[[#This Row],[Timepiece Reference ]], Table1[[Timepiece Reference ]], Table1[CRC STOCK], "Not Found")="YES", "CRC Stock", "Boutique Stock"))</f>
        <v/>
      </c>
      <c r="L455" s="142" t="n"/>
      <c r="M455" s="140" t="n"/>
      <c r="N455" s="136" t="n"/>
      <c r="O455" s="133" t="n"/>
      <c r="P455" s="93">
        <f>IFERROR(VLOOKUP(TRIM(O455), Collection!$B$2:$D$1001, 2, FALSE), "")</f>
        <v/>
      </c>
      <c r="Q455" s="190">
        <f>IFERROR(VLOOKUP(TRIM(O455), Collection!$B$2:$D$1001, 3, FALSE), "")</f>
        <v/>
      </c>
      <c r="R455" s="153">
        <f>IFERROR(VALUE(SUBSTITUTE(SUBSTITUTE(Q455, "Price", ""), "AED", "")), "")</f>
        <v/>
      </c>
      <c r="S455" s="151" t="n"/>
      <c r="T455" s="158" t="n"/>
      <c r="U455" s="136" t="n"/>
      <c r="V455" s="136" t="n"/>
      <c r="W455" s="156">
        <f>IF(Z455 = "",
"",
TEXT(Z455, "mmmm"))</f>
        <v/>
      </c>
      <c r="X455" s="157" t="n"/>
      <c r="Y455" s="158" t="n"/>
      <c r="Z455" s="158" t="n"/>
      <c r="AA455" s="136">
        <f>IF(H455="", "", IF(U455="Open Sale", IF(TODAY()-H455=0, "0 Days", TEXT(TODAY()-H455, "0") &amp; " Days"), IF(U455="Closed Sale", AA455, "")))</f>
        <v/>
      </c>
      <c r="AB455" s="136">
        <f>IF(H455="", "", IF(OR(U455="Pending", U455="Pending Allocation"), CONCATENATE(TODAY()-H455, " Days"), IF(U455="Closed", "", "")))</f>
        <v/>
      </c>
      <c r="AC455" s="160">
        <f>IF(U455="Pending Allocation", IF(I455="", "", TODAY()-I455), "")</f>
        <v/>
      </c>
      <c r="AD455" s="159">
        <f>IF(U455="Open Sale", TEXT(TODAY()-I455, "0"),
IF(U455="Pending", "",
IF(U455="Closed Sale", "", "")))</f>
        <v/>
      </c>
      <c r="AE455" s="161" t="n"/>
      <c r="AF455" s="161" t="n"/>
      <c r="AG455" s="161" t="n"/>
      <c r="AH455" s="136" t="n"/>
      <c r="AI455" s="164">
        <f>IF(I455="","",TEXT(I455, "mmmm yyyy"))</f>
        <v/>
      </c>
      <c r="AJ455" s="164">
        <f>IF(AND(OpenPendingCases[[#This Row],[Sale Status	]]="Open Sale",OpenPendingCases[[#This Row],[Potential Same Month]]="High"),TEXT(OpenPendingCases[[#This Row],[Request Entry Date]], "[$-en-us]mmmm"),"")</f>
        <v/>
      </c>
      <c r="AK455" s="165">
        <f>IFERROR(VALUE(SUBSTITUTE(OpenPendingCases[[#This Row],[Price]]," AED","")),"")</f>
        <v/>
      </c>
      <c r="AL455" s="165">
        <f>IFERROR(VALUE(LEFT(OpenPendingCases[[#This Row],[Price]],FIND(" ",OpenPendingCases[[#This Row],[Price]])-1)),"")</f>
        <v/>
      </c>
      <c r="AM455" s="165">
        <f>IFERROR(VALUE(_xlfn.TEXTBEFORE(OpenPendingCases[[#This Row],[Price]]," AED")),"")</f>
        <v/>
      </c>
      <c r="AN455" s="165" t="n"/>
    </row>
    <row r="456" hidden="1" ht="18" customHeight="1" s="287">
      <c r="C456" s="133" t="n"/>
      <c r="D456" s="136">
        <f>IF($U456="Open Sale", IF(MAX($D$4:D455)+1=0, "", MAX($D$4:D455)+1), "")</f>
        <v/>
      </c>
      <c r="E456" s="136">
        <f>IF($U456="Pending Allocation", IF(MAX($E$4:E455)+1=0, "", MAX($E$4:E455)+1), "")</f>
        <v/>
      </c>
      <c r="F456" s="136" t="n"/>
      <c r="G456" s="136" t="n"/>
      <c r="H456" s="150" t="n"/>
      <c r="I456" s="150" t="n"/>
      <c r="J456" s="67">
        <f>IF(OpenPendingCases[[#This Row],[Timepiece Reference ]]="", "", IF(_xlfn.XLOOKUP(OpenPendingCases[[#This Row],[Timepiece Reference ]], Table1[[Timepiece Reference ]], Table1[CRC STOCK], "Not Found")="YES", "CRC Stock", "Boutique Stock"))</f>
        <v/>
      </c>
      <c r="K456" s="136">
        <f>IF(OpenPendingCases[[#This Row],[Timepiece Reference ]]="", "", IF(_xlfn.XLOOKUP(OpenPendingCases[[#This Row],[Timepiece Reference ]], Table1[[Timepiece Reference ]], Table1[CRC STOCK], "Not Found")="YES", "CRC Stock", "Boutique Stock"))</f>
        <v/>
      </c>
      <c r="L456" s="142" t="n"/>
      <c r="M456" s="140" t="n"/>
      <c r="N456" s="136" t="n"/>
      <c r="O456" s="133" t="n"/>
      <c r="P456" s="93">
        <f>IFERROR(VLOOKUP(TRIM(O456), Collection!$B$2:$D$1001, 2, FALSE), "")</f>
        <v/>
      </c>
      <c r="Q456" s="190">
        <f>IFERROR(VLOOKUP(TRIM(O456), Collection!$B$2:$D$1001, 3, FALSE), "")</f>
        <v/>
      </c>
      <c r="R456" s="153">
        <f>IFERROR(VALUE(SUBSTITUTE(SUBSTITUTE(Q456, "Price", ""), "AED", "")), "")</f>
        <v/>
      </c>
      <c r="S456" s="151" t="n"/>
      <c r="T456" s="158" t="n"/>
      <c r="U456" s="136" t="n"/>
      <c r="V456" s="136" t="n"/>
      <c r="W456" s="156">
        <f>IF(Z456 = "",
"",
TEXT(Z456, "mmmm"))</f>
        <v/>
      </c>
      <c r="X456" s="157" t="n"/>
      <c r="Y456" s="158" t="n"/>
      <c r="Z456" s="158" t="n"/>
      <c r="AA456" s="136">
        <f>IF(H456="", "", IF(U456="Open Sale", IF(TODAY()-H456=0, "0 Days", TEXT(TODAY()-H456, "0") &amp; " Days"), IF(U456="Closed Sale", AA456, "")))</f>
        <v/>
      </c>
      <c r="AB456" s="136">
        <f>IF(H456="", "", IF(OR(U456="Pending", U456="Pending Allocation"), CONCATENATE(TODAY()-H456, " Days"), IF(U456="Closed", "", "")))</f>
        <v/>
      </c>
      <c r="AC456" s="160">
        <f>IF(U456="Pending Allocation", IF(I456="", "", TODAY()-I456), "")</f>
        <v/>
      </c>
      <c r="AD456" s="159">
        <f>IF(U456="Open Sale", TEXT(TODAY()-I456, "0"),
IF(U456="Pending", "",
IF(U456="Closed Sale", "", "")))</f>
        <v/>
      </c>
      <c r="AE456" s="161" t="n"/>
      <c r="AF456" s="161" t="n"/>
      <c r="AG456" s="161" t="n"/>
      <c r="AH456" s="136" t="n"/>
      <c r="AI456" s="164">
        <f>IF(I456="","",TEXT(I456, "mmmm yyyy"))</f>
        <v/>
      </c>
      <c r="AJ456" s="164">
        <f>IF(AND(OpenPendingCases[[#This Row],[Sale Status	]]="Open Sale",OpenPendingCases[[#This Row],[Potential Same Month]]="High"),TEXT(OpenPendingCases[[#This Row],[Request Entry Date]], "[$-en-us]mmmm"),"")</f>
        <v/>
      </c>
      <c r="AK456" s="165">
        <f>IFERROR(VALUE(SUBSTITUTE(OpenPendingCases[[#This Row],[Price]]," AED","")),"")</f>
        <v/>
      </c>
      <c r="AL456" s="165">
        <f>IFERROR(VALUE(LEFT(OpenPendingCases[[#This Row],[Price]],FIND(" ",OpenPendingCases[[#This Row],[Price]])-1)),"")</f>
        <v/>
      </c>
      <c r="AM456" s="165">
        <f>IFERROR(VALUE(_xlfn.TEXTBEFORE(OpenPendingCases[[#This Row],[Price]]," AED")),"")</f>
        <v/>
      </c>
      <c r="AN456" s="165" t="n"/>
    </row>
    <row r="457" hidden="1" ht="18" customHeight="1" s="287">
      <c r="C457" s="133" t="n"/>
      <c r="D457" s="136">
        <f>IF($U457="Open Sale", IF(MAX($D$4:D456)+1=0, "", MAX($D$4:D456)+1), "")</f>
        <v/>
      </c>
      <c r="E457" s="136">
        <f>IF($U457="Pending Allocation", IF(MAX($E$4:E456)+1=0, "", MAX($E$4:E456)+1), "")</f>
        <v/>
      </c>
      <c r="F457" s="136" t="n"/>
      <c r="G457" s="136" t="n"/>
      <c r="H457" s="150" t="n"/>
      <c r="I457" s="150" t="n"/>
      <c r="J457" s="67">
        <f>IF(OpenPendingCases[[#This Row],[Timepiece Reference ]]="", "", IF(_xlfn.XLOOKUP(OpenPendingCases[[#This Row],[Timepiece Reference ]], Table1[[Timepiece Reference ]], Table1[CRC STOCK], "Not Found")="YES", "CRC Stock", "Boutique Stock"))</f>
        <v/>
      </c>
      <c r="K457" s="136">
        <f>IF(OpenPendingCases[[#This Row],[Timepiece Reference ]]="", "", IF(_xlfn.XLOOKUP(OpenPendingCases[[#This Row],[Timepiece Reference ]], Table1[[Timepiece Reference ]], Table1[CRC STOCK], "Not Found")="YES", "CRC Stock", "Boutique Stock"))</f>
        <v/>
      </c>
      <c r="L457" s="142" t="n"/>
      <c r="M457" s="140" t="n"/>
      <c r="N457" s="136" t="n"/>
      <c r="O457" s="133" t="n"/>
      <c r="P457" s="93">
        <f>IFERROR(VLOOKUP(TRIM(O457), Collection!$B$2:$D$1001, 2, FALSE), "")</f>
        <v/>
      </c>
      <c r="Q457" s="190">
        <f>IFERROR(VLOOKUP(TRIM(O457), Collection!$B$2:$D$1001, 3, FALSE), "")</f>
        <v/>
      </c>
      <c r="R457" s="153">
        <f>IFERROR(VALUE(SUBSTITUTE(SUBSTITUTE(Q457, "Price", ""), "AED", "")), "")</f>
        <v/>
      </c>
      <c r="S457" s="151" t="n"/>
      <c r="T457" s="158" t="n"/>
      <c r="U457" s="136" t="n"/>
      <c r="V457" s="136" t="n"/>
      <c r="W457" s="156">
        <f>IF(Z457 = "",
"",
TEXT(Z457, "mmmm"))</f>
        <v/>
      </c>
      <c r="X457" s="157" t="n"/>
      <c r="Y457" s="158" t="n"/>
      <c r="Z457" s="158" t="n"/>
      <c r="AA457" s="136">
        <f>IF(H457="", "", IF(U457="Open Sale", IF(TODAY()-H457=0, "0 Days", TEXT(TODAY()-H457, "0") &amp; " Days"), IF(U457="Closed Sale", AA457, "")))</f>
        <v/>
      </c>
      <c r="AB457" s="136">
        <f>IF(H457="", "", IF(OR(U457="Pending", U457="Pending Allocation"), CONCATENATE(TODAY()-H457, " Days"), IF(U457="Closed", "", "")))</f>
        <v/>
      </c>
      <c r="AC457" s="160">
        <f>IF(U457="Pending Allocation", IF(I457="", "", TODAY()-I457), "")</f>
        <v/>
      </c>
      <c r="AD457" s="159">
        <f>IF(U457="Open Sale", TEXT(TODAY()-I457, "0"),
IF(U457="Pending", "",
IF(U457="Closed Sale", "", "")))</f>
        <v/>
      </c>
      <c r="AE457" s="161" t="n"/>
      <c r="AF457" s="161" t="n"/>
      <c r="AG457" s="161" t="n"/>
      <c r="AH457" s="136" t="n"/>
      <c r="AI457" s="164">
        <f>IF(I457="","",TEXT(I457, "mmmm yyyy"))</f>
        <v/>
      </c>
      <c r="AJ457" s="164">
        <f>IF(AND(OpenPendingCases[[#This Row],[Sale Status	]]="Open Sale",OpenPendingCases[[#This Row],[Potential Same Month]]="High"),TEXT(OpenPendingCases[[#This Row],[Request Entry Date]], "[$-en-us]mmmm"),"")</f>
        <v/>
      </c>
      <c r="AK457" s="165">
        <f>IFERROR(VALUE(SUBSTITUTE(OpenPendingCases[[#This Row],[Price]]," AED","")),"")</f>
        <v/>
      </c>
      <c r="AL457" s="165">
        <f>IFERROR(VALUE(LEFT(OpenPendingCases[[#This Row],[Price]],FIND(" ",OpenPendingCases[[#This Row],[Price]])-1)),"")</f>
        <v/>
      </c>
      <c r="AM457" s="165">
        <f>IFERROR(VALUE(_xlfn.TEXTBEFORE(OpenPendingCases[[#This Row],[Price]]," AED")),"")</f>
        <v/>
      </c>
      <c r="AN457" s="165" t="n"/>
    </row>
    <row r="458" hidden="1" ht="18" customHeight="1" s="287">
      <c r="C458" s="133" t="n"/>
      <c r="D458" s="136">
        <f>IF($U458="Open Sale", IF(MAX($D$4:D457)+1=0, "", MAX($D$4:D457)+1), "")</f>
        <v/>
      </c>
      <c r="E458" s="136">
        <f>IF($U458="Pending Allocation", IF(MAX($E$4:E457)+1=0, "", MAX($E$4:E457)+1), "")</f>
        <v/>
      </c>
      <c r="F458" s="136" t="n"/>
      <c r="G458" s="136" t="n"/>
      <c r="H458" s="150" t="n"/>
      <c r="I458" s="150" t="n"/>
      <c r="J458" s="67">
        <f>IF(OpenPendingCases[[#This Row],[Timepiece Reference ]]="", "", IF(_xlfn.XLOOKUP(OpenPendingCases[[#This Row],[Timepiece Reference ]], Table1[[Timepiece Reference ]], Table1[CRC STOCK], "Not Found")="YES", "CRC Stock", "Boutique Stock"))</f>
        <v/>
      </c>
      <c r="K458" s="136">
        <f>IF(OpenPendingCases[[#This Row],[Timepiece Reference ]]="", "", IF(_xlfn.XLOOKUP(OpenPendingCases[[#This Row],[Timepiece Reference ]], Table1[[Timepiece Reference ]], Table1[CRC STOCK], "Not Found")="YES", "CRC Stock", "Boutique Stock"))</f>
        <v/>
      </c>
      <c r="L458" s="142" t="n"/>
      <c r="M458" s="140" t="n"/>
      <c r="N458" s="136" t="n"/>
      <c r="O458" s="133" t="n"/>
      <c r="P458" s="93">
        <f>IFERROR(VLOOKUP(TRIM(O458), Collection!$B$2:$D$1001, 2, FALSE), "")</f>
        <v/>
      </c>
      <c r="Q458" s="190">
        <f>IFERROR(VLOOKUP(TRIM(O458), Collection!$B$2:$D$1001, 3, FALSE), "")</f>
        <v/>
      </c>
      <c r="R458" s="153">
        <f>IFERROR(VALUE(SUBSTITUTE(SUBSTITUTE(Q458, "Price", ""), "AED", "")), "")</f>
        <v/>
      </c>
      <c r="S458" s="151" t="n"/>
      <c r="T458" s="158" t="n"/>
      <c r="U458" s="136" t="n"/>
      <c r="V458" s="136" t="n"/>
      <c r="W458" s="156">
        <f>IF(Z458 = "",
"",
TEXT(Z458, "mmmm"))</f>
        <v/>
      </c>
      <c r="X458" s="157" t="n"/>
      <c r="Y458" s="158" t="n"/>
      <c r="Z458" s="158" t="n"/>
      <c r="AA458" s="136">
        <f>IF(H458="", "", IF(U458="Open Sale", IF(TODAY()-H458=0, "0 Days", TEXT(TODAY()-H458, "0") &amp; " Days"), IF(U458="Closed Sale", AA458, "")))</f>
        <v/>
      </c>
      <c r="AB458" s="136">
        <f>IF(H458="", "", IF(OR(U458="Pending", U458="Pending Allocation"), CONCATENATE(TODAY()-H458, " Days"), IF(U458="Closed", "", "")))</f>
        <v/>
      </c>
      <c r="AC458" s="160">
        <f>IF(U458="Pending Allocation", IF(I458="", "", TODAY()-I458), "")</f>
        <v/>
      </c>
      <c r="AD458" s="159">
        <f>IF(U458="Open Sale", TEXT(TODAY()-I458, "0"),
IF(U458="Pending", "",
IF(U458="Closed Sale", "", "")))</f>
        <v/>
      </c>
      <c r="AE458" s="161" t="n"/>
      <c r="AF458" s="161" t="n"/>
      <c r="AG458" s="161" t="n"/>
      <c r="AH458" s="136" t="n"/>
      <c r="AI458" s="164">
        <f>IF(I458="","",TEXT(I458, "mmmm yyyy"))</f>
        <v/>
      </c>
      <c r="AJ458" s="164">
        <f>IF(AND(OpenPendingCases[[#This Row],[Sale Status	]]="Open Sale",OpenPendingCases[[#This Row],[Potential Same Month]]="High"),TEXT(OpenPendingCases[[#This Row],[Request Entry Date]], "[$-en-us]mmmm"),"")</f>
        <v/>
      </c>
      <c r="AK458" s="165">
        <f>IFERROR(VALUE(SUBSTITUTE(OpenPendingCases[[#This Row],[Price]]," AED","")),"")</f>
        <v/>
      </c>
      <c r="AL458" s="165">
        <f>IFERROR(VALUE(LEFT(OpenPendingCases[[#This Row],[Price]],FIND(" ",OpenPendingCases[[#This Row],[Price]])-1)),"")</f>
        <v/>
      </c>
      <c r="AM458" s="165">
        <f>IFERROR(VALUE(_xlfn.TEXTBEFORE(OpenPendingCases[[#This Row],[Price]]," AED")),"")</f>
        <v/>
      </c>
      <c r="AN458" s="165" t="n"/>
    </row>
    <row r="459" hidden="1" ht="18" customHeight="1" s="287">
      <c r="C459" s="133" t="n"/>
      <c r="D459" s="136">
        <f>IF($U459="Open Sale", IF(MAX($D$4:D458)+1=0, "", MAX($D$4:D458)+1), "")</f>
        <v/>
      </c>
      <c r="E459" s="136">
        <f>IF($U459="Pending Allocation", IF(MAX($E$4:E458)+1=0, "", MAX($E$4:E458)+1), "")</f>
        <v/>
      </c>
      <c r="F459" s="136" t="n"/>
      <c r="G459" s="136" t="n"/>
      <c r="H459" s="150" t="n"/>
      <c r="I459" s="150" t="n"/>
      <c r="J459" s="67">
        <f>IF(OpenPendingCases[[#This Row],[Timepiece Reference ]]="", "", IF(_xlfn.XLOOKUP(OpenPendingCases[[#This Row],[Timepiece Reference ]], Table1[[Timepiece Reference ]], Table1[CRC STOCK], "Not Found")="YES", "CRC Stock", "Boutique Stock"))</f>
        <v/>
      </c>
      <c r="K459" s="136">
        <f>IF(OpenPendingCases[[#This Row],[Timepiece Reference ]]="", "", IF(_xlfn.XLOOKUP(OpenPendingCases[[#This Row],[Timepiece Reference ]], Table1[[Timepiece Reference ]], Table1[CRC STOCK], "Not Found")="YES", "CRC Stock", "Boutique Stock"))</f>
        <v/>
      </c>
      <c r="L459" s="142" t="n"/>
      <c r="M459" s="140" t="n"/>
      <c r="N459" s="136" t="n"/>
      <c r="O459" s="133" t="n"/>
      <c r="P459" s="93">
        <f>IFERROR(VLOOKUP(TRIM(O459), Collection!$B$2:$D$1001, 2, FALSE), "")</f>
        <v/>
      </c>
      <c r="Q459" s="190">
        <f>IFERROR(VLOOKUP(TRIM(O459), Collection!$B$2:$D$1001, 3, FALSE), "")</f>
        <v/>
      </c>
      <c r="R459" s="153">
        <f>IFERROR(VALUE(SUBSTITUTE(SUBSTITUTE(Q459, "Price", ""), "AED", "")), "")</f>
        <v/>
      </c>
      <c r="S459" s="151" t="n"/>
      <c r="T459" s="158" t="n"/>
      <c r="U459" s="136" t="n"/>
      <c r="V459" s="136" t="n"/>
      <c r="W459" s="156">
        <f>IF(Z459 = "",
"",
TEXT(Z459, "mmmm"))</f>
        <v/>
      </c>
      <c r="X459" s="157" t="n"/>
      <c r="Y459" s="158" t="n"/>
      <c r="Z459" s="158" t="n"/>
      <c r="AA459" s="136">
        <f>IF(H459="", "", IF(U459="Open Sale", IF(TODAY()-H459=0, "0 Days", TEXT(TODAY()-H459, "0") &amp; " Days"), IF(U459="Closed Sale", AA459, "")))</f>
        <v/>
      </c>
      <c r="AB459" s="136">
        <f>IF(H459="", "", IF(OR(U459="Pending", U459="Pending Allocation"), CONCATENATE(TODAY()-H459, " Days"), IF(U459="Closed", "", "")))</f>
        <v/>
      </c>
      <c r="AC459" s="160">
        <f>IF(U459="Pending Allocation", IF(I459="", "", TODAY()-I459), "")</f>
        <v/>
      </c>
      <c r="AD459" s="159">
        <f>IF(U459="Open Sale", TEXT(TODAY()-I459, "0"),
IF(U459="Pending", "",
IF(U459="Closed Sale", "", "")))</f>
        <v/>
      </c>
      <c r="AE459" s="161" t="n"/>
      <c r="AF459" s="161" t="n"/>
      <c r="AG459" s="161" t="n"/>
      <c r="AH459" s="136" t="n"/>
      <c r="AI459" s="164">
        <f>IF(I459="","",TEXT(I459, "mmmm yyyy"))</f>
        <v/>
      </c>
      <c r="AJ459" s="164">
        <f>IF(AND(OpenPendingCases[[#This Row],[Sale Status	]]="Open Sale",OpenPendingCases[[#This Row],[Potential Same Month]]="High"),TEXT(OpenPendingCases[[#This Row],[Request Entry Date]], "[$-en-us]mmmm"),"")</f>
        <v/>
      </c>
      <c r="AK459" s="165">
        <f>IFERROR(VALUE(SUBSTITUTE(OpenPendingCases[[#This Row],[Price]]," AED","")),"")</f>
        <v/>
      </c>
      <c r="AL459" s="165">
        <f>IFERROR(VALUE(LEFT(OpenPendingCases[[#This Row],[Price]],FIND(" ",OpenPendingCases[[#This Row],[Price]])-1)),"")</f>
        <v/>
      </c>
      <c r="AM459" s="165">
        <f>IFERROR(VALUE(_xlfn.TEXTBEFORE(OpenPendingCases[[#This Row],[Price]]," AED")),"")</f>
        <v/>
      </c>
      <c r="AN459" s="165" t="n"/>
    </row>
    <row r="460" hidden="1" ht="18" customHeight="1" s="287">
      <c r="C460" s="133" t="n"/>
      <c r="D460" s="136">
        <f>IF($U460="Open Sale", IF(MAX($D$4:D459)+1=0, "", MAX($D$4:D459)+1), "")</f>
        <v/>
      </c>
      <c r="E460" s="136">
        <f>IF($U460="Pending Allocation", IF(MAX($E$4:E459)+1=0, "", MAX($E$4:E459)+1), "")</f>
        <v/>
      </c>
      <c r="F460" s="136" t="n"/>
      <c r="G460" s="136" t="n"/>
      <c r="H460" s="150" t="n"/>
      <c r="I460" s="150" t="n"/>
      <c r="J460" s="67">
        <f>IF(OpenPendingCases[[#This Row],[Timepiece Reference ]]="", "", IF(_xlfn.XLOOKUP(OpenPendingCases[[#This Row],[Timepiece Reference ]], Table1[[Timepiece Reference ]], Table1[CRC STOCK], "Not Found")="YES", "CRC Stock", "Boutique Stock"))</f>
        <v/>
      </c>
      <c r="K460" s="136">
        <f>IF(OpenPendingCases[[#This Row],[Timepiece Reference ]]="", "", IF(_xlfn.XLOOKUP(OpenPendingCases[[#This Row],[Timepiece Reference ]], Table1[[Timepiece Reference ]], Table1[CRC STOCK], "Not Found")="YES", "CRC Stock", "Boutique Stock"))</f>
        <v/>
      </c>
      <c r="L460" s="142" t="n"/>
      <c r="M460" s="140" t="n"/>
      <c r="N460" s="136" t="n"/>
      <c r="O460" s="133" t="n"/>
      <c r="P460" s="93">
        <f>IFERROR(VLOOKUP(TRIM(O460), Collection!$B$2:$D$1001, 2, FALSE), "")</f>
        <v/>
      </c>
      <c r="Q460" s="190">
        <f>IFERROR(VLOOKUP(TRIM(O460), Collection!$B$2:$D$1001, 3, FALSE), "")</f>
        <v/>
      </c>
      <c r="R460" s="153">
        <f>IFERROR(VALUE(SUBSTITUTE(SUBSTITUTE(Q460, "Price", ""), "AED", "")), "")</f>
        <v/>
      </c>
      <c r="S460" s="151" t="n"/>
      <c r="T460" s="158" t="n"/>
      <c r="U460" s="136" t="n"/>
      <c r="V460" s="136" t="n"/>
      <c r="W460" s="156">
        <f>IF(Z460 = "",
"",
TEXT(Z460, "mmmm"))</f>
        <v/>
      </c>
      <c r="X460" s="157" t="n"/>
      <c r="Y460" s="158" t="n"/>
      <c r="Z460" s="158" t="n"/>
      <c r="AA460" s="136">
        <f>IF(H460="", "", IF(U460="Open Sale", IF(TODAY()-H460=0, "0 Days", TEXT(TODAY()-H460, "0") &amp; " Days"), IF(U460="Closed Sale", AA460, "")))</f>
        <v/>
      </c>
      <c r="AB460" s="136">
        <f>IF(H460="", "", IF(OR(U460="Pending", U460="Pending Allocation"), CONCATENATE(TODAY()-H460, " Days"), IF(U460="Closed", "", "")))</f>
        <v/>
      </c>
      <c r="AC460" s="160">
        <f>IF(U460="Pending Allocation", IF(I460="", "", TODAY()-I460), "")</f>
        <v/>
      </c>
      <c r="AD460" s="159">
        <f>IF(U460="Open Sale", TEXT(TODAY()-I460, "0"),
IF(U460="Pending", "",
IF(U460="Closed Sale", "", "")))</f>
        <v/>
      </c>
      <c r="AE460" s="161" t="n"/>
      <c r="AF460" s="161" t="n"/>
      <c r="AG460" s="161" t="n"/>
      <c r="AH460" s="136" t="n"/>
      <c r="AI460" s="164">
        <f>IF(I460="","",TEXT(I460, "mmmm yyyy"))</f>
        <v/>
      </c>
      <c r="AJ460" s="164">
        <f>IF(AND(OpenPendingCases[[#This Row],[Sale Status	]]="Open Sale",OpenPendingCases[[#This Row],[Potential Same Month]]="High"),TEXT(OpenPendingCases[[#This Row],[Request Entry Date]], "[$-en-us]mmmm"),"")</f>
        <v/>
      </c>
      <c r="AK460" s="165">
        <f>IFERROR(VALUE(SUBSTITUTE(OpenPendingCases[[#This Row],[Price]]," AED","")),"")</f>
        <v/>
      </c>
      <c r="AL460" s="165">
        <f>IFERROR(VALUE(LEFT(OpenPendingCases[[#This Row],[Price]],FIND(" ",OpenPendingCases[[#This Row],[Price]])-1)),"")</f>
        <v/>
      </c>
      <c r="AM460" s="165">
        <f>IFERROR(VALUE(_xlfn.TEXTBEFORE(OpenPendingCases[[#This Row],[Price]]," AED")),"")</f>
        <v/>
      </c>
      <c r="AN460" s="165" t="n"/>
    </row>
    <row r="461" hidden="1" ht="18" customHeight="1" s="287">
      <c r="C461" s="133" t="n"/>
      <c r="D461" s="136">
        <f>IF($U461="Open Sale", IF(MAX($D$4:D460)+1=0, "", MAX($D$4:D460)+1), "")</f>
        <v/>
      </c>
      <c r="E461" s="136">
        <f>IF($U461="Pending Allocation", IF(MAX($E$4:E460)+1=0, "", MAX($E$4:E460)+1), "")</f>
        <v/>
      </c>
      <c r="F461" s="136" t="n"/>
      <c r="G461" s="136" t="n"/>
      <c r="H461" s="150" t="n"/>
      <c r="I461" s="150" t="n"/>
      <c r="J461" s="67">
        <f>IF(OpenPendingCases[[#This Row],[Timepiece Reference ]]="", "", IF(_xlfn.XLOOKUP(OpenPendingCases[[#This Row],[Timepiece Reference ]], Table1[[Timepiece Reference ]], Table1[CRC STOCK], "Not Found")="YES", "CRC Stock", "Boutique Stock"))</f>
        <v/>
      </c>
      <c r="K461" s="136">
        <f>IF(OpenPendingCases[[#This Row],[Timepiece Reference ]]="", "", IF(_xlfn.XLOOKUP(OpenPendingCases[[#This Row],[Timepiece Reference ]], Table1[[Timepiece Reference ]], Table1[CRC STOCK], "Not Found")="YES", "CRC Stock", "Boutique Stock"))</f>
        <v/>
      </c>
      <c r="L461" s="142" t="n"/>
      <c r="M461" s="140" t="n"/>
      <c r="N461" s="136" t="n"/>
      <c r="O461" s="133" t="n"/>
      <c r="P461" s="93">
        <f>IFERROR(VLOOKUP(TRIM(O461), Collection!$B$2:$D$1001, 2, FALSE), "")</f>
        <v/>
      </c>
      <c r="Q461" s="190">
        <f>IFERROR(VLOOKUP(TRIM(O461), Collection!$B$2:$D$1001, 3, FALSE), "")</f>
        <v/>
      </c>
      <c r="R461" s="153">
        <f>IFERROR(VALUE(SUBSTITUTE(SUBSTITUTE(Q461, "Price", ""), "AED", "")), "")</f>
        <v/>
      </c>
      <c r="S461" s="151" t="n"/>
      <c r="T461" s="158" t="n"/>
      <c r="U461" s="136" t="n"/>
      <c r="V461" s="136" t="n"/>
      <c r="W461" s="156">
        <f>IF(Z461 = "",
"",
TEXT(Z461, "mmmm"))</f>
        <v/>
      </c>
      <c r="X461" s="157" t="n"/>
      <c r="Y461" s="158" t="n"/>
      <c r="Z461" s="158" t="n"/>
      <c r="AA461" s="136">
        <f>IF(H461="", "", IF(U461="Open Sale", IF(TODAY()-H461=0, "0 Days", TEXT(TODAY()-H461, "0") &amp; " Days"), IF(U461="Closed Sale", AA461, "")))</f>
        <v/>
      </c>
      <c r="AB461" s="136">
        <f>IF(H461="", "", IF(OR(U461="Pending", U461="Pending Allocation"), CONCATENATE(TODAY()-H461, " Days"), IF(U461="Closed", "", "")))</f>
        <v/>
      </c>
      <c r="AC461" s="160">
        <f>IF(U461="Pending Allocation", IF(I461="", "", TODAY()-I461), "")</f>
        <v/>
      </c>
      <c r="AD461" s="159">
        <f>IF(U461="Open Sale", TEXT(TODAY()-I461, "0"),
IF(U461="Pending", "",
IF(U461="Closed Sale", "", "")))</f>
        <v/>
      </c>
      <c r="AE461" s="161" t="n"/>
      <c r="AF461" s="161" t="n"/>
      <c r="AG461" s="161" t="n"/>
      <c r="AH461" s="136" t="n"/>
      <c r="AI461" s="164">
        <f>IF(I461="","",TEXT(I461, "mmmm yyyy"))</f>
        <v/>
      </c>
      <c r="AJ461" s="164">
        <f>IF(AND(OpenPendingCases[[#This Row],[Sale Status	]]="Open Sale",OpenPendingCases[[#This Row],[Potential Same Month]]="High"),TEXT(OpenPendingCases[[#This Row],[Request Entry Date]], "[$-en-us]mmmm"),"")</f>
        <v/>
      </c>
      <c r="AK461" s="165">
        <f>IFERROR(VALUE(SUBSTITUTE(OpenPendingCases[[#This Row],[Price]]," AED","")),"")</f>
        <v/>
      </c>
      <c r="AL461" s="165">
        <f>IFERROR(VALUE(LEFT(OpenPendingCases[[#This Row],[Price]],FIND(" ",OpenPendingCases[[#This Row],[Price]])-1)),"")</f>
        <v/>
      </c>
      <c r="AM461" s="165">
        <f>IFERROR(VALUE(_xlfn.TEXTBEFORE(OpenPendingCases[[#This Row],[Price]]," AED")),"")</f>
        <v/>
      </c>
      <c r="AN461" s="165" t="n"/>
    </row>
    <row r="462" hidden="1" ht="18" customHeight="1" s="287">
      <c r="C462" s="133" t="n"/>
      <c r="D462" s="136">
        <f>IF($U462="Open Sale", IF(MAX($D$4:D461)+1=0, "", MAX($D$4:D461)+1), "")</f>
        <v/>
      </c>
      <c r="E462" s="136">
        <f>IF($U462="Pending Allocation", IF(MAX($E$4:E461)+1=0, "", MAX($E$4:E461)+1), "")</f>
        <v/>
      </c>
      <c r="F462" s="136" t="n"/>
      <c r="G462" s="136" t="n"/>
      <c r="H462" s="150" t="n"/>
      <c r="I462" s="150" t="n"/>
      <c r="J462" s="67">
        <f>IF(OpenPendingCases[[#This Row],[Timepiece Reference ]]="", "", IF(_xlfn.XLOOKUP(OpenPendingCases[[#This Row],[Timepiece Reference ]], Table1[[Timepiece Reference ]], Table1[CRC STOCK], "Not Found")="YES", "CRC Stock", "Boutique Stock"))</f>
        <v/>
      </c>
      <c r="K462" s="136">
        <f>IF(OpenPendingCases[[#This Row],[Timepiece Reference ]]="", "", IF(_xlfn.XLOOKUP(OpenPendingCases[[#This Row],[Timepiece Reference ]], Table1[[Timepiece Reference ]], Table1[CRC STOCK], "Not Found")="YES", "CRC Stock", "Boutique Stock"))</f>
        <v/>
      </c>
      <c r="L462" s="142" t="n"/>
      <c r="M462" s="140" t="n"/>
      <c r="N462" s="136" t="n"/>
      <c r="O462" s="133" t="n"/>
      <c r="P462" s="93">
        <f>IFERROR(VLOOKUP(TRIM(O462), Collection!$B$2:$D$1001, 2, FALSE), "")</f>
        <v/>
      </c>
      <c r="Q462" s="190">
        <f>IFERROR(VLOOKUP(TRIM(O462), Collection!$B$2:$D$1001, 3, FALSE), "")</f>
        <v/>
      </c>
      <c r="R462" s="153">
        <f>IFERROR(VALUE(SUBSTITUTE(SUBSTITUTE(Q462, "Price", ""), "AED", "")), "")</f>
        <v/>
      </c>
      <c r="S462" s="151" t="n"/>
      <c r="T462" s="158" t="n"/>
      <c r="U462" s="136" t="n"/>
      <c r="V462" s="136" t="n"/>
      <c r="W462" s="156">
        <f>IF(Z462 = "",
"",
TEXT(Z462, "mmmm"))</f>
        <v/>
      </c>
      <c r="X462" s="157" t="n"/>
      <c r="Y462" s="158" t="n"/>
      <c r="Z462" s="158" t="n"/>
      <c r="AA462" s="136">
        <f>IF(H462="", "", IF(U462="Open Sale", IF(TODAY()-H462=0, "0 Days", TEXT(TODAY()-H462, "0") &amp; " Days"), IF(U462="Closed Sale", AA462, "")))</f>
        <v/>
      </c>
      <c r="AB462" s="136">
        <f>IF(H462="", "", IF(OR(U462="Pending", U462="Pending Allocation"), CONCATENATE(TODAY()-H462, " Days"), IF(U462="Closed", "", "")))</f>
        <v/>
      </c>
      <c r="AC462" s="160">
        <f>IF(U462="Pending Allocation", IF(I462="", "", TODAY()-I462), "")</f>
        <v/>
      </c>
      <c r="AD462" s="159">
        <f>IF(U462="Open Sale", TEXT(TODAY()-I462, "0"),
IF(U462="Pending", "",
IF(U462="Closed Sale", "", "")))</f>
        <v/>
      </c>
      <c r="AE462" s="161" t="n"/>
      <c r="AF462" s="161" t="n"/>
      <c r="AG462" s="161" t="n"/>
      <c r="AH462" s="136" t="n"/>
      <c r="AI462" s="164">
        <f>IF(I462="","",TEXT(I462, "mmmm yyyy"))</f>
        <v/>
      </c>
      <c r="AJ462" s="164">
        <f>IF(AND(OpenPendingCases[[#This Row],[Sale Status	]]="Open Sale",OpenPendingCases[[#This Row],[Potential Same Month]]="High"),TEXT(OpenPendingCases[[#This Row],[Request Entry Date]], "[$-en-us]mmmm"),"")</f>
        <v/>
      </c>
      <c r="AK462" s="165">
        <f>IFERROR(VALUE(SUBSTITUTE(OpenPendingCases[[#This Row],[Price]]," AED","")),"")</f>
        <v/>
      </c>
      <c r="AL462" s="165">
        <f>IFERROR(VALUE(LEFT(OpenPendingCases[[#This Row],[Price]],FIND(" ",OpenPendingCases[[#This Row],[Price]])-1)),"")</f>
        <v/>
      </c>
      <c r="AM462" s="165">
        <f>IFERROR(VALUE(_xlfn.TEXTBEFORE(OpenPendingCases[[#This Row],[Price]]," AED")),"")</f>
        <v/>
      </c>
      <c r="AN462" s="165" t="n"/>
    </row>
    <row r="463" hidden="1" ht="18" customHeight="1" s="287">
      <c r="C463" s="133" t="n"/>
      <c r="D463" s="136">
        <f>IF($U463="Open Sale", IF(MAX($D$4:D462)+1=0, "", MAX($D$4:D462)+1), "")</f>
        <v/>
      </c>
      <c r="E463" s="136">
        <f>IF($U463="Pending Allocation", IF(MAX($E$4:E462)+1=0, "", MAX($E$4:E462)+1), "")</f>
        <v/>
      </c>
      <c r="F463" s="136" t="n"/>
      <c r="G463" s="136" t="n"/>
      <c r="H463" s="150" t="n"/>
      <c r="I463" s="150" t="n"/>
      <c r="J463" s="67">
        <f>IF(OpenPendingCases[[#This Row],[Timepiece Reference ]]="", "", IF(_xlfn.XLOOKUP(OpenPendingCases[[#This Row],[Timepiece Reference ]], Table1[[Timepiece Reference ]], Table1[CRC STOCK], "Not Found")="YES", "CRC Stock", "Boutique Stock"))</f>
        <v/>
      </c>
      <c r="K463" s="136">
        <f>IF(OpenPendingCases[[#This Row],[Timepiece Reference ]]="", "", IF(_xlfn.XLOOKUP(OpenPendingCases[[#This Row],[Timepiece Reference ]], Table1[[Timepiece Reference ]], Table1[CRC STOCK], "Not Found")="YES", "CRC Stock", "Boutique Stock"))</f>
        <v/>
      </c>
      <c r="L463" s="142" t="n"/>
      <c r="M463" s="140" t="n"/>
      <c r="N463" s="136" t="n"/>
      <c r="O463" s="133" t="n"/>
      <c r="P463" s="93">
        <f>IFERROR(VLOOKUP(TRIM(O463), Collection!$B$2:$D$1001, 2, FALSE), "")</f>
        <v/>
      </c>
      <c r="Q463" s="190">
        <f>IFERROR(VLOOKUP(TRIM(O463), Collection!$B$2:$D$1001, 3, FALSE), "")</f>
        <v/>
      </c>
      <c r="R463" s="153">
        <f>IFERROR(VALUE(SUBSTITUTE(SUBSTITUTE(Q463, "Price", ""), "AED", "")), "")</f>
        <v/>
      </c>
      <c r="S463" s="151" t="n"/>
      <c r="T463" s="158" t="n"/>
      <c r="U463" s="136" t="n"/>
      <c r="V463" s="136" t="n"/>
      <c r="W463" s="156">
        <f>IF(Z463 = "",
"",
TEXT(Z463, "mmmm"))</f>
        <v/>
      </c>
      <c r="X463" s="157" t="n"/>
      <c r="Y463" s="158" t="n"/>
      <c r="Z463" s="158" t="n"/>
      <c r="AA463" s="136">
        <f>IF(H463="", "", IF(U463="Open Sale", IF(TODAY()-H463=0, "0 Days", TEXT(TODAY()-H463, "0") &amp; " Days"), IF(U463="Closed Sale", AA463, "")))</f>
        <v/>
      </c>
      <c r="AB463" s="136">
        <f>IF(H463="", "", IF(OR(U463="Pending", U463="Pending Allocation"), CONCATENATE(TODAY()-H463, " Days"), IF(U463="Closed", "", "")))</f>
        <v/>
      </c>
      <c r="AC463" s="160">
        <f>IF(U463="Pending Allocation", IF(I463="", "", TODAY()-I463), "")</f>
        <v/>
      </c>
      <c r="AD463" s="159">
        <f>IF(U463="Open Sale", TEXT(TODAY()-I463, "0"),
IF(U463="Pending", "",
IF(U463="Closed Sale", "", "")))</f>
        <v/>
      </c>
      <c r="AE463" s="161" t="n"/>
      <c r="AF463" s="161" t="n"/>
      <c r="AG463" s="161" t="n"/>
      <c r="AH463" s="136" t="n"/>
      <c r="AI463" s="164">
        <f>IF(I463="","",TEXT(I463, "mmmm yyyy"))</f>
        <v/>
      </c>
      <c r="AJ463" s="164">
        <f>IF(AND(OpenPendingCases[[#This Row],[Sale Status	]]="Open Sale",OpenPendingCases[[#This Row],[Potential Same Month]]="High"),TEXT(OpenPendingCases[[#This Row],[Request Entry Date]], "[$-en-us]mmmm"),"")</f>
        <v/>
      </c>
      <c r="AK463" s="165">
        <f>IFERROR(VALUE(SUBSTITUTE(OpenPendingCases[[#This Row],[Price]]," AED","")),"")</f>
        <v/>
      </c>
      <c r="AL463" s="165">
        <f>IFERROR(VALUE(LEFT(OpenPendingCases[[#This Row],[Price]],FIND(" ",OpenPendingCases[[#This Row],[Price]])-1)),"")</f>
        <v/>
      </c>
      <c r="AM463" s="165">
        <f>IFERROR(VALUE(_xlfn.TEXTBEFORE(OpenPendingCases[[#This Row],[Price]]," AED")),"")</f>
        <v/>
      </c>
      <c r="AN463" s="165" t="n"/>
    </row>
    <row r="464" hidden="1" ht="18" customHeight="1" s="287">
      <c r="C464" s="133" t="n"/>
      <c r="D464" s="136">
        <f>IF($U464="Open Sale", IF(MAX($D$4:D463)+1=0, "", MAX($D$4:D463)+1), "")</f>
        <v/>
      </c>
      <c r="E464" s="136">
        <f>IF($U464="Pending Allocation", IF(MAX($E$4:E463)+1=0, "", MAX($E$4:E463)+1), "")</f>
        <v/>
      </c>
      <c r="F464" s="136" t="n"/>
      <c r="G464" s="136" t="n"/>
      <c r="H464" s="150" t="n"/>
      <c r="I464" s="150" t="n"/>
      <c r="J464" s="67">
        <f>IF(OpenPendingCases[[#This Row],[Timepiece Reference ]]="", "", IF(_xlfn.XLOOKUP(OpenPendingCases[[#This Row],[Timepiece Reference ]], Table1[[Timepiece Reference ]], Table1[CRC STOCK], "Not Found")="YES", "CRC Stock", "Boutique Stock"))</f>
        <v/>
      </c>
      <c r="K464" s="136">
        <f>IF(OpenPendingCases[[#This Row],[Timepiece Reference ]]="", "", IF(_xlfn.XLOOKUP(OpenPendingCases[[#This Row],[Timepiece Reference ]], Table1[[Timepiece Reference ]], Table1[CRC STOCK], "Not Found")="YES", "CRC Stock", "Boutique Stock"))</f>
        <v/>
      </c>
      <c r="L464" s="142" t="n"/>
      <c r="M464" s="140" t="n"/>
      <c r="N464" s="136" t="n"/>
      <c r="O464" s="133" t="n"/>
      <c r="P464" s="93">
        <f>IFERROR(VLOOKUP(TRIM(O464), Collection!$B$2:$D$1001, 2, FALSE), "")</f>
        <v/>
      </c>
      <c r="Q464" s="190">
        <f>IFERROR(VLOOKUP(TRIM(O464), Collection!$B$2:$D$1001, 3, FALSE), "")</f>
        <v/>
      </c>
      <c r="R464" s="153">
        <f>IFERROR(VALUE(SUBSTITUTE(SUBSTITUTE(Q464, "Price", ""), "AED", "")), "")</f>
        <v/>
      </c>
      <c r="S464" s="151" t="n"/>
      <c r="T464" s="158" t="n"/>
      <c r="U464" s="136" t="n"/>
      <c r="V464" s="136" t="n"/>
      <c r="W464" s="156">
        <f>IF(Z464 = "",
"",
TEXT(Z464, "mmmm"))</f>
        <v/>
      </c>
      <c r="X464" s="157" t="n"/>
      <c r="Y464" s="158" t="n"/>
      <c r="Z464" s="158" t="n"/>
      <c r="AA464" s="136">
        <f>IF(H464="", "", IF(U464="Open Sale", IF(TODAY()-H464=0, "0 Days", TEXT(TODAY()-H464, "0") &amp; " Days"), IF(U464="Closed Sale", AA464, "")))</f>
        <v/>
      </c>
      <c r="AB464" s="136">
        <f>IF(H464="", "", IF(OR(U464="Pending", U464="Pending Allocation"), CONCATENATE(TODAY()-H464, " Days"), IF(U464="Closed", "", "")))</f>
        <v/>
      </c>
      <c r="AC464" s="160">
        <f>IF(U464="Pending Allocation", IF(I464="", "", TODAY()-I464), "")</f>
        <v/>
      </c>
      <c r="AD464" s="159">
        <f>IF(U464="Open Sale", TEXT(TODAY()-I464, "0"),
IF(U464="Pending", "",
IF(U464="Closed Sale", "", "")))</f>
        <v/>
      </c>
      <c r="AE464" s="161" t="n"/>
      <c r="AF464" s="161" t="n"/>
      <c r="AG464" s="161" t="n"/>
      <c r="AH464" s="136" t="n"/>
      <c r="AI464" s="164">
        <f>IF(I464="","",TEXT(I464, "mmmm yyyy"))</f>
        <v/>
      </c>
      <c r="AJ464" s="164">
        <f>IF(AND(OpenPendingCases[[#This Row],[Sale Status	]]="Open Sale",OpenPendingCases[[#This Row],[Potential Same Month]]="High"),TEXT(OpenPendingCases[[#This Row],[Request Entry Date]], "[$-en-us]mmmm"),"")</f>
        <v/>
      </c>
      <c r="AK464" s="165">
        <f>IFERROR(VALUE(SUBSTITUTE(OpenPendingCases[[#This Row],[Price]]," AED","")),"")</f>
        <v/>
      </c>
      <c r="AL464" s="165">
        <f>IFERROR(VALUE(LEFT(OpenPendingCases[[#This Row],[Price]],FIND(" ",OpenPendingCases[[#This Row],[Price]])-1)),"")</f>
        <v/>
      </c>
      <c r="AM464" s="165">
        <f>IFERROR(VALUE(_xlfn.TEXTBEFORE(OpenPendingCases[[#This Row],[Price]]," AED")),"")</f>
        <v/>
      </c>
      <c r="AN464" s="165" t="n"/>
    </row>
    <row r="465" hidden="1" ht="18" customHeight="1" s="287">
      <c r="C465" s="133" t="n"/>
      <c r="D465" s="136">
        <f>IF($U465="Open Sale", IF(MAX($D$4:D464)+1=0, "", MAX($D$4:D464)+1), "")</f>
        <v/>
      </c>
      <c r="E465" s="136">
        <f>IF($U465="Pending Allocation", IF(MAX($E$4:E464)+1=0, "", MAX($E$4:E464)+1), "")</f>
        <v/>
      </c>
      <c r="F465" s="136" t="n"/>
      <c r="G465" s="136" t="n"/>
      <c r="H465" s="150" t="n"/>
      <c r="I465" s="150" t="n"/>
      <c r="J465" s="67">
        <f>IF(OpenPendingCases[[#This Row],[Timepiece Reference ]]="", "", IF(_xlfn.XLOOKUP(OpenPendingCases[[#This Row],[Timepiece Reference ]], Table1[[Timepiece Reference ]], Table1[CRC STOCK], "Not Found")="YES", "CRC Stock", "Boutique Stock"))</f>
        <v/>
      </c>
      <c r="K465" s="136">
        <f>IF(OpenPendingCases[[#This Row],[Timepiece Reference ]]="", "", IF(_xlfn.XLOOKUP(OpenPendingCases[[#This Row],[Timepiece Reference ]], Table1[[Timepiece Reference ]], Table1[CRC STOCK], "Not Found")="YES", "CRC Stock", "Boutique Stock"))</f>
        <v/>
      </c>
      <c r="L465" s="142" t="n"/>
      <c r="M465" s="140" t="n"/>
      <c r="N465" s="136" t="n"/>
      <c r="O465" s="133" t="n"/>
      <c r="P465" s="93">
        <f>IFERROR(VLOOKUP(TRIM(O465), Collection!$B$2:$D$1001, 2, FALSE), "")</f>
        <v/>
      </c>
      <c r="Q465" s="190">
        <f>IFERROR(VLOOKUP(TRIM(O465), Collection!$B$2:$D$1001, 3, FALSE), "")</f>
        <v/>
      </c>
      <c r="R465" s="153">
        <f>IFERROR(VALUE(SUBSTITUTE(SUBSTITUTE(Q465, "Price", ""), "AED", "")), "")</f>
        <v/>
      </c>
      <c r="S465" s="151" t="n"/>
      <c r="T465" s="158" t="n"/>
      <c r="U465" s="136" t="n"/>
      <c r="V465" s="136" t="n"/>
      <c r="W465" s="156">
        <f>IF(Z465 = "",
"",
TEXT(Z465, "mmmm"))</f>
        <v/>
      </c>
      <c r="X465" s="157" t="n"/>
      <c r="Y465" s="158" t="n"/>
      <c r="Z465" s="158" t="n"/>
      <c r="AA465" s="136">
        <f>IF(H465="", "", IF(U465="Open Sale", IF(TODAY()-H465=0, "0 Days", TEXT(TODAY()-H465, "0") &amp; " Days"), IF(U465="Closed Sale", AA465, "")))</f>
        <v/>
      </c>
      <c r="AB465" s="136">
        <f>IF(H465="", "", IF(OR(U465="Pending", U465="Pending Allocation"), CONCATENATE(TODAY()-H465, " Days"), IF(U465="Closed", "", "")))</f>
        <v/>
      </c>
      <c r="AC465" s="160">
        <f>IF(U465="Pending Allocation", IF(I465="", "", TODAY()-I465), "")</f>
        <v/>
      </c>
      <c r="AD465" s="159">
        <f>IF(U465="Open Sale", TEXT(TODAY()-I465, "0"),
IF(U465="Pending", "",
IF(U465="Closed Sale", "", "")))</f>
        <v/>
      </c>
      <c r="AE465" s="161" t="n"/>
      <c r="AF465" s="161" t="n"/>
      <c r="AG465" s="161" t="n"/>
      <c r="AH465" s="136" t="n"/>
      <c r="AI465" s="164">
        <f>IF(I465="","",TEXT(I465, "mmmm yyyy"))</f>
        <v/>
      </c>
      <c r="AJ465" s="164">
        <f>IF(AND(OpenPendingCases[[#This Row],[Sale Status	]]="Open Sale",OpenPendingCases[[#This Row],[Potential Same Month]]="High"),TEXT(OpenPendingCases[[#This Row],[Request Entry Date]], "[$-en-us]mmmm"),"")</f>
        <v/>
      </c>
      <c r="AK465" s="165">
        <f>IFERROR(VALUE(SUBSTITUTE(OpenPendingCases[[#This Row],[Price]]," AED","")),"")</f>
        <v/>
      </c>
      <c r="AL465" s="165">
        <f>IFERROR(VALUE(LEFT(OpenPendingCases[[#This Row],[Price]],FIND(" ",OpenPendingCases[[#This Row],[Price]])-1)),"")</f>
        <v/>
      </c>
      <c r="AM465" s="165">
        <f>IFERROR(VALUE(_xlfn.TEXTBEFORE(OpenPendingCases[[#This Row],[Price]]," AED")),"")</f>
        <v/>
      </c>
      <c r="AN465" s="165" t="n"/>
    </row>
    <row r="466" hidden="1" ht="18" customHeight="1" s="287">
      <c r="C466" s="133" t="n"/>
      <c r="D466" s="136">
        <f>IF($U466="Open Sale", IF(MAX($D$4:D465)+1=0, "", MAX($D$4:D465)+1), "")</f>
        <v/>
      </c>
      <c r="E466" s="136">
        <f>IF($U466="Pending Allocation", IF(MAX($E$4:E465)+1=0, "", MAX($E$4:E465)+1), "")</f>
        <v/>
      </c>
      <c r="F466" s="136" t="n"/>
      <c r="G466" s="136" t="n"/>
      <c r="H466" s="150" t="n"/>
      <c r="I466" s="150" t="n"/>
      <c r="J466" s="67">
        <f>IF(OpenPendingCases[[#This Row],[Timepiece Reference ]]="", "", IF(_xlfn.XLOOKUP(OpenPendingCases[[#This Row],[Timepiece Reference ]], Table1[[Timepiece Reference ]], Table1[CRC STOCK], "Not Found")="YES", "CRC Stock", "Boutique Stock"))</f>
        <v/>
      </c>
      <c r="K466" s="136">
        <f>IF(OpenPendingCases[[#This Row],[Timepiece Reference ]]="", "", IF(_xlfn.XLOOKUP(OpenPendingCases[[#This Row],[Timepiece Reference ]], Table1[[Timepiece Reference ]], Table1[CRC STOCK], "Not Found")="YES", "CRC Stock", "Boutique Stock"))</f>
        <v/>
      </c>
      <c r="L466" s="142" t="n"/>
      <c r="M466" s="140" t="n"/>
      <c r="N466" s="136" t="n"/>
      <c r="O466" s="133" t="n"/>
      <c r="P466" s="93">
        <f>IFERROR(VLOOKUP(TRIM(O466), Collection!$B$2:$D$1001, 2, FALSE), "")</f>
        <v/>
      </c>
      <c r="Q466" s="190">
        <f>IFERROR(VLOOKUP(TRIM(O466), Collection!$B$2:$D$1001, 3, FALSE), "")</f>
        <v/>
      </c>
      <c r="R466" s="153">
        <f>IFERROR(VALUE(SUBSTITUTE(SUBSTITUTE(Q466, "Price", ""), "AED", "")), "")</f>
        <v/>
      </c>
      <c r="S466" s="151" t="n"/>
      <c r="T466" s="158" t="n"/>
      <c r="U466" s="136" t="n"/>
      <c r="V466" s="136" t="n"/>
      <c r="W466" s="156">
        <f>IF(Z466 = "",
"",
TEXT(Z466, "mmmm"))</f>
        <v/>
      </c>
      <c r="X466" s="157" t="n"/>
      <c r="Y466" s="158" t="n"/>
      <c r="Z466" s="158" t="n"/>
      <c r="AA466" s="136">
        <f>IF(H466="", "", IF(U466="Open Sale", IF(TODAY()-H466=0, "0 Days", TEXT(TODAY()-H466, "0") &amp; " Days"), IF(U466="Closed Sale", AA466, "")))</f>
        <v/>
      </c>
      <c r="AB466" s="136">
        <f>IF(H466="", "", IF(OR(U466="Pending", U466="Pending Allocation"), CONCATENATE(TODAY()-H466, " Days"), IF(U466="Closed", "", "")))</f>
        <v/>
      </c>
      <c r="AC466" s="160">
        <f>IF(U466="Pending Allocation", IF(I466="", "", TODAY()-I466), "")</f>
        <v/>
      </c>
      <c r="AD466" s="159">
        <f>IF(U466="Open Sale", TEXT(TODAY()-I466, "0"),
IF(U466="Pending", "",
IF(U466="Closed Sale", "", "")))</f>
        <v/>
      </c>
      <c r="AE466" s="161" t="n"/>
      <c r="AF466" s="161" t="n"/>
      <c r="AG466" s="161" t="n"/>
      <c r="AH466" s="136" t="n"/>
      <c r="AI466" s="164">
        <f>IF(I466="","",TEXT(I466, "mmmm yyyy"))</f>
        <v/>
      </c>
      <c r="AJ466" s="164">
        <f>IF(AND(OpenPendingCases[[#This Row],[Sale Status	]]="Open Sale",OpenPendingCases[[#This Row],[Potential Same Month]]="High"),TEXT(OpenPendingCases[[#This Row],[Request Entry Date]], "[$-en-us]mmmm"),"")</f>
        <v/>
      </c>
      <c r="AK466" s="165">
        <f>IFERROR(VALUE(SUBSTITUTE(OpenPendingCases[[#This Row],[Price]]," AED","")),"")</f>
        <v/>
      </c>
      <c r="AL466" s="165">
        <f>IFERROR(VALUE(LEFT(OpenPendingCases[[#This Row],[Price]],FIND(" ",OpenPendingCases[[#This Row],[Price]])-1)),"")</f>
        <v/>
      </c>
      <c r="AM466" s="165">
        <f>IFERROR(VALUE(_xlfn.TEXTBEFORE(OpenPendingCases[[#This Row],[Price]]," AED")),"")</f>
        <v/>
      </c>
      <c r="AN466" s="165" t="n"/>
    </row>
    <row r="467" hidden="1" ht="18" customHeight="1" s="287">
      <c r="C467" s="133" t="n"/>
      <c r="D467" s="136">
        <f>IF($U467="Open Sale", IF(MAX($D$4:D466)+1=0, "", MAX($D$4:D466)+1), "")</f>
        <v/>
      </c>
      <c r="E467" s="136">
        <f>IF($U467="Pending Allocation", IF(MAX($E$4:E466)+1=0, "", MAX($E$4:E466)+1), "")</f>
        <v/>
      </c>
      <c r="F467" s="136" t="n"/>
      <c r="G467" s="136" t="n"/>
      <c r="H467" s="150" t="n"/>
      <c r="I467" s="150" t="n"/>
      <c r="J467" s="67">
        <f>IF(OpenPendingCases[[#This Row],[Timepiece Reference ]]="", "", IF(_xlfn.XLOOKUP(OpenPendingCases[[#This Row],[Timepiece Reference ]], Table1[[Timepiece Reference ]], Table1[CRC STOCK], "Not Found")="YES", "CRC Stock", "Boutique Stock"))</f>
        <v/>
      </c>
      <c r="K467" s="136">
        <f>IF(OpenPendingCases[[#This Row],[Timepiece Reference ]]="", "", IF(_xlfn.XLOOKUP(OpenPendingCases[[#This Row],[Timepiece Reference ]], Table1[[Timepiece Reference ]], Table1[CRC STOCK], "Not Found")="YES", "CRC Stock", "Boutique Stock"))</f>
        <v/>
      </c>
      <c r="L467" s="142" t="n"/>
      <c r="M467" s="140" t="n"/>
      <c r="N467" s="136" t="n"/>
      <c r="O467" s="133" t="n"/>
      <c r="P467" s="93">
        <f>IFERROR(VLOOKUP(TRIM(O467), Collection!$B$2:$D$1001, 2, FALSE), "")</f>
        <v/>
      </c>
      <c r="Q467" s="190">
        <f>IFERROR(VLOOKUP(TRIM(O467), Collection!$B$2:$D$1001, 3, FALSE), "")</f>
        <v/>
      </c>
      <c r="R467" s="153">
        <f>IFERROR(VALUE(SUBSTITUTE(SUBSTITUTE(Q467, "Price", ""), "AED", "")), "")</f>
        <v/>
      </c>
      <c r="S467" s="151" t="n"/>
      <c r="T467" s="158" t="n"/>
      <c r="U467" s="136" t="n"/>
      <c r="V467" s="136" t="n"/>
      <c r="W467" s="156">
        <f>IF(Z467 = "",
"",
TEXT(Z467, "mmmm"))</f>
        <v/>
      </c>
      <c r="X467" s="157" t="n"/>
      <c r="Y467" s="158" t="n"/>
      <c r="Z467" s="158" t="n"/>
      <c r="AA467" s="136">
        <f>IF(H467="", "", IF(U467="Open Sale", IF(TODAY()-H467=0, "0 Days", TEXT(TODAY()-H467, "0") &amp; " Days"), IF(U467="Closed Sale", AA467, "")))</f>
        <v/>
      </c>
      <c r="AB467" s="136">
        <f>IF(H467="", "", IF(OR(U467="Pending", U467="Pending Allocation"), CONCATENATE(TODAY()-H467, " Days"), IF(U467="Closed", "", "")))</f>
        <v/>
      </c>
      <c r="AC467" s="160">
        <f>IF(U467="Pending Allocation", IF(I467="", "", TODAY()-I467), "")</f>
        <v/>
      </c>
      <c r="AD467" s="159">
        <f>IF(U467="Open Sale", TEXT(TODAY()-I467, "0"),
IF(U467="Pending", "",
IF(U467="Closed Sale", "", "")))</f>
        <v/>
      </c>
      <c r="AE467" s="161" t="n"/>
      <c r="AF467" s="161" t="n"/>
      <c r="AG467" s="161" t="n"/>
      <c r="AH467" s="136" t="n"/>
      <c r="AI467" s="164">
        <f>IF(I467="","",TEXT(I467, "mmmm yyyy"))</f>
        <v/>
      </c>
      <c r="AJ467" s="164">
        <f>IF(AND(OpenPendingCases[[#This Row],[Sale Status	]]="Open Sale",OpenPendingCases[[#This Row],[Potential Same Month]]="High"),TEXT(OpenPendingCases[[#This Row],[Request Entry Date]], "[$-en-us]mmmm"),"")</f>
        <v/>
      </c>
      <c r="AK467" s="165">
        <f>IFERROR(VALUE(SUBSTITUTE(OpenPendingCases[[#This Row],[Price]]," AED","")),"")</f>
        <v/>
      </c>
      <c r="AL467" s="165">
        <f>IFERROR(VALUE(LEFT(OpenPendingCases[[#This Row],[Price]],FIND(" ",OpenPendingCases[[#This Row],[Price]])-1)),"")</f>
        <v/>
      </c>
      <c r="AM467" s="165">
        <f>IFERROR(VALUE(_xlfn.TEXTBEFORE(OpenPendingCases[[#This Row],[Price]]," AED")),"")</f>
        <v/>
      </c>
      <c r="AN467" s="165" t="n"/>
    </row>
    <row r="468" hidden="1" ht="18" customHeight="1" s="287">
      <c r="C468" s="133" t="n"/>
      <c r="D468" s="136">
        <f>IF($U468="Open Sale", IF(MAX($D$4:D467)+1=0, "", MAX($D$4:D467)+1), "")</f>
        <v/>
      </c>
      <c r="E468" s="136">
        <f>IF($U468="Pending Allocation", IF(MAX($E$4:E467)+1=0, "", MAX($E$4:E467)+1), "")</f>
        <v/>
      </c>
      <c r="F468" s="136" t="n"/>
      <c r="G468" s="136" t="n"/>
      <c r="H468" s="150" t="n"/>
      <c r="I468" s="150" t="n"/>
      <c r="J468" s="67">
        <f>IF(OpenPendingCases[[#This Row],[Timepiece Reference ]]="", "", IF(_xlfn.XLOOKUP(OpenPendingCases[[#This Row],[Timepiece Reference ]], Table1[[Timepiece Reference ]], Table1[CRC STOCK], "Not Found")="YES", "CRC Stock", "Boutique Stock"))</f>
        <v/>
      </c>
      <c r="K468" s="136">
        <f>IF(OpenPendingCases[[#This Row],[Timepiece Reference ]]="", "", IF(_xlfn.XLOOKUP(OpenPendingCases[[#This Row],[Timepiece Reference ]], Table1[[Timepiece Reference ]], Table1[CRC STOCK], "Not Found")="YES", "CRC Stock", "Boutique Stock"))</f>
        <v/>
      </c>
      <c r="L468" s="142" t="n"/>
      <c r="M468" s="140" t="n"/>
      <c r="N468" s="136" t="n"/>
      <c r="O468" s="133" t="n"/>
      <c r="P468" s="93">
        <f>IFERROR(VLOOKUP(TRIM(O468), Collection!$B$2:$D$1001, 2, FALSE), "")</f>
        <v/>
      </c>
      <c r="Q468" s="190">
        <f>IFERROR(VLOOKUP(TRIM(O468), Collection!$B$2:$D$1001, 3, FALSE), "")</f>
        <v/>
      </c>
      <c r="R468" s="153">
        <f>IFERROR(VALUE(SUBSTITUTE(SUBSTITUTE(Q468, "Price", ""), "AED", "")), "")</f>
        <v/>
      </c>
      <c r="S468" s="151" t="n"/>
      <c r="T468" s="158" t="n"/>
      <c r="U468" s="136" t="n"/>
      <c r="V468" s="136" t="n"/>
      <c r="W468" s="156">
        <f>IF(Z468 = "",
"",
TEXT(Z468, "mmmm"))</f>
        <v/>
      </c>
      <c r="X468" s="157" t="n"/>
      <c r="Y468" s="158" t="n"/>
      <c r="Z468" s="158" t="n"/>
      <c r="AA468" s="136">
        <f>IF(H468="", "", IF(U468="Open Sale", IF(TODAY()-H468=0, "0 Days", TEXT(TODAY()-H468, "0") &amp; " Days"), IF(U468="Closed Sale", AA468, "")))</f>
        <v/>
      </c>
      <c r="AB468" s="136">
        <f>IF(H468="", "", IF(OR(U468="Pending", U468="Pending Allocation"), CONCATENATE(TODAY()-H468, " Days"), IF(U468="Closed", "", "")))</f>
        <v/>
      </c>
      <c r="AC468" s="160">
        <f>IF(U468="Pending Allocation", IF(I468="", "", TODAY()-I468), "")</f>
        <v/>
      </c>
      <c r="AD468" s="159">
        <f>IF(U468="Open Sale", TEXT(TODAY()-I468, "0"),
IF(U468="Pending", "",
IF(U468="Closed Sale", "", "")))</f>
        <v/>
      </c>
      <c r="AE468" s="161" t="n"/>
      <c r="AF468" s="161" t="n"/>
      <c r="AG468" s="161" t="n"/>
      <c r="AH468" s="136" t="n"/>
      <c r="AI468" s="164">
        <f>IF(I468="","",TEXT(I468, "mmmm yyyy"))</f>
        <v/>
      </c>
      <c r="AJ468" s="164">
        <f>IF(AND(OpenPendingCases[[#This Row],[Sale Status	]]="Open Sale",OpenPendingCases[[#This Row],[Potential Same Month]]="High"),TEXT(OpenPendingCases[[#This Row],[Request Entry Date]], "[$-en-us]mmmm"),"")</f>
        <v/>
      </c>
      <c r="AK468" s="165">
        <f>IFERROR(VALUE(SUBSTITUTE(OpenPendingCases[[#This Row],[Price]]," AED","")),"")</f>
        <v/>
      </c>
      <c r="AL468" s="165">
        <f>IFERROR(VALUE(LEFT(OpenPendingCases[[#This Row],[Price]],FIND(" ",OpenPendingCases[[#This Row],[Price]])-1)),"")</f>
        <v/>
      </c>
      <c r="AM468" s="165">
        <f>IFERROR(VALUE(_xlfn.TEXTBEFORE(OpenPendingCases[[#This Row],[Price]]," AED")),"")</f>
        <v/>
      </c>
      <c r="AN468" s="165" t="n"/>
    </row>
    <row r="469" hidden="1" ht="18" customHeight="1" s="287">
      <c r="C469" s="133" t="n"/>
      <c r="D469" s="136">
        <f>IF($U469="Open Sale", IF(MAX($D$4:D468)+1=0, "", MAX($D$4:D468)+1), "")</f>
        <v/>
      </c>
      <c r="E469" s="136">
        <f>IF($U469="Pending Allocation", IF(MAX($E$4:E468)+1=0, "", MAX($E$4:E468)+1), "")</f>
        <v/>
      </c>
      <c r="F469" s="136" t="n"/>
      <c r="G469" s="136" t="n"/>
      <c r="H469" s="150" t="n"/>
      <c r="I469" s="150" t="n"/>
      <c r="J469" s="67">
        <f>IF(OpenPendingCases[[#This Row],[Timepiece Reference ]]="", "", IF(_xlfn.XLOOKUP(OpenPendingCases[[#This Row],[Timepiece Reference ]], Table1[[Timepiece Reference ]], Table1[CRC STOCK], "Not Found")="YES", "CRC Stock", "Boutique Stock"))</f>
        <v/>
      </c>
      <c r="K469" s="136">
        <f>IF(OpenPendingCases[[#This Row],[Timepiece Reference ]]="", "", IF(_xlfn.XLOOKUP(OpenPendingCases[[#This Row],[Timepiece Reference ]], Table1[[Timepiece Reference ]], Table1[CRC STOCK], "Not Found")="YES", "CRC Stock", "Boutique Stock"))</f>
        <v/>
      </c>
      <c r="L469" s="142" t="n"/>
      <c r="M469" s="140" t="n"/>
      <c r="N469" s="136" t="n"/>
      <c r="O469" s="133" t="n"/>
      <c r="P469" s="93">
        <f>IFERROR(VLOOKUP(TRIM(O469), Collection!$B$2:$D$1001, 2, FALSE), "")</f>
        <v/>
      </c>
      <c r="Q469" s="190">
        <f>IFERROR(VLOOKUP(TRIM(O469), Collection!$B$2:$D$1001, 3, FALSE), "")</f>
        <v/>
      </c>
      <c r="R469" s="153">
        <f>IFERROR(VALUE(SUBSTITUTE(SUBSTITUTE(Q469, "Price", ""), "AED", "")), "")</f>
        <v/>
      </c>
      <c r="S469" s="151" t="n"/>
      <c r="T469" s="158" t="n"/>
      <c r="U469" s="136" t="n"/>
      <c r="V469" s="136" t="n"/>
      <c r="W469" s="156">
        <f>IF(Z469 = "",
"",
TEXT(Z469, "mmmm"))</f>
        <v/>
      </c>
      <c r="X469" s="157" t="n"/>
      <c r="Y469" s="158" t="n"/>
      <c r="Z469" s="158" t="n"/>
      <c r="AA469" s="136">
        <f>IF(H469="", "", IF(U469="Open Sale", IF(TODAY()-H469=0, "0 Days", TEXT(TODAY()-H469, "0") &amp; " Days"), IF(U469="Closed Sale", AA469, "")))</f>
        <v/>
      </c>
      <c r="AB469" s="136">
        <f>IF(H469="", "", IF(OR(U469="Pending", U469="Pending Allocation"), CONCATENATE(TODAY()-H469, " Days"), IF(U469="Closed", "", "")))</f>
        <v/>
      </c>
      <c r="AC469" s="160">
        <f>IF(U469="Pending Allocation", IF(I469="", "", TODAY()-I469), "")</f>
        <v/>
      </c>
      <c r="AD469" s="159">
        <f>IF(U469="Open Sale", TEXT(TODAY()-I469, "0"),
IF(U469="Pending", "",
IF(U469="Closed Sale", "", "")))</f>
        <v/>
      </c>
      <c r="AE469" s="161" t="n"/>
      <c r="AF469" s="161" t="n"/>
      <c r="AG469" s="161" t="n"/>
      <c r="AH469" s="136" t="n"/>
      <c r="AI469" s="164">
        <f>IF(I469="","",TEXT(I469, "mmmm yyyy"))</f>
        <v/>
      </c>
      <c r="AJ469" s="164">
        <f>IF(AND(OpenPendingCases[[#This Row],[Sale Status	]]="Open Sale",OpenPendingCases[[#This Row],[Potential Same Month]]="High"),TEXT(OpenPendingCases[[#This Row],[Request Entry Date]], "[$-en-us]mmmm"),"")</f>
        <v/>
      </c>
      <c r="AK469" s="165">
        <f>IFERROR(VALUE(SUBSTITUTE(OpenPendingCases[[#This Row],[Price]]," AED","")),"")</f>
        <v/>
      </c>
      <c r="AL469" s="165">
        <f>IFERROR(VALUE(LEFT(OpenPendingCases[[#This Row],[Price]],FIND(" ",OpenPendingCases[[#This Row],[Price]])-1)),"")</f>
        <v/>
      </c>
      <c r="AM469" s="165">
        <f>IFERROR(VALUE(_xlfn.TEXTBEFORE(OpenPendingCases[[#This Row],[Price]]," AED")),"")</f>
        <v/>
      </c>
      <c r="AN469" s="165" t="n"/>
    </row>
    <row r="470" hidden="1" ht="18" customHeight="1" s="287">
      <c r="C470" s="133" t="n"/>
      <c r="D470" s="136">
        <f>IF($U470="Open Sale", IF(MAX($D$4:D469)+1=0, "", MAX($D$4:D469)+1), "")</f>
        <v/>
      </c>
      <c r="E470" s="136">
        <f>IF($U470="Pending Allocation", IF(MAX($E$4:E469)+1=0, "", MAX($E$4:E469)+1), "")</f>
        <v/>
      </c>
      <c r="F470" s="136" t="n"/>
      <c r="G470" s="136" t="n"/>
      <c r="H470" s="150" t="n"/>
      <c r="I470" s="150" t="n"/>
      <c r="J470" s="67">
        <f>IF(OpenPendingCases[[#This Row],[Timepiece Reference ]]="", "", IF(_xlfn.XLOOKUP(OpenPendingCases[[#This Row],[Timepiece Reference ]], Table1[[Timepiece Reference ]], Table1[CRC STOCK], "Not Found")="YES", "CRC Stock", "Boutique Stock"))</f>
        <v/>
      </c>
      <c r="K470" s="136">
        <f>IF(OpenPendingCases[[#This Row],[Timepiece Reference ]]="", "", IF(_xlfn.XLOOKUP(OpenPendingCases[[#This Row],[Timepiece Reference ]], Table1[[Timepiece Reference ]], Table1[CRC STOCK], "Not Found")="YES", "CRC Stock", "Boutique Stock"))</f>
        <v/>
      </c>
      <c r="L470" s="142" t="n"/>
      <c r="M470" s="140" t="n"/>
      <c r="N470" s="136" t="n"/>
      <c r="O470" s="133" t="n"/>
      <c r="P470" s="93">
        <f>IFERROR(VLOOKUP(TRIM(O470), Collection!$B$2:$D$1001, 2, FALSE), "")</f>
        <v/>
      </c>
      <c r="Q470" s="190">
        <f>IFERROR(VLOOKUP(TRIM(O470), Collection!$B$2:$D$1001, 3, FALSE), "")</f>
        <v/>
      </c>
      <c r="R470" s="153">
        <f>IFERROR(VALUE(SUBSTITUTE(SUBSTITUTE(Q470, "Price", ""), "AED", "")), "")</f>
        <v/>
      </c>
      <c r="S470" s="151" t="n"/>
      <c r="T470" s="158" t="n"/>
      <c r="U470" s="136" t="n"/>
      <c r="V470" s="136" t="n"/>
      <c r="W470" s="156">
        <f>IF(Z470 = "",
"",
TEXT(Z470, "mmmm"))</f>
        <v/>
      </c>
      <c r="X470" s="157" t="n"/>
      <c r="Y470" s="158" t="n"/>
      <c r="Z470" s="158" t="n"/>
      <c r="AA470" s="136">
        <f>IF(H470="", "", IF(U470="Open Sale", IF(TODAY()-H470=0, "0 Days", TEXT(TODAY()-H470, "0") &amp; " Days"), IF(U470="Closed Sale", AA470, "")))</f>
        <v/>
      </c>
      <c r="AB470" s="136">
        <f>IF(H470="", "", IF(OR(U470="Pending", U470="Pending Allocation"), CONCATENATE(TODAY()-H470, " Days"), IF(U470="Closed", "", "")))</f>
        <v/>
      </c>
      <c r="AC470" s="160">
        <f>IF(U470="Pending Allocation", IF(I470="", "", TODAY()-I470), "")</f>
        <v/>
      </c>
      <c r="AD470" s="159">
        <f>IF(U470="Open Sale", TEXT(TODAY()-I470, "0"),
IF(U470="Pending", "",
IF(U470="Closed Sale", "", "")))</f>
        <v/>
      </c>
      <c r="AE470" s="161" t="n"/>
      <c r="AF470" s="161" t="n"/>
      <c r="AG470" s="161" t="n"/>
      <c r="AH470" s="136" t="n"/>
      <c r="AI470" s="164">
        <f>IF(I470="","",TEXT(I470, "mmmm yyyy"))</f>
        <v/>
      </c>
      <c r="AJ470" s="164">
        <f>IF(AND(OpenPendingCases[[#This Row],[Sale Status	]]="Open Sale",OpenPendingCases[[#This Row],[Potential Same Month]]="High"),TEXT(OpenPendingCases[[#This Row],[Request Entry Date]], "[$-en-us]mmmm"),"")</f>
        <v/>
      </c>
      <c r="AK470" s="165">
        <f>IFERROR(VALUE(SUBSTITUTE(OpenPendingCases[[#This Row],[Price]]," AED","")),"")</f>
        <v/>
      </c>
      <c r="AL470" s="165">
        <f>IFERROR(VALUE(LEFT(OpenPendingCases[[#This Row],[Price]],FIND(" ",OpenPendingCases[[#This Row],[Price]])-1)),"")</f>
        <v/>
      </c>
      <c r="AM470" s="165">
        <f>IFERROR(VALUE(_xlfn.TEXTBEFORE(OpenPendingCases[[#This Row],[Price]]," AED")),"")</f>
        <v/>
      </c>
      <c r="AN470" s="165" t="n"/>
    </row>
    <row r="471" hidden="1" ht="18" customHeight="1" s="287">
      <c r="C471" s="133" t="n"/>
      <c r="D471" s="136">
        <f>IF($U471="Open Sale", IF(MAX($D$4:D470)+1=0, "", MAX($D$4:D470)+1), "")</f>
        <v/>
      </c>
      <c r="E471" s="136">
        <f>IF($U471="Pending Allocation", IF(MAX($E$4:E470)+1=0, "", MAX($E$4:E470)+1), "")</f>
        <v/>
      </c>
      <c r="F471" s="136" t="n"/>
      <c r="G471" s="136" t="n"/>
      <c r="H471" s="150" t="n"/>
      <c r="I471" s="150" t="n"/>
      <c r="J471" s="67">
        <f>IF(OpenPendingCases[[#This Row],[Timepiece Reference ]]="", "", IF(_xlfn.XLOOKUP(OpenPendingCases[[#This Row],[Timepiece Reference ]], Table1[[Timepiece Reference ]], Table1[CRC STOCK], "Not Found")="YES", "CRC Stock", "Boutique Stock"))</f>
        <v/>
      </c>
      <c r="K471" s="136">
        <f>IF(OpenPendingCases[[#This Row],[Timepiece Reference ]]="", "", IF(_xlfn.XLOOKUP(OpenPendingCases[[#This Row],[Timepiece Reference ]], Table1[[Timepiece Reference ]], Table1[CRC STOCK], "Not Found")="YES", "CRC Stock", "Boutique Stock"))</f>
        <v/>
      </c>
      <c r="L471" s="142" t="n"/>
      <c r="M471" s="140" t="n"/>
      <c r="N471" s="136" t="n"/>
      <c r="O471" s="133" t="n"/>
      <c r="P471" s="93">
        <f>IFERROR(VLOOKUP(TRIM(O471), Collection!$B$2:$D$1001, 2, FALSE), "")</f>
        <v/>
      </c>
      <c r="Q471" s="190">
        <f>IFERROR(VLOOKUP(TRIM(O471), Collection!$B$2:$D$1001, 3, FALSE), "")</f>
        <v/>
      </c>
      <c r="R471" s="153">
        <f>IFERROR(VALUE(SUBSTITUTE(SUBSTITUTE(Q471, "Price", ""), "AED", "")), "")</f>
        <v/>
      </c>
      <c r="S471" s="151" t="n"/>
      <c r="T471" s="158" t="n"/>
      <c r="U471" s="136" t="n"/>
      <c r="V471" s="136" t="n"/>
      <c r="W471" s="156">
        <f>IF(Z471 = "",
"",
TEXT(Z471, "mmmm"))</f>
        <v/>
      </c>
      <c r="X471" s="157" t="n"/>
      <c r="Y471" s="158" t="n"/>
      <c r="Z471" s="158" t="n"/>
      <c r="AA471" s="136">
        <f>IF(H471="", "", IF(U471="Open Sale", IF(TODAY()-H471=0, "0 Days", TEXT(TODAY()-H471, "0") &amp; " Days"), IF(U471="Closed Sale", AA471, "")))</f>
        <v/>
      </c>
      <c r="AB471" s="136">
        <f>IF(H471="", "", IF(OR(U471="Pending", U471="Pending Allocation"), CONCATENATE(TODAY()-H471, " Days"), IF(U471="Closed", "", "")))</f>
        <v/>
      </c>
      <c r="AC471" s="160">
        <f>IF(U471="Pending Allocation", IF(I471="", "", TODAY()-I471), "")</f>
        <v/>
      </c>
      <c r="AD471" s="159">
        <f>IF(U471="Open Sale", TEXT(TODAY()-I471, "0"),
IF(U471="Pending", "",
IF(U471="Closed Sale", "", "")))</f>
        <v/>
      </c>
      <c r="AE471" s="161" t="n"/>
      <c r="AF471" s="161" t="n"/>
      <c r="AG471" s="161" t="n"/>
      <c r="AH471" s="136" t="n"/>
      <c r="AI471" s="164">
        <f>IF(I471="","",TEXT(I471, "mmmm yyyy"))</f>
        <v/>
      </c>
      <c r="AJ471" s="164">
        <f>IF(AND(OpenPendingCases[[#This Row],[Sale Status	]]="Open Sale",OpenPendingCases[[#This Row],[Potential Same Month]]="High"),TEXT(OpenPendingCases[[#This Row],[Request Entry Date]], "[$-en-us]mmmm"),"")</f>
        <v/>
      </c>
      <c r="AK471" s="165">
        <f>IFERROR(VALUE(SUBSTITUTE(OpenPendingCases[[#This Row],[Price]]," AED","")),"")</f>
        <v/>
      </c>
      <c r="AL471" s="165">
        <f>IFERROR(VALUE(LEFT(OpenPendingCases[[#This Row],[Price]],FIND(" ",OpenPendingCases[[#This Row],[Price]])-1)),"")</f>
        <v/>
      </c>
      <c r="AM471" s="165">
        <f>IFERROR(VALUE(_xlfn.TEXTBEFORE(OpenPendingCases[[#This Row],[Price]]," AED")),"")</f>
        <v/>
      </c>
      <c r="AN471" s="165" t="n"/>
    </row>
    <row r="472" hidden="1" ht="18" customHeight="1" s="287">
      <c r="C472" s="133" t="n"/>
      <c r="D472" s="136">
        <f>IF($U472="Open Sale", IF(MAX($D$4:D471)+1=0, "", MAX($D$4:D471)+1), "")</f>
        <v/>
      </c>
      <c r="E472" s="136">
        <f>IF($U472="Pending Allocation", IF(MAX($E$4:E471)+1=0, "", MAX($E$4:E471)+1), "")</f>
        <v/>
      </c>
      <c r="F472" s="136" t="n"/>
      <c r="G472" s="136" t="n"/>
      <c r="H472" s="150" t="n"/>
      <c r="I472" s="150" t="n"/>
      <c r="J472" s="67">
        <f>IF(OpenPendingCases[[#This Row],[Timepiece Reference ]]="", "", IF(_xlfn.XLOOKUP(OpenPendingCases[[#This Row],[Timepiece Reference ]], Table1[[Timepiece Reference ]], Table1[CRC STOCK], "Not Found")="YES", "CRC Stock", "Boutique Stock"))</f>
        <v/>
      </c>
      <c r="K472" s="136">
        <f>IF(OpenPendingCases[[#This Row],[Timepiece Reference ]]="", "", IF(_xlfn.XLOOKUP(OpenPendingCases[[#This Row],[Timepiece Reference ]], Table1[[Timepiece Reference ]], Table1[CRC STOCK], "Not Found")="YES", "CRC Stock", "Boutique Stock"))</f>
        <v/>
      </c>
      <c r="L472" s="142" t="n"/>
      <c r="M472" s="140" t="n"/>
      <c r="N472" s="136" t="n"/>
      <c r="O472" s="133" t="n"/>
      <c r="P472" s="93">
        <f>IFERROR(VLOOKUP(TRIM(O472), Collection!$B$2:$D$1001, 2, FALSE), "")</f>
        <v/>
      </c>
      <c r="Q472" s="190">
        <f>IFERROR(VLOOKUP(TRIM(O472), Collection!$B$2:$D$1001, 3, FALSE), "")</f>
        <v/>
      </c>
      <c r="R472" s="153">
        <f>IFERROR(VALUE(SUBSTITUTE(SUBSTITUTE(Q472, "Price", ""), "AED", "")), "")</f>
        <v/>
      </c>
      <c r="S472" s="151" t="n"/>
      <c r="T472" s="158" t="n"/>
      <c r="U472" s="136" t="n"/>
      <c r="V472" s="136" t="n"/>
      <c r="W472" s="156">
        <f>IF(Z472 = "",
"",
TEXT(Z472, "mmmm"))</f>
        <v/>
      </c>
      <c r="X472" s="157" t="n"/>
      <c r="Y472" s="158" t="n"/>
      <c r="Z472" s="158" t="n"/>
      <c r="AA472" s="136">
        <f>IF(H472="", "", IF(U472="Open Sale", IF(TODAY()-H472=0, "0 Days", TEXT(TODAY()-H472, "0") &amp; " Days"), IF(U472="Closed Sale", AA472, "")))</f>
        <v/>
      </c>
      <c r="AB472" s="136">
        <f>IF(H472="", "", IF(OR(U472="Pending", U472="Pending Allocation"), CONCATENATE(TODAY()-H472, " Days"), IF(U472="Closed", "", "")))</f>
        <v/>
      </c>
      <c r="AC472" s="160">
        <f>IF(U472="Pending Allocation", IF(I472="", "", TODAY()-I472), "")</f>
        <v/>
      </c>
      <c r="AD472" s="159">
        <f>IF(U472="Open Sale", TEXT(TODAY()-I472, "0"),
IF(U472="Pending", "",
IF(U472="Closed Sale", "", "")))</f>
        <v/>
      </c>
      <c r="AE472" s="161" t="n"/>
      <c r="AF472" s="161" t="n"/>
      <c r="AG472" s="161" t="n"/>
      <c r="AH472" s="136" t="n"/>
      <c r="AI472" s="164">
        <f>IF(I472="","",TEXT(I472, "mmmm yyyy"))</f>
        <v/>
      </c>
      <c r="AJ472" s="164">
        <f>IF(AND(OpenPendingCases[[#This Row],[Sale Status	]]="Open Sale",OpenPendingCases[[#This Row],[Potential Same Month]]="High"),TEXT(OpenPendingCases[[#This Row],[Request Entry Date]], "[$-en-us]mmmm"),"")</f>
        <v/>
      </c>
      <c r="AK472" s="165">
        <f>IFERROR(VALUE(SUBSTITUTE(OpenPendingCases[[#This Row],[Price]]," AED","")),"")</f>
        <v/>
      </c>
      <c r="AL472" s="165">
        <f>IFERROR(VALUE(LEFT(OpenPendingCases[[#This Row],[Price]],FIND(" ",OpenPendingCases[[#This Row],[Price]])-1)),"")</f>
        <v/>
      </c>
      <c r="AM472" s="165">
        <f>IFERROR(VALUE(_xlfn.TEXTBEFORE(OpenPendingCases[[#This Row],[Price]]," AED")),"")</f>
        <v/>
      </c>
      <c r="AN472" s="165" t="n"/>
    </row>
    <row r="473" hidden="1" ht="18" customHeight="1" s="287">
      <c r="C473" s="133" t="n"/>
      <c r="D473" s="136">
        <f>IF($U473="Open Sale", IF(MAX($D$4:D472)+1=0, "", MAX($D$4:D472)+1), "")</f>
        <v/>
      </c>
      <c r="E473" s="136">
        <f>IF($U473="Pending Allocation", IF(MAX($E$4:E472)+1=0, "", MAX($E$4:E472)+1), "")</f>
        <v/>
      </c>
      <c r="F473" s="136" t="n"/>
      <c r="G473" s="136" t="n"/>
      <c r="H473" s="150" t="n"/>
      <c r="I473" s="150" t="n"/>
      <c r="J473" s="67">
        <f>IF(OpenPendingCases[[#This Row],[Timepiece Reference ]]="", "", IF(_xlfn.XLOOKUP(OpenPendingCases[[#This Row],[Timepiece Reference ]], Table1[[Timepiece Reference ]], Table1[CRC STOCK], "Not Found")="YES", "CRC Stock", "Boutique Stock"))</f>
        <v/>
      </c>
      <c r="K473" s="136">
        <f>IF(OpenPendingCases[[#This Row],[Timepiece Reference ]]="", "", IF(_xlfn.XLOOKUP(OpenPendingCases[[#This Row],[Timepiece Reference ]], Table1[[Timepiece Reference ]], Table1[CRC STOCK], "Not Found")="YES", "CRC Stock", "Boutique Stock"))</f>
        <v/>
      </c>
      <c r="L473" s="142" t="n"/>
      <c r="M473" s="140" t="n"/>
      <c r="N473" s="136" t="n"/>
      <c r="O473" s="133" t="n"/>
      <c r="P473" s="93">
        <f>IFERROR(VLOOKUP(TRIM(O473), Collection!$B$2:$D$1001, 2, FALSE), "")</f>
        <v/>
      </c>
      <c r="Q473" s="190">
        <f>IFERROR(VLOOKUP(TRIM(O473), Collection!$B$2:$D$1001, 3, FALSE), "")</f>
        <v/>
      </c>
      <c r="R473" s="153">
        <f>IFERROR(VALUE(SUBSTITUTE(SUBSTITUTE(Q473, "Price", ""), "AED", "")), "")</f>
        <v/>
      </c>
      <c r="S473" s="151" t="n"/>
      <c r="T473" s="158" t="n"/>
      <c r="U473" s="136" t="n"/>
      <c r="V473" s="136" t="n"/>
      <c r="W473" s="156">
        <f>IF(Z473 = "",
"",
TEXT(Z473, "mmmm"))</f>
        <v/>
      </c>
      <c r="X473" s="157" t="n"/>
      <c r="Y473" s="158" t="n"/>
      <c r="Z473" s="158" t="n"/>
      <c r="AA473" s="136">
        <f>IF(H473="", "", IF(U473="Open Sale", IF(TODAY()-H473=0, "0 Days", TEXT(TODAY()-H473, "0") &amp; " Days"), IF(U473="Closed Sale", AA473, "")))</f>
        <v/>
      </c>
      <c r="AB473" s="136">
        <f>IF(H473="", "", IF(OR(U473="Pending", U473="Pending Allocation"), CONCATENATE(TODAY()-H473, " Days"), IF(U473="Closed", "", "")))</f>
        <v/>
      </c>
      <c r="AC473" s="160">
        <f>IF(U473="Pending Allocation", IF(I473="", "", TODAY()-I473), "")</f>
        <v/>
      </c>
      <c r="AD473" s="159">
        <f>IF(U473="Open Sale", TEXT(TODAY()-I473, "0"),
IF(U473="Pending", "",
IF(U473="Closed Sale", "", "")))</f>
        <v/>
      </c>
      <c r="AE473" s="161" t="n"/>
      <c r="AF473" s="161" t="n"/>
      <c r="AG473" s="161" t="n"/>
      <c r="AH473" s="136" t="n"/>
      <c r="AI473" s="164">
        <f>IF(I473="","",TEXT(I473, "mmmm yyyy"))</f>
        <v/>
      </c>
      <c r="AJ473" s="164">
        <f>IF(AND(OpenPendingCases[[#This Row],[Sale Status	]]="Open Sale",OpenPendingCases[[#This Row],[Potential Same Month]]="High"),TEXT(OpenPendingCases[[#This Row],[Request Entry Date]], "[$-en-us]mmmm"),"")</f>
        <v/>
      </c>
      <c r="AK473" s="165">
        <f>IFERROR(VALUE(SUBSTITUTE(OpenPendingCases[[#This Row],[Price]]," AED","")),"")</f>
        <v/>
      </c>
      <c r="AL473" s="165">
        <f>IFERROR(VALUE(LEFT(OpenPendingCases[[#This Row],[Price]],FIND(" ",OpenPendingCases[[#This Row],[Price]])-1)),"")</f>
        <v/>
      </c>
      <c r="AM473" s="165">
        <f>IFERROR(VALUE(_xlfn.TEXTBEFORE(OpenPendingCases[[#This Row],[Price]]," AED")),"")</f>
        <v/>
      </c>
      <c r="AN473" s="165" t="n"/>
    </row>
    <row r="474" hidden="1" ht="18" customHeight="1" s="287">
      <c r="C474" s="133" t="n"/>
      <c r="D474" s="136">
        <f>IF($U474="Open Sale", IF(MAX($D$4:D473)+1=0, "", MAX($D$4:D473)+1), "")</f>
        <v/>
      </c>
      <c r="E474" s="136">
        <f>IF($U474="Pending Allocation", IF(MAX($E$4:E473)+1=0, "", MAX($E$4:E473)+1), "")</f>
        <v/>
      </c>
      <c r="F474" s="136" t="n"/>
      <c r="G474" s="136" t="n"/>
      <c r="H474" s="150" t="n"/>
      <c r="I474" s="150" t="n"/>
      <c r="J474" s="67">
        <f>IF(OpenPendingCases[[#This Row],[Timepiece Reference ]]="", "", IF(_xlfn.XLOOKUP(OpenPendingCases[[#This Row],[Timepiece Reference ]], Table1[[Timepiece Reference ]], Table1[CRC STOCK], "Not Found")="YES", "CRC Stock", "Boutique Stock"))</f>
        <v/>
      </c>
      <c r="K474" s="136">
        <f>IF(OpenPendingCases[[#This Row],[Timepiece Reference ]]="", "", IF(_xlfn.XLOOKUP(OpenPendingCases[[#This Row],[Timepiece Reference ]], Table1[[Timepiece Reference ]], Table1[CRC STOCK], "Not Found")="YES", "CRC Stock", "Boutique Stock"))</f>
        <v/>
      </c>
      <c r="L474" s="142" t="n"/>
      <c r="M474" s="140" t="n"/>
      <c r="N474" s="136" t="n"/>
      <c r="O474" s="133" t="n"/>
      <c r="P474" s="93">
        <f>IFERROR(VLOOKUP(TRIM(O474), Collection!$B$2:$D$1001, 2, FALSE), "")</f>
        <v/>
      </c>
      <c r="Q474" s="190">
        <f>IFERROR(VLOOKUP(TRIM(O474), Collection!$B$2:$D$1001, 3, FALSE), "")</f>
        <v/>
      </c>
      <c r="R474" s="153">
        <f>IFERROR(VALUE(SUBSTITUTE(SUBSTITUTE(Q474, "Price", ""), "AED", "")), "")</f>
        <v/>
      </c>
      <c r="S474" s="151" t="n"/>
      <c r="T474" s="158" t="n"/>
      <c r="U474" s="136" t="n"/>
      <c r="V474" s="136" t="n"/>
      <c r="W474" s="156">
        <f>IF(Z474 = "",
"",
TEXT(Z474, "mmmm"))</f>
        <v/>
      </c>
      <c r="X474" s="157" t="n"/>
      <c r="Y474" s="158" t="n"/>
      <c r="Z474" s="158" t="n"/>
      <c r="AA474" s="136">
        <f>IF(H474="", "", IF(U474="Open Sale", IF(TODAY()-H474=0, "0 Days", TEXT(TODAY()-H474, "0") &amp; " Days"), IF(U474="Closed Sale", AA474, "")))</f>
        <v/>
      </c>
      <c r="AB474" s="136">
        <f>IF(H474="", "", IF(OR(U474="Pending", U474="Pending Allocation"), CONCATENATE(TODAY()-H474, " Days"), IF(U474="Closed", "", "")))</f>
        <v/>
      </c>
      <c r="AC474" s="160">
        <f>IF(U474="Pending Allocation", IF(I474="", "", TODAY()-I474), "")</f>
        <v/>
      </c>
      <c r="AD474" s="159">
        <f>IF(U474="Open Sale", TEXT(TODAY()-I474, "0"),
IF(U474="Pending", "",
IF(U474="Closed Sale", "", "")))</f>
        <v/>
      </c>
      <c r="AE474" s="161" t="n"/>
      <c r="AF474" s="161" t="n"/>
      <c r="AG474" s="161" t="n"/>
      <c r="AH474" s="136" t="n"/>
      <c r="AI474" s="164">
        <f>IF(I474="","",TEXT(I474, "mmmm yyyy"))</f>
        <v/>
      </c>
      <c r="AJ474" s="164">
        <f>IF(AND(OpenPendingCases[[#This Row],[Sale Status	]]="Open Sale",OpenPendingCases[[#This Row],[Potential Same Month]]="High"),TEXT(OpenPendingCases[[#This Row],[Request Entry Date]], "[$-en-us]mmmm"),"")</f>
        <v/>
      </c>
      <c r="AK474" s="165">
        <f>IFERROR(VALUE(SUBSTITUTE(OpenPendingCases[[#This Row],[Price]]," AED","")),"")</f>
        <v/>
      </c>
      <c r="AL474" s="165">
        <f>IFERROR(VALUE(LEFT(OpenPendingCases[[#This Row],[Price]],FIND(" ",OpenPendingCases[[#This Row],[Price]])-1)),"")</f>
        <v/>
      </c>
      <c r="AM474" s="165">
        <f>IFERROR(VALUE(_xlfn.TEXTBEFORE(OpenPendingCases[[#This Row],[Price]]," AED")),"")</f>
        <v/>
      </c>
      <c r="AN474" s="165" t="n"/>
    </row>
    <row r="475" hidden="1" ht="18" customHeight="1" s="287">
      <c r="C475" s="133" t="n"/>
      <c r="D475" s="136">
        <f>IF($U475="Open Sale", IF(MAX($D$4:D474)+1=0, "", MAX($D$4:D474)+1), "")</f>
        <v/>
      </c>
      <c r="E475" s="136">
        <f>IF($U475="Pending Allocation", IF(MAX($E$4:E474)+1=0, "", MAX($E$4:E474)+1), "")</f>
        <v/>
      </c>
      <c r="F475" s="136" t="n"/>
      <c r="G475" s="136" t="n"/>
      <c r="H475" s="150" t="n"/>
      <c r="I475" s="150" t="n"/>
      <c r="J475" s="67">
        <f>IF(OpenPendingCases[[#This Row],[Timepiece Reference ]]="", "", IF(_xlfn.XLOOKUP(OpenPendingCases[[#This Row],[Timepiece Reference ]], Table1[[Timepiece Reference ]], Table1[CRC STOCK], "Not Found")="YES", "CRC Stock", "Boutique Stock"))</f>
        <v/>
      </c>
      <c r="K475" s="136">
        <f>IF(OpenPendingCases[[#This Row],[Timepiece Reference ]]="", "", IF(_xlfn.XLOOKUP(OpenPendingCases[[#This Row],[Timepiece Reference ]], Table1[[Timepiece Reference ]], Table1[CRC STOCK], "Not Found")="YES", "CRC Stock", "Boutique Stock"))</f>
        <v/>
      </c>
      <c r="L475" s="142" t="n"/>
      <c r="M475" s="140" t="n"/>
      <c r="N475" s="136" t="n"/>
      <c r="O475" s="133" t="n"/>
      <c r="P475" s="93">
        <f>IFERROR(VLOOKUP(TRIM(O475), Collection!$B$2:$D$1001, 2, FALSE), "")</f>
        <v/>
      </c>
      <c r="Q475" s="190">
        <f>IFERROR(VLOOKUP(TRIM(O475), Collection!$B$2:$D$1001, 3, FALSE), "")</f>
        <v/>
      </c>
      <c r="R475" s="153">
        <f>IFERROR(VALUE(SUBSTITUTE(SUBSTITUTE(Q475, "Price", ""), "AED", "")), "")</f>
        <v/>
      </c>
      <c r="S475" s="151" t="n"/>
      <c r="T475" s="158" t="n"/>
      <c r="U475" s="136" t="n"/>
      <c r="V475" s="136" t="n"/>
      <c r="W475" s="156">
        <f>IF(Z475 = "",
"",
TEXT(Z475, "mmmm"))</f>
        <v/>
      </c>
      <c r="X475" s="157" t="n"/>
      <c r="Y475" s="158" t="n"/>
      <c r="Z475" s="158" t="n"/>
      <c r="AA475" s="136">
        <f>IF(H475="", "", IF(U475="Open Sale", IF(TODAY()-H475=0, "0 Days", TEXT(TODAY()-H475, "0") &amp; " Days"), IF(U475="Closed Sale", AA475, "")))</f>
        <v/>
      </c>
      <c r="AB475" s="136">
        <f>IF(H475="", "", IF(OR(U475="Pending", U475="Pending Allocation"), CONCATENATE(TODAY()-H475, " Days"), IF(U475="Closed", "", "")))</f>
        <v/>
      </c>
      <c r="AC475" s="160">
        <f>IF(U475="Pending Allocation", IF(I475="", "", TODAY()-I475), "")</f>
        <v/>
      </c>
      <c r="AD475" s="159">
        <f>IF(U475="Open Sale", TEXT(TODAY()-I475, "0"),
IF(U475="Pending", "",
IF(U475="Closed Sale", "", "")))</f>
        <v/>
      </c>
      <c r="AE475" s="161" t="n"/>
      <c r="AF475" s="161" t="n"/>
      <c r="AG475" s="161" t="n"/>
      <c r="AH475" s="136" t="n"/>
      <c r="AI475" s="164">
        <f>IF(I475="","",TEXT(I475, "mmmm yyyy"))</f>
        <v/>
      </c>
      <c r="AJ475" s="164">
        <f>IF(AND(OpenPendingCases[[#This Row],[Sale Status	]]="Open Sale",OpenPendingCases[[#This Row],[Potential Same Month]]="High"),TEXT(OpenPendingCases[[#This Row],[Request Entry Date]], "[$-en-us]mmmm"),"")</f>
        <v/>
      </c>
      <c r="AK475" s="165">
        <f>IFERROR(VALUE(SUBSTITUTE(OpenPendingCases[[#This Row],[Price]]," AED","")),"")</f>
        <v/>
      </c>
      <c r="AL475" s="165">
        <f>IFERROR(VALUE(LEFT(OpenPendingCases[[#This Row],[Price]],FIND(" ",OpenPendingCases[[#This Row],[Price]])-1)),"")</f>
        <v/>
      </c>
      <c r="AM475" s="165">
        <f>IFERROR(VALUE(_xlfn.TEXTBEFORE(OpenPendingCases[[#This Row],[Price]]," AED")),"")</f>
        <v/>
      </c>
      <c r="AN475" s="165" t="n"/>
    </row>
    <row r="476" hidden="1" ht="18" customHeight="1" s="287">
      <c r="C476" s="133" t="n"/>
      <c r="D476" s="136">
        <f>IF($U476="Open Sale", IF(MAX($D$4:D475)+1=0, "", MAX($D$4:D475)+1), "")</f>
        <v/>
      </c>
      <c r="E476" s="136">
        <f>IF($U476="Pending Allocation", IF(MAX($E$4:E475)+1=0, "", MAX($E$4:E475)+1), "")</f>
        <v/>
      </c>
      <c r="F476" s="136" t="n"/>
      <c r="G476" s="136" t="n"/>
      <c r="H476" s="150" t="n"/>
      <c r="I476" s="150" t="n"/>
      <c r="J476" s="67">
        <f>IF(OpenPendingCases[[#This Row],[Timepiece Reference ]]="", "", IF(_xlfn.XLOOKUP(OpenPendingCases[[#This Row],[Timepiece Reference ]], Table1[[Timepiece Reference ]], Table1[CRC STOCK], "Not Found")="YES", "CRC Stock", "Boutique Stock"))</f>
        <v/>
      </c>
      <c r="K476" s="136">
        <f>IF(OpenPendingCases[[#This Row],[Timepiece Reference ]]="", "", IF(_xlfn.XLOOKUP(OpenPendingCases[[#This Row],[Timepiece Reference ]], Table1[[Timepiece Reference ]], Table1[CRC STOCK], "Not Found")="YES", "CRC Stock", "Boutique Stock"))</f>
        <v/>
      </c>
      <c r="L476" s="142" t="n"/>
      <c r="M476" s="140" t="n"/>
      <c r="N476" s="136" t="n"/>
      <c r="O476" s="133" t="n"/>
      <c r="P476" s="93">
        <f>IFERROR(VLOOKUP(TRIM(O476), Collection!$B$2:$D$1001, 2, FALSE), "")</f>
        <v/>
      </c>
      <c r="Q476" s="190">
        <f>IFERROR(VLOOKUP(TRIM(O476), Collection!$B$2:$D$1001, 3, FALSE), "")</f>
        <v/>
      </c>
      <c r="R476" s="153">
        <f>IFERROR(VALUE(SUBSTITUTE(SUBSTITUTE(Q476, "Price", ""), "AED", "")), "")</f>
        <v/>
      </c>
      <c r="S476" s="151" t="n"/>
      <c r="T476" s="158" t="n"/>
      <c r="U476" s="136" t="n"/>
      <c r="V476" s="136" t="n"/>
      <c r="W476" s="156">
        <f>IF(Z476 = "",
"",
TEXT(Z476, "mmmm"))</f>
        <v/>
      </c>
      <c r="X476" s="157" t="n"/>
      <c r="Y476" s="158" t="n"/>
      <c r="Z476" s="158" t="n"/>
      <c r="AA476" s="136">
        <f>IF(H476="", "", IF(U476="Open Sale", IF(TODAY()-H476=0, "0 Days", TEXT(TODAY()-H476, "0") &amp; " Days"), IF(U476="Closed Sale", AA476, "")))</f>
        <v/>
      </c>
      <c r="AB476" s="136">
        <f>IF(H476="", "", IF(OR(U476="Pending", U476="Pending Allocation"), CONCATENATE(TODAY()-H476, " Days"), IF(U476="Closed", "", "")))</f>
        <v/>
      </c>
      <c r="AC476" s="160">
        <f>IF(U476="Pending Allocation", IF(I476="", "", TODAY()-I476), "")</f>
        <v/>
      </c>
      <c r="AD476" s="159">
        <f>IF(U476="Open Sale", TEXT(TODAY()-I476, "0"),
IF(U476="Pending", "",
IF(U476="Closed Sale", "", "")))</f>
        <v/>
      </c>
      <c r="AE476" s="161" t="n"/>
      <c r="AF476" s="161" t="n"/>
      <c r="AG476" s="161" t="n"/>
      <c r="AH476" s="136" t="n"/>
      <c r="AI476" s="164">
        <f>IF(I476="","",TEXT(I476, "mmmm yyyy"))</f>
        <v/>
      </c>
      <c r="AJ476" s="164">
        <f>IF(AND(OpenPendingCases[[#This Row],[Sale Status	]]="Open Sale",OpenPendingCases[[#This Row],[Potential Same Month]]="High"),TEXT(OpenPendingCases[[#This Row],[Request Entry Date]], "[$-en-us]mmmm"),"")</f>
        <v/>
      </c>
      <c r="AK476" s="165">
        <f>IFERROR(VALUE(SUBSTITUTE(OpenPendingCases[[#This Row],[Price]]," AED","")),"")</f>
        <v/>
      </c>
      <c r="AL476" s="165">
        <f>IFERROR(VALUE(LEFT(OpenPendingCases[[#This Row],[Price]],FIND(" ",OpenPendingCases[[#This Row],[Price]])-1)),"")</f>
        <v/>
      </c>
      <c r="AM476" s="165">
        <f>IFERROR(VALUE(_xlfn.TEXTBEFORE(OpenPendingCases[[#This Row],[Price]]," AED")),"")</f>
        <v/>
      </c>
      <c r="AN476" s="165" t="n"/>
    </row>
    <row r="477" hidden="1" ht="18" customHeight="1" s="287">
      <c r="C477" s="133" t="n"/>
      <c r="D477" s="136">
        <f>IF($U477="Open Sale", IF(MAX($D$4:D476)+1=0, "", MAX($D$4:D476)+1), "")</f>
        <v/>
      </c>
      <c r="E477" s="136">
        <f>IF($U477="Pending Allocation", IF(MAX($E$4:E476)+1=0, "", MAX($E$4:E476)+1), "")</f>
        <v/>
      </c>
      <c r="F477" s="136" t="n"/>
      <c r="G477" s="136" t="n"/>
      <c r="H477" s="150" t="n"/>
      <c r="I477" s="150" t="n"/>
      <c r="J477" s="67">
        <f>IF(OpenPendingCases[[#This Row],[Timepiece Reference ]]="", "", IF(_xlfn.XLOOKUP(OpenPendingCases[[#This Row],[Timepiece Reference ]], Table1[[Timepiece Reference ]], Table1[CRC STOCK], "Not Found")="YES", "CRC Stock", "Boutique Stock"))</f>
        <v/>
      </c>
      <c r="K477" s="136">
        <f>IF(OpenPendingCases[[#This Row],[Timepiece Reference ]]="", "", IF(_xlfn.XLOOKUP(OpenPendingCases[[#This Row],[Timepiece Reference ]], Table1[[Timepiece Reference ]], Table1[CRC STOCK], "Not Found")="YES", "CRC Stock", "Boutique Stock"))</f>
        <v/>
      </c>
      <c r="L477" s="142" t="n"/>
      <c r="M477" s="140" t="n"/>
      <c r="N477" s="136" t="n"/>
      <c r="O477" s="133" t="n"/>
      <c r="P477" s="93">
        <f>IFERROR(VLOOKUP(TRIM(O477), Collection!$B$2:$D$1001, 2, FALSE), "")</f>
        <v/>
      </c>
      <c r="Q477" s="190">
        <f>IFERROR(VLOOKUP(TRIM(O477), Collection!$B$2:$D$1001, 3, FALSE), "")</f>
        <v/>
      </c>
      <c r="R477" s="153">
        <f>IFERROR(VALUE(SUBSTITUTE(SUBSTITUTE(Q477, "Price", ""), "AED", "")), "")</f>
        <v/>
      </c>
      <c r="S477" s="151" t="n"/>
      <c r="T477" s="158" t="n"/>
      <c r="U477" s="136" t="n"/>
      <c r="V477" s="136" t="n"/>
      <c r="W477" s="156">
        <f>IF(Z477 = "",
"",
TEXT(Z477, "mmmm"))</f>
        <v/>
      </c>
      <c r="X477" s="157" t="n"/>
      <c r="Y477" s="158" t="n"/>
      <c r="Z477" s="158" t="n"/>
      <c r="AA477" s="136">
        <f>IF(H477="", "", IF(U477="Open Sale", IF(TODAY()-H477=0, "0 Days", TEXT(TODAY()-H477, "0") &amp; " Days"), IF(U477="Closed Sale", AA477, "")))</f>
        <v/>
      </c>
      <c r="AB477" s="136">
        <f>IF(H477="", "", IF(OR(U477="Pending", U477="Pending Allocation"), CONCATENATE(TODAY()-H477, " Days"), IF(U477="Closed", "", "")))</f>
        <v/>
      </c>
      <c r="AC477" s="160">
        <f>IF(U477="Pending Allocation", IF(I477="", "", TODAY()-I477), "")</f>
        <v/>
      </c>
      <c r="AD477" s="159">
        <f>IF(U477="Open Sale", TEXT(TODAY()-I477, "0"),
IF(U477="Pending", "",
IF(U477="Closed Sale", "", "")))</f>
        <v/>
      </c>
      <c r="AE477" s="161" t="n"/>
      <c r="AF477" s="161" t="n"/>
      <c r="AG477" s="161" t="n"/>
      <c r="AH477" s="136" t="n"/>
      <c r="AI477" s="164">
        <f>IF(I477="","",TEXT(I477, "mmmm yyyy"))</f>
        <v/>
      </c>
      <c r="AJ477" s="164">
        <f>IF(AND(OpenPendingCases[[#This Row],[Sale Status	]]="Open Sale",OpenPendingCases[[#This Row],[Potential Same Month]]="High"),TEXT(OpenPendingCases[[#This Row],[Request Entry Date]], "[$-en-us]mmmm"),"")</f>
        <v/>
      </c>
      <c r="AK477" s="165">
        <f>IFERROR(VALUE(SUBSTITUTE(OpenPendingCases[[#This Row],[Price]]," AED","")),"")</f>
        <v/>
      </c>
      <c r="AL477" s="165">
        <f>IFERROR(VALUE(LEFT(OpenPendingCases[[#This Row],[Price]],FIND(" ",OpenPendingCases[[#This Row],[Price]])-1)),"")</f>
        <v/>
      </c>
      <c r="AM477" s="165">
        <f>IFERROR(VALUE(_xlfn.TEXTBEFORE(OpenPendingCases[[#This Row],[Price]]," AED")),"")</f>
        <v/>
      </c>
      <c r="AN477" s="165" t="n"/>
    </row>
    <row r="478" hidden="1" ht="18" customHeight="1" s="287">
      <c r="C478" s="133" t="n"/>
      <c r="D478" s="136">
        <f>IF($U478="Open Sale", IF(MAX($D$4:D477)+1=0, "", MAX($D$4:D477)+1), "")</f>
        <v/>
      </c>
      <c r="E478" s="136">
        <f>IF($U478="Pending Allocation", IF(MAX($E$4:E477)+1=0, "", MAX($E$4:E477)+1), "")</f>
        <v/>
      </c>
      <c r="F478" s="136" t="n"/>
      <c r="G478" s="136" t="n"/>
      <c r="H478" s="150" t="n"/>
      <c r="I478" s="150" t="n"/>
      <c r="J478" s="67">
        <f>IF(OpenPendingCases[[#This Row],[Timepiece Reference ]]="", "", IF(_xlfn.XLOOKUP(OpenPendingCases[[#This Row],[Timepiece Reference ]], Table1[[Timepiece Reference ]], Table1[CRC STOCK], "Not Found")="YES", "CRC Stock", "Boutique Stock"))</f>
        <v/>
      </c>
      <c r="K478" s="136">
        <f>IF(OpenPendingCases[[#This Row],[Timepiece Reference ]]="", "", IF(_xlfn.XLOOKUP(OpenPendingCases[[#This Row],[Timepiece Reference ]], Table1[[Timepiece Reference ]], Table1[CRC STOCK], "Not Found")="YES", "CRC Stock", "Boutique Stock"))</f>
        <v/>
      </c>
      <c r="L478" s="142" t="n"/>
      <c r="M478" s="140" t="n"/>
      <c r="N478" s="136" t="n"/>
      <c r="O478" s="133" t="n"/>
      <c r="P478" s="93">
        <f>IFERROR(VLOOKUP(TRIM(O478), Collection!$B$2:$D$1001, 2, FALSE), "")</f>
        <v/>
      </c>
      <c r="Q478" s="190">
        <f>IFERROR(VLOOKUP(TRIM(O478), Collection!$B$2:$D$1001, 3, FALSE), "")</f>
        <v/>
      </c>
      <c r="R478" s="153">
        <f>IFERROR(VALUE(SUBSTITUTE(SUBSTITUTE(Q478, "Price", ""), "AED", "")), "")</f>
        <v/>
      </c>
      <c r="S478" s="151" t="n"/>
      <c r="T478" s="158" t="n"/>
      <c r="U478" s="136" t="n"/>
      <c r="V478" s="136" t="n"/>
      <c r="W478" s="156">
        <f>IF(Z478 = "",
"",
TEXT(Z478, "mmmm"))</f>
        <v/>
      </c>
      <c r="X478" s="157" t="n"/>
      <c r="Y478" s="158" t="n"/>
      <c r="Z478" s="158" t="n"/>
      <c r="AA478" s="136">
        <f>IF(H478="", "", IF(U478="Open Sale", IF(TODAY()-H478=0, "0 Days", TEXT(TODAY()-H478, "0") &amp; " Days"), IF(U478="Closed Sale", AA478, "")))</f>
        <v/>
      </c>
      <c r="AB478" s="136">
        <f>IF(H478="", "", IF(OR(U478="Pending", U478="Pending Allocation"), CONCATENATE(TODAY()-H478, " Days"), IF(U478="Closed", "", "")))</f>
        <v/>
      </c>
      <c r="AC478" s="160">
        <f>IF(U478="Pending Allocation", IF(I478="", "", TODAY()-I478), "")</f>
        <v/>
      </c>
      <c r="AD478" s="159">
        <f>IF(U478="Open Sale", TEXT(TODAY()-I478, "0"),
IF(U478="Pending", "",
IF(U478="Closed Sale", "", "")))</f>
        <v/>
      </c>
      <c r="AE478" s="161" t="n"/>
      <c r="AF478" s="161" t="n"/>
      <c r="AG478" s="161" t="n"/>
      <c r="AH478" s="136" t="n"/>
      <c r="AI478" s="164">
        <f>IF(I478="","",TEXT(I478, "mmmm yyyy"))</f>
        <v/>
      </c>
      <c r="AJ478" s="164">
        <f>IF(AND(OpenPendingCases[[#This Row],[Sale Status	]]="Open Sale",OpenPendingCases[[#This Row],[Potential Same Month]]="High"),TEXT(OpenPendingCases[[#This Row],[Request Entry Date]], "[$-en-us]mmmm"),"")</f>
        <v/>
      </c>
      <c r="AK478" s="165">
        <f>IFERROR(VALUE(SUBSTITUTE(OpenPendingCases[[#This Row],[Price]]," AED","")),"")</f>
        <v/>
      </c>
      <c r="AL478" s="165">
        <f>IFERROR(VALUE(LEFT(OpenPendingCases[[#This Row],[Price]],FIND(" ",OpenPendingCases[[#This Row],[Price]])-1)),"")</f>
        <v/>
      </c>
      <c r="AM478" s="165">
        <f>IFERROR(VALUE(_xlfn.TEXTBEFORE(OpenPendingCases[[#This Row],[Price]]," AED")),"")</f>
        <v/>
      </c>
      <c r="AN478" s="165" t="n"/>
    </row>
    <row r="479" hidden="1" ht="18" customHeight="1" s="287">
      <c r="C479" s="133" t="n"/>
      <c r="D479" s="136">
        <f>IF($U479="Open Sale", IF(MAX($D$4:D478)+1=0, "", MAX($D$4:D478)+1), "")</f>
        <v/>
      </c>
      <c r="E479" s="136">
        <f>IF($U479="Pending Allocation", IF(MAX($E$4:E478)+1=0, "", MAX($E$4:E478)+1), "")</f>
        <v/>
      </c>
      <c r="F479" s="136" t="n"/>
      <c r="G479" s="136" t="n"/>
      <c r="H479" s="150" t="n"/>
      <c r="I479" s="150" t="n"/>
      <c r="J479" s="67">
        <f>IF(OpenPendingCases[[#This Row],[Timepiece Reference ]]="", "", IF(_xlfn.XLOOKUP(OpenPendingCases[[#This Row],[Timepiece Reference ]], Table1[[Timepiece Reference ]], Table1[CRC STOCK], "Not Found")="YES", "CRC Stock", "Boutique Stock"))</f>
        <v/>
      </c>
      <c r="K479" s="136">
        <f>IF(OpenPendingCases[[#This Row],[Timepiece Reference ]]="", "", IF(_xlfn.XLOOKUP(OpenPendingCases[[#This Row],[Timepiece Reference ]], Table1[[Timepiece Reference ]], Table1[CRC STOCK], "Not Found")="YES", "CRC Stock", "Boutique Stock"))</f>
        <v/>
      </c>
      <c r="L479" s="142" t="n"/>
      <c r="M479" s="140" t="n"/>
      <c r="N479" s="136" t="n"/>
      <c r="O479" s="133" t="n"/>
      <c r="P479" s="93">
        <f>IFERROR(VLOOKUP(TRIM(O479), Collection!$B$2:$D$1001, 2, FALSE), "")</f>
        <v/>
      </c>
      <c r="Q479" s="190">
        <f>IFERROR(VLOOKUP(TRIM(O479), Collection!$B$2:$D$1001, 3, FALSE), "")</f>
        <v/>
      </c>
      <c r="R479" s="153">
        <f>IFERROR(VALUE(SUBSTITUTE(SUBSTITUTE(Q479, "Price", ""), "AED", "")), "")</f>
        <v/>
      </c>
      <c r="S479" s="151" t="n"/>
      <c r="T479" s="158" t="n"/>
      <c r="U479" s="136" t="n"/>
      <c r="V479" s="136" t="n"/>
      <c r="W479" s="156">
        <f>IF(Z479 = "",
"",
TEXT(Z479, "mmmm"))</f>
        <v/>
      </c>
      <c r="X479" s="157" t="n"/>
      <c r="Y479" s="158" t="n"/>
      <c r="Z479" s="158" t="n"/>
      <c r="AA479" s="136">
        <f>IF(H479="", "", IF(U479="Open Sale", IF(TODAY()-H479=0, "0 Days", TEXT(TODAY()-H479, "0") &amp; " Days"), IF(U479="Closed Sale", AA479, "")))</f>
        <v/>
      </c>
      <c r="AB479" s="136">
        <f>IF(H479="", "", IF(OR(U479="Pending", U479="Pending Allocation"), CONCATENATE(TODAY()-H479, " Days"), IF(U479="Closed", "", "")))</f>
        <v/>
      </c>
      <c r="AC479" s="160">
        <f>IF(U479="Pending Allocation", IF(I479="", "", TODAY()-I479), "")</f>
        <v/>
      </c>
      <c r="AD479" s="159">
        <f>IF(U479="Open Sale", TEXT(TODAY()-I479, "0"),
IF(U479="Pending", "",
IF(U479="Closed Sale", "", "")))</f>
        <v/>
      </c>
      <c r="AE479" s="161" t="n"/>
      <c r="AF479" s="161" t="n"/>
      <c r="AG479" s="161" t="n"/>
      <c r="AH479" s="136" t="n"/>
      <c r="AI479" s="164">
        <f>IF(I479="","",TEXT(I479, "mmmm yyyy"))</f>
        <v/>
      </c>
      <c r="AJ479" s="164">
        <f>IF(AND(OpenPendingCases[[#This Row],[Sale Status	]]="Open Sale",OpenPendingCases[[#This Row],[Potential Same Month]]="High"),TEXT(OpenPendingCases[[#This Row],[Request Entry Date]], "[$-en-us]mmmm"),"")</f>
        <v/>
      </c>
      <c r="AK479" s="165">
        <f>IFERROR(VALUE(SUBSTITUTE(OpenPendingCases[[#This Row],[Price]]," AED","")),"")</f>
        <v/>
      </c>
      <c r="AL479" s="165">
        <f>IFERROR(VALUE(LEFT(OpenPendingCases[[#This Row],[Price]],FIND(" ",OpenPendingCases[[#This Row],[Price]])-1)),"")</f>
        <v/>
      </c>
      <c r="AM479" s="165">
        <f>IFERROR(VALUE(_xlfn.TEXTBEFORE(OpenPendingCases[[#This Row],[Price]]," AED")),"")</f>
        <v/>
      </c>
      <c r="AN479" s="165" t="n"/>
    </row>
    <row r="480" hidden="1" ht="18" customHeight="1" s="287">
      <c r="C480" s="133" t="n"/>
      <c r="D480" s="136">
        <f>IF($U480="Open Sale", IF(MAX($D$4:D479)+1=0, "", MAX($D$4:D479)+1), "")</f>
        <v/>
      </c>
      <c r="E480" s="136">
        <f>IF($U480="Pending Allocation", IF(MAX($E$4:E479)+1=0, "", MAX($E$4:E479)+1), "")</f>
        <v/>
      </c>
      <c r="F480" s="136" t="n"/>
      <c r="G480" s="136" t="n"/>
      <c r="H480" s="150" t="n"/>
      <c r="I480" s="150" t="n"/>
      <c r="J480" s="67">
        <f>IF(OpenPendingCases[[#This Row],[Timepiece Reference ]]="", "", IF(_xlfn.XLOOKUP(OpenPendingCases[[#This Row],[Timepiece Reference ]], Table1[[Timepiece Reference ]], Table1[CRC STOCK], "Not Found")="YES", "CRC Stock", "Boutique Stock"))</f>
        <v/>
      </c>
      <c r="K480" s="136">
        <f>IF(OpenPendingCases[[#This Row],[Timepiece Reference ]]="", "", IF(_xlfn.XLOOKUP(OpenPendingCases[[#This Row],[Timepiece Reference ]], Table1[[Timepiece Reference ]], Table1[CRC STOCK], "Not Found")="YES", "CRC Stock", "Boutique Stock"))</f>
        <v/>
      </c>
      <c r="L480" s="142" t="n"/>
      <c r="M480" s="140" t="n"/>
      <c r="N480" s="136" t="n"/>
      <c r="O480" s="133" t="n"/>
      <c r="P480" s="93">
        <f>IFERROR(VLOOKUP(TRIM(O480), Collection!$B$2:$D$1001, 2, FALSE), "")</f>
        <v/>
      </c>
      <c r="Q480" s="190">
        <f>IFERROR(VLOOKUP(TRIM(O480), Collection!$B$2:$D$1001, 3, FALSE), "")</f>
        <v/>
      </c>
      <c r="R480" s="153">
        <f>IFERROR(VALUE(SUBSTITUTE(SUBSTITUTE(Q480, "Price", ""), "AED", "")), "")</f>
        <v/>
      </c>
      <c r="S480" s="151" t="n"/>
      <c r="T480" s="158" t="n"/>
      <c r="U480" s="136" t="n"/>
      <c r="V480" s="136" t="n"/>
      <c r="W480" s="156">
        <f>IF(Z480 = "",
"",
TEXT(Z480, "mmmm"))</f>
        <v/>
      </c>
      <c r="X480" s="157" t="n"/>
      <c r="Y480" s="158" t="n"/>
      <c r="Z480" s="158" t="n"/>
      <c r="AA480" s="136">
        <f>IF(H480="", "", IF(U480="Open Sale", IF(TODAY()-H480=0, "0 Days", TEXT(TODAY()-H480, "0") &amp; " Days"), IF(U480="Closed Sale", AA480, "")))</f>
        <v/>
      </c>
      <c r="AB480" s="136">
        <f>IF(H480="", "", IF(OR(U480="Pending", U480="Pending Allocation"), CONCATENATE(TODAY()-H480, " Days"), IF(U480="Closed", "", "")))</f>
        <v/>
      </c>
      <c r="AC480" s="160">
        <f>IF(U480="Pending Allocation", IF(I480="", "", TODAY()-I480), "")</f>
        <v/>
      </c>
      <c r="AD480" s="159">
        <f>IF(U480="Open Sale", TEXT(TODAY()-I480, "0"),
IF(U480="Pending", "",
IF(U480="Closed Sale", "", "")))</f>
        <v/>
      </c>
      <c r="AE480" s="161" t="n"/>
      <c r="AF480" s="161" t="n"/>
      <c r="AG480" s="161" t="n"/>
      <c r="AH480" s="136" t="n"/>
      <c r="AI480" s="164">
        <f>IF(I480="","",TEXT(I480, "mmmm yyyy"))</f>
        <v/>
      </c>
      <c r="AJ480" s="164">
        <f>IF(AND(OpenPendingCases[[#This Row],[Sale Status	]]="Open Sale",OpenPendingCases[[#This Row],[Potential Same Month]]="High"),TEXT(OpenPendingCases[[#This Row],[Request Entry Date]], "[$-en-us]mmmm"),"")</f>
        <v/>
      </c>
      <c r="AK480" s="165">
        <f>IFERROR(VALUE(SUBSTITUTE(OpenPendingCases[[#This Row],[Price]]," AED","")),"")</f>
        <v/>
      </c>
      <c r="AL480" s="165">
        <f>IFERROR(VALUE(LEFT(OpenPendingCases[[#This Row],[Price]],FIND(" ",OpenPendingCases[[#This Row],[Price]])-1)),"")</f>
        <v/>
      </c>
      <c r="AM480" s="165">
        <f>IFERROR(VALUE(_xlfn.TEXTBEFORE(OpenPendingCases[[#This Row],[Price]]," AED")),"")</f>
        <v/>
      </c>
      <c r="AN480" s="165" t="n"/>
    </row>
    <row r="481" hidden="1" ht="18" customHeight="1" s="287">
      <c r="C481" s="133" t="n"/>
      <c r="D481" s="136">
        <f>IF($U481="Open Sale", IF(MAX($D$4:D480)+1=0, "", MAX($D$4:D480)+1), "")</f>
        <v/>
      </c>
      <c r="E481" s="136">
        <f>IF($U481="Pending Allocation", IF(MAX($E$4:E480)+1=0, "", MAX($E$4:E480)+1), "")</f>
        <v/>
      </c>
      <c r="F481" s="136" t="n"/>
      <c r="G481" s="136" t="n"/>
      <c r="H481" s="150" t="n"/>
      <c r="I481" s="150" t="n"/>
      <c r="J481" s="67">
        <f>IF(OpenPendingCases[[#This Row],[Timepiece Reference ]]="", "", IF(_xlfn.XLOOKUP(OpenPendingCases[[#This Row],[Timepiece Reference ]], Table1[[Timepiece Reference ]], Table1[CRC STOCK], "Not Found")="YES", "CRC Stock", "Boutique Stock"))</f>
        <v/>
      </c>
      <c r="K481" s="136">
        <f>IF(OpenPendingCases[[#This Row],[Timepiece Reference ]]="", "", IF(_xlfn.XLOOKUP(OpenPendingCases[[#This Row],[Timepiece Reference ]], Table1[[Timepiece Reference ]], Table1[CRC STOCK], "Not Found")="YES", "CRC Stock", "Boutique Stock"))</f>
        <v/>
      </c>
      <c r="L481" s="142" t="n"/>
      <c r="M481" s="140" t="n"/>
      <c r="N481" s="136" t="n"/>
      <c r="O481" s="133" t="n"/>
      <c r="P481" s="93">
        <f>IFERROR(VLOOKUP(TRIM(O481), Collection!$B$2:$D$1001, 2, FALSE), "")</f>
        <v/>
      </c>
      <c r="Q481" s="190">
        <f>IFERROR(VLOOKUP(TRIM(O481), Collection!$B$2:$D$1001, 3, FALSE), "")</f>
        <v/>
      </c>
      <c r="R481" s="153">
        <f>IFERROR(VALUE(SUBSTITUTE(SUBSTITUTE(Q481, "Price", ""), "AED", "")), "")</f>
        <v/>
      </c>
      <c r="S481" s="151" t="n"/>
      <c r="T481" s="158" t="n"/>
      <c r="U481" s="136" t="n"/>
      <c r="V481" s="136" t="n"/>
      <c r="W481" s="156">
        <f>IF(Z481 = "",
"",
TEXT(Z481, "mmmm"))</f>
        <v/>
      </c>
      <c r="X481" s="157" t="n"/>
      <c r="Y481" s="158" t="n"/>
      <c r="Z481" s="158" t="n"/>
      <c r="AA481" s="136">
        <f>IF(H481="", "", IF(U481="Open Sale", IF(TODAY()-H481=0, "0 Days", TEXT(TODAY()-H481, "0") &amp; " Days"), IF(U481="Closed Sale", AA481, "")))</f>
        <v/>
      </c>
      <c r="AB481" s="136">
        <f>IF(H481="", "", IF(OR(U481="Pending", U481="Pending Allocation"), CONCATENATE(TODAY()-H481, " Days"), IF(U481="Closed", "", "")))</f>
        <v/>
      </c>
      <c r="AC481" s="160">
        <f>IF(U481="Pending Allocation", IF(I481="", "", TODAY()-I481), "")</f>
        <v/>
      </c>
      <c r="AD481" s="159">
        <f>IF(U481="Open Sale", TEXT(TODAY()-I481, "0"),
IF(U481="Pending", "",
IF(U481="Closed Sale", "", "")))</f>
        <v/>
      </c>
      <c r="AE481" s="161" t="n"/>
      <c r="AF481" s="161" t="n"/>
      <c r="AG481" s="161" t="n"/>
      <c r="AH481" s="136" t="n"/>
      <c r="AI481" s="164">
        <f>IF(I481="","",TEXT(I481, "mmmm yyyy"))</f>
        <v/>
      </c>
      <c r="AJ481" s="164">
        <f>IF(AND(OpenPendingCases[[#This Row],[Sale Status	]]="Open Sale",OpenPendingCases[[#This Row],[Potential Same Month]]="High"),TEXT(OpenPendingCases[[#This Row],[Request Entry Date]], "[$-en-us]mmmm"),"")</f>
        <v/>
      </c>
      <c r="AK481" s="165">
        <f>IFERROR(VALUE(SUBSTITUTE(OpenPendingCases[[#This Row],[Price]]," AED","")),"")</f>
        <v/>
      </c>
      <c r="AL481" s="165">
        <f>IFERROR(VALUE(LEFT(OpenPendingCases[[#This Row],[Price]],FIND(" ",OpenPendingCases[[#This Row],[Price]])-1)),"")</f>
        <v/>
      </c>
      <c r="AM481" s="165">
        <f>IFERROR(VALUE(_xlfn.TEXTBEFORE(OpenPendingCases[[#This Row],[Price]]," AED")),"")</f>
        <v/>
      </c>
      <c r="AN481" s="165" t="n"/>
    </row>
    <row r="482" hidden="1" ht="18" customHeight="1" s="287">
      <c r="C482" s="133" t="n"/>
      <c r="D482" s="136">
        <f>IF($U482="Open Sale", IF(MAX($D$4:D481)+1=0, "", MAX($D$4:D481)+1), "")</f>
        <v/>
      </c>
      <c r="E482" s="136">
        <f>IF($U482="Pending Allocation", IF(MAX($E$4:E481)+1=0, "", MAX($E$4:E481)+1), "")</f>
        <v/>
      </c>
      <c r="F482" s="136" t="n"/>
      <c r="G482" s="136" t="n"/>
      <c r="H482" s="150" t="n"/>
      <c r="I482" s="150" t="n"/>
      <c r="J482" s="67">
        <f>IF(OpenPendingCases[[#This Row],[Timepiece Reference ]]="", "", IF(_xlfn.XLOOKUP(OpenPendingCases[[#This Row],[Timepiece Reference ]], Table1[[Timepiece Reference ]], Table1[CRC STOCK], "Not Found")="YES", "CRC Stock", "Boutique Stock"))</f>
        <v/>
      </c>
      <c r="K482" s="136">
        <f>IF(OpenPendingCases[[#This Row],[Timepiece Reference ]]="", "", IF(_xlfn.XLOOKUP(OpenPendingCases[[#This Row],[Timepiece Reference ]], Table1[[Timepiece Reference ]], Table1[CRC STOCK], "Not Found")="YES", "CRC Stock", "Boutique Stock"))</f>
        <v/>
      </c>
      <c r="L482" s="142" t="n"/>
      <c r="M482" s="140" t="n"/>
      <c r="N482" s="136" t="n"/>
      <c r="O482" s="133" t="n"/>
      <c r="P482" s="93">
        <f>IFERROR(VLOOKUP(TRIM(O482), Collection!$B$2:$D$1001, 2, FALSE), "")</f>
        <v/>
      </c>
      <c r="Q482" s="190">
        <f>IFERROR(VLOOKUP(TRIM(O482), Collection!$B$2:$D$1001, 3, FALSE), "")</f>
        <v/>
      </c>
      <c r="R482" s="153">
        <f>IFERROR(VALUE(SUBSTITUTE(SUBSTITUTE(Q482, "Price", ""), "AED", "")), "")</f>
        <v/>
      </c>
      <c r="S482" s="151" t="n"/>
      <c r="T482" s="158" t="n"/>
      <c r="U482" s="136" t="n"/>
      <c r="V482" s="136" t="n"/>
      <c r="W482" s="156">
        <f>IF(Z482 = "",
"",
TEXT(Z482, "mmmm"))</f>
        <v/>
      </c>
      <c r="X482" s="157" t="n"/>
      <c r="Y482" s="158" t="n"/>
      <c r="Z482" s="158" t="n"/>
      <c r="AA482" s="136">
        <f>IF(H482="", "", IF(U482="Open Sale", IF(TODAY()-H482=0, "0 Days", TEXT(TODAY()-H482, "0") &amp; " Days"), IF(U482="Closed Sale", AA482, "")))</f>
        <v/>
      </c>
      <c r="AB482" s="136">
        <f>IF(H482="", "", IF(OR(U482="Pending", U482="Pending Allocation"), CONCATENATE(TODAY()-H482, " Days"), IF(U482="Closed", "", "")))</f>
        <v/>
      </c>
      <c r="AC482" s="160">
        <f>IF(U482="Pending Allocation", IF(I482="", "", TODAY()-I482), "")</f>
        <v/>
      </c>
      <c r="AD482" s="159">
        <f>IF(U482="Open Sale", TEXT(TODAY()-I482, "0"),
IF(U482="Pending", "",
IF(U482="Closed Sale", "", "")))</f>
        <v/>
      </c>
      <c r="AE482" s="161" t="n"/>
      <c r="AF482" s="161" t="n"/>
      <c r="AG482" s="161" t="n"/>
      <c r="AH482" s="136" t="n"/>
      <c r="AI482" s="164">
        <f>IF(I482="","",TEXT(I482, "mmmm yyyy"))</f>
        <v/>
      </c>
      <c r="AJ482" s="164">
        <f>IF(AND(OpenPendingCases[[#This Row],[Sale Status	]]="Open Sale",OpenPendingCases[[#This Row],[Potential Same Month]]="High"),TEXT(OpenPendingCases[[#This Row],[Request Entry Date]], "[$-en-us]mmmm"),"")</f>
        <v/>
      </c>
      <c r="AK482" s="165">
        <f>IFERROR(VALUE(SUBSTITUTE(OpenPendingCases[[#This Row],[Price]]," AED","")),"")</f>
        <v/>
      </c>
      <c r="AL482" s="165">
        <f>IFERROR(VALUE(LEFT(OpenPendingCases[[#This Row],[Price]],FIND(" ",OpenPendingCases[[#This Row],[Price]])-1)),"")</f>
        <v/>
      </c>
      <c r="AM482" s="165">
        <f>IFERROR(VALUE(_xlfn.TEXTBEFORE(OpenPendingCases[[#This Row],[Price]]," AED")),"")</f>
        <v/>
      </c>
      <c r="AN482" s="165" t="n"/>
    </row>
    <row r="483" hidden="1" ht="18" customHeight="1" s="287">
      <c r="C483" s="133" t="n"/>
      <c r="D483" s="136">
        <f>IF($U483="Open Sale", IF(MAX($D$4:D482)+1=0, "", MAX($D$4:D482)+1), "")</f>
        <v/>
      </c>
      <c r="E483" s="136">
        <f>IF($U483="Pending Allocation", IF(MAX($E$4:E482)+1=0, "", MAX($E$4:E482)+1), "")</f>
        <v/>
      </c>
      <c r="F483" s="136" t="n"/>
      <c r="G483" s="136" t="n"/>
      <c r="H483" s="150" t="n"/>
      <c r="I483" s="150" t="n"/>
      <c r="J483" s="67">
        <f>IF(OpenPendingCases[[#This Row],[Timepiece Reference ]]="", "", IF(_xlfn.XLOOKUP(OpenPendingCases[[#This Row],[Timepiece Reference ]], Table1[[Timepiece Reference ]], Table1[CRC STOCK], "Not Found")="YES", "CRC Stock", "Boutique Stock"))</f>
        <v/>
      </c>
      <c r="K483" s="136">
        <f>IF(OpenPendingCases[[#This Row],[Timepiece Reference ]]="", "", IF(_xlfn.XLOOKUP(OpenPendingCases[[#This Row],[Timepiece Reference ]], Table1[[Timepiece Reference ]], Table1[CRC STOCK], "Not Found")="YES", "CRC Stock", "Boutique Stock"))</f>
        <v/>
      </c>
      <c r="L483" s="142" t="n"/>
      <c r="M483" s="140" t="n"/>
      <c r="N483" s="136" t="n"/>
      <c r="O483" s="133" t="n"/>
      <c r="P483" s="93">
        <f>IFERROR(VLOOKUP(TRIM(O483), Collection!$B$2:$D$1001, 2, FALSE), "")</f>
        <v/>
      </c>
      <c r="Q483" s="190">
        <f>IFERROR(VLOOKUP(TRIM(O483), Collection!$B$2:$D$1001, 3, FALSE), "")</f>
        <v/>
      </c>
      <c r="R483" s="153">
        <f>IFERROR(VALUE(SUBSTITUTE(SUBSTITUTE(Q483, "Price", ""), "AED", "")), "")</f>
        <v/>
      </c>
      <c r="S483" s="151" t="n"/>
      <c r="T483" s="158" t="n"/>
      <c r="U483" s="136" t="n"/>
      <c r="V483" s="136" t="n"/>
      <c r="W483" s="156">
        <f>IF(Z483 = "",
"",
TEXT(Z483, "mmmm"))</f>
        <v/>
      </c>
      <c r="X483" s="157" t="n"/>
      <c r="Y483" s="158" t="n"/>
      <c r="Z483" s="158" t="n"/>
      <c r="AA483" s="136">
        <f>IF(H483="", "", IF(U483="Open Sale", IF(TODAY()-H483=0, "0 Days", TEXT(TODAY()-H483, "0") &amp; " Days"), IF(U483="Closed Sale", AA483, "")))</f>
        <v/>
      </c>
      <c r="AB483" s="136">
        <f>IF(H483="", "", IF(OR(U483="Pending", U483="Pending Allocation"), CONCATENATE(TODAY()-H483, " Days"), IF(U483="Closed", "", "")))</f>
        <v/>
      </c>
      <c r="AC483" s="160">
        <f>IF(U483="Pending Allocation", IF(I483="", "", TODAY()-I483), "")</f>
        <v/>
      </c>
      <c r="AD483" s="159">
        <f>IF(U483="Open Sale", TEXT(TODAY()-I483, "0"),
IF(U483="Pending", "",
IF(U483="Closed Sale", "", "")))</f>
        <v/>
      </c>
      <c r="AE483" s="161" t="n"/>
      <c r="AF483" s="161" t="n"/>
      <c r="AG483" s="161" t="n"/>
      <c r="AH483" s="136" t="n"/>
      <c r="AI483" s="164">
        <f>IF(I483="","",TEXT(I483, "mmmm yyyy"))</f>
        <v/>
      </c>
      <c r="AJ483" s="164">
        <f>IF(AND(OpenPendingCases[[#This Row],[Sale Status	]]="Open Sale",OpenPendingCases[[#This Row],[Potential Same Month]]="High"),TEXT(OpenPendingCases[[#This Row],[Request Entry Date]], "[$-en-us]mmmm"),"")</f>
        <v/>
      </c>
      <c r="AK483" s="165">
        <f>IFERROR(VALUE(SUBSTITUTE(OpenPendingCases[[#This Row],[Price]]," AED","")),"")</f>
        <v/>
      </c>
      <c r="AL483" s="165">
        <f>IFERROR(VALUE(LEFT(OpenPendingCases[[#This Row],[Price]],FIND(" ",OpenPendingCases[[#This Row],[Price]])-1)),"")</f>
        <v/>
      </c>
      <c r="AM483" s="165">
        <f>IFERROR(VALUE(_xlfn.TEXTBEFORE(OpenPendingCases[[#This Row],[Price]]," AED")),"")</f>
        <v/>
      </c>
      <c r="AN483" s="165" t="n"/>
    </row>
    <row r="484" hidden="1" ht="18" customHeight="1" s="287">
      <c r="C484" s="133" t="n"/>
      <c r="D484" s="136">
        <f>IF($U484="Open Sale", IF(MAX($D$4:D483)+1=0, "", MAX($D$4:D483)+1), "")</f>
        <v/>
      </c>
      <c r="E484" s="136">
        <f>IF($U484="Pending Allocation", IF(MAX($E$4:E483)+1=0, "", MAX($E$4:E483)+1), "")</f>
        <v/>
      </c>
      <c r="F484" s="136" t="n"/>
      <c r="G484" s="136" t="n"/>
      <c r="H484" s="150" t="n"/>
      <c r="I484" s="150" t="n"/>
      <c r="J484" s="67">
        <f>IF(OpenPendingCases[[#This Row],[Timepiece Reference ]]="", "", IF(_xlfn.XLOOKUP(OpenPendingCases[[#This Row],[Timepiece Reference ]], Table1[[Timepiece Reference ]], Table1[CRC STOCK], "Not Found")="YES", "CRC Stock", "Boutique Stock"))</f>
        <v/>
      </c>
      <c r="K484" s="136">
        <f>IF(OpenPendingCases[[#This Row],[Timepiece Reference ]]="", "", IF(_xlfn.XLOOKUP(OpenPendingCases[[#This Row],[Timepiece Reference ]], Table1[[Timepiece Reference ]], Table1[CRC STOCK], "Not Found")="YES", "CRC Stock", "Boutique Stock"))</f>
        <v/>
      </c>
      <c r="L484" s="142" t="n"/>
      <c r="M484" s="140" t="n"/>
      <c r="N484" s="136" t="n"/>
      <c r="O484" s="133" t="n"/>
      <c r="P484" s="93">
        <f>IFERROR(VLOOKUP(TRIM(O484), Collection!$B$2:$D$1001, 2, FALSE), "")</f>
        <v/>
      </c>
      <c r="Q484" s="190">
        <f>IFERROR(VLOOKUP(TRIM(O484), Collection!$B$2:$D$1001, 3, FALSE), "")</f>
        <v/>
      </c>
      <c r="R484" s="153">
        <f>IFERROR(VALUE(SUBSTITUTE(SUBSTITUTE(Q484, "Price", ""), "AED", "")), "")</f>
        <v/>
      </c>
      <c r="S484" s="151" t="n"/>
      <c r="T484" s="158" t="n"/>
      <c r="U484" s="136" t="n"/>
      <c r="V484" s="136" t="n"/>
      <c r="W484" s="156">
        <f>IF(Z484 = "",
"",
TEXT(Z484, "mmmm"))</f>
        <v/>
      </c>
      <c r="X484" s="157" t="n"/>
      <c r="Y484" s="158" t="n"/>
      <c r="Z484" s="158" t="n"/>
      <c r="AA484" s="136">
        <f>IF(H484="", "", IF(U484="Open Sale", IF(TODAY()-H484=0, "0 Days", TEXT(TODAY()-H484, "0") &amp; " Days"), IF(U484="Closed Sale", AA484, "")))</f>
        <v/>
      </c>
      <c r="AB484" s="136">
        <f>IF(H484="", "", IF(OR(U484="Pending", U484="Pending Allocation"), CONCATENATE(TODAY()-H484, " Days"), IF(U484="Closed", "", "")))</f>
        <v/>
      </c>
      <c r="AC484" s="160">
        <f>IF(U484="Pending Allocation", IF(I484="", "", TODAY()-I484), "")</f>
        <v/>
      </c>
      <c r="AD484" s="159">
        <f>IF(U484="Open Sale", TEXT(TODAY()-I484, "0"),
IF(U484="Pending", "",
IF(U484="Closed Sale", "", "")))</f>
        <v/>
      </c>
      <c r="AE484" s="161" t="n"/>
      <c r="AF484" s="161" t="n"/>
      <c r="AG484" s="161" t="n"/>
      <c r="AH484" s="136" t="n"/>
      <c r="AI484" s="164">
        <f>IF(I484="","",TEXT(I484, "mmmm yyyy"))</f>
        <v/>
      </c>
      <c r="AJ484" s="164">
        <f>IF(AND(OpenPendingCases[[#This Row],[Sale Status	]]="Open Sale",OpenPendingCases[[#This Row],[Potential Same Month]]="High"),TEXT(OpenPendingCases[[#This Row],[Request Entry Date]], "[$-en-us]mmmm"),"")</f>
        <v/>
      </c>
      <c r="AK484" s="165">
        <f>IFERROR(VALUE(SUBSTITUTE(OpenPendingCases[[#This Row],[Price]]," AED","")),"")</f>
        <v/>
      </c>
      <c r="AL484" s="165">
        <f>IFERROR(VALUE(LEFT(OpenPendingCases[[#This Row],[Price]],FIND(" ",OpenPendingCases[[#This Row],[Price]])-1)),"")</f>
        <v/>
      </c>
      <c r="AM484" s="165">
        <f>IFERROR(VALUE(_xlfn.TEXTBEFORE(OpenPendingCases[[#This Row],[Price]]," AED")),"")</f>
        <v/>
      </c>
      <c r="AN484" s="165" t="n"/>
    </row>
    <row r="485" hidden="1" ht="18" customHeight="1" s="287">
      <c r="C485" s="133" t="n"/>
      <c r="D485" s="136">
        <f>IF($U485="Open Sale", IF(MAX($D$4:D484)+1=0, "", MAX($D$4:D484)+1), "")</f>
        <v/>
      </c>
      <c r="E485" s="136">
        <f>IF($U485="Pending Allocation", IF(MAX($E$4:E484)+1=0, "", MAX($E$4:E484)+1), "")</f>
        <v/>
      </c>
      <c r="F485" s="136" t="n"/>
      <c r="G485" s="136" t="n"/>
      <c r="H485" s="150" t="n"/>
      <c r="I485" s="150" t="n"/>
      <c r="J485" s="67">
        <f>IF(OpenPendingCases[[#This Row],[Timepiece Reference ]]="", "", IF(_xlfn.XLOOKUP(OpenPendingCases[[#This Row],[Timepiece Reference ]], Table1[[Timepiece Reference ]], Table1[CRC STOCK], "Not Found")="YES", "CRC Stock", "Boutique Stock"))</f>
        <v/>
      </c>
      <c r="K485" s="136">
        <f>IF(OpenPendingCases[[#This Row],[Timepiece Reference ]]="", "", IF(_xlfn.XLOOKUP(OpenPendingCases[[#This Row],[Timepiece Reference ]], Table1[[Timepiece Reference ]], Table1[CRC STOCK], "Not Found")="YES", "CRC Stock", "Boutique Stock"))</f>
        <v/>
      </c>
      <c r="L485" s="142" t="n"/>
      <c r="M485" s="140" t="n"/>
      <c r="N485" s="136" t="n"/>
      <c r="O485" s="133" t="n"/>
      <c r="P485" s="93">
        <f>IFERROR(VLOOKUP(TRIM(O485), Collection!$B$2:$D$1001, 2, FALSE), "")</f>
        <v/>
      </c>
      <c r="Q485" s="190">
        <f>IFERROR(VLOOKUP(TRIM(O485), Collection!$B$2:$D$1001, 3, FALSE), "")</f>
        <v/>
      </c>
      <c r="R485" s="153">
        <f>IFERROR(VALUE(SUBSTITUTE(SUBSTITUTE(Q485, "Price", ""), "AED", "")), "")</f>
        <v/>
      </c>
      <c r="S485" s="151" t="n"/>
      <c r="T485" s="158" t="n"/>
      <c r="U485" s="136" t="n"/>
      <c r="V485" s="136" t="n"/>
      <c r="W485" s="156">
        <f>IF(Z485 = "",
"",
TEXT(Z485, "mmmm"))</f>
        <v/>
      </c>
      <c r="X485" s="157" t="n"/>
      <c r="Y485" s="158" t="n"/>
      <c r="Z485" s="158" t="n"/>
      <c r="AA485" s="136">
        <f>IF(H485="", "", IF(U485="Open Sale", IF(TODAY()-H485=0, "0 Days", TEXT(TODAY()-H485, "0") &amp; " Days"), IF(U485="Closed Sale", AA485, "")))</f>
        <v/>
      </c>
      <c r="AB485" s="136">
        <f>IF(H485="", "", IF(OR(U485="Pending", U485="Pending Allocation"), CONCATENATE(TODAY()-H485, " Days"), IF(U485="Closed", "", "")))</f>
        <v/>
      </c>
      <c r="AC485" s="160">
        <f>IF(U485="Pending Allocation", IF(I485="", "", TODAY()-I485), "")</f>
        <v/>
      </c>
      <c r="AD485" s="159">
        <f>IF(U485="Open Sale", TEXT(TODAY()-I485, "0"),
IF(U485="Pending", "",
IF(U485="Closed Sale", "", "")))</f>
        <v/>
      </c>
      <c r="AE485" s="161" t="n"/>
      <c r="AF485" s="161" t="n"/>
      <c r="AG485" s="161" t="n"/>
      <c r="AH485" s="136" t="n"/>
      <c r="AI485" s="164">
        <f>IF(I485="","",TEXT(I485, "mmmm yyyy"))</f>
        <v/>
      </c>
      <c r="AJ485" s="164">
        <f>IF(AND(OpenPendingCases[[#This Row],[Sale Status	]]="Open Sale",OpenPendingCases[[#This Row],[Potential Same Month]]="High"),TEXT(OpenPendingCases[[#This Row],[Request Entry Date]], "[$-en-us]mmmm"),"")</f>
        <v/>
      </c>
      <c r="AK485" s="165">
        <f>IFERROR(VALUE(SUBSTITUTE(OpenPendingCases[[#This Row],[Price]]," AED","")),"")</f>
        <v/>
      </c>
      <c r="AL485" s="165">
        <f>IFERROR(VALUE(LEFT(OpenPendingCases[[#This Row],[Price]],FIND(" ",OpenPendingCases[[#This Row],[Price]])-1)),"")</f>
        <v/>
      </c>
      <c r="AM485" s="165">
        <f>IFERROR(VALUE(_xlfn.TEXTBEFORE(OpenPendingCases[[#This Row],[Price]]," AED")),"")</f>
        <v/>
      </c>
      <c r="AN485" s="165" t="n"/>
    </row>
    <row r="486" hidden="1" ht="18" customHeight="1" s="287">
      <c r="C486" s="133" t="n"/>
      <c r="D486" s="136">
        <f>IF($U486="Open Sale", IF(MAX($D$4:D485)+1=0, "", MAX($D$4:D485)+1), "")</f>
        <v/>
      </c>
      <c r="E486" s="136">
        <f>IF($U486="Pending Allocation", IF(MAX($E$4:E485)+1=0, "", MAX($E$4:E485)+1), "")</f>
        <v/>
      </c>
      <c r="F486" s="136" t="n"/>
      <c r="G486" s="136" t="n"/>
      <c r="H486" s="150" t="n"/>
      <c r="I486" s="150" t="n"/>
      <c r="J486" s="67">
        <f>IF(OpenPendingCases[[#This Row],[Timepiece Reference ]]="", "", IF(_xlfn.XLOOKUP(OpenPendingCases[[#This Row],[Timepiece Reference ]], Table1[[Timepiece Reference ]], Table1[CRC STOCK], "Not Found")="YES", "CRC Stock", "Boutique Stock"))</f>
        <v/>
      </c>
      <c r="K486" s="136">
        <f>IF(OpenPendingCases[[#This Row],[Timepiece Reference ]]="", "", IF(_xlfn.XLOOKUP(OpenPendingCases[[#This Row],[Timepiece Reference ]], Table1[[Timepiece Reference ]], Table1[CRC STOCK], "Not Found")="YES", "CRC Stock", "Boutique Stock"))</f>
        <v/>
      </c>
      <c r="L486" s="142" t="n"/>
      <c r="M486" s="140" t="n"/>
      <c r="N486" s="136" t="n"/>
      <c r="O486" s="133" t="n"/>
      <c r="P486" s="93">
        <f>IFERROR(VLOOKUP(TRIM(O486), Collection!$B$2:$D$1001, 2, FALSE), "")</f>
        <v/>
      </c>
      <c r="Q486" s="190">
        <f>IFERROR(VLOOKUP(TRIM(O486), Collection!$B$2:$D$1001, 3, FALSE), "")</f>
        <v/>
      </c>
      <c r="R486" s="153">
        <f>IFERROR(VALUE(SUBSTITUTE(SUBSTITUTE(Q486, "Price", ""), "AED", "")), "")</f>
        <v/>
      </c>
      <c r="S486" s="151" t="n"/>
      <c r="T486" s="158" t="n"/>
      <c r="U486" s="136" t="n"/>
      <c r="V486" s="136" t="n"/>
      <c r="W486" s="156">
        <f>IF(Z486 = "",
"",
TEXT(Z486, "mmmm"))</f>
        <v/>
      </c>
      <c r="X486" s="157" t="n"/>
      <c r="Y486" s="158" t="n"/>
      <c r="Z486" s="158" t="n"/>
      <c r="AA486" s="136">
        <f>IF(H486="", "", IF(U486="Open Sale", IF(TODAY()-H486=0, "0 Days", TEXT(TODAY()-H486, "0") &amp; " Days"), IF(U486="Closed Sale", AA486, "")))</f>
        <v/>
      </c>
      <c r="AB486" s="136">
        <f>IF(H486="", "", IF(OR(U486="Pending", U486="Pending Allocation"), CONCATENATE(TODAY()-H486, " Days"), IF(U486="Closed", "", "")))</f>
        <v/>
      </c>
      <c r="AC486" s="160">
        <f>IF(U486="Pending Allocation", IF(I486="", "", TODAY()-I486), "")</f>
        <v/>
      </c>
      <c r="AD486" s="159">
        <f>IF(U486="Open Sale", TEXT(TODAY()-I486, "0"),
IF(U486="Pending", "",
IF(U486="Closed Sale", "", "")))</f>
        <v/>
      </c>
      <c r="AE486" s="161" t="n"/>
      <c r="AF486" s="161" t="n"/>
      <c r="AG486" s="161" t="n"/>
      <c r="AH486" s="136" t="n"/>
      <c r="AI486" s="164">
        <f>IF(I486="","",TEXT(I486, "mmmm yyyy"))</f>
        <v/>
      </c>
      <c r="AJ486" s="164">
        <f>IF(AND(OpenPendingCases[[#This Row],[Sale Status	]]="Open Sale",OpenPendingCases[[#This Row],[Potential Same Month]]="High"),TEXT(OpenPendingCases[[#This Row],[Request Entry Date]], "[$-en-us]mmmm"),"")</f>
        <v/>
      </c>
      <c r="AK486" s="165">
        <f>IFERROR(VALUE(SUBSTITUTE(OpenPendingCases[[#This Row],[Price]]," AED","")),"")</f>
        <v/>
      </c>
      <c r="AL486" s="165">
        <f>IFERROR(VALUE(LEFT(OpenPendingCases[[#This Row],[Price]],FIND(" ",OpenPendingCases[[#This Row],[Price]])-1)),"")</f>
        <v/>
      </c>
      <c r="AM486" s="165">
        <f>IFERROR(VALUE(_xlfn.TEXTBEFORE(OpenPendingCases[[#This Row],[Price]]," AED")),"")</f>
        <v/>
      </c>
      <c r="AN486" s="165" t="n"/>
    </row>
    <row r="487" hidden="1" ht="18" customHeight="1" s="287">
      <c r="C487" s="133" t="n"/>
      <c r="D487" s="136">
        <f>IF($U487="Open Sale", IF(MAX($D$4:D486)+1=0, "", MAX($D$4:D486)+1), "")</f>
        <v/>
      </c>
      <c r="E487" s="136">
        <f>IF($U487="Pending Allocation", IF(MAX($E$4:E486)+1=0, "", MAX($E$4:E486)+1), "")</f>
        <v/>
      </c>
      <c r="F487" s="136" t="n"/>
      <c r="G487" s="136" t="n"/>
      <c r="H487" s="150" t="n"/>
      <c r="I487" s="150" t="n"/>
      <c r="J487" s="67">
        <f>IF(OpenPendingCases[[#This Row],[Timepiece Reference ]]="", "", IF(_xlfn.XLOOKUP(OpenPendingCases[[#This Row],[Timepiece Reference ]], Table1[[Timepiece Reference ]], Table1[CRC STOCK], "Not Found")="YES", "CRC Stock", "Boutique Stock"))</f>
        <v/>
      </c>
      <c r="K487" s="136">
        <f>IF(OpenPendingCases[[#This Row],[Timepiece Reference ]]="", "", IF(_xlfn.XLOOKUP(OpenPendingCases[[#This Row],[Timepiece Reference ]], Table1[[Timepiece Reference ]], Table1[CRC STOCK], "Not Found")="YES", "CRC Stock", "Boutique Stock"))</f>
        <v/>
      </c>
      <c r="L487" s="142" t="n"/>
      <c r="M487" s="140" t="n"/>
      <c r="N487" s="136" t="n"/>
      <c r="O487" s="133" t="n"/>
      <c r="P487" s="93">
        <f>IFERROR(VLOOKUP(TRIM(O487), Collection!$B$2:$D$1001, 2, FALSE), "")</f>
        <v/>
      </c>
      <c r="Q487" s="190">
        <f>IFERROR(VLOOKUP(TRIM(O487), Collection!$B$2:$D$1001, 3, FALSE), "")</f>
        <v/>
      </c>
      <c r="R487" s="153">
        <f>IFERROR(VALUE(SUBSTITUTE(SUBSTITUTE(Q487, "Price", ""), "AED", "")), "")</f>
        <v/>
      </c>
      <c r="S487" s="151" t="n"/>
      <c r="T487" s="158" t="n"/>
      <c r="U487" s="136" t="n"/>
      <c r="V487" s="136" t="n"/>
      <c r="W487" s="156">
        <f>IF(Z487 = "",
"",
TEXT(Z487, "mmmm"))</f>
        <v/>
      </c>
      <c r="X487" s="157" t="n"/>
      <c r="Y487" s="158" t="n"/>
      <c r="Z487" s="158" t="n"/>
      <c r="AA487" s="136">
        <f>IF(H487="", "", IF(U487="Open Sale", IF(TODAY()-H487=0, "0 Days", TEXT(TODAY()-H487, "0") &amp; " Days"), IF(U487="Closed Sale", AA487, "")))</f>
        <v/>
      </c>
      <c r="AB487" s="136">
        <f>IF(H487="", "", IF(OR(U487="Pending", U487="Pending Allocation"), CONCATENATE(TODAY()-H487, " Days"), IF(U487="Closed", "", "")))</f>
        <v/>
      </c>
      <c r="AC487" s="160">
        <f>IF(U487="Pending Allocation", IF(I487="", "", TODAY()-I487), "")</f>
        <v/>
      </c>
      <c r="AD487" s="159">
        <f>IF(U487="Open Sale", TEXT(TODAY()-I487, "0"),
IF(U487="Pending", "",
IF(U487="Closed Sale", "", "")))</f>
        <v/>
      </c>
      <c r="AE487" s="161" t="n"/>
      <c r="AF487" s="161" t="n"/>
      <c r="AG487" s="161" t="n"/>
      <c r="AH487" s="136" t="n"/>
      <c r="AI487" s="164">
        <f>IF(I487="","",TEXT(I487, "mmmm yyyy"))</f>
        <v/>
      </c>
      <c r="AJ487" s="164">
        <f>IF(AND(OpenPendingCases[[#This Row],[Sale Status	]]="Open Sale",OpenPendingCases[[#This Row],[Potential Same Month]]="High"),TEXT(OpenPendingCases[[#This Row],[Request Entry Date]], "[$-en-us]mmmm"),"")</f>
        <v/>
      </c>
      <c r="AK487" s="165">
        <f>IFERROR(VALUE(SUBSTITUTE(OpenPendingCases[[#This Row],[Price]]," AED","")),"")</f>
        <v/>
      </c>
      <c r="AL487" s="165">
        <f>IFERROR(VALUE(LEFT(OpenPendingCases[[#This Row],[Price]],FIND(" ",OpenPendingCases[[#This Row],[Price]])-1)),"")</f>
        <v/>
      </c>
      <c r="AM487" s="165">
        <f>IFERROR(VALUE(_xlfn.TEXTBEFORE(OpenPendingCases[[#This Row],[Price]]," AED")),"")</f>
        <v/>
      </c>
      <c r="AN487" s="165" t="n"/>
    </row>
    <row r="488" hidden="1" ht="18" customHeight="1" s="287">
      <c r="C488" s="133" t="n"/>
      <c r="D488" s="136">
        <f>IF($U488="Open Sale", IF(MAX($D$4:D487)+1=0, "", MAX($D$4:D487)+1), "")</f>
        <v/>
      </c>
      <c r="E488" s="136">
        <f>IF($U488="Pending Allocation", IF(MAX($E$4:E487)+1=0, "", MAX($E$4:E487)+1), "")</f>
        <v/>
      </c>
      <c r="F488" s="136" t="n"/>
      <c r="G488" s="136" t="n"/>
      <c r="H488" s="150" t="n"/>
      <c r="I488" s="150" t="n"/>
      <c r="J488" s="67">
        <f>IF(OpenPendingCases[[#This Row],[Timepiece Reference ]]="", "", IF(_xlfn.XLOOKUP(OpenPendingCases[[#This Row],[Timepiece Reference ]], Table1[[Timepiece Reference ]], Table1[CRC STOCK], "Not Found")="YES", "CRC Stock", "Boutique Stock"))</f>
        <v/>
      </c>
      <c r="K488" s="136">
        <f>IF(OpenPendingCases[[#This Row],[Timepiece Reference ]]="", "", IF(_xlfn.XLOOKUP(OpenPendingCases[[#This Row],[Timepiece Reference ]], Table1[[Timepiece Reference ]], Table1[CRC STOCK], "Not Found")="YES", "CRC Stock", "Boutique Stock"))</f>
        <v/>
      </c>
      <c r="L488" s="142" t="n"/>
      <c r="M488" s="140" t="n"/>
      <c r="N488" s="136" t="n"/>
      <c r="O488" s="133" t="n"/>
      <c r="P488" s="93">
        <f>IFERROR(VLOOKUP(TRIM(O488), Collection!$B$2:$D$1001, 2, FALSE), "")</f>
        <v/>
      </c>
      <c r="Q488" s="190">
        <f>IFERROR(VLOOKUP(TRIM(O488), Collection!$B$2:$D$1001, 3, FALSE), "")</f>
        <v/>
      </c>
      <c r="R488" s="153">
        <f>IFERROR(VALUE(SUBSTITUTE(SUBSTITUTE(Q488, "Price", ""), "AED", "")), "")</f>
        <v/>
      </c>
      <c r="S488" s="151" t="n"/>
      <c r="T488" s="158" t="n"/>
      <c r="U488" s="136" t="n"/>
      <c r="V488" s="136" t="n"/>
      <c r="W488" s="156">
        <f>IF(Z488 = "",
"",
TEXT(Z488, "mmmm"))</f>
        <v/>
      </c>
      <c r="X488" s="157" t="n"/>
      <c r="Y488" s="158" t="n"/>
      <c r="Z488" s="158" t="n"/>
      <c r="AA488" s="136">
        <f>IF(H488="", "", IF(U488="Open Sale", IF(TODAY()-H488=0, "0 Days", TEXT(TODAY()-H488, "0") &amp; " Days"), IF(U488="Closed Sale", AA488, "")))</f>
        <v/>
      </c>
      <c r="AB488" s="136">
        <f>IF(H488="", "", IF(OR(U488="Pending", U488="Pending Allocation"), CONCATENATE(TODAY()-H488, " Days"), IF(U488="Closed", "", "")))</f>
        <v/>
      </c>
      <c r="AC488" s="160">
        <f>IF(U488="Pending Allocation", IF(I488="", "", TODAY()-I488), "")</f>
        <v/>
      </c>
      <c r="AD488" s="159">
        <f>IF(U488="Open Sale", TEXT(TODAY()-I488, "0"),
IF(U488="Pending", "",
IF(U488="Closed Sale", "", "")))</f>
        <v/>
      </c>
      <c r="AE488" s="161" t="n"/>
      <c r="AF488" s="161" t="n"/>
      <c r="AG488" s="161" t="n"/>
      <c r="AH488" s="136" t="n"/>
      <c r="AI488" s="164">
        <f>IF(I488="","",TEXT(I488, "mmmm yyyy"))</f>
        <v/>
      </c>
      <c r="AJ488" s="164">
        <f>IF(AND(OpenPendingCases[[#This Row],[Sale Status	]]="Open Sale",OpenPendingCases[[#This Row],[Potential Same Month]]="High"),TEXT(OpenPendingCases[[#This Row],[Request Entry Date]], "[$-en-us]mmmm"),"")</f>
        <v/>
      </c>
      <c r="AK488" s="165">
        <f>IFERROR(VALUE(SUBSTITUTE(OpenPendingCases[[#This Row],[Price]]," AED","")),"")</f>
        <v/>
      </c>
      <c r="AL488" s="165">
        <f>IFERROR(VALUE(LEFT(OpenPendingCases[[#This Row],[Price]],FIND(" ",OpenPendingCases[[#This Row],[Price]])-1)),"")</f>
        <v/>
      </c>
      <c r="AM488" s="165">
        <f>IFERROR(VALUE(_xlfn.TEXTBEFORE(OpenPendingCases[[#This Row],[Price]]," AED")),"")</f>
        <v/>
      </c>
      <c r="AN488" s="165" t="n"/>
    </row>
    <row r="489" hidden="1" ht="18" customHeight="1" s="287">
      <c r="C489" s="133" t="n"/>
      <c r="D489" s="136">
        <f>IF($U489="Open Sale", IF(MAX($D$4:D488)+1=0, "", MAX($D$4:D488)+1), "")</f>
        <v/>
      </c>
      <c r="E489" s="136">
        <f>IF($U489="Pending Allocation", IF(MAX($E$4:E488)+1=0, "", MAX($E$4:E488)+1), "")</f>
        <v/>
      </c>
      <c r="F489" s="136" t="n"/>
      <c r="G489" s="136" t="n"/>
      <c r="H489" s="150" t="n"/>
      <c r="I489" s="150" t="n"/>
      <c r="J489" s="67">
        <f>IF(OpenPendingCases[[#This Row],[Timepiece Reference ]]="", "", IF(_xlfn.XLOOKUP(OpenPendingCases[[#This Row],[Timepiece Reference ]], Table1[[Timepiece Reference ]], Table1[CRC STOCK], "Not Found")="YES", "CRC Stock", "Boutique Stock"))</f>
        <v/>
      </c>
      <c r="K489" s="136">
        <f>IF(OpenPendingCases[[#This Row],[Timepiece Reference ]]="", "", IF(_xlfn.XLOOKUP(OpenPendingCases[[#This Row],[Timepiece Reference ]], Table1[[Timepiece Reference ]], Table1[CRC STOCK], "Not Found")="YES", "CRC Stock", "Boutique Stock"))</f>
        <v/>
      </c>
      <c r="L489" s="142" t="n"/>
      <c r="M489" s="140" t="n"/>
      <c r="N489" s="136" t="n"/>
      <c r="O489" s="133" t="n"/>
      <c r="P489" s="93">
        <f>IFERROR(VLOOKUP(TRIM(O489), Collection!$B$2:$D$1001, 2, FALSE), "")</f>
        <v/>
      </c>
      <c r="Q489" s="190">
        <f>IFERROR(VLOOKUP(TRIM(O489), Collection!$B$2:$D$1001, 3, FALSE), "")</f>
        <v/>
      </c>
      <c r="R489" s="153">
        <f>IFERROR(VALUE(SUBSTITUTE(SUBSTITUTE(Q489, "Price", ""), "AED", "")), "")</f>
        <v/>
      </c>
      <c r="S489" s="151" t="n"/>
      <c r="T489" s="158" t="n"/>
      <c r="U489" s="136" t="n"/>
      <c r="V489" s="136" t="n"/>
      <c r="W489" s="156">
        <f>IF(Z489 = "",
"",
TEXT(Z489, "mmmm"))</f>
        <v/>
      </c>
      <c r="X489" s="157" t="n"/>
      <c r="Y489" s="158" t="n"/>
      <c r="Z489" s="158" t="n"/>
      <c r="AA489" s="136">
        <f>IF(H489="", "", IF(U489="Open Sale", IF(TODAY()-H489=0, "0 Days", TEXT(TODAY()-H489, "0") &amp; " Days"), IF(U489="Closed Sale", AA489, "")))</f>
        <v/>
      </c>
      <c r="AB489" s="136">
        <f>IF(H489="", "", IF(OR(U489="Pending", U489="Pending Allocation"), CONCATENATE(TODAY()-H489, " Days"), IF(U489="Closed", "", "")))</f>
        <v/>
      </c>
      <c r="AC489" s="160">
        <f>IF(U489="Pending Allocation", IF(I489="", "", TODAY()-I489), "")</f>
        <v/>
      </c>
      <c r="AD489" s="159">
        <f>IF(U489="Open Sale", TEXT(TODAY()-I489, "0"),
IF(U489="Pending", "",
IF(U489="Closed Sale", "", "")))</f>
        <v/>
      </c>
      <c r="AE489" s="161" t="n"/>
      <c r="AF489" s="161" t="n"/>
      <c r="AG489" s="161" t="n"/>
      <c r="AH489" s="136" t="n"/>
      <c r="AI489" s="164">
        <f>IF(I489="","",TEXT(I489, "mmmm yyyy"))</f>
        <v/>
      </c>
      <c r="AJ489" s="164">
        <f>IF(AND(OpenPendingCases[[#This Row],[Sale Status	]]="Open Sale",OpenPendingCases[[#This Row],[Potential Same Month]]="High"),TEXT(OpenPendingCases[[#This Row],[Request Entry Date]], "[$-en-us]mmmm"),"")</f>
        <v/>
      </c>
      <c r="AK489" s="165">
        <f>IFERROR(VALUE(SUBSTITUTE(OpenPendingCases[[#This Row],[Price]]," AED","")),"")</f>
        <v/>
      </c>
      <c r="AL489" s="165">
        <f>IFERROR(VALUE(LEFT(OpenPendingCases[[#This Row],[Price]],FIND(" ",OpenPendingCases[[#This Row],[Price]])-1)),"")</f>
        <v/>
      </c>
      <c r="AM489" s="165">
        <f>IFERROR(VALUE(_xlfn.TEXTBEFORE(OpenPendingCases[[#This Row],[Price]]," AED")),"")</f>
        <v/>
      </c>
      <c r="AN489" s="165" t="n"/>
    </row>
    <row r="490" hidden="1" ht="18" customHeight="1" s="287">
      <c r="C490" s="133" t="n"/>
      <c r="D490" s="136">
        <f>IF($U490="Open Sale", IF(MAX($D$4:D489)+1=0, "", MAX($D$4:D489)+1), "")</f>
        <v/>
      </c>
      <c r="E490" s="136">
        <f>IF($U490="Pending Allocation", IF(MAX($E$4:E489)+1=0, "", MAX($E$4:E489)+1), "")</f>
        <v/>
      </c>
      <c r="F490" s="136" t="n"/>
      <c r="G490" s="136" t="n"/>
      <c r="H490" s="150" t="n"/>
      <c r="I490" s="150" t="n"/>
      <c r="J490" s="67">
        <f>IF(OpenPendingCases[[#This Row],[Timepiece Reference ]]="", "", IF(_xlfn.XLOOKUP(OpenPendingCases[[#This Row],[Timepiece Reference ]], Table1[[Timepiece Reference ]], Table1[CRC STOCK], "Not Found")="YES", "CRC Stock", "Boutique Stock"))</f>
        <v/>
      </c>
      <c r="K490" s="136">
        <f>IF(OpenPendingCases[[#This Row],[Timepiece Reference ]]="", "", IF(_xlfn.XLOOKUP(OpenPendingCases[[#This Row],[Timepiece Reference ]], Table1[[Timepiece Reference ]], Table1[CRC STOCK], "Not Found")="YES", "CRC Stock", "Boutique Stock"))</f>
        <v/>
      </c>
      <c r="L490" s="142" t="n"/>
      <c r="M490" s="140" t="n"/>
      <c r="N490" s="136" t="n"/>
      <c r="O490" s="133" t="n"/>
      <c r="P490" s="93">
        <f>IFERROR(VLOOKUP(TRIM(O490), Collection!$B$2:$D$1001, 2, FALSE), "")</f>
        <v/>
      </c>
      <c r="Q490" s="190">
        <f>IFERROR(VLOOKUP(TRIM(O490), Collection!$B$2:$D$1001, 3, FALSE), "")</f>
        <v/>
      </c>
      <c r="R490" s="153">
        <f>IFERROR(VALUE(SUBSTITUTE(SUBSTITUTE(Q490, "Price", ""), "AED", "")), "")</f>
        <v/>
      </c>
      <c r="S490" s="151" t="n"/>
      <c r="T490" s="158" t="n"/>
      <c r="U490" s="136" t="n"/>
      <c r="V490" s="136" t="n"/>
      <c r="W490" s="156">
        <f>IF(Z490 = "",
"",
TEXT(Z490, "mmmm"))</f>
        <v/>
      </c>
      <c r="X490" s="157" t="n"/>
      <c r="Y490" s="158" t="n"/>
      <c r="Z490" s="158" t="n"/>
      <c r="AA490" s="136">
        <f>IF(H490="", "", IF(U490="Open Sale", IF(TODAY()-H490=0, "0 Days", TEXT(TODAY()-H490, "0") &amp; " Days"), IF(U490="Closed Sale", AA490, "")))</f>
        <v/>
      </c>
      <c r="AB490" s="136">
        <f>IF(H490="", "", IF(OR(U490="Pending", U490="Pending Allocation"), CONCATENATE(TODAY()-H490, " Days"), IF(U490="Closed", "", "")))</f>
        <v/>
      </c>
      <c r="AC490" s="160">
        <f>IF(U490="Pending Allocation", IF(I490="", "", TODAY()-I490), "")</f>
        <v/>
      </c>
      <c r="AD490" s="159">
        <f>IF(U490="Open Sale", TEXT(TODAY()-I490, "0"),
IF(U490="Pending", "",
IF(U490="Closed Sale", "", "")))</f>
        <v/>
      </c>
      <c r="AE490" s="161" t="n"/>
      <c r="AF490" s="161" t="n"/>
      <c r="AG490" s="161" t="n"/>
      <c r="AH490" s="136" t="n"/>
      <c r="AI490" s="164">
        <f>IF(I490="","",TEXT(I490, "mmmm yyyy"))</f>
        <v/>
      </c>
      <c r="AJ490" s="164">
        <f>IF(AND(OpenPendingCases[[#This Row],[Sale Status	]]="Open Sale",OpenPendingCases[[#This Row],[Potential Same Month]]="High"),TEXT(OpenPendingCases[[#This Row],[Request Entry Date]], "[$-en-us]mmmm"),"")</f>
        <v/>
      </c>
      <c r="AK490" s="165">
        <f>IFERROR(VALUE(SUBSTITUTE(OpenPendingCases[[#This Row],[Price]]," AED","")),"")</f>
        <v/>
      </c>
      <c r="AL490" s="165">
        <f>IFERROR(VALUE(LEFT(OpenPendingCases[[#This Row],[Price]],FIND(" ",OpenPendingCases[[#This Row],[Price]])-1)),"")</f>
        <v/>
      </c>
      <c r="AM490" s="165">
        <f>IFERROR(VALUE(_xlfn.TEXTBEFORE(OpenPendingCases[[#This Row],[Price]]," AED")),"")</f>
        <v/>
      </c>
      <c r="AN490" s="165" t="n"/>
    </row>
    <row r="491" hidden="1" ht="18" customHeight="1" s="287">
      <c r="C491" s="133" t="n"/>
      <c r="D491" s="136">
        <f>IF($U491="Open Sale", IF(MAX($D$4:D490)+1=0, "", MAX($D$4:D490)+1), "")</f>
        <v/>
      </c>
      <c r="E491" s="136">
        <f>IF($U491="Pending Allocation", IF(MAX($E$4:E490)+1=0, "", MAX($E$4:E490)+1), "")</f>
        <v/>
      </c>
      <c r="F491" s="136" t="n"/>
      <c r="G491" s="136" t="n"/>
      <c r="H491" s="150" t="n"/>
      <c r="I491" s="150" t="n"/>
      <c r="J491" s="67">
        <f>IF(OpenPendingCases[[#This Row],[Timepiece Reference ]]="", "", IF(_xlfn.XLOOKUP(OpenPendingCases[[#This Row],[Timepiece Reference ]], Table1[[Timepiece Reference ]], Table1[CRC STOCK], "Not Found")="YES", "CRC Stock", "Boutique Stock"))</f>
        <v/>
      </c>
      <c r="K491" s="136">
        <f>IF(OpenPendingCases[[#This Row],[Timepiece Reference ]]="", "", IF(_xlfn.XLOOKUP(OpenPendingCases[[#This Row],[Timepiece Reference ]], Table1[[Timepiece Reference ]], Table1[CRC STOCK], "Not Found")="YES", "CRC Stock", "Boutique Stock"))</f>
        <v/>
      </c>
      <c r="L491" s="142" t="n"/>
      <c r="M491" s="140" t="n"/>
      <c r="N491" s="136" t="n"/>
      <c r="O491" s="133" t="n"/>
      <c r="P491" s="93">
        <f>IFERROR(VLOOKUP(TRIM(O491), Collection!$B$2:$D$1001, 2, FALSE), "")</f>
        <v/>
      </c>
      <c r="Q491" s="190">
        <f>IFERROR(VLOOKUP(TRIM(O491), Collection!$B$2:$D$1001, 3, FALSE), "")</f>
        <v/>
      </c>
      <c r="R491" s="153">
        <f>IFERROR(VALUE(SUBSTITUTE(SUBSTITUTE(Q491, "Price", ""), "AED", "")), "")</f>
        <v/>
      </c>
      <c r="S491" s="151" t="n"/>
      <c r="T491" s="158" t="n"/>
      <c r="U491" s="136" t="n"/>
      <c r="V491" s="136" t="n"/>
      <c r="W491" s="156">
        <f>IF(Z491 = "",
"",
TEXT(Z491, "mmmm"))</f>
        <v/>
      </c>
      <c r="X491" s="157" t="n"/>
      <c r="Y491" s="158" t="n"/>
      <c r="Z491" s="158" t="n"/>
      <c r="AA491" s="136">
        <f>IF(H491="", "", IF(U491="Open Sale", IF(TODAY()-H491=0, "0 Days", TEXT(TODAY()-H491, "0") &amp; " Days"), IF(U491="Closed Sale", AA491, "")))</f>
        <v/>
      </c>
      <c r="AB491" s="136">
        <f>IF(H491="", "", IF(OR(U491="Pending", U491="Pending Allocation"), CONCATENATE(TODAY()-H491, " Days"), IF(U491="Closed", "", "")))</f>
        <v/>
      </c>
      <c r="AC491" s="160">
        <f>IF(U491="Pending Allocation", IF(I491="", "", TODAY()-I491), "")</f>
        <v/>
      </c>
      <c r="AD491" s="159">
        <f>IF(U491="Open Sale", TEXT(TODAY()-I491, "0"),
IF(U491="Pending", "",
IF(U491="Closed Sale", "", "")))</f>
        <v/>
      </c>
      <c r="AE491" s="161" t="n"/>
      <c r="AF491" s="161" t="n"/>
      <c r="AG491" s="161" t="n"/>
      <c r="AH491" s="136" t="n"/>
      <c r="AI491" s="164">
        <f>IF(I491="","",TEXT(I491, "mmmm yyyy"))</f>
        <v/>
      </c>
      <c r="AJ491" s="164">
        <f>IF(AND(OpenPendingCases[[#This Row],[Sale Status	]]="Open Sale",OpenPendingCases[[#This Row],[Potential Same Month]]="High"),TEXT(OpenPendingCases[[#This Row],[Request Entry Date]], "[$-en-us]mmmm"),"")</f>
        <v/>
      </c>
      <c r="AK491" s="165">
        <f>IFERROR(VALUE(SUBSTITUTE(OpenPendingCases[[#This Row],[Price]]," AED","")),"")</f>
        <v/>
      </c>
      <c r="AL491" s="165">
        <f>IFERROR(VALUE(LEFT(OpenPendingCases[[#This Row],[Price]],FIND(" ",OpenPendingCases[[#This Row],[Price]])-1)),"")</f>
        <v/>
      </c>
      <c r="AM491" s="165">
        <f>IFERROR(VALUE(_xlfn.TEXTBEFORE(OpenPendingCases[[#This Row],[Price]]," AED")),"")</f>
        <v/>
      </c>
      <c r="AN491" s="165" t="n"/>
    </row>
    <row r="492" hidden="1" ht="18" customHeight="1" s="287">
      <c r="C492" s="133" t="n"/>
      <c r="D492" s="136">
        <f>IF($U492="Open Sale", IF(MAX($D$4:D491)+1=0, "", MAX($D$4:D491)+1), "")</f>
        <v/>
      </c>
      <c r="E492" s="136">
        <f>IF($U492="Pending Allocation", IF(MAX($E$4:E491)+1=0, "", MAX($E$4:E491)+1), "")</f>
        <v/>
      </c>
      <c r="F492" s="136" t="n"/>
      <c r="G492" s="136" t="n"/>
      <c r="H492" s="150" t="n"/>
      <c r="I492" s="150" t="n"/>
      <c r="J492" s="67">
        <f>IF(OpenPendingCases[[#This Row],[Timepiece Reference ]]="", "", IF(_xlfn.XLOOKUP(OpenPendingCases[[#This Row],[Timepiece Reference ]], Table1[[Timepiece Reference ]], Table1[CRC STOCK], "Not Found")="YES", "CRC Stock", "Boutique Stock"))</f>
        <v/>
      </c>
      <c r="K492" s="136">
        <f>IF(OpenPendingCases[[#This Row],[Timepiece Reference ]]="", "", IF(_xlfn.XLOOKUP(OpenPendingCases[[#This Row],[Timepiece Reference ]], Table1[[Timepiece Reference ]], Table1[CRC STOCK], "Not Found")="YES", "CRC Stock", "Boutique Stock"))</f>
        <v/>
      </c>
      <c r="L492" s="142" t="n"/>
      <c r="M492" s="140" t="n"/>
      <c r="N492" s="136" t="n"/>
      <c r="O492" s="133" t="n"/>
      <c r="P492" s="93">
        <f>IFERROR(VLOOKUP(TRIM(O492), Collection!$B$2:$D$1001, 2, FALSE), "")</f>
        <v/>
      </c>
      <c r="Q492" s="190">
        <f>IFERROR(VLOOKUP(TRIM(O492), Collection!$B$2:$D$1001, 3, FALSE), "")</f>
        <v/>
      </c>
      <c r="R492" s="153">
        <f>IFERROR(VALUE(SUBSTITUTE(SUBSTITUTE(Q492, "Price", ""), "AED", "")), "")</f>
        <v/>
      </c>
      <c r="S492" s="151" t="n"/>
      <c r="T492" s="158" t="n"/>
      <c r="U492" s="136" t="n"/>
      <c r="V492" s="136" t="n"/>
      <c r="W492" s="156">
        <f>IF(Z492 = "",
"",
TEXT(Z492, "mmmm"))</f>
        <v/>
      </c>
      <c r="X492" s="157" t="n"/>
      <c r="Y492" s="158" t="n"/>
      <c r="Z492" s="158" t="n"/>
      <c r="AA492" s="136">
        <f>IF(H492="", "", IF(U492="Open Sale", IF(TODAY()-H492=0, "0 Days", TEXT(TODAY()-H492, "0") &amp; " Days"), IF(U492="Closed Sale", AA492, "")))</f>
        <v/>
      </c>
      <c r="AB492" s="136">
        <f>IF(H492="", "", IF(OR(U492="Pending", U492="Pending Allocation"), CONCATENATE(TODAY()-H492, " Days"), IF(U492="Closed", "", "")))</f>
        <v/>
      </c>
      <c r="AC492" s="160">
        <f>IF(U492="Pending Allocation", IF(I492="", "", TODAY()-I492), "")</f>
        <v/>
      </c>
      <c r="AD492" s="159">
        <f>IF(U492="Open Sale", TEXT(TODAY()-I492, "0"),
IF(U492="Pending", "",
IF(U492="Closed Sale", "", "")))</f>
        <v/>
      </c>
      <c r="AE492" s="161" t="n"/>
      <c r="AF492" s="161" t="n"/>
      <c r="AG492" s="161" t="n"/>
      <c r="AH492" s="136" t="n"/>
      <c r="AI492" s="164">
        <f>IF(I492="","",TEXT(I492, "mmmm yyyy"))</f>
        <v/>
      </c>
      <c r="AJ492" s="164">
        <f>IF(AND(OpenPendingCases[[#This Row],[Sale Status	]]="Open Sale",OpenPendingCases[[#This Row],[Potential Same Month]]="High"),TEXT(OpenPendingCases[[#This Row],[Request Entry Date]], "[$-en-us]mmmm"),"")</f>
        <v/>
      </c>
      <c r="AK492" s="165">
        <f>IFERROR(VALUE(SUBSTITUTE(OpenPendingCases[[#This Row],[Price]]," AED","")),"")</f>
        <v/>
      </c>
      <c r="AL492" s="165">
        <f>IFERROR(VALUE(LEFT(OpenPendingCases[[#This Row],[Price]],FIND(" ",OpenPendingCases[[#This Row],[Price]])-1)),"")</f>
        <v/>
      </c>
      <c r="AM492" s="165">
        <f>IFERROR(VALUE(_xlfn.TEXTBEFORE(OpenPendingCases[[#This Row],[Price]]," AED")),"")</f>
        <v/>
      </c>
      <c r="AN492" s="165" t="n"/>
    </row>
    <row r="493" hidden="1" ht="18" customHeight="1" s="287">
      <c r="C493" s="133" t="n"/>
      <c r="D493" s="136">
        <f>IF($U493="Open Sale", IF(MAX($D$4:D492)+1=0, "", MAX($D$4:D492)+1), "")</f>
        <v/>
      </c>
      <c r="E493" s="136">
        <f>IF($U493="Pending Allocation", IF(MAX($E$4:E492)+1=0, "", MAX($E$4:E492)+1), "")</f>
        <v/>
      </c>
      <c r="F493" s="136" t="n"/>
      <c r="G493" s="136" t="n"/>
      <c r="H493" s="150" t="n"/>
      <c r="I493" s="150" t="n"/>
      <c r="J493" s="67">
        <f>IF(OpenPendingCases[[#This Row],[Timepiece Reference ]]="", "", IF(_xlfn.XLOOKUP(OpenPendingCases[[#This Row],[Timepiece Reference ]], Table1[[Timepiece Reference ]], Table1[CRC STOCK], "Not Found")="YES", "CRC Stock", "Boutique Stock"))</f>
        <v/>
      </c>
      <c r="K493" s="136">
        <f>IF(OpenPendingCases[[#This Row],[Timepiece Reference ]]="", "", IF(_xlfn.XLOOKUP(OpenPendingCases[[#This Row],[Timepiece Reference ]], Table1[[Timepiece Reference ]], Table1[CRC STOCK], "Not Found")="YES", "CRC Stock", "Boutique Stock"))</f>
        <v/>
      </c>
      <c r="L493" s="142" t="n"/>
      <c r="M493" s="140" t="n"/>
      <c r="N493" s="136" t="n"/>
      <c r="O493" s="133" t="n"/>
      <c r="P493" s="93">
        <f>IFERROR(VLOOKUP(TRIM(O493), Collection!$B$2:$D$1001, 2, FALSE), "")</f>
        <v/>
      </c>
      <c r="Q493" s="190">
        <f>IFERROR(VLOOKUP(TRIM(O493), Collection!$B$2:$D$1001, 3, FALSE), "")</f>
        <v/>
      </c>
      <c r="R493" s="153">
        <f>IFERROR(VALUE(SUBSTITUTE(SUBSTITUTE(Q493, "Price", ""), "AED", "")), "")</f>
        <v/>
      </c>
      <c r="S493" s="151" t="n"/>
      <c r="T493" s="158" t="n"/>
      <c r="U493" s="136" t="n"/>
      <c r="V493" s="136" t="n"/>
      <c r="W493" s="156">
        <f>IF(Z493 = "",
"",
TEXT(Z493, "mmmm"))</f>
        <v/>
      </c>
      <c r="X493" s="157" t="n"/>
      <c r="Y493" s="158" t="n"/>
      <c r="Z493" s="158" t="n"/>
      <c r="AA493" s="136">
        <f>IF(H493="", "", IF(U493="Open Sale", IF(TODAY()-H493=0, "0 Days", TEXT(TODAY()-H493, "0") &amp; " Days"), IF(U493="Closed Sale", AA493, "")))</f>
        <v/>
      </c>
      <c r="AB493" s="136">
        <f>IF(H493="", "", IF(OR(U493="Pending", U493="Pending Allocation"), CONCATENATE(TODAY()-H493, " Days"), IF(U493="Closed", "", "")))</f>
        <v/>
      </c>
      <c r="AC493" s="160">
        <f>IF(U493="Pending Allocation", IF(I493="", "", TODAY()-I493), "")</f>
        <v/>
      </c>
      <c r="AD493" s="159">
        <f>IF(U493="Open Sale", TEXT(TODAY()-I493, "0"),
IF(U493="Pending", "",
IF(U493="Closed Sale", "", "")))</f>
        <v/>
      </c>
      <c r="AE493" s="161" t="n"/>
      <c r="AF493" s="161" t="n"/>
      <c r="AG493" s="161" t="n"/>
      <c r="AH493" s="136" t="n"/>
      <c r="AI493" s="164">
        <f>IF(I493="","",TEXT(I493, "mmmm yyyy"))</f>
        <v/>
      </c>
      <c r="AJ493" s="164">
        <f>IF(AND(OpenPendingCases[[#This Row],[Sale Status	]]="Open Sale",OpenPendingCases[[#This Row],[Potential Same Month]]="High"),TEXT(OpenPendingCases[[#This Row],[Request Entry Date]], "[$-en-us]mmmm"),"")</f>
        <v/>
      </c>
      <c r="AK493" s="165">
        <f>IFERROR(VALUE(SUBSTITUTE(OpenPendingCases[[#This Row],[Price]]," AED","")),"")</f>
        <v/>
      </c>
      <c r="AL493" s="165">
        <f>IFERROR(VALUE(LEFT(OpenPendingCases[[#This Row],[Price]],FIND(" ",OpenPendingCases[[#This Row],[Price]])-1)),"")</f>
        <v/>
      </c>
      <c r="AM493" s="165">
        <f>IFERROR(VALUE(_xlfn.TEXTBEFORE(OpenPendingCases[[#This Row],[Price]]," AED")),"")</f>
        <v/>
      </c>
      <c r="AN493" s="165" t="n"/>
    </row>
    <row r="494" hidden="1" ht="18" customHeight="1" s="287">
      <c r="C494" s="133" t="n"/>
      <c r="D494" s="136">
        <f>IF($U494="Open Sale", IF(MAX($D$4:D493)+1=0, "", MAX($D$4:D493)+1), "")</f>
        <v/>
      </c>
      <c r="E494" s="136">
        <f>IF($U494="Pending Allocation", IF(MAX($E$4:E493)+1=0, "", MAX($E$4:E493)+1), "")</f>
        <v/>
      </c>
      <c r="F494" s="136" t="n"/>
      <c r="G494" s="136" t="n"/>
      <c r="H494" s="150" t="n"/>
      <c r="I494" s="150" t="n"/>
      <c r="J494" s="67">
        <f>IF(OpenPendingCases[[#This Row],[Timepiece Reference ]]="", "", IF(_xlfn.XLOOKUP(OpenPendingCases[[#This Row],[Timepiece Reference ]], Table1[[Timepiece Reference ]], Table1[CRC STOCK], "Not Found")="YES", "CRC Stock", "Boutique Stock"))</f>
        <v/>
      </c>
      <c r="K494" s="136">
        <f>IF(OpenPendingCases[[#This Row],[Timepiece Reference ]]="", "", IF(_xlfn.XLOOKUP(OpenPendingCases[[#This Row],[Timepiece Reference ]], Table1[[Timepiece Reference ]], Table1[CRC STOCK], "Not Found")="YES", "CRC Stock", "Boutique Stock"))</f>
        <v/>
      </c>
      <c r="L494" s="142" t="n"/>
      <c r="M494" s="140" t="n"/>
      <c r="N494" s="136" t="n"/>
      <c r="O494" s="133" t="n"/>
      <c r="P494" s="93">
        <f>IFERROR(VLOOKUP(TRIM(O494), Collection!$B$2:$D$1001, 2, FALSE), "")</f>
        <v/>
      </c>
      <c r="Q494" s="190">
        <f>IFERROR(VLOOKUP(TRIM(O494), Collection!$B$2:$D$1001, 3, FALSE), "")</f>
        <v/>
      </c>
      <c r="R494" s="153">
        <f>IFERROR(VALUE(SUBSTITUTE(SUBSTITUTE(Q494, "Price", ""), "AED", "")), "")</f>
        <v/>
      </c>
      <c r="S494" s="151" t="n"/>
      <c r="T494" s="158" t="n"/>
      <c r="U494" s="136" t="n"/>
      <c r="V494" s="136" t="n"/>
      <c r="W494" s="156">
        <f>IF(Z494 = "",
"",
TEXT(Z494, "mmmm"))</f>
        <v/>
      </c>
      <c r="X494" s="157" t="n"/>
      <c r="Y494" s="158" t="n"/>
      <c r="Z494" s="158" t="n"/>
      <c r="AA494" s="136">
        <f>IF(H494="", "", IF(U494="Open Sale", IF(TODAY()-H494=0, "0 Days", TEXT(TODAY()-H494, "0") &amp; " Days"), IF(U494="Closed Sale", AA494, "")))</f>
        <v/>
      </c>
      <c r="AB494" s="136">
        <f>IF(H494="", "", IF(OR(U494="Pending", U494="Pending Allocation"), CONCATENATE(TODAY()-H494, " Days"), IF(U494="Closed", "", "")))</f>
        <v/>
      </c>
      <c r="AC494" s="160">
        <f>IF(U494="Pending Allocation", IF(I494="", "", TODAY()-I494), "")</f>
        <v/>
      </c>
      <c r="AD494" s="159">
        <f>IF(U494="Open Sale", TEXT(TODAY()-I494, "0"),
IF(U494="Pending", "",
IF(U494="Closed Sale", "", "")))</f>
        <v/>
      </c>
      <c r="AE494" s="161" t="n"/>
      <c r="AF494" s="161" t="n"/>
      <c r="AG494" s="161" t="n"/>
      <c r="AH494" s="136" t="n"/>
      <c r="AI494" s="164">
        <f>IF(I494="","",TEXT(I494, "mmmm yyyy"))</f>
        <v/>
      </c>
      <c r="AJ494" s="164">
        <f>IF(AND(OpenPendingCases[[#This Row],[Sale Status	]]="Open Sale",OpenPendingCases[[#This Row],[Potential Same Month]]="High"),TEXT(OpenPendingCases[[#This Row],[Request Entry Date]], "[$-en-us]mmmm"),"")</f>
        <v/>
      </c>
      <c r="AK494" s="165">
        <f>IFERROR(VALUE(SUBSTITUTE(OpenPendingCases[[#This Row],[Price]]," AED","")),"")</f>
        <v/>
      </c>
      <c r="AL494" s="165">
        <f>IFERROR(VALUE(LEFT(OpenPendingCases[[#This Row],[Price]],FIND(" ",OpenPendingCases[[#This Row],[Price]])-1)),"")</f>
        <v/>
      </c>
      <c r="AM494" s="165">
        <f>IFERROR(VALUE(_xlfn.TEXTBEFORE(OpenPendingCases[[#This Row],[Price]]," AED")),"")</f>
        <v/>
      </c>
      <c r="AN494" s="165" t="n"/>
    </row>
    <row r="495" hidden="1" ht="18" customHeight="1" s="287">
      <c r="C495" s="133" t="n"/>
      <c r="D495" s="136">
        <f>IF($U495="Open Sale", IF(MAX($D$4:D494)+1=0, "", MAX($D$4:D494)+1), "")</f>
        <v/>
      </c>
      <c r="E495" s="136">
        <f>IF($U495="Pending Allocation", IF(MAX($E$4:E494)+1=0, "", MAX($E$4:E494)+1), "")</f>
        <v/>
      </c>
      <c r="F495" s="136" t="n"/>
      <c r="G495" s="136" t="n"/>
      <c r="H495" s="150" t="n"/>
      <c r="I495" s="150" t="n"/>
      <c r="J495" s="67">
        <f>IF(OpenPendingCases[[#This Row],[Timepiece Reference ]]="", "", IF(_xlfn.XLOOKUP(OpenPendingCases[[#This Row],[Timepiece Reference ]], Table1[[Timepiece Reference ]], Table1[CRC STOCK], "Not Found")="YES", "CRC Stock", "Boutique Stock"))</f>
        <v/>
      </c>
      <c r="K495" s="136">
        <f>IF(OpenPendingCases[[#This Row],[Timepiece Reference ]]="", "", IF(_xlfn.XLOOKUP(OpenPendingCases[[#This Row],[Timepiece Reference ]], Table1[[Timepiece Reference ]], Table1[CRC STOCK], "Not Found")="YES", "CRC Stock", "Boutique Stock"))</f>
        <v/>
      </c>
      <c r="L495" s="142" t="n"/>
      <c r="M495" s="140" t="n"/>
      <c r="N495" s="136" t="n"/>
      <c r="O495" s="133" t="n"/>
      <c r="P495" s="93">
        <f>IFERROR(VLOOKUP(TRIM(O495), Collection!$B$2:$D$1001, 2, FALSE), "")</f>
        <v/>
      </c>
      <c r="Q495" s="190">
        <f>IFERROR(VLOOKUP(TRIM(O495), Collection!$B$2:$D$1001, 3, FALSE), "")</f>
        <v/>
      </c>
      <c r="R495" s="153">
        <f>IFERROR(VALUE(SUBSTITUTE(SUBSTITUTE(Q495, "Price", ""), "AED", "")), "")</f>
        <v/>
      </c>
      <c r="S495" s="151" t="n"/>
      <c r="T495" s="158" t="n"/>
      <c r="U495" s="136" t="n"/>
      <c r="V495" s="136" t="n"/>
      <c r="W495" s="156">
        <f>IF(Z495 = "",
"",
TEXT(Z495, "mmmm"))</f>
        <v/>
      </c>
      <c r="X495" s="157" t="n"/>
      <c r="Y495" s="158" t="n"/>
      <c r="Z495" s="158" t="n"/>
      <c r="AA495" s="136">
        <f>IF(H495="", "", IF(U495="Open Sale", IF(TODAY()-H495=0, "0 Days", TEXT(TODAY()-H495, "0") &amp; " Days"), IF(U495="Closed Sale", AA495, "")))</f>
        <v/>
      </c>
      <c r="AB495" s="136">
        <f>IF(H495="", "", IF(OR(U495="Pending", U495="Pending Allocation"), CONCATENATE(TODAY()-H495, " Days"), IF(U495="Closed", "", "")))</f>
        <v/>
      </c>
      <c r="AC495" s="160">
        <f>IF(U495="Pending Allocation", IF(I495="", "", TODAY()-I495), "")</f>
        <v/>
      </c>
      <c r="AD495" s="159">
        <f>IF(U495="Open Sale", TEXT(TODAY()-I495, "0"),
IF(U495="Pending", "",
IF(U495="Closed Sale", "", "")))</f>
        <v/>
      </c>
      <c r="AE495" s="161" t="n"/>
      <c r="AF495" s="161" t="n"/>
      <c r="AG495" s="161" t="n"/>
      <c r="AH495" s="136" t="n"/>
      <c r="AI495" s="164">
        <f>IF(I495="","",TEXT(I495, "mmmm yyyy"))</f>
        <v/>
      </c>
      <c r="AJ495" s="164">
        <f>IF(AND(OpenPendingCases[[#This Row],[Sale Status	]]="Open Sale",OpenPendingCases[[#This Row],[Potential Same Month]]="High"),TEXT(OpenPendingCases[[#This Row],[Request Entry Date]], "[$-en-us]mmmm"),"")</f>
        <v/>
      </c>
      <c r="AK495" s="165">
        <f>IFERROR(VALUE(SUBSTITUTE(OpenPendingCases[[#This Row],[Price]]," AED","")),"")</f>
        <v/>
      </c>
      <c r="AL495" s="165">
        <f>IFERROR(VALUE(LEFT(OpenPendingCases[[#This Row],[Price]],FIND(" ",OpenPendingCases[[#This Row],[Price]])-1)),"")</f>
        <v/>
      </c>
      <c r="AM495" s="165">
        <f>IFERROR(VALUE(_xlfn.TEXTBEFORE(OpenPendingCases[[#This Row],[Price]]," AED")),"")</f>
        <v/>
      </c>
      <c r="AN495" s="165" t="n"/>
    </row>
    <row r="496" hidden="1" ht="18" customHeight="1" s="287">
      <c r="C496" s="133" t="n"/>
      <c r="D496" s="136">
        <f>IF($U496="Open Sale", IF(MAX($D$4:D495)+1=0, "", MAX($D$4:D495)+1), "")</f>
        <v/>
      </c>
      <c r="E496" s="136">
        <f>IF($U496="Pending Allocation", IF(MAX($E$4:E495)+1=0, "", MAX($E$4:E495)+1), "")</f>
        <v/>
      </c>
      <c r="F496" s="136" t="n"/>
      <c r="G496" s="136" t="n"/>
      <c r="H496" s="150" t="n"/>
      <c r="I496" s="150" t="n"/>
      <c r="J496" s="67">
        <f>IF(OpenPendingCases[[#This Row],[Timepiece Reference ]]="", "", IF(_xlfn.XLOOKUP(OpenPendingCases[[#This Row],[Timepiece Reference ]], Table1[[Timepiece Reference ]], Table1[CRC STOCK], "Not Found")="YES", "CRC Stock", "Boutique Stock"))</f>
        <v/>
      </c>
      <c r="K496" s="136">
        <f>IF(OpenPendingCases[[#This Row],[Timepiece Reference ]]="", "", IF(_xlfn.XLOOKUP(OpenPendingCases[[#This Row],[Timepiece Reference ]], Table1[[Timepiece Reference ]], Table1[CRC STOCK], "Not Found")="YES", "CRC Stock", "Boutique Stock"))</f>
        <v/>
      </c>
      <c r="L496" s="142" t="n"/>
      <c r="M496" s="140" t="n"/>
      <c r="N496" s="136" t="n"/>
      <c r="O496" s="133" t="n"/>
      <c r="P496" s="93">
        <f>IFERROR(VLOOKUP(TRIM(O496), Collection!$B$2:$D$1001, 2, FALSE), "")</f>
        <v/>
      </c>
      <c r="Q496" s="190">
        <f>IFERROR(VLOOKUP(TRIM(O496), Collection!$B$2:$D$1001, 3, FALSE), "")</f>
        <v/>
      </c>
      <c r="R496" s="153">
        <f>IFERROR(VALUE(SUBSTITUTE(SUBSTITUTE(Q496, "Price", ""), "AED", "")), "")</f>
        <v/>
      </c>
      <c r="S496" s="151" t="n"/>
      <c r="T496" s="158" t="n"/>
      <c r="U496" s="136" t="n"/>
      <c r="V496" s="136" t="n"/>
      <c r="W496" s="156">
        <f>IF(Z496 = "",
"",
TEXT(Z496, "mmmm"))</f>
        <v/>
      </c>
      <c r="X496" s="157" t="n"/>
      <c r="Y496" s="158" t="n"/>
      <c r="Z496" s="158" t="n"/>
      <c r="AA496" s="136">
        <f>IF(H496="", "", IF(U496="Open Sale", IF(TODAY()-H496=0, "0 Days", TEXT(TODAY()-H496, "0") &amp; " Days"), IF(U496="Closed Sale", AA496, "")))</f>
        <v/>
      </c>
      <c r="AB496" s="136">
        <f>IF(H496="", "", IF(OR(U496="Pending", U496="Pending Allocation"), CONCATENATE(TODAY()-H496, " Days"), IF(U496="Closed", "", "")))</f>
        <v/>
      </c>
      <c r="AC496" s="160">
        <f>IF(U496="Pending Allocation", IF(I496="", "", TODAY()-I496), "")</f>
        <v/>
      </c>
      <c r="AD496" s="159">
        <f>IF(U496="Open Sale", TEXT(TODAY()-I496, "0"),
IF(U496="Pending", "",
IF(U496="Closed Sale", "", "")))</f>
        <v/>
      </c>
      <c r="AE496" s="161" t="n"/>
      <c r="AF496" s="161" t="n"/>
      <c r="AG496" s="161" t="n"/>
      <c r="AH496" s="136" t="n"/>
      <c r="AI496" s="164">
        <f>IF(I496="","",TEXT(I496, "mmmm yyyy"))</f>
        <v/>
      </c>
      <c r="AJ496" s="164">
        <f>IF(AND(OpenPendingCases[[#This Row],[Sale Status	]]="Open Sale",OpenPendingCases[[#This Row],[Potential Same Month]]="High"),TEXT(OpenPendingCases[[#This Row],[Request Entry Date]], "[$-en-us]mmmm"),"")</f>
        <v/>
      </c>
      <c r="AK496" s="165">
        <f>IFERROR(VALUE(SUBSTITUTE(OpenPendingCases[[#This Row],[Price]]," AED","")),"")</f>
        <v/>
      </c>
      <c r="AL496" s="165">
        <f>IFERROR(VALUE(LEFT(OpenPendingCases[[#This Row],[Price]],FIND(" ",OpenPendingCases[[#This Row],[Price]])-1)),"")</f>
        <v/>
      </c>
      <c r="AM496" s="165">
        <f>IFERROR(VALUE(_xlfn.TEXTBEFORE(OpenPendingCases[[#This Row],[Price]]," AED")),"")</f>
        <v/>
      </c>
      <c r="AN496" s="165" t="n"/>
    </row>
    <row r="497" hidden="1" ht="18" customHeight="1" s="287">
      <c r="C497" s="133" t="n"/>
      <c r="D497" s="136">
        <f>IF($U497="Open Sale", IF(MAX($D$4:D496)+1=0, "", MAX($D$4:D496)+1), "")</f>
        <v/>
      </c>
      <c r="E497" s="136">
        <f>IF($U497="Pending Allocation", IF(MAX($E$4:E496)+1=0, "", MAX($E$4:E496)+1), "")</f>
        <v/>
      </c>
      <c r="F497" s="136" t="n"/>
      <c r="G497" s="136" t="n"/>
      <c r="H497" s="150" t="n"/>
      <c r="I497" s="150" t="n"/>
      <c r="J497" s="67">
        <f>IF(OpenPendingCases[[#This Row],[Timepiece Reference ]]="", "", IF(_xlfn.XLOOKUP(OpenPendingCases[[#This Row],[Timepiece Reference ]], Table1[[Timepiece Reference ]], Table1[CRC STOCK], "Not Found")="YES", "CRC Stock", "Boutique Stock"))</f>
        <v/>
      </c>
      <c r="K497" s="136">
        <f>IF(OpenPendingCases[[#This Row],[Timepiece Reference ]]="", "", IF(_xlfn.XLOOKUP(OpenPendingCases[[#This Row],[Timepiece Reference ]], Table1[[Timepiece Reference ]], Table1[CRC STOCK], "Not Found")="YES", "CRC Stock", "Boutique Stock"))</f>
        <v/>
      </c>
      <c r="L497" s="142" t="n"/>
      <c r="M497" s="140" t="n"/>
      <c r="N497" s="136" t="n"/>
      <c r="O497" s="133" t="n"/>
      <c r="P497" s="93">
        <f>IFERROR(VLOOKUP(TRIM(O497), Collection!$B$2:$D$1001, 2, FALSE), "")</f>
        <v/>
      </c>
      <c r="Q497" s="190">
        <f>IFERROR(VLOOKUP(TRIM(O497), Collection!$B$2:$D$1001, 3, FALSE), "")</f>
        <v/>
      </c>
      <c r="R497" s="153">
        <f>IFERROR(VALUE(SUBSTITUTE(SUBSTITUTE(Q497, "Price", ""), "AED", "")), "")</f>
        <v/>
      </c>
      <c r="S497" s="151" t="n"/>
      <c r="T497" s="158" t="n"/>
      <c r="U497" s="136" t="n"/>
      <c r="V497" s="136" t="n"/>
      <c r="W497" s="156">
        <f>IF(Z497 = "",
"",
TEXT(Z497, "mmmm"))</f>
        <v/>
      </c>
      <c r="X497" s="157" t="n"/>
      <c r="Y497" s="158" t="n"/>
      <c r="Z497" s="158" t="n"/>
      <c r="AA497" s="136">
        <f>IF(H497="", "", IF(U497="Open Sale", IF(TODAY()-H497=0, "0 Days", TEXT(TODAY()-H497, "0") &amp; " Days"), IF(U497="Closed Sale", AA497, "")))</f>
        <v/>
      </c>
      <c r="AB497" s="136">
        <f>IF(H497="", "", IF(OR(U497="Pending", U497="Pending Allocation"), CONCATENATE(TODAY()-H497, " Days"), IF(U497="Closed", "", "")))</f>
        <v/>
      </c>
      <c r="AC497" s="160">
        <f>IF(U497="Pending Allocation", IF(I497="", "", TODAY()-I497), "")</f>
        <v/>
      </c>
      <c r="AD497" s="159">
        <f>IF(U497="Open Sale", TEXT(TODAY()-I497, "0"),
IF(U497="Pending", "",
IF(U497="Closed Sale", "", "")))</f>
        <v/>
      </c>
      <c r="AE497" s="161" t="n"/>
      <c r="AF497" s="161" t="n"/>
      <c r="AG497" s="161" t="n"/>
      <c r="AH497" s="136" t="n"/>
      <c r="AI497" s="164">
        <f>IF(I497="","",TEXT(I497, "mmmm yyyy"))</f>
        <v/>
      </c>
      <c r="AJ497" s="164">
        <f>IF(AND(OpenPendingCases[[#This Row],[Sale Status	]]="Open Sale",OpenPendingCases[[#This Row],[Potential Same Month]]="High"),TEXT(OpenPendingCases[[#This Row],[Request Entry Date]], "[$-en-us]mmmm"),"")</f>
        <v/>
      </c>
      <c r="AK497" s="165">
        <f>IFERROR(VALUE(SUBSTITUTE(OpenPendingCases[[#This Row],[Price]]," AED","")),"")</f>
        <v/>
      </c>
      <c r="AL497" s="165">
        <f>IFERROR(VALUE(LEFT(OpenPendingCases[[#This Row],[Price]],FIND(" ",OpenPendingCases[[#This Row],[Price]])-1)),"")</f>
        <v/>
      </c>
      <c r="AM497" s="165">
        <f>IFERROR(VALUE(_xlfn.TEXTBEFORE(OpenPendingCases[[#This Row],[Price]]," AED")),"")</f>
        <v/>
      </c>
      <c r="AN497" s="165" t="n"/>
    </row>
    <row r="498" hidden="1" ht="18" customHeight="1" s="287">
      <c r="C498" s="133" t="n"/>
      <c r="D498" s="136">
        <f>IF($U498="Open Sale", IF(MAX($D$4:D497)+1=0, "", MAX($D$4:D497)+1), "")</f>
        <v/>
      </c>
      <c r="E498" s="136">
        <f>IF($U498="Pending Allocation", IF(MAX($E$4:E497)+1=0, "", MAX($E$4:E497)+1), "")</f>
        <v/>
      </c>
      <c r="F498" s="136" t="n"/>
      <c r="G498" s="136" t="n"/>
      <c r="H498" s="150" t="n"/>
      <c r="I498" s="150" t="n"/>
      <c r="J498" s="67">
        <f>IF(OpenPendingCases[[#This Row],[Timepiece Reference ]]="", "", IF(_xlfn.XLOOKUP(OpenPendingCases[[#This Row],[Timepiece Reference ]], Table1[[Timepiece Reference ]], Table1[CRC STOCK], "Not Found")="YES", "CRC Stock", "Boutique Stock"))</f>
        <v/>
      </c>
      <c r="K498" s="136">
        <f>IF(OpenPendingCases[[#This Row],[Timepiece Reference ]]="", "", IF(_xlfn.XLOOKUP(OpenPendingCases[[#This Row],[Timepiece Reference ]], Table1[[Timepiece Reference ]], Table1[CRC STOCK], "Not Found")="YES", "CRC Stock", "Boutique Stock"))</f>
        <v/>
      </c>
      <c r="L498" s="142" t="n"/>
      <c r="M498" s="140" t="n"/>
      <c r="N498" s="136" t="n"/>
      <c r="O498" s="133" t="n"/>
      <c r="P498" s="93">
        <f>IFERROR(VLOOKUP(TRIM(O498), Collection!$B$2:$D$1001, 2, FALSE), "")</f>
        <v/>
      </c>
      <c r="Q498" s="190">
        <f>IFERROR(VLOOKUP(TRIM(O498), Collection!$B$2:$D$1001, 3, FALSE), "")</f>
        <v/>
      </c>
      <c r="R498" s="153">
        <f>IFERROR(VALUE(SUBSTITUTE(SUBSTITUTE(Q498, "Price", ""), "AED", "")), "")</f>
        <v/>
      </c>
      <c r="S498" s="151" t="n"/>
      <c r="T498" s="158" t="n"/>
      <c r="U498" s="136" t="n"/>
      <c r="V498" s="136" t="n"/>
      <c r="W498" s="156">
        <f>IF(Z498 = "",
"",
TEXT(Z498, "mmmm"))</f>
        <v/>
      </c>
      <c r="X498" s="157" t="n"/>
      <c r="Y498" s="158" t="n"/>
      <c r="Z498" s="158" t="n"/>
      <c r="AA498" s="136">
        <f>IF(H498="", "", IF(U498="Open Sale", IF(TODAY()-H498=0, "0 Days", TEXT(TODAY()-H498, "0") &amp; " Days"), IF(U498="Closed Sale", AA498, "")))</f>
        <v/>
      </c>
      <c r="AB498" s="136">
        <f>IF(H498="", "", IF(OR(U498="Pending", U498="Pending Allocation"), CONCATENATE(TODAY()-H498, " Days"), IF(U498="Closed", "", "")))</f>
        <v/>
      </c>
      <c r="AC498" s="160">
        <f>IF(U498="Pending Allocation", IF(I498="", "", TODAY()-I498), "")</f>
        <v/>
      </c>
      <c r="AD498" s="159">
        <f>IF(U498="Open Sale", TEXT(TODAY()-I498, "0"),
IF(U498="Pending", "",
IF(U498="Closed Sale", "", "")))</f>
        <v/>
      </c>
      <c r="AE498" s="161" t="n"/>
      <c r="AF498" s="161" t="n"/>
      <c r="AG498" s="161" t="n"/>
      <c r="AH498" s="136" t="n"/>
      <c r="AI498" s="164">
        <f>IF(I498="","",TEXT(I498, "mmmm yyyy"))</f>
        <v/>
      </c>
      <c r="AJ498" s="164">
        <f>IF(AND(OpenPendingCases[[#This Row],[Sale Status	]]="Open Sale",OpenPendingCases[[#This Row],[Potential Same Month]]="High"),TEXT(OpenPendingCases[[#This Row],[Request Entry Date]], "[$-en-us]mmmm"),"")</f>
        <v/>
      </c>
      <c r="AK498" s="165">
        <f>IFERROR(VALUE(SUBSTITUTE(OpenPendingCases[[#This Row],[Price]]," AED","")),"")</f>
        <v/>
      </c>
      <c r="AL498" s="165">
        <f>IFERROR(VALUE(LEFT(OpenPendingCases[[#This Row],[Price]],FIND(" ",OpenPendingCases[[#This Row],[Price]])-1)),"")</f>
        <v/>
      </c>
      <c r="AM498" s="165">
        <f>IFERROR(VALUE(_xlfn.TEXTBEFORE(OpenPendingCases[[#This Row],[Price]]," AED")),"")</f>
        <v/>
      </c>
      <c r="AN498" s="165" t="n"/>
    </row>
    <row r="499" hidden="1" ht="18" customHeight="1" s="287">
      <c r="C499" s="133" t="n"/>
      <c r="D499" s="136">
        <f>IF($U499="Open Sale", IF(MAX($D$4:D498)+1=0, "", MAX($D$4:D498)+1), "")</f>
        <v/>
      </c>
      <c r="E499" s="136">
        <f>IF($U499="Pending Allocation", IF(MAX($E$4:E498)+1=0, "", MAX($E$4:E498)+1), "")</f>
        <v/>
      </c>
      <c r="F499" s="136" t="n"/>
      <c r="G499" s="136" t="n"/>
      <c r="H499" s="150" t="n"/>
      <c r="I499" s="150" t="n"/>
      <c r="J499" s="67">
        <f>IF(OpenPendingCases[[#This Row],[Timepiece Reference ]]="", "", IF(_xlfn.XLOOKUP(OpenPendingCases[[#This Row],[Timepiece Reference ]], Table1[[Timepiece Reference ]], Table1[CRC STOCK], "Not Found")="YES", "CRC Stock", "Boutique Stock"))</f>
        <v/>
      </c>
      <c r="K499" s="136">
        <f>IF(OpenPendingCases[[#This Row],[Timepiece Reference ]]="", "", IF(_xlfn.XLOOKUP(OpenPendingCases[[#This Row],[Timepiece Reference ]], Table1[[Timepiece Reference ]], Table1[CRC STOCK], "Not Found")="YES", "CRC Stock", "Boutique Stock"))</f>
        <v/>
      </c>
      <c r="L499" s="142" t="n"/>
      <c r="M499" s="140" t="n"/>
      <c r="N499" s="136" t="n"/>
      <c r="O499" s="133" t="n"/>
      <c r="P499" s="93">
        <f>IFERROR(VLOOKUP(TRIM(O499), Collection!$B$2:$D$1001, 2, FALSE), "")</f>
        <v/>
      </c>
      <c r="Q499" s="190">
        <f>IFERROR(VLOOKUP(TRIM(O499), Collection!$B$2:$D$1001, 3, FALSE), "")</f>
        <v/>
      </c>
      <c r="R499" s="153">
        <f>IFERROR(VALUE(SUBSTITUTE(SUBSTITUTE(Q499, "Price", ""), "AED", "")), "")</f>
        <v/>
      </c>
      <c r="S499" s="151" t="n"/>
      <c r="T499" s="158" t="n"/>
      <c r="U499" s="136" t="n"/>
      <c r="V499" s="136" t="n"/>
      <c r="W499" s="156">
        <f>IF(Z499 = "",
"",
TEXT(Z499, "mmmm"))</f>
        <v/>
      </c>
      <c r="X499" s="157" t="n"/>
      <c r="Y499" s="158" t="n"/>
      <c r="Z499" s="158" t="n"/>
      <c r="AA499" s="136">
        <f>IF(H499="", "", IF(U499="Open Sale", IF(TODAY()-H499=0, "0 Days", TEXT(TODAY()-H499, "0") &amp; " Days"), IF(U499="Closed Sale", AA499, "")))</f>
        <v/>
      </c>
      <c r="AB499" s="136">
        <f>IF(H499="", "", IF(OR(U499="Pending", U499="Pending Allocation"), CONCATENATE(TODAY()-H499, " Days"), IF(U499="Closed", "", "")))</f>
        <v/>
      </c>
      <c r="AC499" s="160">
        <f>IF(U499="Pending Allocation", IF(I499="", "", TODAY()-I499), "")</f>
        <v/>
      </c>
      <c r="AD499" s="159">
        <f>IF(U499="Open Sale", TEXT(TODAY()-I499, "0"),
IF(U499="Pending", "",
IF(U499="Closed Sale", "", "")))</f>
        <v/>
      </c>
      <c r="AE499" s="161" t="n"/>
      <c r="AF499" s="161" t="n"/>
      <c r="AG499" s="161" t="n"/>
      <c r="AH499" s="136" t="n"/>
      <c r="AI499" s="164">
        <f>IF(I499="","",TEXT(I499, "mmmm yyyy"))</f>
        <v/>
      </c>
      <c r="AJ499" s="164">
        <f>IF(AND(OpenPendingCases[[#This Row],[Sale Status	]]="Open Sale",OpenPendingCases[[#This Row],[Potential Same Month]]="High"),TEXT(OpenPendingCases[[#This Row],[Request Entry Date]], "[$-en-us]mmmm"),"")</f>
        <v/>
      </c>
      <c r="AK499" s="165">
        <f>IFERROR(VALUE(SUBSTITUTE(OpenPendingCases[[#This Row],[Price]]," AED","")),"")</f>
        <v/>
      </c>
      <c r="AL499" s="165">
        <f>IFERROR(VALUE(LEFT(OpenPendingCases[[#This Row],[Price]],FIND(" ",OpenPendingCases[[#This Row],[Price]])-1)),"")</f>
        <v/>
      </c>
      <c r="AM499" s="165">
        <f>IFERROR(VALUE(_xlfn.TEXTBEFORE(OpenPendingCases[[#This Row],[Price]]," AED")),"")</f>
        <v/>
      </c>
      <c r="AN499" s="165" t="n"/>
    </row>
    <row r="500" hidden="1" ht="18" customHeight="1" s="287">
      <c r="C500" s="133" t="n"/>
      <c r="D500" s="136">
        <f>IF($U500="Open Sale", IF(MAX($D$4:D499)+1=0, "", MAX($D$4:D499)+1), "")</f>
        <v/>
      </c>
      <c r="E500" s="136">
        <f>IF($U500="Pending Allocation", IF(MAX($E$4:E499)+1=0, "", MAX($E$4:E499)+1), "")</f>
        <v/>
      </c>
      <c r="F500" s="136" t="n"/>
      <c r="G500" s="136" t="n"/>
      <c r="H500" s="150" t="n"/>
      <c r="I500" s="150" t="n"/>
      <c r="J500" s="67">
        <f>IF(OpenPendingCases[[#This Row],[Timepiece Reference ]]="", "", IF(_xlfn.XLOOKUP(OpenPendingCases[[#This Row],[Timepiece Reference ]], Table1[[Timepiece Reference ]], Table1[CRC STOCK], "Not Found")="YES", "CRC Stock", "Boutique Stock"))</f>
        <v/>
      </c>
      <c r="K500" s="136">
        <f>IF(OpenPendingCases[[#This Row],[Timepiece Reference ]]="", "", IF(_xlfn.XLOOKUP(OpenPendingCases[[#This Row],[Timepiece Reference ]], Table1[[Timepiece Reference ]], Table1[CRC STOCK], "Not Found")="YES", "CRC Stock", "Boutique Stock"))</f>
        <v/>
      </c>
      <c r="L500" s="142" t="n"/>
      <c r="M500" s="140" t="n"/>
      <c r="N500" s="136" t="n"/>
      <c r="O500" s="133" t="n"/>
      <c r="P500" s="93">
        <f>IFERROR(VLOOKUP(TRIM(O500), Collection!$B$2:$D$1001, 2, FALSE), "")</f>
        <v/>
      </c>
      <c r="Q500" s="190">
        <f>IFERROR(VLOOKUP(TRIM(O500), Collection!$B$2:$D$1001, 3, FALSE), "")</f>
        <v/>
      </c>
      <c r="R500" s="153">
        <f>IFERROR(VALUE(SUBSTITUTE(SUBSTITUTE(Q500, "Price", ""), "AED", "")), "")</f>
        <v/>
      </c>
      <c r="S500" s="151" t="n"/>
      <c r="T500" s="158" t="n"/>
      <c r="U500" s="136" t="n"/>
      <c r="V500" s="136" t="n"/>
      <c r="W500" s="156">
        <f>IF(Z500 = "",
"",
TEXT(Z500, "mmmm"))</f>
        <v/>
      </c>
      <c r="X500" s="157" t="n"/>
      <c r="Y500" s="158" t="n"/>
      <c r="Z500" s="158" t="n"/>
      <c r="AA500" s="136">
        <f>IF(H500="", "", IF(U500="Open Sale", IF(TODAY()-H500=0, "0 Days", TEXT(TODAY()-H500, "0") &amp; " Days"), IF(U500="Closed Sale", AA500, "")))</f>
        <v/>
      </c>
      <c r="AB500" s="136">
        <f>IF(H500="", "", IF(OR(U500="Pending", U500="Pending Allocation"), CONCATENATE(TODAY()-H500, " Days"), IF(U500="Closed", "", "")))</f>
        <v/>
      </c>
      <c r="AC500" s="160">
        <f>IF(U500="Pending Allocation", IF(I500="", "", TODAY()-I500), "")</f>
        <v/>
      </c>
      <c r="AD500" s="159">
        <f>IF(U500="Open Sale", TEXT(TODAY()-I500, "0"),
IF(U500="Pending", "",
IF(U500="Closed Sale", "", "")))</f>
        <v/>
      </c>
      <c r="AE500" s="161" t="n"/>
      <c r="AF500" s="161" t="n"/>
      <c r="AG500" s="161" t="n"/>
      <c r="AH500" s="136" t="n"/>
      <c r="AI500" s="164">
        <f>IF(I500="","",TEXT(I500, "mmmm yyyy"))</f>
        <v/>
      </c>
      <c r="AJ500" s="164">
        <f>IF(AND(OpenPendingCases[[#This Row],[Sale Status	]]="Open Sale",OpenPendingCases[[#This Row],[Potential Same Month]]="High"),TEXT(OpenPendingCases[[#This Row],[Request Entry Date]], "[$-en-us]mmmm"),"")</f>
        <v/>
      </c>
      <c r="AK500" s="165">
        <f>IFERROR(VALUE(SUBSTITUTE(OpenPendingCases[[#This Row],[Price]]," AED","")),"")</f>
        <v/>
      </c>
      <c r="AL500" s="165">
        <f>IFERROR(VALUE(LEFT(OpenPendingCases[[#This Row],[Price]],FIND(" ",OpenPendingCases[[#This Row],[Price]])-1)),"")</f>
        <v/>
      </c>
      <c r="AM500" s="165">
        <f>IFERROR(VALUE(_xlfn.TEXTBEFORE(OpenPendingCases[[#This Row],[Price]]," AED")),"")</f>
        <v/>
      </c>
      <c r="AN500" s="165" t="n"/>
    </row>
    <row r="501" hidden="1" ht="18" customHeight="1" s="287">
      <c r="C501" s="133" t="n"/>
      <c r="D501" s="136">
        <f>IF($U501="Open Sale", IF(MAX($D$4:D500)+1=0, "", MAX($D$4:D500)+1), "")</f>
        <v/>
      </c>
      <c r="E501" s="136">
        <f>IF($U501="Pending Allocation", IF(MAX($E$4:E500)+1=0, "", MAX($E$4:E500)+1), "")</f>
        <v/>
      </c>
      <c r="F501" s="136" t="n"/>
      <c r="G501" s="136" t="n"/>
      <c r="H501" s="150" t="n"/>
      <c r="I501" s="150" t="n"/>
      <c r="J501" s="67">
        <f>IF(OpenPendingCases[[#This Row],[Timepiece Reference ]]="", "", IF(_xlfn.XLOOKUP(OpenPendingCases[[#This Row],[Timepiece Reference ]], Table1[[Timepiece Reference ]], Table1[CRC STOCK], "Not Found")="YES", "CRC Stock", "Boutique Stock"))</f>
        <v/>
      </c>
      <c r="K501" s="136">
        <f>IF(OpenPendingCases[[#This Row],[Timepiece Reference ]]="", "", IF(_xlfn.XLOOKUP(OpenPendingCases[[#This Row],[Timepiece Reference ]], Table1[[Timepiece Reference ]], Table1[CRC STOCK], "Not Found")="YES", "CRC Stock", "Boutique Stock"))</f>
        <v/>
      </c>
      <c r="L501" s="142" t="n"/>
      <c r="M501" s="140" t="n"/>
      <c r="N501" s="136" t="n"/>
      <c r="O501" s="133" t="n"/>
      <c r="P501" s="93">
        <f>IFERROR(VLOOKUP(TRIM(O501), Collection!$B$2:$D$1001, 2, FALSE), "")</f>
        <v/>
      </c>
      <c r="Q501" s="190">
        <f>IFERROR(VLOOKUP(TRIM(O501), Collection!$B$2:$D$1001, 3, FALSE), "")</f>
        <v/>
      </c>
      <c r="R501" s="153">
        <f>IFERROR(VALUE(SUBSTITUTE(SUBSTITUTE(Q501, "Price", ""), "AED", "")), "")</f>
        <v/>
      </c>
      <c r="S501" s="151" t="n"/>
      <c r="T501" s="158" t="n"/>
      <c r="U501" s="136" t="n"/>
      <c r="V501" s="136" t="n"/>
      <c r="W501" s="156">
        <f>IF(Z501 = "",
"",
TEXT(Z501, "mmmm"))</f>
        <v/>
      </c>
      <c r="X501" s="157" t="n"/>
      <c r="Y501" s="158" t="n"/>
      <c r="Z501" s="158" t="n"/>
      <c r="AA501" s="136">
        <f>IF(H501="", "", IF(U501="Open Sale", IF(TODAY()-H501=0, "0 Days", TEXT(TODAY()-H501, "0") &amp; " Days"), IF(U501="Closed Sale", AA501, "")))</f>
        <v/>
      </c>
      <c r="AB501" s="136">
        <f>IF(H501="", "", IF(OR(U501="Pending", U501="Pending Allocation"), CONCATENATE(TODAY()-H501, " Days"), IF(U501="Closed", "", "")))</f>
        <v/>
      </c>
      <c r="AC501" s="160">
        <f>IF(U501="Pending Allocation", IF(I501="", "", TODAY()-I501), "")</f>
        <v/>
      </c>
      <c r="AD501" s="159">
        <f>IF(U501="Open Sale", TEXT(TODAY()-I501, "0"),
IF(U501="Pending", "",
IF(U501="Closed Sale", "", "")))</f>
        <v/>
      </c>
      <c r="AE501" s="161" t="n"/>
      <c r="AF501" s="161" t="n"/>
      <c r="AG501" s="161" t="n"/>
      <c r="AH501" s="136" t="n"/>
      <c r="AI501" s="164">
        <f>IF(I501="","",TEXT(I501, "mmmm yyyy"))</f>
        <v/>
      </c>
      <c r="AJ501" s="164">
        <f>IF(AND(OpenPendingCases[[#This Row],[Sale Status	]]="Open Sale",OpenPendingCases[[#This Row],[Potential Same Month]]="High"),TEXT(OpenPendingCases[[#This Row],[Request Entry Date]], "[$-en-us]mmmm"),"")</f>
        <v/>
      </c>
      <c r="AK501" s="165">
        <f>IFERROR(VALUE(SUBSTITUTE(OpenPendingCases[[#This Row],[Price]]," AED","")),"")</f>
        <v/>
      </c>
      <c r="AL501" s="165">
        <f>IFERROR(VALUE(LEFT(OpenPendingCases[[#This Row],[Price]],FIND(" ",OpenPendingCases[[#This Row],[Price]])-1)),"")</f>
        <v/>
      </c>
      <c r="AM501" s="165">
        <f>IFERROR(VALUE(_xlfn.TEXTBEFORE(OpenPendingCases[[#This Row],[Price]]," AED")),"")</f>
        <v/>
      </c>
      <c r="AN501" s="165" t="n"/>
    </row>
    <row r="502" hidden="1" ht="18" customHeight="1" s="287">
      <c r="C502" s="133" t="n"/>
      <c r="D502" s="136">
        <f>IF($U502="Open Sale", IF(MAX($D$4:D501)+1=0, "", MAX($D$4:D501)+1), "")</f>
        <v/>
      </c>
      <c r="E502" s="136">
        <f>IF($U502="Pending Allocation", IF(MAX($E$4:E501)+1=0, "", MAX($E$4:E501)+1), "")</f>
        <v/>
      </c>
      <c r="F502" s="136" t="n"/>
      <c r="G502" s="136" t="n"/>
      <c r="H502" s="150" t="n"/>
      <c r="I502" s="150" t="n"/>
      <c r="J502" s="67">
        <f>IF(OpenPendingCases[[#This Row],[Timepiece Reference ]]="", "", IF(_xlfn.XLOOKUP(OpenPendingCases[[#This Row],[Timepiece Reference ]], Table1[[Timepiece Reference ]], Table1[CRC STOCK], "Not Found")="YES", "CRC Stock", "Boutique Stock"))</f>
        <v/>
      </c>
      <c r="K502" s="136">
        <f>IF(OpenPendingCases[[#This Row],[Timepiece Reference ]]="", "", IF(_xlfn.XLOOKUP(OpenPendingCases[[#This Row],[Timepiece Reference ]], Table1[[Timepiece Reference ]], Table1[CRC STOCK], "Not Found")="YES", "CRC Stock", "Boutique Stock"))</f>
        <v/>
      </c>
      <c r="L502" s="142" t="n"/>
      <c r="M502" s="140" t="n"/>
      <c r="N502" s="136" t="n"/>
      <c r="O502" s="133" t="n"/>
      <c r="P502" s="93">
        <f>IFERROR(VLOOKUP(TRIM(O502), Collection!$B$2:$D$1001, 2, FALSE), "")</f>
        <v/>
      </c>
      <c r="Q502" s="190">
        <f>IFERROR(VLOOKUP(TRIM(O502), Collection!$B$2:$D$1001, 3, FALSE), "")</f>
        <v/>
      </c>
      <c r="R502" s="153">
        <f>IFERROR(VALUE(SUBSTITUTE(SUBSTITUTE(Q502, "Price", ""), "AED", "")), "")</f>
        <v/>
      </c>
      <c r="S502" s="151" t="n"/>
      <c r="T502" s="158" t="n"/>
      <c r="U502" s="136" t="n"/>
      <c r="V502" s="136" t="n"/>
      <c r="W502" s="156">
        <f>IF(Z502 = "",
"",
TEXT(Z502, "mmmm"))</f>
        <v/>
      </c>
      <c r="X502" s="157" t="n"/>
      <c r="Y502" s="158" t="n"/>
      <c r="Z502" s="158" t="n"/>
      <c r="AA502" s="136">
        <f>IF(H502="", "", IF(U502="Open Sale", IF(TODAY()-H502=0, "0 Days", TEXT(TODAY()-H502, "0") &amp; " Days"), IF(U502="Closed Sale", AA502, "")))</f>
        <v/>
      </c>
      <c r="AB502" s="136">
        <f>IF(H502="", "", IF(OR(U502="Pending", U502="Pending Allocation"), CONCATENATE(TODAY()-H502, " Days"), IF(U502="Closed", "", "")))</f>
        <v/>
      </c>
      <c r="AC502" s="160">
        <f>IF(U502="Pending Allocation", IF(I502="", "", TODAY()-I502), "")</f>
        <v/>
      </c>
      <c r="AD502" s="159">
        <f>IF(U502="Open Sale", TEXT(TODAY()-I502, "0"),
IF(U502="Pending", "",
IF(U502="Closed Sale", "", "")))</f>
        <v/>
      </c>
      <c r="AE502" s="161" t="n"/>
      <c r="AF502" s="161" t="n"/>
      <c r="AG502" s="161" t="n"/>
      <c r="AH502" s="136" t="n"/>
      <c r="AI502" s="164">
        <f>IF(I502="","",TEXT(I502, "mmmm yyyy"))</f>
        <v/>
      </c>
      <c r="AJ502" s="164">
        <f>IF(AND(OpenPendingCases[[#This Row],[Sale Status	]]="Open Sale",OpenPendingCases[[#This Row],[Potential Same Month]]="High"),TEXT(OpenPendingCases[[#This Row],[Request Entry Date]], "[$-en-us]mmmm"),"")</f>
        <v/>
      </c>
      <c r="AK502" s="165">
        <f>IFERROR(VALUE(SUBSTITUTE(OpenPendingCases[[#This Row],[Price]]," AED","")),"")</f>
        <v/>
      </c>
      <c r="AL502" s="165">
        <f>IFERROR(VALUE(LEFT(OpenPendingCases[[#This Row],[Price]],FIND(" ",OpenPendingCases[[#This Row],[Price]])-1)),"")</f>
        <v/>
      </c>
      <c r="AM502" s="165">
        <f>IFERROR(VALUE(_xlfn.TEXTBEFORE(OpenPendingCases[[#This Row],[Price]]," AED")),"")</f>
        <v/>
      </c>
      <c r="AN502" s="165" t="n"/>
    </row>
    <row r="503" hidden="1" ht="18" customHeight="1" s="287">
      <c r="C503" s="133" t="n"/>
      <c r="D503" s="136">
        <f>IF($U503="Open Sale", IF(MAX($D$4:D502)+1=0, "", MAX($D$4:D502)+1), "")</f>
        <v/>
      </c>
      <c r="E503" s="136">
        <f>IF($U503="Pending Allocation", IF(MAX($E$4:E502)+1=0, "", MAX($E$4:E502)+1), "")</f>
        <v/>
      </c>
      <c r="F503" s="136" t="n"/>
      <c r="G503" s="136" t="n"/>
      <c r="H503" s="150" t="n"/>
      <c r="I503" s="150" t="n"/>
      <c r="J503" s="67">
        <f>IF(OpenPendingCases[[#This Row],[Timepiece Reference ]]="", "", IF(_xlfn.XLOOKUP(OpenPendingCases[[#This Row],[Timepiece Reference ]], Table1[[Timepiece Reference ]], Table1[CRC STOCK], "Not Found")="YES", "CRC Stock", "Boutique Stock"))</f>
        <v/>
      </c>
      <c r="K503" s="136">
        <f>IF(OpenPendingCases[[#This Row],[Timepiece Reference ]]="", "", IF(_xlfn.XLOOKUP(OpenPendingCases[[#This Row],[Timepiece Reference ]], Table1[[Timepiece Reference ]], Table1[CRC STOCK], "Not Found")="YES", "CRC Stock", "Boutique Stock"))</f>
        <v/>
      </c>
      <c r="L503" s="142" t="n"/>
      <c r="M503" s="140" t="n"/>
      <c r="N503" s="136" t="n"/>
      <c r="O503" s="133" t="n"/>
      <c r="P503" s="93">
        <f>IFERROR(VLOOKUP(TRIM(O503), Collection!$B$2:$D$1001, 2, FALSE), "")</f>
        <v/>
      </c>
      <c r="Q503" s="190">
        <f>IFERROR(VLOOKUP(TRIM(O503), Collection!$B$2:$D$1001, 3, FALSE), "")</f>
        <v/>
      </c>
      <c r="R503" s="153">
        <f>IFERROR(VALUE(SUBSTITUTE(SUBSTITUTE(Q503, "Price", ""), "AED", "")), "")</f>
        <v/>
      </c>
      <c r="S503" s="151" t="n"/>
      <c r="T503" s="158" t="n"/>
      <c r="U503" s="136" t="n"/>
      <c r="V503" s="136" t="n"/>
      <c r="W503" s="156">
        <f>IF(Z503 = "",
"",
TEXT(Z503, "mmmm"))</f>
        <v/>
      </c>
      <c r="X503" s="157" t="n"/>
      <c r="Y503" s="158" t="n"/>
      <c r="Z503" s="158" t="n"/>
      <c r="AA503" s="136">
        <f>IF(H503="", "", IF(U503="Open Sale", IF(TODAY()-H503=0, "0 Days", TEXT(TODAY()-H503, "0") &amp; " Days"), IF(U503="Closed Sale", AA503, "")))</f>
        <v/>
      </c>
      <c r="AB503" s="136">
        <f>IF(H503="", "", IF(OR(U503="Pending", U503="Pending Allocation"), CONCATENATE(TODAY()-H503, " Days"), IF(U503="Closed", "", "")))</f>
        <v/>
      </c>
      <c r="AC503" s="160">
        <f>IF(U503="Pending Allocation", IF(I503="", "", TODAY()-I503), "")</f>
        <v/>
      </c>
      <c r="AD503" s="159">
        <f>IF(U503="Open Sale", TEXT(TODAY()-I503, "0"),
IF(U503="Pending", "",
IF(U503="Closed Sale", "", "")))</f>
        <v/>
      </c>
      <c r="AE503" s="161" t="n"/>
      <c r="AF503" s="161" t="n"/>
      <c r="AG503" s="161" t="n"/>
      <c r="AH503" s="136" t="n"/>
      <c r="AI503" s="164">
        <f>IF(I503="","",TEXT(I503, "mmmm yyyy"))</f>
        <v/>
      </c>
      <c r="AJ503" s="164">
        <f>IF(AND(OpenPendingCases[[#This Row],[Sale Status	]]="Open Sale",OpenPendingCases[[#This Row],[Potential Same Month]]="High"),TEXT(OpenPendingCases[[#This Row],[Request Entry Date]], "[$-en-us]mmmm"),"")</f>
        <v/>
      </c>
      <c r="AK503" s="165">
        <f>IFERROR(VALUE(SUBSTITUTE(OpenPendingCases[[#This Row],[Price]]," AED","")),"")</f>
        <v/>
      </c>
      <c r="AL503" s="165">
        <f>IFERROR(VALUE(LEFT(OpenPendingCases[[#This Row],[Price]],FIND(" ",OpenPendingCases[[#This Row],[Price]])-1)),"")</f>
        <v/>
      </c>
      <c r="AM503" s="165">
        <f>IFERROR(VALUE(_xlfn.TEXTBEFORE(OpenPendingCases[[#This Row],[Price]]," AED")),"")</f>
        <v/>
      </c>
      <c r="AN503" s="165" t="n"/>
    </row>
    <row r="504" hidden="1" ht="18" customHeight="1" s="287">
      <c r="C504" s="133" t="n"/>
      <c r="D504" s="136">
        <f>IF($U504="Open Sale", IF(MAX($D$4:D503)+1=0, "", MAX($D$4:D503)+1), "")</f>
        <v/>
      </c>
      <c r="E504" s="136">
        <f>IF($U504="Pending Allocation", IF(MAX($E$4:E503)+1=0, "", MAX($E$4:E503)+1), "")</f>
        <v/>
      </c>
      <c r="F504" s="136" t="n"/>
      <c r="G504" s="136" t="n"/>
      <c r="H504" s="150" t="n"/>
      <c r="I504" s="150" t="n"/>
      <c r="J504" s="67">
        <f>IF(OpenPendingCases[[#This Row],[Timepiece Reference ]]="", "", IF(_xlfn.XLOOKUP(OpenPendingCases[[#This Row],[Timepiece Reference ]], Table1[[Timepiece Reference ]], Table1[CRC STOCK], "Not Found")="YES", "CRC Stock", "Boutique Stock"))</f>
        <v/>
      </c>
      <c r="K504" s="136">
        <f>IF(OpenPendingCases[[#This Row],[Timepiece Reference ]]="", "", IF(_xlfn.XLOOKUP(OpenPendingCases[[#This Row],[Timepiece Reference ]], Table1[[Timepiece Reference ]], Table1[CRC STOCK], "Not Found")="YES", "CRC Stock", "Boutique Stock"))</f>
        <v/>
      </c>
      <c r="L504" s="142" t="n"/>
      <c r="M504" s="140" t="n"/>
      <c r="N504" s="136" t="n"/>
      <c r="O504" s="133" t="n"/>
      <c r="P504" s="93">
        <f>IFERROR(VLOOKUP(TRIM(O504), Collection!$B$2:$D$1001, 2, FALSE), "")</f>
        <v/>
      </c>
      <c r="Q504" s="190">
        <f>IFERROR(VLOOKUP(TRIM(O504), Collection!$B$2:$D$1001, 3, FALSE), "")</f>
        <v/>
      </c>
      <c r="R504" s="153">
        <f>IFERROR(VALUE(SUBSTITUTE(SUBSTITUTE(Q504, "Price", ""), "AED", "")), "")</f>
        <v/>
      </c>
      <c r="S504" s="151" t="n"/>
      <c r="T504" s="158" t="n"/>
      <c r="U504" s="136" t="n"/>
      <c r="V504" s="136" t="n"/>
      <c r="W504" s="156">
        <f>IF(Z504 = "",
"",
TEXT(Z504, "mmmm"))</f>
        <v/>
      </c>
      <c r="X504" s="157" t="n"/>
      <c r="Y504" s="158" t="n"/>
      <c r="Z504" s="158" t="n"/>
      <c r="AA504" s="136">
        <f>IF(H504="", "", IF(U504="Open Sale", IF(TODAY()-H504=0, "0 Days", TEXT(TODAY()-H504, "0") &amp; " Days"), IF(U504="Closed Sale", AA504, "")))</f>
        <v/>
      </c>
      <c r="AB504" s="136">
        <f>IF(H504="", "", IF(OR(U504="Pending", U504="Pending Allocation"), CONCATENATE(TODAY()-H504, " Days"), IF(U504="Closed", "", "")))</f>
        <v/>
      </c>
      <c r="AC504" s="160">
        <f>IF(U504="Pending Allocation", IF(I504="", "", TODAY()-I504), "")</f>
        <v/>
      </c>
      <c r="AD504" s="159">
        <f>IF(U504="Open Sale", TEXT(TODAY()-I504, "0"),
IF(U504="Pending", "",
IF(U504="Closed Sale", "", "")))</f>
        <v/>
      </c>
      <c r="AE504" s="161" t="n"/>
      <c r="AF504" s="161" t="n"/>
      <c r="AG504" s="161" t="n"/>
      <c r="AH504" s="136" t="n"/>
      <c r="AI504" s="164">
        <f>IF(I504="","",TEXT(I504, "mmmm yyyy"))</f>
        <v/>
      </c>
      <c r="AJ504" s="164">
        <f>IF(AND(OpenPendingCases[[#This Row],[Sale Status	]]="Open Sale",OpenPendingCases[[#This Row],[Potential Same Month]]="High"),TEXT(OpenPendingCases[[#This Row],[Request Entry Date]], "[$-en-us]mmmm"),"")</f>
        <v/>
      </c>
      <c r="AK504" s="165">
        <f>IFERROR(VALUE(SUBSTITUTE(OpenPendingCases[[#This Row],[Price]]," AED","")),"")</f>
        <v/>
      </c>
      <c r="AL504" s="165">
        <f>IFERROR(VALUE(LEFT(OpenPendingCases[[#This Row],[Price]],FIND(" ",OpenPendingCases[[#This Row],[Price]])-1)),"")</f>
        <v/>
      </c>
      <c r="AM504" s="165">
        <f>IFERROR(VALUE(_xlfn.TEXTBEFORE(OpenPendingCases[[#This Row],[Price]]," AED")),"")</f>
        <v/>
      </c>
      <c r="AN504" s="165" t="n"/>
    </row>
    <row r="505" hidden="1" ht="18" customHeight="1" s="287">
      <c r="C505" s="133" t="n"/>
      <c r="D505" s="136">
        <f>IF($U505="Open Sale", IF(MAX($D$4:D504)+1=0, "", MAX($D$4:D504)+1), "")</f>
        <v/>
      </c>
      <c r="E505" s="136">
        <f>IF($U505="Pending Allocation", IF(MAX($E$4:E504)+1=0, "", MAX($E$4:E504)+1), "")</f>
        <v/>
      </c>
      <c r="F505" s="136" t="n"/>
      <c r="G505" s="136" t="n"/>
      <c r="H505" s="150" t="n"/>
      <c r="I505" s="150" t="n"/>
      <c r="J505" s="67">
        <f>IF(OpenPendingCases[[#This Row],[Timepiece Reference ]]="", "", IF(_xlfn.XLOOKUP(OpenPendingCases[[#This Row],[Timepiece Reference ]], Table1[[Timepiece Reference ]], Table1[CRC STOCK], "Not Found")="YES", "CRC Stock", "Boutique Stock"))</f>
        <v/>
      </c>
      <c r="K505" s="136">
        <f>IF(OpenPendingCases[[#This Row],[Timepiece Reference ]]="", "", IF(_xlfn.XLOOKUP(OpenPendingCases[[#This Row],[Timepiece Reference ]], Table1[[Timepiece Reference ]], Table1[CRC STOCK], "Not Found")="YES", "CRC Stock", "Boutique Stock"))</f>
        <v/>
      </c>
      <c r="L505" s="142" t="n"/>
      <c r="M505" s="140" t="n"/>
      <c r="N505" s="136" t="n"/>
      <c r="O505" s="133" t="n"/>
      <c r="P505" s="93">
        <f>IFERROR(VLOOKUP(TRIM(O505), Collection!$B$2:$D$1001, 2, FALSE), "")</f>
        <v/>
      </c>
      <c r="Q505" s="190">
        <f>IFERROR(VLOOKUP(TRIM(O505), Collection!$B$2:$D$1001, 3, FALSE), "")</f>
        <v/>
      </c>
      <c r="R505" s="153">
        <f>IFERROR(VALUE(SUBSTITUTE(SUBSTITUTE(Q505, "Price", ""), "AED", "")), "")</f>
        <v/>
      </c>
      <c r="S505" s="151" t="n"/>
      <c r="T505" s="158" t="n"/>
      <c r="U505" s="136" t="n"/>
      <c r="V505" s="136" t="n"/>
      <c r="W505" s="156">
        <f>IF(Z505 = "",
"",
TEXT(Z505, "mmmm"))</f>
        <v/>
      </c>
      <c r="X505" s="157" t="n"/>
      <c r="Y505" s="158" t="n"/>
      <c r="Z505" s="158" t="n"/>
      <c r="AA505" s="136">
        <f>IF(H505="", "", IF(U505="Open Sale", IF(TODAY()-H505=0, "0 Days", TEXT(TODAY()-H505, "0") &amp; " Days"), IF(U505="Closed Sale", AA505, "")))</f>
        <v/>
      </c>
      <c r="AB505" s="136">
        <f>IF(H505="", "", IF(OR(U505="Pending", U505="Pending Allocation"), CONCATENATE(TODAY()-H505, " Days"), IF(U505="Closed", "", "")))</f>
        <v/>
      </c>
      <c r="AC505" s="160">
        <f>IF(U505="Pending Allocation", IF(I505="", "", TODAY()-I505), "")</f>
        <v/>
      </c>
      <c r="AD505" s="159">
        <f>IF(U505="Open Sale", TEXT(TODAY()-I505, "0"),
IF(U505="Pending", "",
IF(U505="Closed Sale", "", "")))</f>
        <v/>
      </c>
      <c r="AE505" s="161" t="n"/>
      <c r="AF505" s="161" t="n"/>
      <c r="AG505" s="161" t="n"/>
      <c r="AH505" s="136" t="n"/>
      <c r="AI505" s="164">
        <f>IF(I505="","",TEXT(I505, "mmmm yyyy"))</f>
        <v/>
      </c>
      <c r="AJ505" s="164">
        <f>IF(AND(OpenPendingCases[[#This Row],[Sale Status	]]="Open Sale",OpenPendingCases[[#This Row],[Potential Same Month]]="High"),TEXT(OpenPendingCases[[#This Row],[Request Entry Date]], "[$-en-us]mmmm"),"")</f>
        <v/>
      </c>
      <c r="AK505" s="165">
        <f>IFERROR(VALUE(SUBSTITUTE(OpenPendingCases[[#This Row],[Price]]," AED","")),"")</f>
        <v/>
      </c>
      <c r="AL505" s="165">
        <f>IFERROR(VALUE(LEFT(OpenPendingCases[[#This Row],[Price]],FIND(" ",OpenPendingCases[[#This Row],[Price]])-1)),"")</f>
        <v/>
      </c>
      <c r="AM505" s="165">
        <f>IFERROR(VALUE(_xlfn.TEXTBEFORE(OpenPendingCases[[#This Row],[Price]]," AED")),"")</f>
        <v/>
      </c>
      <c r="AN505" s="165" t="n"/>
    </row>
    <row r="506" hidden="1" ht="18" customHeight="1" s="287">
      <c r="C506" s="133" t="n"/>
      <c r="D506" s="136">
        <f>IF($U506="Open Sale", IF(MAX($D$4:D505)+1=0, "", MAX($D$4:D505)+1), "")</f>
        <v/>
      </c>
      <c r="E506" s="136">
        <f>IF($U506="Pending Allocation", IF(MAX($E$4:E505)+1=0, "", MAX($E$4:E505)+1), "")</f>
        <v/>
      </c>
      <c r="F506" s="136" t="n"/>
      <c r="G506" s="136" t="n"/>
      <c r="H506" s="150" t="n"/>
      <c r="I506" s="150" t="n"/>
      <c r="J506" s="67">
        <f>IF(OpenPendingCases[[#This Row],[Timepiece Reference ]]="", "", IF(_xlfn.XLOOKUP(OpenPendingCases[[#This Row],[Timepiece Reference ]], Table1[[Timepiece Reference ]], Table1[CRC STOCK], "Not Found")="YES", "CRC Stock", "Boutique Stock"))</f>
        <v/>
      </c>
      <c r="K506" s="136">
        <f>IF(OpenPendingCases[[#This Row],[Timepiece Reference ]]="", "", IF(_xlfn.XLOOKUP(OpenPendingCases[[#This Row],[Timepiece Reference ]], Table1[[Timepiece Reference ]], Table1[CRC STOCK], "Not Found")="YES", "CRC Stock", "Boutique Stock"))</f>
        <v/>
      </c>
      <c r="L506" s="142" t="n"/>
      <c r="M506" s="140" t="n"/>
      <c r="N506" s="136" t="n"/>
      <c r="O506" s="133" t="n"/>
      <c r="P506" s="93">
        <f>IFERROR(VLOOKUP(TRIM(O506), Collection!$B$2:$D$1001, 2, FALSE), "")</f>
        <v/>
      </c>
      <c r="Q506" s="190">
        <f>IFERROR(VLOOKUP(TRIM(O506), Collection!$B$2:$D$1001, 3, FALSE), "")</f>
        <v/>
      </c>
      <c r="R506" s="153">
        <f>IFERROR(VALUE(SUBSTITUTE(SUBSTITUTE(Q506, "Price", ""), "AED", "")), "")</f>
        <v/>
      </c>
      <c r="S506" s="151" t="n"/>
      <c r="T506" s="158" t="n"/>
      <c r="U506" s="136" t="n"/>
      <c r="V506" s="136" t="n"/>
      <c r="W506" s="156">
        <f>IF(Z506 = "",
"",
TEXT(Z506, "mmmm"))</f>
        <v/>
      </c>
      <c r="X506" s="157" t="n"/>
      <c r="Y506" s="158" t="n"/>
      <c r="Z506" s="158" t="n"/>
      <c r="AA506" s="136">
        <f>IF(H506="", "", IF(U506="Open Sale", IF(TODAY()-H506=0, "0 Days", TEXT(TODAY()-H506, "0") &amp; " Days"), IF(U506="Closed Sale", AA506, "")))</f>
        <v/>
      </c>
      <c r="AB506" s="136">
        <f>IF(H506="", "", IF(OR(U506="Pending", U506="Pending Allocation"), CONCATENATE(TODAY()-H506, " Days"), IF(U506="Closed", "", "")))</f>
        <v/>
      </c>
      <c r="AC506" s="160">
        <f>IF(U506="Pending Allocation", IF(I506="", "", TODAY()-I506), "")</f>
        <v/>
      </c>
      <c r="AD506" s="159">
        <f>IF(U506="Open Sale", TEXT(TODAY()-I506, "0"),
IF(U506="Pending", "",
IF(U506="Closed Sale", "", "")))</f>
        <v/>
      </c>
      <c r="AE506" s="161" t="n"/>
      <c r="AF506" s="161" t="n"/>
      <c r="AG506" s="161" t="n"/>
      <c r="AH506" s="136" t="n"/>
      <c r="AI506" s="164">
        <f>IF(I506="","",TEXT(I506, "mmmm yyyy"))</f>
        <v/>
      </c>
      <c r="AJ506" s="164">
        <f>IF(AND(OpenPendingCases[[#This Row],[Sale Status	]]="Open Sale",OpenPendingCases[[#This Row],[Potential Same Month]]="High"),TEXT(OpenPendingCases[[#This Row],[Request Entry Date]], "[$-en-us]mmmm"),"")</f>
        <v/>
      </c>
      <c r="AK506" s="165">
        <f>IFERROR(VALUE(SUBSTITUTE(OpenPendingCases[[#This Row],[Price]]," AED","")),"")</f>
        <v/>
      </c>
      <c r="AL506" s="165">
        <f>IFERROR(VALUE(LEFT(OpenPendingCases[[#This Row],[Price]],FIND(" ",OpenPendingCases[[#This Row],[Price]])-1)),"")</f>
        <v/>
      </c>
      <c r="AM506" s="165">
        <f>IFERROR(VALUE(_xlfn.TEXTBEFORE(OpenPendingCases[[#This Row],[Price]]," AED")),"")</f>
        <v/>
      </c>
      <c r="AN506" s="165" t="n"/>
    </row>
    <row r="507" hidden="1" ht="18" customHeight="1" s="287">
      <c r="C507" s="133" t="n"/>
      <c r="D507" s="136">
        <f>IF($U507="Open Sale", IF(MAX($D$4:D506)+1=0, "", MAX($D$4:D506)+1), "")</f>
        <v/>
      </c>
      <c r="E507" s="136">
        <f>IF($U507="Pending Allocation", IF(MAX($E$4:E506)+1=0, "", MAX($E$4:E506)+1), "")</f>
        <v/>
      </c>
      <c r="F507" s="136" t="n"/>
      <c r="G507" s="136" t="n"/>
      <c r="H507" s="150" t="n"/>
      <c r="I507" s="150" t="n"/>
      <c r="J507" s="67">
        <f>IF(OpenPendingCases[[#This Row],[Timepiece Reference ]]="", "", IF(_xlfn.XLOOKUP(OpenPendingCases[[#This Row],[Timepiece Reference ]], Table1[[Timepiece Reference ]], Table1[CRC STOCK], "Not Found")="YES", "CRC Stock", "Boutique Stock"))</f>
        <v/>
      </c>
      <c r="K507" s="136">
        <f>IF(OpenPendingCases[[#This Row],[Timepiece Reference ]]="", "", IF(_xlfn.XLOOKUP(OpenPendingCases[[#This Row],[Timepiece Reference ]], Table1[[Timepiece Reference ]], Table1[CRC STOCK], "Not Found")="YES", "CRC Stock", "Boutique Stock"))</f>
        <v/>
      </c>
      <c r="L507" s="142" t="n"/>
      <c r="M507" s="140" t="n"/>
      <c r="N507" s="136" t="n"/>
      <c r="O507" s="133" t="n"/>
      <c r="P507" s="93">
        <f>IFERROR(VLOOKUP(TRIM(O507), Collection!$B$2:$D$1001, 2, FALSE), "")</f>
        <v/>
      </c>
      <c r="Q507" s="190">
        <f>IFERROR(VLOOKUP(TRIM(O507), Collection!$B$2:$D$1001, 3, FALSE), "")</f>
        <v/>
      </c>
      <c r="R507" s="153">
        <f>IFERROR(VALUE(SUBSTITUTE(SUBSTITUTE(Q507, "Price", ""), "AED", "")), "")</f>
        <v/>
      </c>
      <c r="S507" s="151" t="n"/>
      <c r="T507" s="158" t="n"/>
      <c r="U507" s="136" t="n"/>
      <c r="V507" s="136" t="n"/>
      <c r="W507" s="156">
        <f>IF(Z507 = "",
"",
TEXT(Z507, "mmmm"))</f>
        <v/>
      </c>
      <c r="X507" s="157" t="n"/>
      <c r="Y507" s="158" t="n"/>
      <c r="Z507" s="158" t="n"/>
      <c r="AA507" s="136">
        <f>IF(H507="", "", IF(U507="Open Sale", IF(TODAY()-H507=0, "0 Days", TEXT(TODAY()-H507, "0") &amp; " Days"), IF(U507="Closed Sale", AA507, "")))</f>
        <v/>
      </c>
      <c r="AB507" s="136">
        <f>IF(H507="", "", IF(OR(U507="Pending", U507="Pending Allocation"), CONCATENATE(TODAY()-H507, " Days"), IF(U507="Closed", "", "")))</f>
        <v/>
      </c>
      <c r="AC507" s="160">
        <f>IF(U507="Pending Allocation", IF(I507="", "", TODAY()-I507), "")</f>
        <v/>
      </c>
      <c r="AD507" s="159">
        <f>IF(U507="Open Sale", TEXT(TODAY()-I507, "0"),
IF(U507="Pending", "",
IF(U507="Closed Sale", "", "")))</f>
        <v/>
      </c>
      <c r="AE507" s="161" t="n"/>
      <c r="AF507" s="161" t="n"/>
      <c r="AG507" s="161" t="n"/>
      <c r="AH507" s="136" t="n"/>
      <c r="AI507" s="164">
        <f>IF(I507="","",TEXT(I507, "mmmm yyyy"))</f>
        <v/>
      </c>
      <c r="AJ507" s="164">
        <f>IF(AND(OpenPendingCases[[#This Row],[Sale Status	]]="Open Sale",OpenPendingCases[[#This Row],[Potential Same Month]]="High"),TEXT(OpenPendingCases[[#This Row],[Request Entry Date]], "[$-en-us]mmmm"),"")</f>
        <v/>
      </c>
      <c r="AK507" s="165">
        <f>IFERROR(VALUE(SUBSTITUTE(OpenPendingCases[[#This Row],[Price]]," AED","")),"")</f>
        <v/>
      </c>
      <c r="AL507" s="165">
        <f>IFERROR(VALUE(LEFT(OpenPendingCases[[#This Row],[Price]],FIND(" ",OpenPendingCases[[#This Row],[Price]])-1)),"")</f>
        <v/>
      </c>
      <c r="AM507" s="165">
        <f>IFERROR(VALUE(_xlfn.TEXTBEFORE(OpenPendingCases[[#This Row],[Price]]," AED")),"")</f>
        <v/>
      </c>
      <c r="AN507" s="165" t="n"/>
    </row>
    <row r="508" hidden="1" ht="18" customHeight="1" s="287">
      <c r="C508" s="133" t="n"/>
      <c r="D508" s="136">
        <f>IF($U508="Open Sale", IF(MAX($D$4:D507)+1=0, "", MAX($D$4:D507)+1), "")</f>
        <v/>
      </c>
      <c r="E508" s="136">
        <f>IF($U508="Pending Allocation", IF(MAX($E$4:E507)+1=0, "", MAX($E$4:E507)+1), "")</f>
        <v/>
      </c>
      <c r="F508" s="136" t="n"/>
      <c r="G508" s="136" t="n"/>
      <c r="H508" s="150" t="n"/>
      <c r="I508" s="150" t="n"/>
      <c r="J508" s="67">
        <f>IF(OpenPendingCases[[#This Row],[Timepiece Reference ]]="", "", IF(_xlfn.XLOOKUP(OpenPendingCases[[#This Row],[Timepiece Reference ]], Table1[[Timepiece Reference ]], Table1[CRC STOCK], "Not Found")="YES", "CRC Stock", "Boutique Stock"))</f>
        <v/>
      </c>
      <c r="K508" s="136">
        <f>IF(OpenPendingCases[[#This Row],[Timepiece Reference ]]="", "", IF(_xlfn.XLOOKUP(OpenPendingCases[[#This Row],[Timepiece Reference ]], Table1[[Timepiece Reference ]], Table1[CRC STOCK], "Not Found")="YES", "CRC Stock", "Boutique Stock"))</f>
        <v/>
      </c>
      <c r="L508" s="142" t="n"/>
      <c r="M508" s="140" t="n"/>
      <c r="N508" s="136" t="n"/>
      <c r="O508" s="133" t="n"/>
      <c r="P508" s="93">
        <f>IFERROR(VLOOKUP(TRIM(O508), Collection!$B$2:$D$1001, 2, FALSE), "")</f>
        <v/>
      </c>
      <c r="Q508" s="190">
        <f>IFERROR(VLOOKUP(TRIM(O508), Collection!$B$2:$D$1001, 3, FALSE), "")</f>
        <v/>
      </c>
      <c r="R508" s="153">
        <f>IFERROR(VALUE(SUBSTITUTE(SUBSTITUTE(Q508, "Price", ""), "AED", "")), "")</f>
        <v/>
      </c>
      <c r="S508" s="151" t="n"/>
      <c r="T508" s="158" t="n"/>
      <c r="U508" s="136" t="n"/>
      <c r="V508" s="136" t="n"/>
      <c r="W508" s="156">
        <f>IF(Z508 = "",
"",
TEXT(Z508, "mmmm"))</f>
        <v/>
      </c>
      <c r="X508" s="157" t="n"/>
      <c r="Y508" s="158" t="n"/>
      <c r="Z508" s="158" t="n"/>
      <c r="AA508" s="136">
        <f>IF(H508="", "", IF(U508="Open Sale", IF(TODAY()-H508=0, "0 Days", TEXT(TODAY()-H508, "0") &amp; " Days"), IF(U508="Closed Sale", AA508, "")))</f>
        <v/>
      </c>
      <c r="AB508" s="136">
        <f>IF(H508="", "", IF(OR(U508="Pending", U508="Pending Allocation"), CONCATENATE(TODAY()-H508, " Days"), IF(U508="Closed", "", "")))</f>
        <v/>
      </c>
      <c r="AC508" s="160">
        <f>IF(U508="Pending Allocation", IF(I508="", "", TODAY()-I508), "")</f>
        <v/>
      </c>
      <c r="AD508" s="159">
        <f>IF(U508="Open Sale", TEXT(TODAY()-I508, "0"),
IF(U508="Pending", "",
IF(U508="Closed Sale", "", "")))</f>
        <v/>
      </c>
      <c r="AE508" s="161" t="n"/>
      <c r="AF508" s="161" t="n"/>
      <c r="AG508" s="161" t="n"/>
      <c r="AH508" s="136" t="n"/>
      <c r="AI508" s="164">
        <f>IF(I508="","",TEXT(I508, "mmmm yyyy"))</f>
        <v/>
      </c>
      <c r="AJ508" s="164">
        <f>IF(AND(OpenPendingCases[[#This Row],[Sale Status	]]="Open Sale",OpenPendingCases[[#This Row],[Potential Same Month]]="High"),TEXT(OpenPendingCases[[#This Row],[Request Entry Date]], "[$-en-us]mmmm"),"")</f>
        <v/>
      </c>
      <c r="AK508" s="165">
        <f>IFERROR(VALUE(SUBSTITUTE(OpenPendingCases[[#This Row],[Price]]," AED","")),"")</f>
        <v/>
      </c>
      <c r="AL508" s="165">
        <f>IFERROR(VALUE(LEFT(OpenPendingCases[[#This Row],[Price]],FIND(" ",OpenPendingCases[[#This Row],[Price]])-1)),"")</f>
        <v/>
      </c>
      <c r="AM508" s="165">
        <f>IFERROR(VALUE(_xlfn.TEXTBEFORE(OpenPendingCases[[#This Row],[Price]]," AED")),"")</f>
        <v/>
      </c>
      <c r="AN508" s="165" t="n"/>
    </row>
    <row r="509" hidden="1" ht="18" customHeight="1" s="287">
      <c r="C509" s="133" t="n"/>
      <c r="D509" s="136">
        <f>IF($U509="Open Sale", IF(MAX($D$4:D508)+1=0, "", MAX($D$4:D508)+1), "")</f>
        <v/>
      </c>
      <c r="E509" s="136">
        <f>IF($U509="Pending Allocation", IF(MAX($E$4:E508)+1=0, "", MAX($E$4:E508)+1), "")</f>
        <v/>
      </c>
      <c r="F509" s="136" t="n"/>
      <c r="G509" s="136" t="n"/>
      <c r="H509" s="150" t="n"/>
      <c r="I509" s="150" t="n"/>
      <c r="J509" s="67">
        <f>IF(OpenPendingCases[[#This Row],[Timepiece Reference ]]="", "", IF(_xlfn.XLOOKUP(OpenPendingCases[[#This Row],[Timepiece Reference ]], Table1[[Timepiece Reference ]], Table1[CRC STOCK], "Not Found")="YES", "CRC Stock", "Boutique Stock"))</f>
        <v/>
      </c>
      <c r="K509" s="136">
        <f>IF(OpenPendingCases[[#This Row],[Timepiece Reference ]]="", "", IF(_xlfn.XLOOKUP(OpenPendingCases[[#This Row],[Timepiece Reference ]], Table1[[Timepiece Reference ]], Table1[CRC STOCK], "Not Found")="YES", "CRC Stock", "Boutique Stock"))</f>
        <v/>
      </c>
      <c r="L509" s="142" t="n"/>
      <c r="M509" s="140" t="n"/>
      <c r="N509" s="136" t="n"/>
      <c r="O509" s="133" t="n"/>
      <c r="P509" s="93">
        <f>IFERROR(VLOOKUP(TRIM(O509), Collection!$B$2:$D$1001, 2, FALSE), "")</f>
        <v/>
      </c>
      <c r="Q509" s="190">
        <f>IFERROR(VLOOKUP(TRIM(O509), Collection!$B$2:$D$1001, 3, FALSE), "")</f>
        <v/>
      </c>
      <c r="R509" s="153">
        <f>IFERROR(VALUE(SUBSTITUTE(SUBSTITUTE(Q509, "Price", ""), "AED", "")), "")</f>
        <v/>
      </c>
      <c r="S509" s="151" t="n"/>
      <c r="T509" s="158" t="n"/>
      <c r="U509" s="136" t="n"/>
      <c r="V509" s="136" t="n"/>
      <c r="W509" s="156">
        <f>IF(Z509 = "",
"",
TEXT(Z509, "mmmm"))</f>
        <v/>
      </c>
      <c r="X509" s="157" t="n"/>
      <c r="Y509" s="158" t="n"/>
      <c r="Z509" s="158" t="n"/>
      <c r="AA509" s="136">
        <f>IF(H509="", "", IF(U509="Open Sale", IF(TODAY()-H509=0, "0 Days", TEXT(TODAY()-H509, "0") &amp; " Days"), IF(U509="Closed Sale", AA509, "")))</f>
        <v/>
      </c>
      <c r="AB509" s="136">
        <f>IF(H509="", "", IF(OR(U509="Pending", U509="Pending Allocation"), CONCATENATE(TODAY()-H509, " Days"), IF(U509="Closed", "", "")))</f>
        <v/>
      </c>
      <c r="AC509" s="160">
        <f>IF(U509="Pending Allocation", IF(I509="", "", TODAY()-I509), "")</f>
        <v/>
      </c>
      <c r="AD509" s="159">
        <f>IF(U509="Open Sale", TEXT(TODAY()-I509, "0"),
IF(U509="Pending", "",
IF(U509="Closed Sale", "", "")))</f>
        <v/>
      </c>
      <c r="AE509" s="161" t="n"/>
      <c r="AF509" s="161" t="n"/>
      <c r="AG509" s="161" t="n"/>
      <c r="AH509" s="136" t="n"/>
      <c r="AI509" s="164">
        <f>IF(I509="","",TEXT(I509, "mmmm yyyy"))</f>
        <v/>
      </c>
      <c r="AJ509" s="164">
        <f>IF(AND(OpenPendingCases[[#This Row],[Sale Status	]]="Open Sale",OpenPendingCases[[#This Row],[Potential Same Month]]="High"),TEXT(OpenPendingCases[[#This Row],[Request Entry Date]], "[$-en-us]mmmm"),"")</f>
        <v/>
      </c>
      <c r="AK509" s="165">
        <f>IFERROR(VALUE(SUBSTITUTE(OpenPendingCases[[#This Row],[Price]]," AED","")),"")</f>
        <v/>
      </c>
      <c r="AL509" s="165">
        <f>IFERROR(VALUE(LEFT(OpenPendingCases[[#This Row],[Price]],FIND(" ",OpenPendingCases[[#This Row],[Price]])-1)),"")</f>
        <v/>
      </c>
      <c r="AM509" s="165">
        <f>IFERROR(VALUE(_xlfn.TEXTBEFORE(OpenPendingCases[[#This Row],[Price]]," AED")),"")</f>
        <v/>
      </c>
      <c r="AN509" s="165" t="n"/>
    </row>
    <row r="510" hidden="1" ht="18" customHeight="1" s="287">
      <c r="C510" s="133" t="n"/>
      <c r="D510" s="136">
        <f>IF($U510="Open Sale", IF(MAX($D$4:D509)+1=0, "", MAX($D$4:D509)+1), "")</f>
        <v/>
      </c>
      <c r="E510" s="136">
        <f>IF($U510="Pending Allocation", IF(MAX($E$4:E509)+1=0, "", MAX($E$4:E509)+1), "")</f>
        <v/>
      </c>
      <c r="F510" s="136" t="n"/>
      <c r="G510" s="136" t="n"/>
      <c r="H510" s="150" t="n"/>
      <c r="I510" s="150" t="n"/>
      <c r="J510" s="67">
        <f>IF(OpenPendingCases[[#This Row],[Timepiece Reference ]]="", "", IF(_xlfn.XLOOKUP(OpenPendingCases[[#This Row],[Timepiece Reference ]], Table1[[Timepiece Reference ]], Table1[CRC STOCK], "Not Found")="YES", "CRC Stock", "Boutique Stock"))</f>
        <v/>
      </c>
      <c r="K510" s="136">
        <f>IF(OpenPendingCases[[#This Row],[Timepiece Reference ]]="", "", IF(_xlfn.XLOOKUP(OpenPendingCases[[#This Row],[Timepiece Reference ]], Table1[[Timepiece Reference ]], Table1[CRC STOCK], "Not Found")="YES", "CRC Stock", "Boutique Stock"))</f>
        <v/>
      </c>
      <c r="L510" s="142" t="n"/>
      <c r="M510" s="140" t="n"/>
      <c r="N510" s="136" t="n"/>
      <c r="O510" s="133" t="n"/>
      <c r="P510" s="93">
        <f>IFERROR(VLOOKUP(TRIM(O510), Collection!$B$2:$D$1001, 2, FALSE), "")</f>
        <v/>
      </c>
      <c r="Q510" s="190">
        <f>IFERROR(VLOOKUP(TRIM(O510), Collection!$B$2:$D$1001, 3, FALSE), "")</f>
        <v/>
      </c>
      <c r="R510" s="153">
        <f>IFERROR(VALUE(SUBSTITUTE(SUBSTITUTE(Q510, "Price", ""), "AED", "")), "")</f>
        <v/>
      </c>
      <c r="S510" s="151" t="n"/>
      <c r="T510" s="158" t="n"/>
      <c r="U510" s="136" t="n"/>
      <c r="V510" s="136" t="n"/>
      <c r="W510" s="156">
        <f>IF(Z510 = "",
"",
TEXT(Z510, "mmmm"))</f>
        <v/>
      </c>
      <c r="X510" s="157" t="n"/>
      <c r="Y510" s="158" t="n"/>
      <c r="Z510" s="158" t="n"/>
      <c r="AA510" s="136">
        <f>IF(H510="", "", IF(U510="Open Sale", IF(TODAY()-H510=0, "0 Days", TEXT(TODAY()-H510, "0") &amp; " Days"), IF(U510="Closed Sale", AA510, "")))</f>
        <v/>
      </c>
      <c r="AB510" s="136">
        <f>IF(H510="", "", IF(OR(U510="Pending", U510="Pending Allocation"), CONCATENATE(TODAY()-H510, " Days"), IF(U510="Closed", "", "")))</f>
        <v/>
      </c>
      <c r="AC510" s="160">
        <f>IF(U510="Pending Allocation", IF(I510="", "", TODAY()-I510), "")</f>
        <v/>
      </c>
      <c r="AD510" s="159">
        <f>IF(U510="Open Sale", TEXT(TODAY()-I510, "0"),
IF(U510="Pending", "",
IF(U510="Closed Sale", "", "")))</f>
        <v/>
      </c>
      <c r="AE510" s="161" t="n"/>
      <c r="AF510" s="161" t="n"/>
      <c r="AG510" s="161" t="n"/>
      <c r="AH510" s="136" t="n"/>
      <c r="AI510" s="164">
        <f>IF(I510="","",TEXT(I510, "mmmm yyyy"))</f>
        <v/>
      </c>
      <c r="AJ510" s="164">
        <f>IF(AND(OpenPendingCases[[#This Row],[Sale Status	]]="Open Sale",OpenPendingCases[[#This Row],[Potential Same Month]]="High"),TEXT(OpenPendingCases[[#This Row],[Request Entry Date]], "[$-en-us]mmmm"),"")</f>
        <v/>
      </c>
      <c r="AK510" s="165">
        <f>IFERROR(VALUE(SUBSTITUTE(OpenPendingCases[[#This Row],[Price]]," AED","")),"")</f>
        <v/>
      </c>
      <c r="AL510" s="165">
        <f>IFERROR(VALUE(LEFT(OpenPendingCases[[#This Row],[Price]],FIND(" ",OpenPendingCases[[#This Row],[Price]])-1)),"")</f>
        <v/>
      </c>
      <c r="AM510" s="165">
        <f>IFERROR(VALUE(_xlfn.TEXTBEFORE(OpenPendingCases[[#This Row],[Price]]," AED")),"")</f>
        <v/>
      </c>
      <c r="AN510" s="165" t="n"/>
    </row>
    <row r="511" hidden="1" ht="18" customHeight="1" s="287">
      <c r="C511" s="133" t="n"/>
      <c r="D511" s="136">
        <f>IF($U511="Open Sale", IF(MAX($D$4:D510)+1=0, "", MAX($D$4:D510)+1), "")</f>
        <v/>
      </c>
      <c r="E511" s="136">
        <f>IF($U511="Pending Allocation", IF(MAX($E$4:E510)+1=0, "", MAX($E$4:E510)+1), "")</f>
        <v/>
      </c>
      <c r="F511" s="136" t="n"/>
      <c r="G511" s="136" t="n"/>
      <c r="H511" s="150" t="n"/>
      <c r="I511" s="150" t="n"/>
      <c r="J511" s="67">
        <f>IF(OpenPendingCases[[#This Row],[Timepiece Reference ]]="", "", IF(_xlfn.XLOOKUP(OpenPendingCases[[#This Row],[Timepiece Reference ]], Table1[[Timepiece Reference ]], Table1[CRC STOCK], "Not Found")="YES", "CRC Stock", "Boutique Stock"))</f>
        <v/>
      </c>
      <c r="K511" s="136">
        <f>IF(OpenPendingCases[[#This Row],[Timepiece Reference ]]="", "", IF(_xlfn.XLOOKUP(OpenPendingCases[[#This Row],[Timepiece Reference ]], Table1[[Timepiece Reference ]], Table1[CRC STOCK], "Not Found")="YES", "CRC Stock", "Boutique Stock"))</f>
        <v/>
      </c>
      <c r="L511" s="142" t="n"/>
      <c r="M511" s="140" t="n"/>
      <c r="N511" s="136" t="n"/>
      <c r="O511" s="133" t="n"/>
      <c r="P511" s="93">
        <f>IFERROR(VLOOKUP(TRIM(O511), Collection!$B$2:$D$1001, 2, FALSE), "")</f>
        <v/>
      </c>
      <c r="Q511" s="190">
        <f>IFERROR(VLOOKUP(TRIM(O511), Collection!$B$2:$D$1001, 3, FALSE), "")</f>
        <v/>
      </c>
      <c r="R511" s="153">
        <f>IFERROR(VALUE(SUBSTITUTE(SUBSTITUTE(Q511, "Price", ""), "AED", "")), "")</f>
        <v/>
      </c>
      <c r="S511" s="151" t="n"/>
      <c r="T511" s="158" t="n"/>
      <c r="U511" s="136" t="n"/>
      <c r="V511" s="136" t="n"/>
      <c r="W511" s="156">
        <f>IF(Z511 = "",
"",
TEXT(Z511, "mmmm"))</f>
        <v/>
      </c>
      <c r="X511" s="157" t="n"/>
      <c r="Y511" s="158" t="n"/>
      <c r="Z511" s="158" t="n"/>
      <c r="AA511" s="136">
        <f>IF(H511="", "", IF(U511="Open Sale", IF(TODAY()-H511=0, "0 Days", TEXT(TODAY()-H511, "0") &amp; " Days"), IF(U511="Closed Sale", AA511, "")))</f>
        <v/>
      </c>
      <c r="AB511" s="136">
        <f>IF(H511="", "", IF(OR(U511="Pending", U511="Pending Allocation"), CONCATENATE(TODAY()-H511, " Days"), IF(U511="Closed", "", "")))</f>
        <v/>
      </c>
      <c r="AC511" s="160">
        <f>IF(U511="Pending Allocation", IF(I511="", "", TODAY()-I511), "")</f>
        <v/>
      </c>
      <c r="AD511" s="159">
        <f>IF(U511="Open Sale", TEXT(TODAY()-I511, "0"),
IF(U511="Pending", "",
IF(U511="Closed Sale", "", "")))</f>
        <v/>
      </c>
      <c r="AE511" s="161" t="n"/>
      <c r="AF511" s="161" t="n"/>
      <c r="AG511" s="161" t="n"/>
      <c r="AH511" s="136" t="n"/>
      <c r="AI511" s="164">
        <f>IF(I511="","",TEXT(I511, "mmmm yyyy"))</f>
        <v/>
      </c>
      <c r="AJ511" s="164">
        <f>IF(AND(OpenPendingCases[[#This Row],[Sale Status	]]="Open Sale",OpenPendingCases[[#This Row],[Potential Same Month]]="High"),TEXT(OpenPendingCases[[#This Row],[Request Entry Date]], "[$-en-us]mmmm"),"")</f>
        <v/>
      </c>
      <c r="AK511" s="165">
        <f>IFERROR(VALUE(SUBSTITUTE(OpenPendingCases[[#This Row],[Price]]," AED","")),"")</f>
        <v/>
      </c>
      <c r="AL511" s="165">
        <f>IFERROR(VALUE(LEFT(OpenPendingCases[[#This Row],[Price]],FIND(" ",OpenPendingCases[[#This Row],[Price]])-1)),"")</f>
        <v/>
      </c>
      <c r="AM511" s="165">
        <f>IFERROR(VALUE(_xlfn.TEXTBEFORE(OpenPendingCases[[#This Row],[Price]]," AED")),"")</f>
        <v/>
      </c>
      <c r="AN511" s="165" t="n"/>
    </row>
    <row r="512" hidden="1" ht="18" customHeight="1" s="287">
      <c r="C512" s="133" t="n"/>
      <c r="D512" s="136">
        <f>IF($U512="Open Sale", IF(MAX($D$4:D511)+1=0, "", MAX($D$4:D511)+1), "")</f>
        <v/>
      </c>
      <c r="E512" s="136">
        <f>IF($U512="Pending Allocation", IF(MAX($E$4:E511)+1=0, "", MAX($E$4:E511)+1), "")</f>
        <v/>
      </c>
      <c r="F512" s="136" t="n"/>
      <c r="G512" s="136" t="n"/>
      <c r="H512" s="150" t="n"/>
      <c r="I512" s="150" t="n"/>
      <c r="J512" s="67">
        <f>IF(OpenPendingCases[[#This Row],[Timepiece Reference ]]="", "", IF(_xlfn.XLOOKUP(OpenPendingCases[[#This Row],[Timepiece Reference ]], Table1[[Timepiece Reference ]], Table1[CRC STOCK], "Not Found")="YES", "CRC Stock", "Boutique Stock"))</f>
        <v/>
      </c>
      <c r="K512" s="136">
        <f>IF(OpenPendingCases[[#This Row],[Timepiece Reference ]]="", "", IF(_xlfn.XLOOKUP(OpenPendingCases[[#This Row],[Timepiece Reference ]], Table1[[Timepiece Reference ]], Table1[CRC STOCK], "Not Found")="YES", "CRC Stock", "Boutique Stock"))</f>
        <v/>
      </c>
      <c r="L512" s="142" t="n"/>
      <c r="M512" s="140" t="n"/>
      <c r="N512" s="136" t="n"/>
      <c r="O512" s="133" t="n"/>
      <c r="P512" s="93">
        <f>IFERROR(VLOOKUP(TRIM(O512), Collection!$B$2:$D$1001, 2, FALSE), "")</f>
        <v/>
      </c>
      <c r="Q512" s="190">
        <f>IFERROR(VLOOKUP(TRIM(O512), Collection!$B$2:$D$1001, 3, FALSE), "")</f>
        <v/>
      </c>
      <c r="R512" s="153">
        <f>IFERROR(VALUE(SUBSTITUTE(SUBSTITUTE(Q512, "Price", ""), "AED", "")), "")</f>
        <v/>
      </c>
      <c r="S512" s="151" t="n"/>
      <c r="T512" s="158" t="n"/>
      <c r="U512" s="136" t="n"/>
      <c r="V512" s="136" t="n"/>
      <c r="W512" s="156">
        <f>IF(Z512 = "",
"",
TEXT(Z512, "mmmm"))</f>
        <v/>
      </c>
      <c r="X512" s="157" t="n"/>
      <c r="Y512" s="158" t="n"/>
      <c r="Z512" s="158" t="n"/>
      <c r="AA512" s="136">
        <f>IF(H512="", "", IF(U512="Open Sale", IF(TODAY()-H512=0, "0 Days", TEXT(TODAY()-H512, "0") &amp; " Days"), IF(U512="Closed Sale", AA512, "")))</f>
        <v/>
      </c>
      <c r="AB512" s="136">
        <f>IF(H512="", "", IF(OR(U512="Pending", U512="Pending Allocation"), CONCATENATE(TODAY()-H512, " Days"), IF(U512="Closed", "", "")))</f>
        <v/>
      </c>
      <c r="AC512" s="160">
        <f>IF(U512="Pending Allocation", IF(I512="", "", TODAY()-I512), "")</f>
        <v/>
      </c>
      <c r="AD512" s="159">
        <f>IF(U512="Open Sale", TEXT(TODAY()-I512, "0"),
IF(U512="Pending", "",
IF(U512="Closed Sale", "", "")))</f>
        <v/>
      </c>
      <c r="AE512" s="161" t="n"/>
      <c r="AF512" s="161" t="n"/>
      <c r="AG512" s="161" t="n"/>
      <c r="AH512" s="136" t="n"/>
      <c r="AI512" s="164">
        <f>IF(I512="","",TEXT(I512, "mmmm yyyy"))</f>
        <v/>
      </c>
      <c r="AJ512" s="164">
        <f>IF(AND(OpenPendingCases[[#This Row],[Sale Status	]]="Open Sale",OpenPendingCases[[#This Row],[Potential Same Month]]="High"),TEXT(OpenPendingCases[[#This Row],[Request Entry Date]], "[$-en-us]mmmm"),"")</f>
        <v/>
      </c>
      <c r="AK512" s="165">
        <f>IFERROR(VALUE(SUBSTITUTE(OpenPendingCases[[#This Row],[Price]]," AED","")),"")</f>
        <v/>
      </c>
      <c r="AL512" s="165">
        <f>IFERROR(VALUE(LEFT(OpenPendingCases[[#This Row],[Price]],FIND(" ",OpenPendingCases[[#This Row],[Price]])-1)),"")</f>
        <v/>
      </c>
      <c r="AM512" s="165">
        <f>IFERROR(VALUE(_xlfn.TEXTBEFORE(OpenPendingCases[[#This Row],[Price]]," AED")),"")</f>
        <v/>
      </c>
      <c r="AN512" s="165" t="n"/>
    </row>
    <row r="513" hidden="1" ht="18" customHeight="1" s="287">
      <c r="C513" s="133" t="n"/>
      <c r="D513" s="136">
        <f>IF($U513="Open Sale", IF(MAX($D$4:D512)+1=0, "", MAX($D$4:D512)+1), "")</f>
        <v/>
      </c>
      <c r="E513" s="136">
        <f>IF($U513="Pending Allocation", IF(MAX($E$4:E512)+1=0, "", MAX($E$4:E512)+1), "")</f>
        <v/>
      </c>
      <c r="F513" s="136" t="n"/>
      <c r="G513" s="136" t="n"/>
      <c r="H513" s="150" t="n"/>
      <c r="I513" s="150" t="n"/>
      <c r="J513" s="67">
        <f>IF(OpenPendingCases[[#This Row],[Timepiece Reference ]]="", "", IF(_xlfn.XLOOKUP(OpenPendingCases[[#This Row],[Timepiece Reference ]], Table1[[Timepiece Reference ]], Table1[CRC STOCK], "Not Found")="YES", "CRC Stock", "Boutique Stock"))</f>
        <v/>
      </c>
      <c r="K513" s="136">
        <f>IF(OpenPendingCases[[#This Row],[Timepiece Reference ]]="", "", IF(_xlfn.XLOOKUP(OpenPendingCases[[#This Row],[Timepiece Reference ]], Table1[[Timepiece Reference ]], Table1[CRC STOCK], "Not Found")="YES", "CRC Stock", "Boutique Stock"))</f>
        <v/>
      </c>
      <c r="L513" s="142" t="n"/>
      <c r="M513" s="140" t="n"/>
      <c r="N513" s="136" t="n"/>
      <c r="O513" s="133" t="n"/>
      <c r="P513" s="93">
        <f>IFERROR(VLOOKUP(TRIM(O513), Collection!$B$2:$D$1001, 2, FALSE), "")</f>
        <v/>
      </c>
      <c r="Q513" s="190">
        <f>IFERROR(VLOOKUP(TRIM(O513), Collection!$B$2:$D$1001, 3, FALSE), "")</f>
        <v/>
      </c>
      <c r="R513" s="153">
        <f>IFERROR(VALUE(SUBSTITUTE(SUBSTITUTE(Q513, "Price", ""), "AED", "")), "")</f>
        <v/>
      </c>
      <c r="S513" s="151" t="n"/>
      <c r="T513" s="158" t="n"/>
      <c r="U513" s="136" t="n"/>
      <c r="V513" s="136" t="n"/>
      <c r="W513" s="156">
        <f>IF(Z513 = "",
     "",
     TEXT(Z513, "mmmm"))</f>
        <v/>
      </c>
      <c r="X513" s="157" t="n"/>
      <c r="Y513" s="158" t="n"/>
      <c r="Z513" s="158" t="n"/>
      <c r="AA513" s="136">
        <f>IF(H513="", "", IF(U513="Open Sale", IF(TODAY()-H513=0, "0 Days", TEXT(TODAY()-H513, "0") &amp; " Days"), IF(U513="Closed Sale", AA513, "")))</f>
        <v/>
      </c>
      <c r="AB513" s="136">
        <f>IF(H513="", "", IF(OR(U513="Pending", U513="Pending Allocation"), CONCATENATE(TODAY()-H513, " Days"), IF(U513="Closed", "", "")))</f>
        <v/>
      </c>
      <c r="AC513" s="160">
        <f>IF(U513="Pending Allocation", IF(I513="", "", TODAY()-I513), "")</f>
        <v/>
      </c>
      <c r="AD513" s="159">
        <f>IF(U513="Open Sale", TEXT(TODAY()-I513, "0"),
IF(U513="Pending", "",
IF(U513="Closed Sale", "", "")))</f>
        <v/>
      </c>
      <c r="AE513" s="161" t="n"/>
      <c r="AF513" s="161" t="n"/>
      <c r="AG513" s="161" t="n"/>
      <c r="AH513" s="136" t="n"/>
      <c r="AI513" s="164">
        <f>IF(I513="","",TEXT(I513, "mmmm yyyy"))</f>
        <v/>
      </c>
      <c r="AJ513" s="164">
        <f>IF(AND(OpenPendingCases[[#This Row],[Sale Status	]]="Open Sale",OpenPendingCases[[#This Row],[Potential Same Month]]="High"),TEXT(OpenPendingCases[[#This Row],[Request Entry Date]], "[$-en-us]mmmm"),"")</f>
        <v/>
      </c>
      <c r="AK513" s="165">
        <f>IFERROR(VALUE(SUBSTITUTE(OpenPendingCases[[#This Row],[Price]]," AED","")),"")</f>
        <v/>
      </c>
      <c r="AL513" s="165">
        <f>IFERROR(VALUE(LEFT(OpenPendingCases[[#This Row],[Price]],FIND(" ",OpenPendingCases[[#This Row],[Price]])-1)),"")</f>
        <v/>
      </c>
      <c r="AM513" s="165">
        <f>IFERROR(VALUE(_xlfn.TEXTBEFORE(OpenPendingCases[[#This Row],[Price]]," AED")),"")</f>
        <v/>
      </c>
      <c r="AN513" s="165" t="n"/>
    </row>
    <row r="514" hidden="1" ht="18" customHeight="1" s="287">
      <c r="C514" s="133" t="n"/>
      <c r="D514" s="136">
        <f>IF($U514="Open Sale", IF(MAX($D$4:D513)+1=0, "", MAX($D$4:D513)+1), "")</f>
        <v/>
      </c>
      <c r="E514" s="136">
        <f>IF($U514="Pending Allocation", IF(MAX($E$4:E513)+1=0, "", MAX($E$4:E513)+1), "")</f>
        <v/>
      </c>
      <c r="F514" s="136" t="n"/>
      <c r="G514" s="136" t="n"/>
      <c r="H514" s="150" t="n"/>
      <c r="I514" s="150" t="n"/>
      <c r="J514" s="67">
        <f>IF(OpenPendingCases[[#This Row],[Timepiece Reference ]]="", "", IF(_xlfn.XLOOKUP(OpenPendingCases[[#This Row],[Timepiece Reference ]], Table1[[Timepiece Reference ]], Table1[CRC STOCK], "Not Found")="YES", "CRC Stock", "Boutique Stock"))</f>
        <v/>
      </c>
      <c r="K514" s="136">
        <f>IF(OpenPendingCases[[#This Row],[Timepiece Reference ]]="", "", IF(_xlfn.XLOOKUP(OpenPendingCases[[#This Row],[Timepiece Reference ]], Table1[[Timepiece Reference ]], Table1[CRC STOCK], "Not Found")="YES", "CRC Stock", "Boutique Stock"))</f>
        <v/>
      </c>
      <c r="L514" s="142" t="n"/>
      <c r="M514" s="140" t="n"/>
      <c r="N514" s="136" t="n"/>
      <c r="O514" s="133" t="n"/>
      <c r="P514" s="93">
        <f>IFERROR(VLOOKUP(TRIM(O514), Collection!$B$2:$D$1001, 2, FALSE), "")</f>
        <v/>
      </c>
      <c r="Q514" s="190">
        <f>IFERROR(VLOOKUP(TRIM(O514), Collection!$B$2:$D$1001, 3, FALSE), "")</f>
        <v/>
      </c>
      <c r="R514" s="153">
        <f>IFERROR(VALUE(SUBSTITUTE(SUBSTITUTE(Q514, "Price", ""), "AED", "")), "")</f>
        <v/>
      </c>
      <c r="S514" s="151" t="n"/>
      <c r="T514" s="158" t="n"/>
      <c r="U514" s="136" t="n"/>
      <c r="V514" s="136" t="n"/>
      <c r="W514" s="156">
        <f>IF(Z514 = "",
"",
TEXT(Z514, "mmmm"))</f>
        <v/>
      </c>
      <c r="X514" s="157" t="n"/>
      <c r="Y514" s="158" t="n"/>
      <c r="Z514" s="158" t="n"/>
      <c r="AA514" s="136">
        <f>IF(H514="", "", IF(U514="Open Sale", IF(TODAY()-H514=0, "0 Days", TEXT(TODAY()-H514, "0") &amp; " Days"), IF(U514="Closed Sale", AA514, "")))</f>
        <v/>
      </c>
      <c r="AB514" s="136">
        <f>IF(H514="", "", IF(OR(U514="Pending", U514="Pending Allocation"), CONCATENATE(TODAY()-H514, " Days"), IF(U514="Closed", "", "")))</f>
        <v/>
      </c>
      <c r="AC514" s="160">
        <f>IF(U514="Pending Allocation", IF(I514="", "", TODAY()-I514), "")</f>
        <v/>
      </c>
      <c r="AD514" s="159">
        <f>IF(U514="Open Sale", TEXT(TODAY()-I514, "0"),
IF(U514="Pending", "",
IF(U514="Closed Sale", "", "")))</f>
        <v/>
      </c>
      <c r="AE514" s="161" t="n"/>
      <c r="AF514" s="161" t="n"/>
      <c r="AG514" s="161" t="n"/>
      <c r="AH514" s="136" t="n"/>
      <c r="AI514" s="164">
        <f>IF(I514="","",TEXT(I514, "mmmm yyyy"))</f>
        <v/>
      </c>
      <c r="AJ514" s="164">
        <f>IF(AND(OpenPendingCases[[#This Row],[Sale Status	]]="Open Sale",OpenPendingCases[[#This Row],[Potential Same Month]]="High"),TEXT(OpenPendingCases[[#This Row],[Request Entry Date]], "[$-en-us]mmmm"),"")</f>
        <v/>
      </c>
      <c r="AK514" s="165">
        <f>IFERROR(VALUE(SUBSTITUTE(OpenPendingCases[[#This Row],[Price]]," AED","")),"")</f>
        <v/>
      </c>
      <c r="AL514" s="165">
        <f>IFERROR(VALUE(LEFT(OpenPendingCases[[#This Row],[Price]],FIND(" ",OpenPendingCases[[#This Row],[Price]])-1)),"")</f>
        <v/>
      </c>
      <c r="AM514" s="165">
        <f>IFERROR(VALUE(_xlfn.TEXTBEFORE(OpenPendingCases[[#This Row],[Price]]," AED")),"")</f>
        <v/>
      </c>
      <c r="AN514" s="165" t="n"/>
    </row>
    <row r="515" hidden="1" ht="18" customHeight="1" s="287">
      <c r="C515" s="133" t="n"/>
      <c r="D515" s="136">
        <f>IF($U515="Open Sale", IF(MAX($D$4:D514)+1=0, "", MAX($D$4:D514)+1), "")</f>
        <v/>
      </c>
      <c r="E515" s="136">
        <f>IF($U515="Pending Allocation", IF(MAX($E$4:E514)+1=0, "", MAX($E$4:E514)+1), "")</f>
        <v/>
      </c>
      <c r="F515" s="136" t="n"/>
      <c r="G515" s="136" t="n"/>
      <c r="H515" s="150" t="n"/>
      <c r="I515" s="150" t="n"/>
      <c r="J515" s="67">
        <f>IF(OpenPendingCases[[#This Row],[Timepiece Reference ]]="", "", IF(_xlfn.XLOOKUP(OpenPendingCases[[#This Row],[Timepiece Reference ]], Table1[[Timepiece Reference ]], Table1[CRC STOCK], "Not Found")="YES", "CRC Stock", "Boutique Stock"))</f>
        <v/>
      </c>
      <c r="K515" s="136">
        <f>IF(OpenPendingCases[[#This Row],[Timepiece Reference ]]="", "", IF(_xlfn.XLOOKUP(OpenPendingCases[[#This Row],[Timepiece Reference ]], Table1[[Timepiece Reference ]], Table1[CRC STOCK], "Not Found")="YES", "CRC Stock", "Boutique Stock"))</f>
        <v/>
      </c>
      <c r="L515" s="142" t="n"/>
      <c r="M515" s="140" t="n"/>
      <c r="N515" s="136" t="n"/>
      <c r="O515" s="133" t="n"/>
      <c r="P515" s="93">
        <f>IFERROR(VLOOKUP(TRIM(O515), Collection!$B$2:$D$1001, 2, FALSE), "")</f>
        <v/>
      </c>
      <c r="Q515" s="190">
        <f>IFERROR(VLOOKUP(TRIM(O515), Collection!$B$2:$D$1001, 3, FALSE), "")</f>
        <v/>
      </c>
      <c r="R515" s="153">
        <f>IFERROR(VALUE(SUBSTITUTE(SUBSTITUTE(Q515, "Price", ""), "AED", "")), "")</f>
        <v/>
      </c>
      <c r="S515" s="151" t="n"/>
      <c r="T515" s="158" t="n"/>
      <c r="U515" s="136" t="n"/>
      <c r="V515" s="136" t="n"/>
      <c r="W515" s="156">
        <f>IF(Z515 = "",
"",
TEXT(Z515, "mmmm"))</f>
        <v/>
      </c>
      <c r="X515" s="157" t="n"/>
      <c r="Y515" s="158" t="n"/>
      <c r="Z515" s="158" t="n"/>
      <c r="AA515" s="136">
        <f>IF(H515="", "", IF(U515="Open Sale", IF(TODAY()-H515=0, "0 Days", TEXT(TODAY()-H515, "0") &amp; " Days"), IF(U515="Closed Sale", AA515, "")))</f>
        <v/>
      </c>
      <c r="AB515" s="136">
        <f>IF(H515="", "", IF(OR(U515="Pending", U515="Pending Allocation"), CONCATENATE(TODAY()-H515, " Days"), IF(U515="Closed", "", "")))</f>
        <v/>
      </c>
      <c r="AC515" s="160">
        <f>IF(U515="Pending Allocation", IF(I515="", "", TODAY()-I515), "")</f>
        <v/>
      </c>
      <c r="AD515" s="159">
        <f>IF(U515="Open Sale", TEXT(TODAY()-I515, "0"),
   IF(U515="Pending", "",
      IF(U515="Closed Sale", "", "")))</f>
        <v/>
      </c>
      <c r="AE515" s="161" t="n"/>
      <c r="AF515" s="161" t="n"/>
      <c r="AG515" s="161" t="n"/>
      <c r="AH515" s="136" t="n"/>
      <c r="AI515" s="164">
        <f>IF(I515="","",TEXT(I515, "mmmm yyyy"))</f>
        <v/>
      </c>
      <c r="AJ515" s="164">
        <f>IF(AND(OpenPendingCases[[#This Row],[Sale Status	]]="Open Sale",OpenPendingCases[[#This Row],[Potential Same Month]]="High"),TEXT(OpenPendingCases[[#This Row],[Request Entry Date]], "[$-en-us]mmmm"),"")</f>
        <v/>
      </c>
      <c r="AK515" s="165">
        <f>IFERROR(VALUE(SUBSTITUTE(OpenPendingCases[[#This Row],[Price]]," AED","")),"")</f>
        <v/>
      </c>
      <c r="AL515" s="165">
        <f>IFERROR(VALUE(LEFT(OpenPendingCases[[#This Row],[Price]],FIND(" ",OpenPendingCases[[#This Row],[Price]])-1)),"")</f>
        <v/>
      </c>
      <c r="AM515" s="165">
        <f>IFERROR(VALUE(_xlfn.TEXTBEFORE(OpenPendingCases[[#This Row],[Price]]," AED")),"")</f>
        <v/>
      </c>
      <c r="AN515" s="165" t="n"/>
    </row>
    <row r="516" hidden="1" ht="18" customHeight="1" s="287">
      <c r="C516" s="133" t="n"/>
      <c r="D516" s="136">
        <f>IF($U516="Open Sale", IF(MAX($D$4:D515)+1=0, "", MAX($D$4:D515)+1), "")</f>
        <v/>
      </c>
      <c r="E516" s="136">
        <f>IF($U516="Pending Allocation", IF(MAX($E$4:E515)+1=0, "", MAX($E$4:E515)+1), "")</f>
        <v/>
      </c>
      <c r="F516" s="136" t="n"/>
      <c r="G516" s="136" t="n"/>
      <c r="H516" s="150" t="n"/>
      <c r="I516" s="150" t="n"/>
      <c r="J516" s="67">
        <f>IF(OpenPendingCases[[#This Row],[Timepiece Reference ]]="", "", IF(_xlfn.XLOOKUP(OpenPendingCases[[#This Row],[Timepiece Reference ]], Table1[[Timepiece Reference ]], Table1[CRC STOCK], "Not Found")="YES", "CRC Stock", "Boutique Stock"))</f>
        <v/>
      </c>
      <c r="K516" s="136">
        <f>IF(OpenPendingCases[[#This Row],[Timepiece Reference ]]="", "", IF(_xlfn.XLOOKUP(OpenPendingCases[[#This Row],[Timepiece Reference ]], Table1[[Timepiece Reference ]], Table1[CRC STOCK], "Not Found")="YES", "CRC Stock", "Boutique Stock"))</f>
        <v/>
      </c>
      <c r="L516" s="142" t="n"/>
      <c r="M516" s="140" t="n"/>
      <c r="N516" s="136" t="n"/>
      <c r="O516" s="133" t="n"/>
      <c r="P516" s="93">
        <f>IFERROR(VLOOKUP(TRIM(O516), Collection!$B$2:$D$1001, 2, FALSE), "")</f>
        <v/>
      </c>
      <c r="Q516" s="190">
        <f>IFERROR(VLOOKUP(TRIM(O516), Collection!$B$2:$D$1001, 3, FALSE), "")</f>
        <v/>
      </c>
      <c r="R516" s="153">
        <f>IFERROR(VALUE(SUBSTITUTE(SUBSTITUTE(Q516, "Price", ""), "AED", "")), "")</f>
        <v/>
      </c>
      <c r="S516" s="151" t="n"/>
      <c r="T516" s="158" t="n"/>
      <c r="U516" s="136" t="n"/>
      <c r="V516" s="136" t="n"/>
      <c r="W516" s="156">
        <f>IF(Z516 = "",
     "",
     TEXT(Z516, "mmmm"))</f>
        <v/>
      </c>
      <c r="X516" s="157" t="n"/>
      <c r="Y516" s="158" t="n"/>
      <c r="Z516" s="158" t="n"/>
      <c r="AA516" s="136">
        <f>IF(H516="", "", IF(U516="Open Sale", IF(TODAY()-H516=0, "0 Days", TEXT(TODAY()-H516, "0") &amp; " Days"), IF(U516="Closed Sale", AA516, "")))</f>
        <v/>
      </c>
      <c r="AB516" s="136">
        <f>IF(H516="", "", IF(OR(U516="Pending", U516="Pending Allocation"), CONCATENATE(TODAY()-H516, " Days"), IF(U516="Closed", "", "")))</f>
        <v/>
      </c>
      <c r="AC516" s="160">
        <f>IF(U516="Pending Allocation", IF(I516="", "", TODAY()-I516), "")</f>
        <v/>
      </c>
      <c r="AD516" s="159">
        <f>IF(U516="Open Sale", TEXT(TODAY()-I516, "0"),
IF(U516="Pending", "",
IF(U516="Closed Sale", "", "")))</f>
        <v/>
      </c>
      <c r="AE516" s="161" t="n"/>
      <c r="AF516" s="161" t="n"/>
      <c r="AG516" s="161" t="n"/>
      <c r="AH516" s="136" t="n"/>
      <c r="AI516" s="164">
        <f>IF(I516="","",TEXT(I516, "mmmm yyyy"))</f>
        <v/>
      </c>
      <c r="AJ516" s="164">
        <f>IF(AND(OpenPendingCases[[#This Row],[Sale Status	]]="Open Sale",OpenPendingCases[[#This Row],[Potential Same Month]]="High"),TEXT(OpenPendingCases[[#This Row],[Request Entry Date]], "[$-en-us]mmmm"),"")</f>
        <v/>
      </c>
      <c r="AK516" s="165">
        <f>IFERROR(VALUE(SUBSTITUTE(OpenPendingCases[[#This Row],[Price]]," AED","")),"")</f>
        <v/>
      </c>
      <c r="AL516" s="165">
        <f>IFERROR(VALUE(LEFT(OpenPendingCases[[#This Row],[Price]],FIND(" ",OpenPendingCases[[#This Row],[Price]])-1)),"")</f>
        <v/>
      </c>
      <c r="AM516" s="165">
        <f>IFERROR(VALUE(_xlfn.TEXTBEFORE(OpenPendingCases[[#This Row],[Price]]," AED")),"")</f>
        <v/>
      </c>
      <c r="AN516" s="165" t="n"/>
    </row>
    <row r="517" hidden="1" ht="18" customHeight="1" s="287">
      <c r="C517" s="133" t="n"/>
      <c r="D517" s="136">
        <f>IF($U517="Open Sale", IF(MAX($D$4:D516)+1=0, "", MAX($D$4:D516)+1), "")</f>
        <v/>
      </c>
      <c r="E517" s="136">
        <f>IF($U517="Pending Allocation", IF(MAX($E$4:E516)+1=0, "", MAX($E$4:E516)+1), "")</f>
        <v/>
      </c>
      <c r="F517" s="136" t="n"/>
      <c r="G517" s="136" t="n"/>
      <c r="H517" s="150" t="n"/>
      <c r="I517" s="150" t="n"/>
      <c r="J517" s="67">
        <f>IF(OpenPendingCases[[#This Row],[Timepiece Reference ]]="", "", IF(_xlfn.XLOOKUP(OpenPendingCases[[#This Row],[Timepiece Reference ]], Table1[[Timepiece Reference ]], Table1[CRC STOCK], "Not Found")="YES", "CRC Stock", "Boutique Stock"))</f>
        <v/>
      </c>
      <c r="K517" s="136">
        <f>IF(OpenPendingCases[[#This Row],[Timepiece Reference ]]="", "", IF(_xlfn.XLOOKUP(OpenPendingCases[[#This Row],[Timepiece Reference ]], Table1[[Timepiece Reference ]], Table1[CRC STOCK], "Not Found")="YES", "CRC Stock", "Boutique Stock"))</f>
        <v/>
      </c>
      <c r="L517" s="142" t="n"/>
      <c r="M517" s="140" t="n"/>
      <c r="N517" s="136" t="n"/>
      <c r="O517" s="133" t="n"/>
      <c r="P517" s="93">
        <f>IFERROR(VLOOKUP(TRIM(O517), Collection!$B$2:$D$1001, 2, FALSE), "")</f>
        <v/>
      </c>
      <c r="Q517" s="190">
        <f>IFERROR(VLOOKUP(TRIM(O517), Collection!$B$2:$D$1001, 3, FALSE), "")</f>
        <v/>
      </c>
      <c r="R517" s="153">
        <f>IFERROR(VALUE(SUBSTITUTE(SUBSTITUTE(Q517, "Price", ""), "AED", "")), "")</f>
        <v/>
      </c>
      <c r="S517" s="151" t="n"/>
      <c r="T517" s="158" t="n"/>
      <c r="U517" s="136" t="n"/>
      <c r="V517" s="136" t="n"/>
      <c r="W517" s="156">
        <f>IF(Z517 = "",
"",
TEXT(Z517, "mmmm"))</f>
        <v/>
      </c>
      <c r="X517" s="157" t="n"/>
      <c r="Y517" s="158" t="n"/>
      <c r="Z517" s="158" t="n"/>
      <c r="AA517" s="136">
        <f>IF(H517="", "", IF(U517="Open Sale", IF(TODAY()-H517=0, "0 Days", TEXT(TODAY()-H517, "0") &amp; " Days"), IF(U517="Closed Sale", AA517, "")))</f>
        <v/>
      </c>
      <c r="AB517" s="136">
        <f>IF(H517="", "", IF(OR(U517="Pending", U517="Pending Allocation"), CONCATENATE(TODAY()-H517, " Days"), IF(U517="Closed", "", "")))</f>
        <v/>
      </c>
      <c r="AC517" s="160">
        <f>IF(U517="Pending Allocation", IF(I517="", "", TODAY()-I517), "")</f>
        <v/>
      </c>
      <c r="AD517" s="159">
        <f>IF(U517="Open Sale", TEXT(TODAY()-I517, "0"),
IF(U517="Pending", "",
IF(U517="Closed Sale", "", "")))</f>
        <v/>
      </c>
      <c r="AE517" s="161" t="n"/>
      <c r="AF517" s="161" t="n"/>
      <c r="AG517" s="161" t="n"/>
      <c r="AH517" s="136" t="n"/>
      <c r="AI517" s="164">
        <f>IF(I517="","",TEXT(I517, "mmmm yyyy"))</f>
        <v/>
      </c>
      <c r="AJ517" s="164">
        <f>IF(AND(OpenPendingCases[[#This Row],[Sale Status	]]="Open Sale",OpenPendingCases[[#This Row],[Potential Same Month]]="High"),TEXT(OpenPendingCases[[#This Row],[Request Entry Date]], "[$-en-us]mmmm"),"")</f>
        <v/>
      </c>
      <c r="AK517" s="165">
        <f>IFERROR(VALUE(SUBSTITUTE(OpenPendingCases[[#This Row],[Price]]," AED","")),"")</f>
        <v/>
      </c>
      <c r="AL517" s="165">
        <f>IFERROR(VALUE(LEFT(OpenPendingCases[[#This Row],[Price]],FIND(" ",OpenPendingCases[[#This Row],[Price]])-1)),"")</f>
        <v/>
      </c>
      <c r="AM517" s="165">
        <f>IFERROR(VALUE(_xlfn.TEXTBEFORE(OpenPendingCases[[#This Row],[Price]]," AED")),"")</f>
        <v/>
      </c>
      <c r="AN517" s="165" t="n"/>
    </row>
    <row r="518" hidden="1" ht="18" customHeight="1" s="287">
      <c r="C518" s="133" t="n"/>
      <c r="D518" s="136">
        <f>IF($U518="Open Sale", IF(MAX($D$4:D517)+1=0, "", MAX($D$4:D517)+1), "")</f>
        <v/>
      </c>
      <c r="E518" s="136">
        <f>IF($U518="Pending Allocation", IF(MAX($E$4:E517)+1=0, "", MAX($E$4:E517)+1), "")</f>
        <v/>
      </c>
      <c r="F518" s="136" t="n"/>
      <c r="G518" s="136" t="n"/>
      <c r="H518" s="150" t="n"/>
      <c r="I518" s="150" t="n"/>
      <c r="J518" s="67">
        <f>IF(OpenPendingCases[[#This Row],[Timepiece Reference ]]="", "", IF(_xlfn.XLOOKUP(OpenPendingCases[[#This Row],[Timepiece Reference ]], Table1[[Timepiece Reference ]], Table1[CRC STOCK], "Not Found")="YES", "CRC Stock", "Boutique Stock"))</f>
        <v/>
      </c>
      <c r="K518" s="136">
        <f>IF(OpenPendingCases[[#This Row],[Timepiece Reference ]]="", "", IF(_xlfn.XLOOKUP(OpenPendingCases[[#This Row],[Timepiece Reference ]], Table1[[Timepiece Reference ]], Table1[CRC STOCK], "Not Found")="YES", "CRC Stock", "Boutique Stock"))</f>
        <v/>
      </c>
      <c r="L518" s="142" t="n"/>
      <c r="M518" s="140" t="n"/>
      <c r="N518" s="136" t="n"/>
      <c r="O518" s="133" t="n"/>
      <c r="P518" s="93">
        <f>IFERROR(VLOOKUP(TRIM(O518), Collection!$B$2:$D$1001, 2, FALSE), "")</f>
        <v/>
      </c>
      <c r="Q518" s="190">
        <f>IFERROR(VLOOKUP(TRIM(O518), Collection!$B$2:$D$1001, 3, FALSE), "")</f>
        <v/>
      </c>
      <c r="R518" s="153">
        <f>IFERROR(VALUE(SUBSTITUTE(SUBSTITUTE(Q518, "Price", ""), "AED", "")), "")</f>
        <v/>
      </c>
      <c r="S518" s="151" t="n"/>
      <c r="T518" s="158" t="n"/>
      <c r="U518" s="136" t="n"/>
      <c r="V518" s="136" t="n"/>
      <c r="W518" s="156">
        <f>IF(Z518 = "",
"",
TEXT(Z518, "mmmm"))</f>
        <v/>
      </c>
      <c r="X518" s="157" t="n"/>
      <c r="Y518" s="158" t="n"/>
      <c r="Z518" s="158" t="n"/>
      <c r="AA518" s="136">
        <f>IF(H518="", "", IF(U518="Open Sale", IF(TODAY()-H518=0, "0 Days", TEXT(TODAY()-H518, "0") &amp; " Days"), IF(U518="Closed Sale", AA518, "")))</f>
        <v/>
      </c>
      <c r="AB518" s="136">
        <f>IF(H518="", "", IF(OR(U518="Pending", U518="Pending Allocation"), CONCATENATE(TODAY()-H518, " Days"), IF(U518="Closed", "", "")))</f>
        <v/>
      </c>
      <c r="AC518" s="160">
        <f>IF(U518="Pending Allocation", IF(I518="", "", TODAY()-I518), "")</f>
        <v/>
      </c>
      <c r="AD518" s="159">
        <f>IF(U518="Open Sale", TEXT(TODAY()-I518, "0"),
IF(U518="Pending", "",
IF(U518="Closed Sale", "", "")))</f>
        <v/>
      </c>
      <c r="AE518" s="161" t="n"/>
      <c r="AF518" s="161" t="n"/>
      <c r="AG518" s="161" t="n"/>
      <c r="AH518" s="136" t="n"/>
      <c r="AI518" s="164">
        <f>IF(I518="","",TEXT(I518, "mmmm yyyy"))</f>
        <v/>
      </c>
      <c r="AJ518" s="164">
        <f>IF(AND(OpenPendingCases[[#This Row],[Sale Status	]]="Open Sale",OpenPendingCases[[#This Row],[Potential Same Month]]="High"),TEXT(OpenPendingCases[[#This Row],[Request Entry Date]], "[$-en-us]mmmm"),"")</f>
        <v/>
      </c>
      <c r="AK518" s="165">
        <f>IFERROR(VALUE(SUBSTITUTE(OpenPendingCases[[#This Row],[Price]]," AED","")),"")</f>
        <v/>
      </c>
      <c r="AL518" s="165">
        <f>IFERROR(VALUE(LEFT(OpenPendingCases[[#This Row],[Price]],FIND(" ",OpenPendingCases[[#This Row],[Price]])-1)),"")</f>
        <v/>
      </c>
      <c r="AM518" s="165">
        <f>IFERROR(VALUE(_xlfn.TEXTBEFORE(OpenPendingCases[[#This Row],[Price]]," AED")),"")</f>
        <v/>
      </c>
      <c r="AN518" s="165" t="n"/>
    </row>
    <row r="519" hidden="1" ht="18" customHeight="1" s="287">
      <c r="C519" s="133" t="n"/>
      <c r="D519" s="136">
        <f>IF($U519="Open Sale", IF(MAX($D$4:D518)+1=0, "", MAX($D$4:D518)+1), "")</f>
        <v/>
      </c>
      <c r="E519" s="136">
        <f>IF($U519="Pending Allocation", IF(MAX($E$4:E518)+1=0, "", MAX($E$4:E518)+1), "")</f>
        <v/>
      </c>
      <c r="F519" s="136" t="n"/>
      <c r="G519" s="136" t="n"/>
      <c r="H519" s="150" t="n"/>
      <c r="I519" s="150" t="n"/>
      <c r="J519" s="67">
        <f>IF(OpenPendingCases[[#This Row],[Timepiece Reference ]]="", "", IF(_xlfn.XLOOKUP(OpenPendingCases[[#This Row],[Timepiece Reference ]], Table1[[Timepiece Reference ]], Table1[CRC STOCK], "Not Found")="YES", "CRC Stock", "Boutique Stock"))</f>
        <v/>
      </c>
      <c r="K519" s="136">
        <f>IF(OpenPendingCases[[#This Row],[Timepiece Reference ]]="", "", IF(_xlfn.XLOOKUP(OpenPendingCases[[#This Row],[Timepiece Reference ]], Table1[[Timepiece Reference ]], Table1[CRC STOCK], "Not Found")="YES", "CRC Stock", "Boutique Stock"))</f>
        <v/>
      </c>
      <c r="L519" s="142" t="n"/>
      <c r="M519" s="140" t="n"/>
      <c r="N519" s="136" t="n"/>
      <c r="O519" s="133" t="n"/>
      <c r="P519" s="93">
        <f>IFERROR(VLOOKUP(TRIM(O519), Collection!$B$2:$D$1001, 2, FALSE), "")</f>
        <v/>
      </c>
      <c r="Q519" s="190">
        <f>IFERROR(VLOOKUP(TRIM(O519), Collection!$B$2:$D$1001, 3, FALSE), "")</f>
        <v/>
      </c>
      <c r="R519" s="153">
        <f>IFERROR(VALUE(SUBSTITUTE(SUBSTITUTE(Q519, "Price", ""), "AED", "")), "")</f>
        <v/>
      </c>
      <c r="S519" s="151" t="n"/>
      <c r="T519" s="158" t="n"/>
      <c r="U519" s="136" t="n"/>
      <c r="V519" s="136" t="n"/>
      <c r="W519" s="156">
        <f>IF(Z519 = "",
"",
TEXT(Z519, "mmmm"))</f>
        <v/>
      </c>
      <c r="X519" s="157" t="n"/>
      <c r="Y519" s="158" t="n"/>
      <c r="Z519" s="158" t="n"/>
      <c r="AA519" s="136">
        <f>IF(H519="", "", IF(U519="Open Sale", IF(TODAY()-H519=0, "0 Days", TEXT(TODAY()-H519, "0") &amp; " Days"), IF(U519="Closed Sale", AA519, "")))</f>
        <v/>
      </c>
      <c r="AB519" s="136">
        <f>IF(H519="", "", IF(OR(U519="Pending", U519="Pending Allocation"), CONCATENATE(TODAY()-H519, " Days"), IF(U519="Closed", "", "")))</f>
        <v/>
      </c>
      <c r="AC519" s="160">
        <f>IF(U519="Pending Allocation", IF(I519="", "", TODAY()-I519), "")</f>
        <v/>
      </c>
      <c r="AD519" s="159">
        <f>IF(U519="Open Sale", TEXT(TODAY()-I519, "0"),
IF(U519="Pending", "",
IF(U519="Closed Sale", "", "")))</f>
        <v/>
      </c>
      <c r="AE519" s="161" t="n"/>
      <c r="AF519" s="161" t="n"/>
      <c r="AG519" s="161" t="n"/>
      <c r="AH519" s="136" t="n"/>
      <c r="AI519" s="164">
        <f>IF(I519="","",TEXT(I519, "mmmm yyyy"))</f>
        <v/>
      </c>
      <c r="AJ519" s="164">
        <f>IF(AND(OpenPendingCases[[#This Row],[Sale Status	]]="Open Sale",OpenPendingCases[[#This Row],[Potential Same Month]]="High"),TEXT(OpenPendingCases[[#This Row],[Request Entry Date]], "[$-en-us]mmmm"),"")</f>
        <v/>
      </c>
      <c r="AK519" s="165">
        <f>IFERROR(VALUE(SUBSTITUTE(OpenPendingCases[[#This Row],[Price]]," AED","")),"")</f>
        <v/>
      </c>
      <c r="AL519" s="165">
        <f>IFERROR(VALUE(LEFT(OpenPendingCases[[#This Row],[Price]],FIND(" ",OpenPendingCases[[#This Row],[Price]])-1)),"")</f>
        <v/>
      </c>
      <c r="AM519" s="165">
        <f>IFERROR(VALUE(_xlfn.TEXTBEFORE(OpenPendingCases[[#This Row],[Price]]," AED")),"")</f>
        <v/>
      </c>
      <c r="AN519" s="165" t="n"/>
    </row>
    <row r="520" hidden="1" ht="18" customHeight="1" s="287">
      <c r="C520" s="133" t="n"/>
      <c r="D520" s="136">
        <f>IF($U520="Open Sale", IF(MAX($D$4:D519)+1=0, "", MAX($D$4:D519)+1), "")</f>
        <v/>
      </c>
      <c r="E520" s="136">
        <f>IF($U520="Pending Allocation", IF(MAX($E$4:E519)+1=0, "", MAX($E$4:E519)+1), "")</f>
        <v/>
      </c>
      <c r="F520" s="136" t="n"/>
      <c r="G520" s="136" t="n"/>
      <c r="H520" s="150" t="n"/>
      <c r="I520" s="150" t="n"/>
      <c r="J520" s="67">
        <f>IF(OpenPendingCases[[#This Row],[Timepiece Reference ]]="", "", IF(_xlfn.XLOOKUP(OpenPendingCases[[#This Row],[Timepiece Reference ]], Table1[[Timepiece Reference ]], Table1[CRC STOCK], "Not Found")="YES", "CRC Stock", "Boutique Stock"))</f>
        <v/>
      </c>
      <c r="K520" s="136">
        <f>IF(OpenPendingCases[[#This Row],[Timepiece Reference ]]="", "", IF(_xlfn.XLOOKUP(OpenPendingCases[[#This Row],[Timepiece Reference ]], Table1[[Timepiece Reference ]], Table1[CRC STOCK], "Not Found")="YES", "CRC Stock", "Boutique Stock"))</f>
        <v/>
      </c>
      <c r="L520" s="142" t="n"/>
      <c r="M520" s="140" t="n"/>
      <c r="N520" s="136" t="n"/>
      <c r="O520" s="133" t="n"/>
      <c r="P520" s="93">
        <f>IFERROR(VLOOKUP(TRIM(O520), Collection!$B$2:$D$1001, 2, FALSE), "")</f>
        <v/>
      </c>
      <c r="Q520" s="190">
        <f>IFERROR(VLOOKUP(TRIM(O520), Collection!$B$2:$D$1001, 3, FALSE), "")</f>
        <v/>
      </c>
      <c r="R520" s="153">
        <f>IFERROR(VALUE(SUBSTITUTE(SUBSTITUTE(Q520, "Price", ""), "AED", "")), "")</f>
        <v/>
      </c>
      <c r="S520" s="168" t="n"/>
      <c r="T520" s="183" t="n"/>
      <c r="U520" s="136" t="n"/>
      <c r="V520" s="136" t="n"/>
      <c r="W520" s="156">
        <f>IF(Z520 = "",
"",
TEXT(Z520, "mmmm"))</f>
        <v/>
      </c>
      <c r="X520" s="157" t="n"/>
      <c r="Y520" s="158" t="n"/>
      <c r="Z520" s="158" t="n"/>
      <c r="AA520" s="136">
        <f>IF(H520="", "", IF(U520="Open Sale", IF(TODAY()-H520=0, "0 Days", TEXT(TODAY()-H520, "0") &amp; " Days"), IF(U520="Closed Sale", AA520, "")))</f>
        <v/>
      </c>
      <c r="AB520" s="136">
        <f>IF(H520="", "", IF(OR(U520="Pending", U520="Pending Allocation"), CONCATENATE(TODAY()-H520, " Days"), IF(U520="Closed", "", "")))</f>
        <v/>
      </c>
      <c r="AC520" s="160">
        <f>IF(U520="Pending Allocation", IF(I520="", "", TODAY()-I520), "")</f>
        <v/>
      </c>
      <c r="AD520" s="159">
        <f>IF(U520="Open Sale", TEXT(TODAY()-I520, "0"),
IF(U520="Pending", "",
IF(U520="Closed Sale", "", "")))</f>
        <v/>
      </c>
      <c r="AE520" s="161" t="n"/>
      <c r="AF520" s="161" t="n"/>
      <c r="AG520" s="161" t="n"/>
      <c r="AH520" s="136" t="n"/>
      <c r="AI520" s="164">
        <f>IF(I520="","",TEXT(I520, "mmmm yyyy"))</f>
        <v/>
      </c>
      <c r="AJ520" s="164">
        <f>IF(AND(OpenPendingCases[[#This Row],[Sale Status	]]="Open Sale",OpenPendingCases[[#This Row],[Potential Same Month]]="High"),TEXT(OpenPendingCases[[#This Row],[Request Entry Date]], "[$-en-us]mmmm"),"")</f>
        <v/>
      </c>
      <c r="AK520" s="165">
        <f>IFERROR(VALUE(SUBSTITUTE(OpenPendingCases[[#This Row],[Price]]," AED","")),"")</f>
        <v/>
      </c>
      <c r="AL520" s="165">
        <f>IFERROR(VALUE(LEFT(OpenPendingCases[[#This Row],[Price]],FIND(" ",OpenPendingCases[[#This Row],[Price]])-1)),"")</f>
        <v/>
      </c>
      <c r="AM520" s="165">
        <f>IFERROR(VALUE(_xlfn.TEXTBEFORE(OpenPendingCases[[#This Row],[Price]]," AED")),"")</f>
        <v/>
      </c>
      <c r="AN520" s="165" t="n"/>
    </row>
    <row r="521" hidden="1" ht="18" customHeight="1" s="287">
      <c r="C521" s="133" t="n"/>
      <c r="D521" s="136">
        <f>IF($U521="Open Sale", IF(MAX($D$4:D520)+1=0, "", MAX($D$4:D520)+1), "")</f>
        <v/>
      </c>
      <c r="E521" s="136">
        <f>IF($U521="Pending Allocation", IF(MAX($E$4:E520)+1=0, "", MAX($E$4:E520)+1), "")</f>
        <v/>
      </c>
      <c r="F521" s="136" t="n"/>
      <c r="G521" s="136" t="n"/>
      <c r="H521" s="150" t="n"/>
      <c r="I521" s="150" t="n"/>
      <c r="J521" s="67">
        <f>IF(OpenPendingCases[[#This Row],[Timepiece Reference ]]="", "", IF(_xlfn.XLOOKUP(OpenPendingCases[[#This Row],[Timepiece Reference ]], Table1[[Timepiece Reference ]], Table1[CRC STOCK], "Not Found")="YES", "CRC Stock", "Boutique Stock"))</f>
        <v/>
      </c>
      <c r="K521" s="136">
        <f>IF(OpenPendingCases[[#This Row],[Timepiece Reference ]]="", "", IF(_xlfn.XLOOKUP(OpenPendingCases[[#This Row],[Timepiece Reference ]], Table1[[Timepiece Reference ]], Table1[CRC STOCK], "Not Found")="YES", "CRC Stock", "Boutique Stock"))</f>
        <v/>
      </c>
      <c r="L521" s="142" t="n"/>
      <c r="M521" s="140" t="n"/>
      <c r="N521" s="136" t="n"/>
      <c r="O521" s="133" t="n"/>
      <c r="P521" s="93">
        <f>IFERROR(VLOOKUP(TRIM(O521), Collection!$B$2:$D$1001, 2, FALSE), "")</f>
        <v/>
      </c>
      <c r="Q521" s="190">
        <f>IFERROR(VLOOKUP(TRIM(O521), Collection!$B$2:$D$1001, 3, FALSE), "")</f>
        <v/>
      </c>
      <c r="R521" s="153">
        <f>IFERROR(VALUE(SUBSTITUTE(SUBSTITUTE(Q521, "Price", ""), "AED", "")), "")</f>
        <v/>
      </c>
      <c r="S521" s="168" t="n"/>
      <c r="T521" s="183" t="n"/>
      <c r="U521" s="136" t="n"/>
      <c r="V521" s="136" t="n"/>
      <c r="W521" s="156">
        <f>IF(Z521 = "",
     "",
     TEXT(Z521, "mmmm"))</f>
        <v/>
      </c>
      <c r="X521" s="157" t="n"/>
      <c r="Y521" s="158" t="n"/>
      <c r="Z521" s="158" t="n"/>
      <c r="AA521" s="136">
        <f>IF(H521="", "", IF(U521="Open Sale", IF(TODAY()-H521=0, "0 Days", TEXT(TODAY()-H521, "0") &amp; " Days"), IF(U521="Closed Sale", AA521, "")))</f>
        <v/>
      </c>
      <c r="AB521" s="136">
        <f>IF(H521="", "", IF(OR(U521="Pending", U521="Pending Allocation"), CONCATENATE(TODAY()-H521, " Days"), IF(U521="Closed", "", "")))</f>
        <v/>
      </c>
      <c r="AC521" s="160">
        <f>IF(U521="Pending Allocation", IF(I521="", "", TODAY()-I521), "")</f>
        <v/>
      </c>
      <c r="AD521" s="159">
        <f>IF(U521="Open Sale", TEXT(TODAY()-I521, "0"),
IF(U521="Pending", "",
IF(U521="Closed Sale", "", "")))</f>
        <v/>
      </c>
      <c r="AE521" s="161" t="n"/>
      <c r="AF521" s="161" t="n"/>
      <c r="AG521" s="161" t="n"/>
      <c r="AH521" s="136" t="n"/>
      <c r="AI521" s="164">
        <f>IF(I521="","",TEXT(I521, "mmmm yyyy"))</f>
        <v/>
      </c>
      <c r="AJ521" s="164">
        <f>IF(AND(OpenPendingCases[[#This Row],[Sale Status	]]="Open Sale",OpenPendingCases[[#This Row],[Potential Same Month]]="High"),TEXT(OpenPendingCases[[#This Row],[Request Entry Date]], "[$-en-us]mmmm"),"")</f>
        <v/>
      </c>
      <c r="AK521" s="165">
        <f>IFERROR(VALUE(SUBSTITUTE(OpenPendingCases[[#This Row],[Price]]," AED","")),"")</f>
        <v/>
      </c>
      <c r="AL521" s="165">
        <f>IFERROR(VALUE(LEFT(OpenPendingCases[[#This Row],[Price]],FIND(" ",OpenPendingCases[[#This Row],[Price]])-1)),"")</f>
        <v/>
      </c>
      <c r="AM521" s="165">
        <f>IFERROR(VALUE(_xlfn.TEXTBEFORE(OpenPendingCases[[#This Row],[Price]]," AED")),"")</f>
        <v/>
      </c>
      <c r="AN521" s="165" t="n"/>
    </row>
    <row r="522" hidden="1" ht="18" customHeight="1" s="287">
      <c r="C522" s="133" t="n"/>
      <c r="D522" s="136">
        <f>IF($U522="Open Sale", IF(MAX($D$4:D521)+1=0, "", MAX($D$4:D521)+1), "")</f>
        <v/>
      </c>
      <c r="E522" s="136">
        <f>IF($U522="Pending Allocation", IF(MAX($E$4:E521)+1=0, "", MAX($E$4:E521)+1), "")</f>
        <v/>
      </c>
      <c r="F522" s="136" t="n"/>
      <c r="G522" s="136" t="n"/>
      <c r="H522" s="150" t="n"/>
      <c r="I522" s="150" t="n"/>
      <c r="J522" s="67">
        <f>IF(OpenPendingCases[[#This Row],[Timepiece Reference ]]="", "", IF(_xlfn.XLOOKUP(OpenPendingCases[[#This Row],[Timepiece Reference ]], Table1[[Timepiece Reference ]], Table1[CRC STOCK], "Not Found")="YES", "CRC Stock", "Boutique Stock"))</f>
        <v/>
      </c>
      <c r="K522" s="136">
        <f>IF(OpenPendingCases[[#This Row],[Timepiece Reference ]]="", "", IF(_xlfn.XLOOKUP(OpenPendingCases[[#This Row],[Timepiece Reference ]], Table1[[Timepiece Reference ]], Table1[CRC STOCK], "Not Found")="YES", "CRC Stock", "Boutique Stock"))</f>
        <v/>
      </c>
      <c r="L522" s="142" t="n"/>
      <c r="M522" s="140" t="n"/>
      <c r="N522" s="136" t="n"/>
      <c r="O522" s="133" t="n"/>
      <c r="P522" s="93">
        <f>IFERROR(VLOOKUP(TRIM(O522), Collection!$B$2:$D$1001, 2, FALSE), "")</f>
        <v/>
      </c>
      <c r="Q522" s="190">
        <f>IFERROR(VLOOKUP(TRIM(O522), Collection!$B$2:$D$1001, 3, FALSE), "")</f>
        <v/>
      </c>
      <c r="R522" s="153">
        <f>IFERROR(VALUE(SUBSTITUTE(SUBSTITUTE(Q522, "Price", ""), "AED", "")), "")</f>
        <v/>
      </c>
      <c r="S522" s="168" t="n"/>
      <c r="T522" s="183" t="n"/>
      <c r="U522" s="136" t="n"/>
      <c r="V522" s="136" t="n"/>
      <c r="W522" s="156">
        <f>IF(Z522 = "",
     "",
     TEXT(Z522, "mmmm"))</f>
        <v/>
      </c>
      <c r="X522" s="157" t="n"/>
      <c r="Y522" s="158" t="n"/>
      <c r="Z522" s="158" t="n"/>
      <c r="AA522" s="136">
        <f>IF(H522="", "", IF(U522="Open Sale", IF(TODAY()-H522=0, "0 Days", TEXT(TODAY()-H522, "0") &amp; " Days"), IF(U522="Closed Sale", AA522, "")))</f>
        <v/>
      </c>
      <c r="AB522" s="136">
        <f>IF(H522="", "", IF(OR(U522="Pending", U522="Pending Allocation"), CONCATENATE(TODAY()-H522, " Days"), IF(U522="Closed", "", "")))</f>
        <v/>
      </c>
      <c r="AC522" s="160">
        <f>IF(U522="Pending Allocation", IF(I522="", "", TODAY()-I522), "")</f>
        <v/>
      </c>
      <c r="AD522" s="159">
        <f>IF(U522="Open Sale", TEXT(TODAY()-I522, "0"),
IF(U522="Pending", "",
IF(U522="Closed Sale", "", "")))</f>
        <v/>
      </c>
      <c r="AE522" s="161" t="n"/>
      <c r="AF522" s="161" t="n"/>
      <c r="AG522" s="161" t="n"/>
      <c r="AH522" s="136" t="n"/>
      <c r="AI522" s="164">
        <f>IF(I522="","",TEXT(I522, "mmmm yyyy"))</f>
        <v/>
      </c>
      <c r="AJ522" s="164">
        <f>IF(AND(OpenPendingCases[[#This Row],[Sale Status	]]="Open Sale",OpenPendingCases[[#This Row],[Potential Same Month]]="High"),TEXT(OpenPendingCases[[#This Row],[Request Entry Date]], "[$-en-us]mmmm"),"")</f>
        <v/>
      </c>
      <c r="AK522" s="165">
        <f>IFERROR(VALUE(SUBSTITUTE(OpenPendingCases[[#This Row],[Price]]," AED","")),"")</f>
        <v/>
      </c>
      <c r="AL522" s="165">
        <f>IFERROR(VALUE(LEFT(OpenPendingCases[[#This Row],[Price]],FIND(" ",OpenPendingCases[[#This Row],[Price]])-1)),"")</f>
        <v/>
      </c>
      <c r="AM522" s="165">
        <f>IFERROR(VALUE(_xlfn.TEXTBEFORE(OpenPendingCases[[#This Row],[Price]]," AED")),"")</f>
        <v/>
      </c>
      <c r="AN522" s="165" t="n"/>
    </row>
    <row r="523" hidden="1" ht="18" customHeight="1" s="287">
      <c r="C523" s="133" t="n"/>
      <c r="D523" s="136">
        <f>IF($U523="Open Sale", IF(MAX($D$4:D522)+1=0, "", MAX($D$4:D522)+1), "")</f>
        <v/>
      </c>
      <c r="E523" s="136">
        <f>IF($U523="Pending Allocation", IF(MAX($E$4:E522)+1=0, "", MAX($E$4:E522)+1), "")</f>
        <v/>
      </c>
      <c r="F523" s="136" t="n"/>
      <c r="G523" s="136" t="n"/>
      <c r="H523" s="150" t="n"/>
      <c r="I523" s="150" t="n"/>
      <c r="J523" s="67">
        <f>IF(OpenPendingCases[[#This Row],[Timepiece Reference ]]="", "", IF(_xlfn.XLOOKUP(OpenPendingCases[[#This Row],[Timepiece Reference ]], Table1[[Timepiece Reference ]], Table1[CRC STOCK], "Not Found")="YES", "CRC Stock", "Boutique Stock"))</f>
        <v/>
      </c>
      <c r="K523" s="136">
        <f>IF(OpenPendingCases[[#This Row],[Timepiece Reference ]]="", "", IF(_xlfn.XLOOKUP(OpenPendingCases[[#This Row],[Timepiece Reference ]], Table1[[Timepiece Reference ]], Table1[CRC STOCK], "Not Found")="YES", "CRC Stock", "Boutique Stock"))</f>
        <v/>
      </c>
      <c r="L523" s="142" t="n"/>
      <c r="M523" s="140" t="n"/>
      <c r="N523" s="136" t="n"/>
      <c r="O523" s="133" t="n"/>
      <c r="P523" s="93">
        <f>IFERROR(VLOOKUP(TRIM(O523), Collection!$B$2:$D$1001, 2, FALSE), "")</f>
        <v/>
      </c>
      <c r="Q523" s="190">
        <f>IFERROR(VLOOKUP(TRIM(O523), Collection!$B$2:$D$1001, 3, FALSE), "")</f>
        <v/>
      </c>
      <c r="R523" s="153">
        <f>IFERROR(VALUE(SUBSTITUTE(SUBSTITUTE(Q523, "Price", ""), "AED", "")), "")</f>
        <v/>
      </c>
      <c r="S523" s="168" t="n"/>
      <c r="T523" s="183" t="n"/>
      <c r="U523" s="136" t="n"/>
      <c r="V523" s="136" t="n"/>
      <c r="W523" s="156">
        <f>IF(Z523 = "",
"",
TEXT(Z523, "mmmm"))</f>
        <v/>
      </c>
      <c r="X523" s="157" t="n"/>
      <c r="Y523" s="158" t="n"/>
      <c r="Z523" s="158" t="n"/>
      <c r="AA523" s="136">
        <f>IF(H523="", "", IF(U523="Open Sale", IF(TODAY()-H523=0, "0 Days", TEXT(TODAY()-H523, "0") &amp; " Days"), IF(U523="Closed Sale", AA523, "")))</f>
        <v/>
      </c>
      <c r="AB523" s="136">
        <f>IF(H523="", "", IF(OR(U523="Pending", U523="Pending Allocation"), CONCATENATE(TODAY()-H523, " Days"), IF(U523="Closed", "", "")))</f>
        <v/>
      </c>
      <c r="AC523" s="160">
        <f>IF(U523="Pending Allocation", IF(I523="", "", TODAY()-I523), "")</f>
        <v/>
      </c>
      <c r="AD523" s="159">
        <f>IF(U523="Open Sale", TEXT(TODAY()-I523, "0"),
IF(U523="Pending", "",
IF(U523="Closed Sale", "", "")))</f>
        <v/>
      </c>
      <c r="AE523" s="161" t="n"/>
      <c r="AF523" s="161" t="n"/>
      <c r="AG523" s="161" t="n"/>
      <c r="AH523" s="136" t="n"/>
      <c r="AI523" s="164">
        <f>IF(I523="","",TEXT(I523, "mmmm yyyy"))</f>
        <v/>
      </c>
      <c r="AJ523" s="164">
        <f>IF(AND(OpenPendingCases[[#This Row],[Sale Status	]]="Open Sale",OpenPendingCases[[#This Row],[Potential Same Month]]="High"),TEXT(OpenPendingCases[[#This Row],[Request Entry Date]], "[$-en-us]mmmm"),"")</f>
        <v/>
      </c>
      <c r="AK523" s="165">
        <f>IFERROR(VALUE(SUBSTITUTE(OpenPendingCases[[#This Row],[Price]]," AED","")),"")</f>
        <v/>
      </c>
      <c r="AL523" s="165">
        <f>IFERROR(VALUE(LEFT(OpenPendingCases[[#This Row],[Price]],FIND(" ",OpenPendingCases[[#This Row],[Price]])-1)),"")</f>
        <v/>
      </c>
      <c r="AM523" s="165">
        <f>IFERROR(VALUE(_xlfn.TEXTBEFORE(OpenPendingCases[[#This Row],[Price]]," AED")),"")</f>
        <v/>
      </c>
      <c r="AN523" s="165" t="n"/>
    </row>
    <row r="524" hidden="1" ht="18" customHeight="1" s="287">
      <c r="C524" s="133" t="n"/>
      <c r="D524" s="136">
        <f>IF($U524="Open Sale", IF(MAX($D$4:D523)+1=0, "", MAX($D$4:D523)+1), "")</f>
        <v/>
      </c>
      <c r="E524" s="136">
        <f>IF($U524="Pending Allocation", IF(MAX($E$4:E523)+1=0, "", MAX($E$4:E523)+1), "")</f>
        <v/>
      </c>
      <c r="F524" s="136" t="n"/>
      <c r="G524" s="136" t="n"/>
      <c r="H524" s="150" t="n"/>
      <c r="I524" s="150" t="n"/>
      <c r="J524" s="67">
        <f>IF(OpenPendingCases[[#This Row],[Timepiece Reference ]]="", "", IF(_xlfn.XLOOKUP(OpenPendingCases[[#This Row],[Timepiece Reference ]], Table1[[Timepiece Reference ]], Table1[CRC STOCK], "Not Found")="YES", "CRC Stock", "Boutique Stock"))</f>
        <v/>
      </c>
      <c r="K524" s="136">
        <f>IF(OpenPendingCases[[#This Row],[Timepiece Reference ]]="", "", IF(_xlfn.XLOOKUP(OpenPendingCases[[#This Row],[Timepiece Reference ]], Table1[[Timepiece Reference ]], Table1[CRC STOCK], "Not Found")="YES", "CRC Stock", "Boutique Stock"))</f>
        <v/>
      </c>
      <c r="L524" s="142" t="n"/>
      <c r="M524" s="140" t="n"/>
      <c r="N524" s="136" t="n"/>
      <c r="O524" s="133" t="n"/>
      <c r="P524" s="93">
        <f>IFERROR(VLOOKUP(TRIM(O524), Collection!$B$2:$D$1001, 2, FALSE), "")</f>
        <v/>
      </c>
      <c r="Q524" s="190">
        <f>IFERROR(VLOOKUP(TRIM(O524), Collection!$B$2:$D$1001, 3, FALSE), "")</f>
        <v/>
      </c>
      <c r="R524" s="153">
        <f>IFERROR(VALUE(SUBSTITUTE(SUBSTITUTE(Q524, "Price", ""), "AED", "")), "")</f>
        <v/>
      </c>
      <c r="S524" s="168" t="n"/>
      <c r="T524" s="183" t="n"/>
      <c r="U524" s="136" t="n"/>
      <c r="V524" s="136" t="n"/>
      <c r="W524" s="156">
        <f>IF(Z524 = "",
"",
TEXT(Z524, "mmmm"))</f>
        <v/>
      </c>
      <c r="X524" s="157" t="n"/>
      <c r="Y524" s="158" t="n"/>
      <c r="Z524" s="158" t="n"/>
      <c r="AA524" s="136">
        <f>IF(H524="", "", IF(U524="Open Sale", IF(TODAY()-H524=0, "0 Days", TEXT(TODAY()-H524, "0") &amp; " Days"), IF(U524="Closed Sale", AA524, "")))</f>
        <v/>
      </c>
      <c r="AB524" s="136">
        <f>IF(H524="", "", IF(OR(U524="Pending", U524="Pending Allocation"), CONCATENATE(TODAY()-H524, " Days"), IF(U524="Closed", "", "")))</f>
        <v/>
      </c>
      <c r="AC524" s="160">
        <f>IF(U524="Pending Allocation", IF(I524="", "", TODAY()-I524), "")</f>
        <v/>
      </c>
      <c r="AD524" s="159">
        <f>IF(U524="Open Sale", TEXT(TODAY()-I524, "0"),
IF(U524="Pending", "",
IF(U524="Closed Sale", "", "")))</f>
        <v/>
      </c>
      <c r="AE524" s="161" t="n"/>
      <c r="AF524" s="161" t="n"/>
      <c r="AG524" s="161" t="n"/>
      <c r="AH524" s="136" t="n"/>
      <c r="AI524" s="164">
        <f>IF(I524="","",TEXT(I524, "mmmm yyyy"))</f>
        <v/>
      </c>
      <c r="AJ524" s="164">
        <f>IF(AND(OpenPendingCases[[#This Row],[Sale Status	]]="Open Sale",OpenPendingCases[[#This Row],[Potential Same Month]]="High"),TEXT(OpenPendingCases[[#This Row],[Request Entry Date]], "[$-en-us]mmmm"),"")</f>
        <v/>
      </c>
      <c r="AK524" s="165">
        <f>IFERROR(VALUE(SUBSTITUTE(OpenPendingCases[[#This Row],[Price]]," AED","")),"")</f>
        <v/>
      </c>
      <c r="AL524" s="165">
        <f>IFERROR(VALUE(LEFT(OpenPendingCases[[#This Row],[Price]],FIND(" ",OpenPendingCases[[#This Row],[Price]])-1)),"")</f>
        <v/>
      </c>
      <c r="AM524" s="165">
        <f>IFERROR(VALUE(_xlfn.TEXTBEFORE(OpenPendingCases[[#This Row],[Price]]," AED")),"")</f>
        <v/>
      </c>
      <c r="AN524" s="165" t="n"/>
    </row>
    <row r="525" hidden="1" ht="18" customHeight="1" s="287">
      <c r="C525" s="133" t="n"/>
      <c r="D525" s="136">
        <f>IF($U525="Open Sale", IF(MAX($D$4:D524)+1=0, "", MAX($D$4:D524)+1), "")</f>
        <v/>
      </c>
      <c r="E525" s="136">
        <f>IF($U525="Pending Allocation", IF(MAX($E$4:E524)+1=0, "", MAX($E$4:E524)+1), "")</f>
        <v/>
      </c>
      <c r="F525" s="136" t="n"/>
      <c r="G525" s="136" t="n"/>
      <c r="H525" s="150" t="n"/>
      <c r="I525" s="150" t="n"/>
      <c r="J525" s="67">
        <f>IF(OpenPendingCases[[#This Row],[Timepiece Reference ]]="", "", IF(_xlfn.XLOOKUP(OpenPendingCases[[#This Row],[Timepiece Reference ]], Table1[[Timepiece Reference ]], Table1[CRC STOCK], "Not Found")="YES", "CRC Stock", "Boutique Stock"))</f>
        <v/>
      </c>
      <c r="K525" s="136">
        <f>IF(OpenPendingCases[[#This Row],[Timepiece Reference ]]="", "", IF(_xlfn.XLOOKUP(OpenPendingCases[[#This Row],[Timepiece Reference ]], Table1[[Timepiece Reference ]], Table1[CRC STOCK], "Not Found")="YES", "CRC Stock", "Boutique Stock"))</f>
        <v/>
      </c>
      <c r="L525" s="142" t="n"/>
      <c r="M525" s="140" t="n"/>
      <c r="N525" s="136" t="n"/>
      <c r="O525" s="133" t="n"/>
      <c r="P525" s="93">
        <f>IFERROR(VLOOKUP(TRIM(O525), Collection!$B$2:$D$1001, 2, FALSE), "")</f>
        <v/>
      </c>
      <c r="Q525" s="190">
        <f>IFERROR(VLOOKUP(TRIM(O525), Collection!$B$2:$D$1001, 3, FALSE), "")</f>
        <v/>
      </c>
      <c r="R525" s="153">
        <f>IFERROR(VALUE(SUBSTITUTE(SUBSTITUTE(Q525, "Price", ""), "AED", "")), "")</f>
        <v/>
      </c>
      <c r="S525" s="168" t="n"/>
      <c r="T525" s="183" t="n"/>
      <c r="U525" s="136" t="n"/>
      <c r="V525" s="136" t="n"/>
      <c r="W525" s="156">
        <f>IF(Z525 = "",
"",
TEXT(Z525, "mmmm"))</f>
        <v/>
      </c>
      <c r="X525" s="157" t="n"/>
      <c r="Y525" s="158" t="n"/>
      <c r="Z525" s="158" t="n"/>
      <c r="AA525" s="136">
        <f>IF(H525="", "", IF(U525="Open Sale", IF(TODAY()-H525=0, "0 Days", TEXT(TODAY()-H525, "0") &amp; " Days"), IF(U525="Closed Sale", AA525, "")))</f>
        <v/>
      </c>
      <c r="AB525" s="136">
        <f>IF(H525="", "", IF(OR(U525="Pending", U525="Pending Allocation"), CONCATENATE(TODAY()-H525, " Days"), IF(U525="Closed", "", "")))</f>
        <v/>
      </c>
      <c r="AC525" s="160">
        <f>IF(U525="Pending Allocation", IF(I525="", "", TODAY()-I525), "")</f>
        <v/>
      </c>
      <c r="AD525" s="159">
        <f>IF(U525="Open Sale", TEXT(TODAY()-I525, "0"),
IF(U525="Pending", "",
IF(U525="Closed Sale", "", "")))</f>
        <v/>
      </c>
      <c r="AE525" s="161" t="n"/>
      <c r="AF525" s="161" t="n"/>
      <c r="AG525" s="161" t="n"/>
      <c r="AH525" s="136" t="n"/>
      <c r="AI525" s="164">
        <f>IF(I525="","",TEXT(I525, "mmmm yyyy"))</f>
        <v/>
      </c>
      <c r="AJ525" s="164">
        <f>IF(AND(OpenPendingCases[[#This Row],[Sale Status	]]="Open Sale",OpenPendingCases[[#This Row],[Potential Same Month]]="High"),TEXT(OpenPendingCases[[#This Row],[Request Entry Date]], "[$-en-us]mmmm"),"")</f>
        <v/>
      </c>
      <c r="AK525" s="165">
        <f>IFERROR(VALUE(SUBSTITUTE(OpenPendingCases[[#This Row],[Price]]," AED","")),"")</f>
        <v/>
      </c>
      <c r="AL525" s="165">
        <f>IFERROR(VALUE(LEFT(OpenPendingCases[[#This Row],[Price]],FIND(" ",OpenPendingCases[[#This Row],[Price]])-1)),"")</f>
        <v/>
      </c>
      <c r="AM525" s="165">
        <f>IFERROR(VALUE(_xlfn.TEXTBEFORE(OpenPendingCases[[#This Row],[Price]]," AED")),"")</f>
        <v/>
      </c>
      <c r="AN525" s="165" t="n"/>
    </row>
    <row r="526" hidden="1" ht="18" customHeight="1" s="287">
      <c r="C526" s="133" t="n"/>
      <c r="D526" s="136" t="n"/>
      <c r="E526" s="136">
        <f>IF($U526="Pending Allocation", IF(MAX($E$4:E525)+1=0, "", MAX($E$4:E525)+1), "")</f>
        <v/>
      </c>
      <c r="F526" s="136" t="n"/>
      <c r="G526" s="136" t="n"/>
      <c r="H526" s="150" t="n"/>
      <c r="I526" s="150" t="n"/>
      <c r="J526" s="67">
        <f>IF(OpenPendingCases[[#This Row],[Timepiece Reference ]]="", "", IF(_xlfn.XLOOKUP(OpenPendingCases[[#This Row],[Timepiece Reference ]], Table1[[Timepiece Reference ]], Table1[CRC STOCK], "Not Found")="YES", "CRC Stock", "Boutique Stock"))</f>
        <v/>
      </c>
      <c r="K526" s="136">
        <f>IF(OpenPendingCases[[#This Row],[Timepiece Reference ]]="", "", IF(_xlfn.XLOOKUP(OpenPendingCases[[#This Row],[Timepiece Reference ]], Table1[[Timepiece Reference ]], Table1[CRC STOCK], "Not Found")="YES", "CRC Stock", "Boutique Stock"))</f>
        <v/>
      </c>
      <c r="L526" s="142" t="n"/>
      <c r="M526" s="140" t="n"/>
      <c r="N526" s="136" t="n"/>
      <c r="O526" s="133" t="n"/>
      <c r="P526" s="93">
        <f>IFERROR(VLOOKUP(TRIM(O526), Collection!$B$2:$D$1001, 2, FALSE), "")</f>
        <v/>
      </c>
      <c r="Q526" s="190">
        <f>IFERROR(VLOOKUP(TRIM(O526), Collection!$B$2:$D$1001, 3, FALSE), "")</f>
        <v/>
      </c>
      <c r="R526" s="153">
        <f>IFERROR(VALUE(SUBSTITUTE(SUBSTITUTE(Q526, "Price", ""), "AED", "")), "")</f>
        <v/>
      </c>
      <c r="S526" s="168" t="n"/>
      <c r="T526" s="183" t="n"/>
      <c r="U526" s="136" t="n"/>
      <c r="V526" s="136" t="n"/>
      <c r="W526" s="156">
        <f>IF(Z526 = "",
"",
TEXT(Z526, "mmmm"))</f>
        <v/>
      </c>
      <c r="X526" s="157" t="n"/>
      <c r="Y526" s="158" t="n"/>
      <c r="Z526" s="158" t="n"/>
      <c r="AA526" s="136">
        <f>IF(H526="", "", IF(U526="Open Sale", IF(TODAY()-H526=0, "0 Days", TEXT(TODAY()-H526, "0") &amp; " Days"), IF(U526="Closed Sale", AA526, "")))</f>
        <v/>
      </c>
      <c r="AB526" s="136">
        <f>IF(H526="", "", IF(OR(U526="Pending", U526="Pending Allocation"), CONCATENATE(TODAY()-H526, " Days"), IF(U526="Closed", "", "")))</f>
        <v/>
      </c>
      <c r="AC526" s="160">
        <f>IF(U526="Pending Allocation", IF(I526="", "", TODAY()-I526), "")</f>
        <v/>
      </c>
      <c r="AD526" s="159">
        <f>IF(U526="Open Sale", TEXT(TODAY()-I526, "0"),
IF(U526="Pending", "",
IF(U526="Closed Sale", "", "")))</f>
        <v/>
      </c>
      <c r="AE526" s="161" t="n"/>
      <c r="AF526" s="161" t="n"/>
      <c r="AG526" s="161" t="n"/>
      <c r="AH526" s="136" t="n"/>
      <c r="AI526" s="164">
        <f>IF(I526="","",TEXT(I526, "mmmm yyyy"))</f>
        <v/>
      </c>
      <c r="AJ526" s="164">
        <f>IF(AND(OpenPendingCases[[#This Row],[Sale Status	]]="Open Sale",OpenPendingCases[[#This Row],[Potential Same Month]]="High"),TEXT(OpenPendingCases[[#This Row],[Request Entry Date]], "[$-en-us]mmmm"),"")</f>
        <v/>
      </c>
      <c r="AK526" s="165">
        <f>IFERROR(VALUE(SUBSTITUTE(OpenPendingCases[[#This Row],[Price]]," AED","")),"")</f>
        <v/>
      </c>
      <c r="AL526" s="165">
        <f>IFERROR(VALUE(LEFT(OpenPendingCases[[#This Row],[Price]],FIND(" ",OpenPendingCases[[#This Row],[Price]])-1)),"")</f>
        <v/>
      </c>
      <c r="AM526" s="165">
        <f>IFERROR(VALUE(_xlfn.TEXTBEFORE(OpenPendingCases[[#This Row],[Price]]," AED")),"")</f>
        <v/>
      </c>
      <c r="AN526" s="165" t="n"/>
    </row>
    <row r="527" hidden="1" ht="18" customHeight="1" s="287">
      <c r="C527" s="133" t="n"/>
      <c r="D527" s="136">
        <f>IF($U527="Open", IF(MAX($D$4:D526)+1=0, "", MAX($D$4:D526)+1), "")</f>
        <v/>
      </c>
      <c r="E527" s="136">
        <f>IF($U527="Pending Allocation", IF(MAX($E$4:E526)+1=0, "", MAX($E$4:E526)+1), "")</f>
        <v/>
      </c>
      <c r="F527" s="136" t="n"/>
      <c r="G527" s="136" t="n"/>
      <c r="H527" s="150" t="n"/>
      <c r="I527" s="150" t="n"/>
      <c r="J527" s="67">
        <f>IF(OpenPendingCases[[#This Row],[Timepiece Reference ]]="", "", IF(_xlfn.XLOOKUP(OpenPendingCases[[#This Row],[Timepiece Reference ]], Table1[[Timepiece Reference ]], Table1[CRC STOCK], "Not Found")="YES", "CRC Stock", "Boutique Stock"))</f>
        <v/>
      </c>
      <c r="K527" s="136">
        <f>IF(OpenPendingCases[[#This Row],[Timepiece Reference ]]="", "", IF(_xlfn.XLOOKUP(OpenPendingCases[[#This Row],[Timepiece Reference ]], Table1[[Timepiece Reference ]], Table1[CRC STOCK], "Not Found")="YES", "CRC Stock", "Boutique Stock"))</f>
        <v/>
      </c>
      <c r="L527" s="142" t="n"/>
      <c r="M527" s="140" t="n"/>
      <c r="N527" s="136" t="n"/>
      <c r="O527" s="133" t="n"/>
      <c r="P527" s="93">
        <f>IFERROR(VLOOKUP(TRIM(O527), Collection!$B$2:$D$1001, 2, FALSE), "")</f>
        <v/>
      </c>
      <c r="Q527" s="190">
        <f>IFERROR(VLOOKUP(TRIM(O527), Collection!$B$2:$D$1001, 3, FALSE), "")</f>
        <v/>
      </c>
      <c r="R527" s="153">
        <f>IFERROR(VALUE(SUBSTITUTE(SUBSTITUTE(Q527, "Price", ""), "AED", "")), "")</f>
        <v/>
      </c>
      <c r="S527" s="168" t="n"/>
      <c r="T527" s="183" t="n"/>
      <c r="U527" s="136" t="n"/>
      <c r="V527" s="136" t="n"/>
      <c r="W527" s="156">
        <f>IF(Z527 = "",
"",
TEXT(Z527, "mmmm"))</f>
        <v/>
      </c>
      <c r="X527" s="157" t="n"/>
      <c r="Y527" s="158" t="n"/>
      <c r="Z527" s="158" t="n"/>
      <c r="AA527" s="136">
        <f>IF(H527="", "", IF(U527="Open Sale", IF(TODAY()-H527=0, "0 Days", TEXT(TODAY()-H527, "0") &amp; " Days"), IF(U527="Closed Sale", AA527, "")))</f>
        <v/>
      </c>
      <c r="AB527" s="136">
        <f>IF(H527="", "", IF(OR(U527="Pending", U527="Pending Allocation"), CONCATENATE(TODAY()-H527, " Days"), IF(U527="Closed", "", "")))</f>
        <v/>
      </c>
      <c r="AC527" s="160">
        <f>IF(U527="Pending Allocation", IF(I527="", "", TODAY()-I527), "")</f>
        <v/>
      </c>
      <c r="AD527" s="159">
        <f>IF(U527="Open Sale", TEXT(TODAY()-I527, "0"),
IF(U527="Pending", "",
IF(U527="Closed Sale", "", "")))</f>
        <v/>
      </c>
      <c r="AE527" s="161" t="n"/>
      <c r="AF527" s="161" t="n"/>
      <c r="AG527" s="161" t="n"/>
      <c r="AH527" s="136" t="n"/>
      <c r="AI527" s="164">
        <f>IF(I527="","",TEXT(I527, "mmmm yyyy"))</f>
        <v/>
      </c>
      <c r="AJ527" s="164">
        <f>IF(AND(OpenPendingCases[[#This Row],[Sale Status	]]="Open Sale",OpenPendingCases[[#This Row],[Potential Same Month]]="High"),TEXT(OpenPendingCases[[#This Row],[Request Entry Date]], "[$-en-us]mmmm"),"")</f>
        <v/>
      </c>
      <c r="AK527" s="165">
        <f>IFERROR(VALUE(SUBSTITUTE(OpenPendingCases[[#This Row],[Price]]," AED","")),"")</f>
        <v/>
      </c>
      <c r="AL527" s="165">
        <f>IFERROR(VALUE(LEFT(OpenPendingCases[[#This Row],[Price]],FIND(" ",OpenPendingCases[[#This Row],[Price]])-1)),"")</f>
        <v/>
      </c>
      <c r="AM527" s="165">
        <f>IFERROR(VALUE(_xlfn.TEXTBEFORE(OpenPendingCases[[#This Row],[Price]]," AED")),"")</f>
        <v/>
      </c>
      <c r="AN527" s="165" t="n"/>
    </row>
    <row r="528" hidden="1" ht="18" customHeight="1" s="287">
      <c r="C528" s="133" t="n"/>
      <c r="D528" s="136">
        <f>IF($U528="Open", IF(MAX($D$4:D527)+1=0, "", MAX($D$4:D527)+1), "")</f>
        <v/>
      </c>
      <c r="E528" s="136">
        <f>IF($U528="Pending Allocation", IF(MAX($E$4:E527)+1=0, "", MAX($E$4:E527)+1), "")</f>
        <v/>
      </c>
      <c r="F528" s="136" t="n"/>
      <c r="G528" s="136" t="n"/>
      <c r="H528" s="150" t="n"/>
      <c r="I528" s="150" t="n"/>
      <c r="J528" s="67">
        <f>IF(OpenPendingCases[[#This Row],[Timepiece Reference ]]="", "", IF(_xlfn.XLOOKUP(OpenPendingCases[[#This Row],[Timepiece Reference ]], Table1[[Timepiece Reference ]], Table1[CRC STOCK], "Not Found")="YES", "CRC Stock", "Boutique Stock"))</f>
        <v/>
      </c>
      <c r="K528" s="136">
        <f>IF(OpenPendingCases[[#This Row],[Timepiece Reference ]]="", "", IF(_xlfn.XLOOKUP(OpenPendingCases[[#This Row],[Timepiece Reference ]], Table1[[Timepiece Reference ]], Table1[CRC STOCK], "Not Found")="YES", "CRC Stock", "Boutique Stock"))</f>
        <v/>
      </c>
      <c r="L528" s="142" t="n"/>
      <c r="M528" s="140" t="n"/>
      <c r="N528" s="136" t="n"/>
      <c r="O528" s="133" t="n"/>
      <c r="P528" s="93">
        <f>IFERROR(VLOOKUP(TRIM(O528), Collection!$B$2:$D$1001, 2, FALSE), "")</f>
        <v/>
      </c>
      <c r="Q528" s="190">
        <f>IFERROR(VLOOKUP(TRIM(O528), Collection!$B$2:$D$1001, 3, FALSE), "")</f>
        <v/>
      </c>
      <c r="R528" s="153">
        <f>IFERROR(VALUE(SUBSTITUTE(SUBSTITUTE(Q528, "Price", ""), "AED", "")), "")</f>
        <v/>
      </c>
      <c r="S528" s="168" t="n"/>
      <c r="T528" s="183" t="n"/>
      <c r="U528" s="136" t="n"/>
      <c r="V528" s="136" t="n"/>
      <c r="W528" s="156">
        <f>IF(Z528 = "",
"",
TEXT(Z528, "mmmm"))</f>
        <v/>
      </c>
      <c r="X528" s="157" t="n"/>
      <c r="Y528" s="158" t="n"/>
      <c r="Z528" s="158" t="n"/>
      <c r="AA528" s="136">
        <f>IF(H528="", "", IF(U528="Open Sale", IF(TODAY()-H528=0, "0 Days", TEXT(TODAY()-H528, "0") &amp; " Days"), IF(U528="Closed Sale", AA528, "")))</f>
        <v/>
      </c>
      <c r="AB528" s="136">
        <f>IF(H528="", "", IF(OR(U528="Pending", U528="Pending Allocation"), CONCATENATE(TODAY()-H528, " Days"), IF(U528="Closed", "", "")))</f>
        <v/>
      </c>
      <c r="AC528" s="160">
        <f>IF(U528="Pending Allocation", IF(I528="", "", TODAY()-I528), "")</f>
        <v/>
      </c>
      <c r="AD528" s="159">
        <f>IF(U528="Open Sale", TEXT(TODAY()-I528, "0"),
IF(U528="Pending", "",
IF(U528="Closed Sale", "", "")))</f>
        <v/>
      </c>
      <c r="AE528" s="161" t="n"/>
      <c r="AF528" s="161" t="n"/>
      <c r="AG528" s="161" t="n"/>
      <c r="AH528" s="136" t="n"/>
      <c r="AI528" s="164">
        <f>IF(I528="","",TEXT(I528, "mmmm yyyy"))</f>
        <v/>
      </c>
      <c r="AJ528" s="164">
        <f>IF(AND(OpenPendingCases[[#This Row],[Sale Status	]]="Open Sale",OpenPendingCases[[#This Row],[Potential Same Month]]="High"),TEXT(OpenPendingCases[[#This Row],[Request Entry Date]], "[$-en-us]mmmm"),"")</f>
        <v/>
      </c>
      <c r="AK528" s="165">
        <f>IFERROR(VALUE(SUBSTITUTE(OpenPendingCases[[#This Row],[Price]]," AED","")),"")</f>
        <v/>
      </c>
      <c r="AL528" s="165">
        <f>IFERROR(VALUE(LEFT(OpenPendingCases[[#This Row],[Price]],FIND(" ",OpenPendingCases[[#This Row],[Price]])-1)),"")</f>
        <v/>
      </c>
      <c r="AM528" s="165">
        <f>IFERROR(VALUE(_xlfn.TEXTBEFORE(OpenPendingCases[[#This Row],[Price]]," AED")),"")</f>
        <v/>
      </c>
      <c r="AN528" s="165" t="n"/>
    </row>
    <row r="529" hidden="1" ht="18" customHeight="1" s="287">
      <c r="C529" s="133" t="n"/>
      <c r="D529" s="136">
        <f>IF($U529="Open", IF(MAX($D$4:D528)+1=0, "", MAX($D$4:D528)+1), "")</f>
        <v/>
      </c>
      <c r="E529" s="136">
        <f>IF($U529="Pending Allocation", IF(MAX($E$4:E528)+1=0, "", MAX($E$4:E528)+1), "")</f>
        <v/>
      </c>
      <c r="F529" s="136" t="n"/>
      <c r="G529" s="136" t="n"/>
      <c r="H529" s="150" t="n"/>
      <c r="I529" s="150" t="n"/>
      <c r="J529" s="67">
        <f>IF(OpenPendingCases[[#This Row],[Timepiece Reference ]]="", "", IF(_xlfn.XLOOKUP(OpenPendingCases[[#This Row],[Timepiece Reference ]], Table1[[Timepiece Reference ]], Table1[CRC STOCK], "Not Found")="YES", "CRC Stock", "Boutique Stock"))</f>
        <v/>
      </c>
      <c r="K529" s="136">
        <f>IF(OpenPendingCases[[#This Row],[Timepiece Reference ]]="", "", IF(_xlfn.XLOOKUP(OpenPendingCases[[#This Row],[Timepiece Reference ]], Table1[[Timepiece Reference ]], Table1[CRC STOCK], "Not Found")="YES", "CRC Stock", "Boutique Stock"))</f>
        <v/>
      </c>
      <c r="L529" s="142" t="n"/>
      <c r="M529" s="140" t="n"/>
      <c r="N529" s="136" t="n"/>
      <c r="O529" s="133" t="n"/>
      <c r="P529" s="93">
        <f>IFERROR(VLOOKUP(TRIM(O529), Collection!$B$2:$D$1001, 2, FALSE), "")</f>
        <v/>
      </c>
      <c r="Q529" s="190">
        <f>IFERROR(VLOOKUP(TRIM(O529), Collection!$B$2:$D$1001, 3, FALSE), "")</f>
        <v/>
      </c>
      <c r="R529" s="153">
        <f>IFERROR(VALUE(SUBSTITUTE(SUBSTITUTE(Q529, "Price", ""), "AED", "")), "")</f>
        <v/>
      </c>
      <c r="S529" s="168" t="n"/>
      <c r="T529" s="183" t="n"/>
      <c r="U529" s="136" t="n"/>
      <c r="V529" s="136" t="n"/>
      <c r="W529" s="156">
        <f>IF(Z529 = "",
"",
TEXT(Z529, "mmmm"))</f>
        <v/>
      </c>
      <c r="X529" s="157" t="n"/>
      <c r="Y529" s="158" t="n"/>
      <c r="Z529" s="158" t="n"/>
      <c r="AA529" s="136">
        <f>IF(H529="", "", IF(U529="Open Sale", IF(TODAY()-H529=0, "0 Days", TEXT(TODAY()-H529, "0") &amp; " Days"), IF(U529="Closed Sale", AA529, "")))</f>
        <v/>
      </c>
      <c r="AB529" s="136">
        <f>IF(H529="", "", IF(OR(U529="Pending", U529="Pending Allocation"), CONCATENATE(TODAY()-H529, " Days"), IF(U529="Closed", "", "")))</f>
        <v/>
      </c>
      <c r="AC529" s="160">
        <f>IF(U529="Pending Allocation", IF(I529="", "", TODAY()-I529), "")</f>
        <v/>
      </c>
      <c r="AD529" s="159">
        <f>IF(U529="Open Sale", TEXT(TODAY()-I529, "0"),
IF(U529="Pending", "",
IF(U529="Closed Sale", "", "")))</f>
        <v/>
      </c>
      <c r="AE529" s="161" t="n"/>
      <c r="AF529" s="161" t="n"/>
      <c r="AG529" s="161" t="n"/>
      <c r="AH529" s="136" t="n"/>
      <c r="AI529" s="164">
        <f>IF(I529="","",TEXT(I529, "mmmm yyyy"))</f>
        <v/>
      </c>
      <c r="AJ529" s="164">
        <f>IF(AND(OpenPendingCases[[#This Row],[Sale Status	]]="Open Sale",OpenPendingCases[[#This Row],[Potential Same Month]]="High"),TEXT(OpenPendingCases[[#This Row],[Request Entry Date]], "[$-en-us]mmmm"),"")</f>
        <v/>
      </c>
      <c r="AK529" s="165">
        <f>IFERROR(VALUE(SUBSTITUTE(OpenPendingCases[[#This Row],[Price]]," AED","")),"")</f>
        <v/>
      </c>
      <c r="AL529" s="165">
        <f>IFERROR(VALUE(LEFT(OpenPendingCases[[#This Row],[Price]],FIND(" ",OpenPendingCases[[#This Row],[Price]])-1)),"")</f>
        <v/>
      </c>
      <c r="AM529" s="165">
        <f>IFERROR(VALUE(_xlfn.TEXTBEFORE(OpenPendingCases[[#This Row],[Price]]," AED")),"")</f>
        <v/>
      </c>
      <c r="AN529" s="165" t="n"/>
    </row>
    <row r="530" hidden="1" ht="18" customHeight="1" s="287">
      <c r="C530" s="133" t="n"/>
      <c r="D530" s="136">
        <f>IF($U530="Open", IF(MAX($D$4:D529)+1=0, "", MAX($D$4:D529)+1), "")</f>
        <v/>
      </c>
      <c r="E530" s="136">
        <f>IF($U530="Pending Allocation", IF(MAX($E$4:E529)+1=0, "", MAX($E$4:E529)+1), "")</f>
        <v/>
      </c>
      <c r="F530" s="136" t="n"/>
      <c r="G530" s="136" t="n"/>
      <c r="H530" s="150" t="n"/>
      <c r="I530" s="150" t="n"/>
      <c r="J530" s="67">
        <f>IF(OpenPendingCases[[#This Row],[Timepiece Reference ]]="", "", IF(_xlfn.XLOOKUP(OpenPendingCases[[#This Row],[Timepiece Reference ]], Table1[[Timepiece Reference ]], Table1[CRC STOCK], "Not Found")="YES", "CRC Stock", "Boutique Stock"))</f>
        <v/>
      </c>
      <c r="K530" s="136">
        <f>IF(OpenPendingCases[[#This Row],[Timepiece Reference ]]="", "", IF(_xlfn.XLOOKUP(OpenPendingCases[[#This Row],[Timepiece Reference ]], Table1[[Timepiece Reference ]], Table1[CRC STOCK], "Not Found")="YES", "CRC Stock", "Boutique Stock"))</f>
        <v/>
      </c>
      <c r="L530" s="142" t="n"/>
      <c r="M530" s="140" t="n"/>
      <c r="N530" s="136" t="n"/>
      <c r="O530" s="133" t="n"/>
      <c r="P530" s="93">
        <f>IFERROR(VLOOKUP(TRIM(O530), Collection!$B$2:$D$1001, 2, FALSE), "")</f>
        <v/>
      </c>
      <c r="Q530" s="190">
        <f>IFERROR(VLOOKUP(TRIM(O530), Collection!$B$2:$D$1001, 3, FALSE), "")</f>
        <v/>
      </c>
      <c r="R530" s="153">
        <f>IFERROR(VALUE(SUBSTITUTE(SUBSTITUTE(Q530, "Price", ""), "AED", "")), "")</f>
        <v/>
      </c>
      <c r="S530" s="168" t="n"/>
      <c r="T530" s="183" t="n"/>
      <c r="U530" s="136" t="n"/>
      <c r="V530" s="136" t="n"/>
      <c r="W530" s="156">
        <f>IF(Z530 = "",
"",
TEXT(Z530, "mmmm"))</f>
        <v/>
      </c>
      <c r="X530" s="157" t="n"/>
      <c r="Y530" s="158" t="n"/>
      <c r="Z530" s="158" t="n"/>
      <c r="AA530" s="136">
        <f>IF(H530="", "", IF(U530="Open Sale", IF(TODAY()-H530=0, "0 Days", TEXT(TODAY()-H530, "0") &amp; " Days"), IF(U530="Closed Sale", AA530, "")))</f>
        <v/>
      </c>
      <c r="AB530" s="136">
        <f>IF(H530="", "", IF(OR(U530="Pending", U530="Pending Allocation"), CONCATENATE(TODAY()-H530, " Days"), IF(U530="Closed", "", "")))</f>
        <v/>
      </c>
      <c r="AC530" s="160">
        <f>IF(U530="Pending Allocation", IF(I530="", "", TODAY()-I530), "")</f>
        <v/>
      </c>
      <c r="AD530" s="159">
        <f>IF(U530="Open Sale", TEXT(TODAY()-I530, "0"),
IF(U530="Pending", "",
IF(U530="Closed Sale", "", "")))</f>
        <v/>
      </c>
      <c r="AE530" s="161" t="n"/>
      <c r="AF530" s="161" t="n"/>
      <c r="AG530" s="161" t="n"/>
      <c r="AH530" s="136" t="n"/>
      <c r="AI530" s="164">
        <f>IF(I530="","",TEXT(I530, "mmmm yyyy"))</f>
        <v/>
      </c>
      <c r="AJ530" s="164">
        <f>IF(AND(OpenPendingCases[[#This Row],[Sale Status	]]="Open Sale",OpenPendingCases[[#This Row],[Potential Same Month]]="High"),TEXT(OpenPendingCases[[#This Row],[Request Entry Date]], "[$-en-us]mmmm"),"")</f>
        <v/>
      </c>
      <c r="AK530" s="165">
        <f>IFERROR(VALUE(SUBSTITUTE(OpenPendingCases[[#This Row],[Price]]," AED","")),"")</f>
        <v/>
      </c>
      <c r="AL530" s="165">
        <f>IFERROR(VALUE(LEFT(OpenPendingCases[[#This Row],[Price]],FIND(" ",OpenPendingCases[[#This Row],[Price]])-1)),"")</f>
        <v/>
      </c>
      <c r="AM530" s="165">
        <f>IFERROR(VALUE(_xlfn.TEXTBEFORE(OpenPendingCases[[#This Row],[Price]]," AED")),"")</f>
        <v/>
      </c>
      <c r="AN530" s="165" t="n"/>
    </row>
    <row r="531" hidden="1" ht="18" customHeight="1" s="287">
      <c r="C531" s="133" t="n"/>
      <c r="D531" s="136">
        <f>IF($U531="Open", IF(MAX($D$4:D530)+1=0, "", MAX($D$4:D530)+1), "")</f>
        <v/>
      </c>
      <c r="E531" s="136">
        <f>IF($U531="Pending Allocation", IF(MAX($E$4:E530)+1=0, "", MAX($E$4:E530)+1), "")</f>
        <v/>
      </c>
      <c r="F531" s="136" t="n"/>
      <c r="G531" s="136" t="n"/>
      <c r="H531" s="150" t="n"/>
      <c r="I531" s="150" t="n"/>
      <c r="J531" s="67">
        <f>IF(OpenPendingCases[[#This Row],[Timepiece Reference ]]="", "", IF(_xlfn.XLOOKUP(OpenPendingCases[[#This Row],[Timepiece Reference ]], Table1[[Timepiece Reference ]], Table1[CRC STOCK], "Not Found")="YES", "CRC Stock", "Boutique Stock"))</f>
        <v/>
      </c>
      <c r="K531" s="136">
        <f>IF(OpenPendingCases[[#This Row],[Timepiece Reference ]]="", "", IF(_xlfn.XLOOKUP(OpenPendingCases[[#This Row],[Timepiece Reference ]], Table1[[Timepiece Reference ]], Table1[CRC STOCK], "Not Found")="YES", "CRC Stock", "Boutique Stock"))</f>
        <v/>
      </c>
      <c r="L531" s="142" t="n"/>
      <c r="M531" s="140" t="n"/>
      <c r="N531" s="136" t="n"/>
      <c r="O531" s="133" t="n"/>
      <c r="P531" s="93">
        <f>IFERROR(VLOOKUP(TRIM(O531), Collection!$B$2:$D$1001, 2, FALSE), "")</f>
        <v/>
      </c>
      <c r="Q531" s="190">
        <f>IFERROR(VLOOKUP(TRIM(O531), Collection!$B$2:$D$1001, 3, FALSE), "")</f>
        <v/>
      </c>
      <c r="R531" s="153">
        <f>IFERROR(VALUE(SUBSTITUTE(SUBSTITUTE(Q531, "Price", ""), "AED", "")), "")</f>
        <v/>
      </c>
      <c r="S531" s="168" t="n"/>
      <c r="T531" s="183" t="n"/>
      <c r="U531" s="136" t="n"/>
      <c r="V531" s="136" t="n"/>
      <c r="W531" s="156">
        <f>IF(Z531 = "",
"",
TEXT(Z531, "mmmm"))</f>
        <v/>
      </c>
      <c r="X531" s="157" t="n"/>
      <c r="Y531" s="158" t="n"/>
      <c r="Z531" s="158" t="n"/>
      <c r="AA531" s="136">
        <f>IF(H531="", "", IF(U531="Open Sale", IF(TODAY()-H531=0, "0 Days", TEXT(TODAY()-H531, "0") &amp; " Days"), IF(U531="Closed Sale", AA531, "")))</f>
        <v/>
      </c>
      <c r="AB531" s="136">
        <f>IF(H531="", "", IF(OR(U531="Pending", U531="Pending Allocation"), CONCATENATE(TODAY()-H531, " Days"), IF(U531="Closed", "", "")))</f>
        <v/>
      </c>
      <c r="AC531" s="160">
        <f>IF(U531="Pending Allocation", IF(I531="", "", TODAY()-I531), "")</f>
        <v/>
      </c>
      <c r="AD531" s="159">
        <f>IF(U531="Open Sale", TEXT(TODAY()-I531, "0"),
IF(U531="Pending", "",
IF(U531="Closed Sale", "", "")))</f>
        <v/>
      </c>
      <c r="AE531" s="161" t="n"/>
      <c r="AF531" s="161" t="n"/>
      <c r="AG531" s="161" t="n"/>
      <c r="AH531" s="136" t="n"/>
      <c r="AI531" s="164">
        <f>IF(I531="","",TEXT(I531, "mmmm yyyy"))</f>
        <v/>
      </c>
      <c r="AJ531" s="164">
        <f>IF(AND(OpenPendingCases[[#This Row],[Sale Status	]]="Open Sale",OpenPendingCases[[#This Row],[Potential Same Month]]="High"),TEXT(OpenPendingCases[[#This Row],[Request Entry Date]], "[$-en-us]mmmm"),"")</f>
        <v/>
      </c>
      <c r="AK531" s="165">
        <f>IFERROR(VALUE(SUBSTITUTE(OpenPendingCases[[#This Row],[Price]]," AED","")),"")</f>
        <v/>
      </c>
      <c r="AL531" s="165">
        <f>IFERROR(VALUE(LEFT(OpenPendingCases[[#This Row],[Price]],FIND(" ",OpenPendingCases[[#This Row],[Price]])-1)),"")</f>
        <v/>
      </c>
      <c r="AM531" s="165">
        <f>IFERROR(VALUE(_xlfn.TEXTBEFORE(OpenPendingCases[[#This Row],[Price]]," AED")),"")</f>
        <v/>
      </c>
      <c r="AN531" s="165" t="n"/>
    </row>
    <row r="532" hidden="1" ht="18" customHeight="1" s="287">
      <c r="C532" s="133" t="n"/>
      <c r="D532" s="136">
        <f>IF($U532="Open", IF(MAX($D$4:D531)+1=0, "", MAX($D$4:D531)+1), "")</f>
        <v/>
      </c>
      <c r="E532" s="136">
        <f>IF($U532="Pending Allocation", IF(MAX($E$4:E531)+1=0, "", MAX($E$4:E531)+1), "")</f>
        <v/>
      </c>
      <c r="F532" s="136" t="n"/>
      <c r="G532" s="136" t="n"/>
      <c r="H532" s="150" t="n"/>
      <c r="I532" s="150" t="n"/>
      <c r="J532" s="67">
        <f>IF(OpenPendingCases[[#This Row],[Timepiece Reference ]]="", "", IF(_xlfn.XLOOKUP(OpenPendingCases[[#This Row],[Timepiece Reference ]], Table1[[Timepiece Reference ]], Table1[CRC STOCK], "Not Found")="YES", "CRC Stock", "Boutique Stock"))</f>
        <v/>
      </c>
      <c r="K532" s="136">
        <f>IF(OpenPendingCases[[#This Row],[Timepiece Reference ]]="", "", IF(_xlfn.XLOOKUP(OpenPendingCases[[#This Row],[Timepiece Reference ]], Table1[[Timepiece Reference ]], Table1[CRC STOCK], "Not Found")="YES", "CRC Stock", "Boutique Stock"))</f>
        <v/>
      </c>
      <c r="L532" s="142" t="n"/>
      <c r="M532" s="140" t="n"/>
      <c r="N532" s="136" t="n"/>
      <c r="O532" s="133" t="n"/>
      <c r="P532" s="93">
        <f>IFERROR(VLOOKUP(TRIM(O532), Collection!$B$2:$D$1001, 2, FALSE), "")</f>
        <v/>
      </c>
      <c r="Q532" s="190">
        <f>IFERROR(VLOOKUP(TRIM(O532), Collection!$B$2:$D$1001, 3, FALSE), "")</f>
        <v/>
      </c>
      <c r="R532" s="153">
        <f>IFERROR(VALUE(SUBSTITUTE(SUBSTITUTE(Q532, "Price", ""), "AED", "")), "")</f>
        <v/>
      </c>
      <c r="S532" s="168" t="n"/>
      <c r="T532" s="183" t="n"/>
      <c r="U532" s="136" t="n"/>
      <c r="V532" s="136" t="n"/>
      <c r="W532" s="156">
        <f>IF(Z532 = "",
"",
TEXT(Z532, "mmmm"))</f>
        <v/>
      </c>
      <c r="X532" s="157" t="n"/>
      <c r="Y532" s="158" t="n"/>
      <c r="Z532" s="158" t="n"/>
      <c r="AA532" s="136">
        <f>IF(H532="", "", IF(U532="Open Sale", IF(TODAY()-H532=0, "0 Days", TEXT(TODAY()-H532, "0") &amp; " Days"), IF(U532="Closed Sale", AA532, "")))</f>
        <v/>
      </c>
      <c r="AB532" s="136">
        <f>IF(H532="", "", IF(OR(U532="Pending", U532="Pending Allocation"), CONCATENATE(TODAY()-H532, " Days"), IF(U532="Closed", "", "")))</f>
        <v/>
      </c>
      <c r="AC532" s="160">
        <f>IF(U532="Pending Allocation", IF(I532="", "", TODAY()-I532), "")</f>
        <v/>
      </c>
      <c r="AD532" s="159">
        <f>IF(U532="Open Sale", TEXT(TODAY()-I532, "0"),
IF(U532="Pending", "",
IF(U532="Closed Sale", "", "")))</f>
        <v/>
      </c>
      <c r="AE532" s="161" t="n"/>
      <c r="AF532" s="161" t="n"/>
      <c r="AG532" s="161" t="n"/>
      <c r="AH532" s="136" t="n"/>
      <c r="AI532" s="164">
        <f>IF(I532="","",TEXT(I532, "mmmm yyyy"))</f>
        <v/>
      </c>
      <c r="AJ532" s="164">
        <f>IF(AND(OpenPendingCases[[#This Row],[Sale Status	]]="Open Sale",OpenPendingCases[[#This Row],[Potential Same Month]]="High"),TEXT(OpenPendingCases[[#This Row],[Request Entry Date]], "[$-en-us]mmmm"),"")</f>
        <v/>
      </c>
      <c r="AK532" s="165">
        <f>IFERROR(VALUE(SUBSTITUTE(OpenPendingCases[[#This Row],[Price]]," AED","")),"")</f>
        <v/>
      </c>
      <c r="AL532" s="165">
        <f>IFERROR(VALUE(LEFT(OpenPendingCases[[#This Row],[Price]],FIND(" ",OpenPendingCases[[#This Row],[Price]])-1)),"")</f>
        <v/>
      </c>
      <c r="AM532" s="165">
        <f>IFERROR(VALUE(_xlfn.TEXTBEFORE(OpenPendingCases[[#This Row],[Price]]," AED")),"")</f>
        <v/>
      </c>
      <c r="AN532" s="165" t="n"/>
    </row>
    <row r="533" hidden="1" ht="18" customHeight="1" s="287">
      <c r="C533" s="133" t="n"/>
      <c r="D533" s="136">
        <f>IF($U533="Open", IF(MAX($D$4:D532)+1=0, "", MAX($D$4:D532)+1), "")</f>
        <v/>
      </c>
      <c r="E533" s="136">
        <f>IF($U533="Pending Allocation", IF(MAX($E$4:E532)+1=0, "", MAX($E$4:E532)+1), "")</f>
        <v/>
      </c>
      <c r="F533" s="136" t="n"/>
      <c r="G533" s="136" t="n"/>
      <c r="H533" s="150" t="n"/>
      <c r="I533" s="150" t="n"/>
      <c r="J533" s="67">
        <f>IF(OpenPendingCases[[#This Row],[Timepiece Reference ]]="", "", IF(_xlfn.XLOOKUP(OpenPendingCases[[#This Row],[Timepiece Reference ]], Table1[[Timepiece Reference ]], Table1[CRC STOCK], "Not Found")="YES", "CRC Stock", "Boutique Stock"))</f>
        <v/>
      </c>
      <c r="K533" s="136">
        <f>IF(OpenPendingCases[[#This Row],[Timepiece Reference ]]="", "", IF(_xlfn.XLOOKUP(OpenPendingCases[[#This Row],[Timepiece Reference ]], Table1[[Timepiece Reference ]], Table1[CRC STOCK], "Not Found")="YES", "CRC Stock", "Boutique Stock"))</f>
        <v/>
      </c>
      <c r="L533" s="142" t="n"/>
      <c r="M533" s="140" t="n"/>
      <c r="N533" s="136" t="n"/>
      <c r="O533" s="133" t="n"/>
      <c r="P533" s="93">
        <f>IFERROR(VLOOKUP(TRIM(O533), Collection!$B$2:$D$1001, 2, FALSE), "")</f>
        <v/>
      </c>
      <c r="Q533" s="190">
        <f>IFERROR(VLOOKUP(TRIM(O533), Collection!$B$2:$D$1001, 3, FALSE), "")</f>
        <v/>
      </c>
      <c r="R533" s="153">
        <f>IFERROR(VALUE(SUBSTITUTE(SUBSTITUTE(Q533, "Price", ""), "AED", "")), "")</f>
        <v/>
      </c>
      <c r="S533" s="168" t="n"/>
      <c r="T533" s="183" t="n"/>
      <c r="U533" s="136" t="n"/>
      <c r="V533" s="136" t="n"/>
      <c r="W533" s="156">
        <f>IF(Z533 = "",
"",
TEXT(Z533, "mmmm"))</f>
        <v/>
      </c>
      <c r="X533" s="157" t="n"/>
      <c r="Y533" s="158" t="n"/>
      <c r="Z533" s="158" t="n"/>
      <c r="AA533" s="136">
        <f>IF(H533="", "", IF(U533="Open Sale", IF(TODAY()-H533=0, "0 Days", TEXT(TODAY()-H533, "0") &amp; " Days"), IF(U533="Closed Sale", AA533, "")))</f>
        <v/>
      </c>
      <c r="AB533" s="136">
        <f>IF(H533="", "", IF(OR(U533="Pending", U533="Pending Allocation"), CONCATENATE(TODAY()-H533, " Days"), IF(U533="Closed", "", "")))</f>
        <v/>
      </c>
      <c r="AC533" s="160">
        <f>IF(U533="Pending Allocation", IF(I533="", "", TODAY()-I533), "")</f>
        <v/>
      </c>
      <c r="AD533" s="159">
        <f>IF(U533="Open Sale", TEXT(TODAY()-I533, "0"),
IF(U533="Pending", "",
IF(U533="Closed Sale", "", "")))</f>
        <v/>
      </c>
      <c r="AE533" s="161" t="n"/>
      <c r="AF533" s="161" t="n"/>
      <c r="AG533" s="161" t="n"/>
      <c r="AH533" s="136" t="n"/>
      <c r="AI533" s="164">
        <f>IF(I533="","",TEXT(I533, "mmmm yyyy"))</f>
        <v/>
      </c>
      <c r="AJ533" s="164">
        <f>IF(AND(OpenPendingCases[[#This Row],[Sale Status	]]="Open Sale",OpenPendingCases[[#This Row],[Potential Same Month]]="High"),TEXT(OpenPendingCases[[#This Row],[Request Entry Date]], "[$-en-us]mmmm"),"")</f>
        <v/>
      </c>
      <c r="AK533" s="165">
        <f>IFERROR(VALUE(SUBSTITUTE(OpenPendingCases[[#This Row],[Price]]," AED","")),"")</f>
        <v/>
      </c>
      <c r="AL533" s="165">
        <f>IFERROR(VALUE(LEFT(OpenPendingCases[[#This Row],[Price]],FIND(" ",OpenPendingCases[[#This Row],[Price]])-1)),"")</f>
        <v/>
      </c>
      <c r="AM533" s="165">
        <f>IFERROR(VALUE(_xlfn.TEXTBEFORE(OpenPendingCases[[#This Row],[Price]]," AED")),"")</f>
        <v/>
      </c>
      <c r="AN533" s="165" t="n"/>
    </row>
    <row r="534" hidden="1" ht="18" customHeight="1" s="287">
      <c r="C534" s="133" t="n"/>
      <c r="D534" s="136">
        <f>IF($U534="Open", IF(MAX($D$4:D533)+1=0, "", MAX($D$4:D533)+1), "")</f>
        <v/>
      </c>
      <c r="E534" s="136">
        <f>IF($U534="Pending Allocation", IF(MAX($E$4:E533)+1=0, "", MAX($E$4:E533)+1), "")</f>
        <v/>
      </c>
      <c r="F534" s="136" t="n"/>
      <c r="G534" s="136" t="n"/>
      <c r="H534" s="150" t="n"/>
      <c r="I534" s="150" t="n"/>
      <c r="J534" s="67">
        <f>IF(OpenPendingCases[[#This Row],[Timepiece Reference ]]="", "", IF(_xlfn.XLOOKUP(OpenPendingCases[[#This Row],[Timepiece Reference ]], Table1[[Timepiece Reference ]], Table1[CRC STOCK], "Not Found")="YES", "CRC Stock", "Boutique Stock"))</f>
        <v/>
      </c>
      <c r="K534" s="136">
        <f>IF(OpenPendingCases[[#This Row],[Timepiece Reference ]]="", "", IF(_xlfn.XLOOKUP(OpenPendingCases[[#This Row],[Timepiece Reference ]], Table1[[Timepiece Reference ]], Table1[CRC STOCK], "Not Found")="YES", "CRC Stock", "Boutique Stock"))</f>
        <v/>
      </c>
      <c r="L534" s="142" t="n"/>
      <c r="M534" s="140" t="n"/>
      <c r="N534" s="136" t="n"/>
      <c r="O534" s="133" t="n"/>
      <c r="P534" s="93">
        <f>IFERROR(VLOOKUP(TRIM(O534), Collection!$B$2:$D$1001, 2, FALSE), "")</f>
        <v/>
      </c>
      <c r="Q534" s="190">
        <f>IFERROR(VLOOKUP(TRIM(O534), Collection!$B$2:$D$1001, 3, FALSE), "")</f>
        <v/>
      </c>
      <c r="R534" s="153">
        <f>IFERROR(VALUE(SUBSTITUTE(SUBSTITUTE(Q534, "Price", ""), "AED", "")), "")</f>
        <v/>
      </c>
      <c r="S534" s="168" t="n"/>
      <c r="T534" s="183" t="n"/>
      <c r="U534" s="136" t="n"/>
      <c r="V534" s="136" t="n"/>
      <c r="W534" s="156">
        <f>IF(Z534 = "",
"",
TEXT(Z534, "mmmm"))</f>
        <v/>
      </c>
      <c r="X534" s="157" t="n"/>
      <c r="Y534" s="158" t="n"/>
      <c r="Z534" s="158" t="n"/>
      <c r="AA534" s="136">
        <f>IF(H534="", "", IF(U534="Open Sale", IF(TODAY()-H534=0, "0 Days", TEXT(TODAY()-H534, "0") &amp; " Days"), IF(U534="Closed Sale", AA534, "")))</f>
        <v/>
      </c>
      <c r="AB534" s="136">
        <f>IF(H534="", "", IF(OR(U534="Pending", U534="Pending Allocation"), CONCATENATE(TODAY()-H534, " Days"), IF(U534="Closed", "", "")))</f>
        <v/>
      </c>
      <c r="AC534" s="160">
        <f>IF(U534="Pending Allocation", IF(I534="", "", TODAY()-I534), "")</f>
        <v/>
      </c>
      <c r="AD534" s="159">
        <f>IF(U534="Open Sale", TEXT(TODAY()-I534, "0"),
IF(U534="Pending", "",
IF(U534="Closed Sale", "", "")))</f>
        <v/>
      </c>
      <c r="AE534" s="161" t="n"/>
      <c r="AF534" s="161" t="n"/>
      <c r="AG534" s="161" t="n"/>
      <c r="AH534" s="136" t="n"/>
      <c r="AI534" s="164">
        <f>IF(I534="","",TEXT(I534, "mmmm yyyy"))</f>
        <v/>
      </c>
      <c r="AJ534" s="164">
        <f>IF(AND(OpenPendingCases[[#This Row],[Sale Status	]]="Open Sale",OpenPendingCases[[#This Row],[Potential Same Month]]="High"),TEXT(OpenPendingCases[[#This Row],[Request Entry Date]], "[$-en-us]mmmm"),"")</f>
        <v/>
      </c>
      <c r="AK534" s="165">
        <f>IFERROR(VALUE(SUBSTITUTE(OpenPendingCases[[#This Row],[Price]]," AED","")),"")</f>
        <v/>
      </c>
      <c r="AL534" s="165">
        <f>IFERROR(VALUE(LEFT(OpenPendingCases[[#This Row],[Price]],FIND(" ",OpenPendingCases[[#This Row],[Price]])-1)),"")</f>
        <v/>
      </c>
      <c r="AM534" s="165">
        <f>IFERROR(VALUE(_xlfn.TEXTBEFORE(OpenPendingCases[[#This Row],[Price]]," AED")),"")</f>
        <v/>
      </c>
      <c r="AN534" s="165" t="n"/>
    </row>
    <row r="535" hidden="1" ht="18" customHeight="1" s="287">
      <c r="C535" s="133" t="n"/>
      <c r="D535" s="136">
        <f>IF($U535="Open", IF(MAX($D$4:D534)+1=0, "", MAX($D$4:D534)+1), "")</f>
        <v/>
      </c>
      <c r="E535" s="136">
        <f>IF($U535="Pending Allocation", IF(MAX($E$4:E534)+1=0, "", MAX($E$4:E534)+1), "")</f>
        <v/>
      </c>
      <c r="F535" s="136" t="n"/>
      <c r="G535" s="136" t="n"/>
      <c r="H535" s="150" t="n"/>
      <c r="I535" s="150" t="n"/>
      <c r="J535" s="67">
        <f>IF(OpenPendingCases[[#This Row],[Timepiece Reference ]]="", "", IF(_xlfn.XLOOKUP(OpenPendingCases[[#This Row],[Timepiece Reference ]], Table1[[Timepiece Reference ]], Table1[CRC STOCK], "Not Found")="YES", "CRC Stock", "Boutique Stock"))</f>
        <v/>
      </c>
      <c r="K535" s="136">
        <f>IF(OpenPendingCases[[#This Row],[Timepiece Reference ]]="", "", IF(_xlfn.XLOOKUP(OpenPendingCases[[#This Row],[Timepiece Reference ]], Table1[[Timepiece Reference ]], Table1[CRC STOCK], "Not Found")="YES", "CRC Stock", "Boutique Stock"))</f>
        <v/>
      </c>
      <c r="L535" s="142" t="n"/>
      <c r="M535" s="140" t="n"/>
      <c r="N535" s="136" t="n"/>
      <c r="O535" s="133" t="n"/>
      <c r="P535" s="93">
        <f>IFERROR(VLOOKUP(TRIM(O535), Collection!$B$2:$D$1001, 2, FALSE), "")</f>
        <v/>
      </c>
      <c r="Q535" s="190">
        <f>IFERROR(VLOOKUP(TRIM(O535), Collection!$B$2:$D$1001, 3, FALSE), "")</f>
        <v/>
      </c>
      <c r="R535" s="153">
        <f>IFERROR(VALUE(SUBSTITUTE(SUBSTITUTE(Q535, "Price", ""), "AED", "")), "")</f>
        <v/>
      </c>
      <c r="S535" s="168" t="n"/>
      <c r="T535" s="183" t="n"/>
      <c r="U535" s="136" t="n"/>
      <c r="V535" s="136" t="n"/>
      <c r="W535" s="156">
        <f>IF(Z535 = "",
"",
TEXT(Z535, "mmmm"))</f>
        <v/>
      </c>
      <c r="X535" s="157" t="n"/>
      <c r="Y535" s="158" t="n"/>
      <c r="Z535" s="158" t="n"/>
      <c r="AA535" s="136">
        <f>IF(H535="", "", IF(U535="Open Sale", IF(TODAY()-H535=0, "0 Days", TEXT(TODAY()-H535, "0") &amp; " Days"), IF(U535="Closed Sale", AA535, "")))</f>
        <v/>
      </c>
      <c r="AB535" s="136">
        <f>IF(H535="", "", IF(OR(U535="Pending", U535="Pending Allocation"), CONCATENATE(TODAY()-H535, " Days"), IF(U535="Closed", "", "")))</f>
        <v/>
      </c>
      <c r="AC535" s="160">
        <f>IF(U535="Pending Allocation", IF(I535="", "", TODAY()-I535), "")</f>
        <v/>
      </c>
      <c r="AD535" s="159">
        <f>IF(U535="Open Sale", TEXT(TODAY()-I535, "0"),
IF(U535="Pending", "",
IF(U535="Closed Sale", "", "")))</f>
        <v/>
      </c>
      <c r="AE535" s="161" t="n"/>
      <c r="AF535" s="161" t="n"/>
      <c r="AG535" s="161" t="n"/>
      <c r="AH535" s="136" t="n"/>
      <c r="AI535" s="164">
        <f>IF(I535="","",TEXT(I535, "mmmm yyyy"))</f>
        <v/>
      </c>
      <c r="AJ535" s="164">
        <f>IF(AND(OpenPendingCases[[#This Row],[Sale Status	]]="Open Sale",OpenPendingCases[[#This Row],[Potential Same Month]]="High"),TEXT(OpenPendingCases[[#This Row],[Request Entry Date]], "[$-en-us]mmmm"),"")</f>
        <v/>
      </c>
      <c r="AK535" s="165">
        <f>IFERROR(VALUE(SUBSTITUTE(OpenPendingCases[[#This Row],[Price]]," AED","")),"")</f>
        <v/>
      </c>
      <c r="AL535" s="165">
        <f>IFERROR(VALUE(LEFT(OpenPendingCases[[#This Row],[Price]],FIND(" ",OpenPendingCases[[#This Row],[Price]])-1)),"")</f>
        <v/>
      </c>
      <c r="AM535" s="165">
        <f>IFERROR(VALUE(_xlfn.TEXTBEFORE(OpenPendingCases[[#This Row],[Price]]," AED")),"")</f>
        <v/>
      </c>
      <c r="AN535" s="165" t="n"/>
    </row>
    <row r="536" hidden="1" ht="18" customHeight="1" s="287">
      <c r="C536" s="133" t="n"/>
      <c r="D536" s="136">
        <f>IF($U536="Open", IF(MAX($D$4:D535)+1=0, "", MAX($D$4:D535)+1), "")</f>
        <v/>
      </c>
      <c r="E536" s="136">
        <f>IF($U536="Pending Allocation", IF(MAX($E$4:E535)+1=0, "", MAX($E$4:E535)+1), "")</f>
        <v/>
      </c>
      <c r="F536" s="136" t="n"/>
      <c r="G536" s="136" t="n"/>
      <c r="H536" s="150" t="n"/>
      <c r="I536" s="150" t="n"/>
      <c r="J536" s="67">
        <f>IF(OpenPendingCases[[#This Row],[Timepiece Reference ]]="", "", IF(_xlfn.XLOOKUP(OpenPendingCases[[#This Row],[Timepiece Reference ]], Table1[[Timepiece Reference ]], Table1[CRC STOCK], "Not Found")="YES", "CRC Stock", "Boutique Stock"))</f>
        <v/>
      </c>
      <c r="K536" s="136">
        <f>IF(OpenPendingCases[[#This Row],[Timepiece Reference ]]="", "", IF(_xlfn.XLOOKUP(OpenPendingCases[[#This Row],[Timepiece Reference ]], Table1[[Timepiece Reference ]], Table1[CRC STOCK], "Not Found")="YES", "CRC Stock", "Boutique Stock"))</f>
        <v/>
      </c>
      <c r="L536" s="142" t="n"/>
      <c r="M536" s="140" t="n"/>
      <c r="N536" s="136" t="n"/>
      <c r="O536" s="133" t="n"/>
      <c r="P536" s="93">
        <f>IFERROR(VLOOKUP(TRIM(O536), Collection!$B$2:$D$1001, 2, FALSE), "")</f>
        <v/>
      </c>
      <c r="Q536" s="190">
        <f>IFERROR(VLOOKUP(TRIM(O536), Collection!$B$2:$D$1001, 3, FALSE), "")</f>
        <v/>
      </c>
      <c r="R536" s="153">
        <f>IFERROR(VALUE(SUBSTITUTE(SUBSTITUTE(Q536, "Price", ""), "AED", "")), "")</f>
        <v/>
      </c>
      <c r="S536" s="168" t="n"/>
      <c r="T536" s="183" t="n"/>
      <c r="U536" s="136" t="n"/>
      <c r="V536" s="136" t="n"/>
      <c r="W536" s="156">
        <f>IF(Z536 = "",
"",
TEXT(Z536, "mmmm"))</f>
        <v/>
      </c>
      <c r="X536" s="157" t="n"/>
      <c r="Y536" s="158" t="n"/>
      <c r="Z536" s="158" t="n"/>
      <c r="AA536" s="136">
        <f>IF(H536="", "", IF(U536="Open Sale", IF(TODAY()-H536=0, "0 Days", TEXT(TODAY()-H536, "0") &amp; " Days"), IF(U536="Closed Sale", AA536, "")))</f>
        <v/>
      </c>
      <c r="AB536" s="136">
        <f>IF(H536="", "", IF(OR(U536="Pending", U536="Pending Allocation"), CONCATENATE(TODAY()-H536, " Days"), IF(U536="Closed", "", "")))</f>
        <v/>
      </c>
      <c r="AC536" s="160">
        <f>IF(U536="Pending Allocation", IF(I536="", "", TODAY()-I536), "")</f>
        <v/>
      </c>
      <c r="AD536" s="159">
        <f>IF(U536="Open Sale", TEXT(TODAY()-I536, "0"),
IF(U536="Pending", "",
IF(U536="Closed Sale", "", "")))</f>
        <v/>
      </c>
      <c r="AE536" s="161" t="n"/>
      <c r="AF536" s="161" t="n"/>
      <c r="AG536" s="161" t="n"/>
      <c r="AH536" s="136" t="n"/>
      <c r="AI536" s="164">
        <f>IF(I536="","",TEXT(I536, "mmmm yyyy"))</f>
        <v/>
      </c>
      <c r="AJ536" s="164">
        <f>IF(AND(OpenPendingCases[[#This Row],[Sale Status	]]="Open Sale",OpenPendingCases[[#This Row],[Potential Same Month]]="High"),TEXT(OpenPendingCases[[#This Row],[Request Entry Date]], "[$-en-us]mmmm"),"")</f>
        <v/>
      </c>
      <c r="AK536" s="165">
        <f>IFERROR(VALUE(SUBSTITUTE(OpenPendingCases[[#This Row],[Price]]," AED","")),"")</f>
        <v/>
      </c>
      <c r="AL536" s="165">
        <f>IFERROR(VALUE(LEFT(OpenPendingCases[[#This Row],[Price]],FIND(" ",OpenPendingCases[[#This Row],[Price]])-1)),"")</f>
        <v/>
      </c>
      <c r="AM536" s="165">
        <f>IFERROR(VALUE(_xlfn.TEXTBEFORE(OpenPendingCases[[#This Row],[Price]]," AED")),"")</f>
        <v/>
      </c>
      <c r="AN536" s="165" t="n"/>
    </row>
    <row r="537" hidden="1" ht="18" customHeight="1" s="287">
      <c r="C537" s="133" t="n"/>
      <c r="D537" s="136">
        <f>IF($U537="Open", IF(MAX($D$4:D536)+1=0, "", MAX($D$4:D536)+1), "")</f>
        <v/>
      </c>
      <c r="E537" s="136">
        <f>IF($U537="Pending Allocation", IF(MAX($E$4:E536)+1=0, "", MAX($E$4:E536)+1), "")</f>
        <v/>
      </c>
      <c r="F537" s="136" t="n"/>
      <c r="G537" s="136" t="n"/>
      <c r="H537" s="150" t="n"/>
      <c r="I537" s="150" t="n"/>
      <c r="J537" s="67">
        <f>IF(OpenPendingCases[[#This Row],[Timepiece Reference ]]="", "", IF(_xlfn.XLOOKUP(OpenPendingCases[[#This Row],[Timepiece Reference ]], Table1[[Timepiece Reference ]], Table1[CRC STOCK], "Not Found")="YES", "CRC Stock", "Boutique Stock"))</f>
        <v/>
      </c>
      <c r="K537" s="136">
        <f>IF(OpenPendingCases[[#This Row],[Timepiece Reference ]]="", "", IF(_xlfn.XLOOKUP(OpenPendingCases[[#This Row],[Timepiece Reference ]], Table1[[Timepiece Reference ]], Table1[CRC STOCK], "Not Found")="YES", "CRC Stock", "Boutique Stock"))</f>
        <v/>
      </c>
      <c r="L537" s="142" t="n"/>
      <c r="M537" s="140" t="n"/>
      <c r="N537" s="136" t="n"/>
      <c r="O537" s="133" t="n"/>
      <c r="P537" s="93">
        <f>IFERROR(VLOOKUP(TRIM(O537), Collection!$B$2:$D$1001, 2, FALSE), "")</f>
        <v/>
      </c>
      <c r="Q537" s="190">
        <f>IFERROR(VLOOKUP(TRIM(O537), Collection!$B$2:$D$1001, 3, FALSE), "")</f>
        <v/>
      </c>
      <c r="R537" s="153">
        <f>IFERROR(VALUE(SUBSTITUTE(SUBSTITUTE(Q537, "Price", ""), "AED", "")), "")</f>
        <v/>
      </c>
      <c r="S537" s="168" t="n"/>
      <c r="T537" s="183" t="n"/>
      <c r="U537" s="136" t="n"/>
      <c r="V537" s="136" t="n"/>
      <c r="W537" s="156">
        <f>IF(Z537 = "",
"",
TEXT(Z537, "mmmm"))</f>
        <v/>
      </c>
      <c r="X537" s="157" t="n"/>
      <c r="Y537" s="158" t="n"/>
      <c r="Z537" s="158" t="n"/>
      <c r="AA537" s="136">
        <f>IF(H537="", "", IF(U537="Open Sale", IF(TODAY()-H537=0, "0 Days", TEXT(TODAY()-H537, "0") &amp; " Days"), IF(U537="Closed Sale", AA537, "")))</f>
        <v/>
      </c>
      <c r="AB537" s="136">
        <f>IF(H537="", "", IF(OR(U537="Pending", U537="Pending Allocation"), CONCATENATE(TODAY()-H537, " Days"), IF(U537="Closed", "", "")))</f>
        <v/>
      </c>
      <c r="AC537" s="160">
        <f>IF(U537="Pending Allocation", IF(I537="", "", TODAY()-I537), "")</f>
        <v/>
      </c>
      <c r="AD537" s="159">
        <f>IF(U537="Open Sale", TEXT(TODAY()-I537, "0"),
IF(U537="Pending", "",
IF(U537="Closed Sale", "", "")))</f>
        <v/>
      </c>
      <c r="AE537" s="161" t="n"/>
      <c r="AF537" s="161" t="n"/>
      <c r="AG537" s="161" t="n"/>
      <c r="AH537" s="136" t="n"/>
      <c r="AI537" s="164">
        <f>IF(I537="","",TEXT(I537, "mmmm yyyy"))</f>
        <v/>
      </c>
      <c r="AJ537" s="164">
        <f>IF(AND(OpenPendingCases[[#This Row],[Sale Status	]]="Open Sale",OpenPendingCases[[#This Row],[Potential Same Month]]="High"),TEXT(OpenPendingCases[[#This Row],[Request Entry Date]], "[$-en-us]mmmm"),"")</f>
        <v/>
      </c>
      <c r="AK537" s="165">
        <f>IFERROR(VALUE(SUBSTITUTE(OpenPendingCases[[#This Row],[Price]]," AED","")),"")</f>
        <v/>
      </c>
      <c r="AL537" s="165">
        <f>IFERROR(VALUE(LEFT(OpenPendingCases[[#This Row],[Price]],FIND(" ",OpenPendingCases[[#This Row],[Price]])-1)),"")</f>
        <v/>
      </c>
      <c r="AM537" s="165">
        <f>IFERROR(VALUE(_xlfn.TEXTBEFORE(OpenPendingCases[[#This Row],[Price]]," AED")),"")</f>
        <v/>
      </c>
      <c r="AN537" s="165" t="n"/>
    </row>
    <row r="538" hidden="1" ht="18" customHeight="1" s="287">
      <c r="C538" s="133" t="n"/>
      <c r="D538" s="136">
        <f>IF($U538="Open", IF(MAX($D$4:D537)+1=0, "", MAX($D$4:D537)+1), "")</f>
        <v/>
      </c>
      <c r="E538" s="136">
        <f>IF($U538="Pending Allocation", IF(MAX($E$4:E537)+1=0, "", MAX($E$4:E537)+1), "")</f>
        <v/>
      </c>
      <c r="F538" s="136" t="n"/>
      <c r="G538" s="136" t="n"/>
      <c r="H538" s="150" t="n"/>
      <c r="I538" s="150" t="n"/>
      <c r="J538" s="67">
        <f>IF(OpenPendingCases[[#This Row],[Timepiece Reference ]]="", "", IF(_xlfn.XLOOKUP(OpenPendingCases[[#This Row],[Timepiece Reference ]], Table1[[Timepiece Reference ]], Table1[CRC STOCK], "Not Found")="YES", "CRC Stock", "Boutique Stock"))</f>
        <v/>
      </c>
      <c r="K538" s="136">
        <f>IF(OpenPendingCases[[#This Row],[Timepiece Reference ]]="", "", IF(_xlfn.XLOOKUP(OpenPendingCases[[#This Row],[Timepiece Reference ]], Table1[[Timepiece Reference ]], Table1[CRC STOCK], "Not Found")="YES", "CRC Stock", "Boutique Stock"))</f>
        <v/>
      </c>
      <c r="L538" s="142" t="n"/>
      <c r="M538" s="140" t="n"/>
      <c r="N538" s="136" t="n"/>
      <c r="O538" s="133" t="n"/>
      <c r="P538" s="93">
        <f>IFERROR(VLOOKUP(TRIM(O538), Collection!$B$2:$D$1001, 2, FALSE), "")</f>
        <v/>
      </c>
      <c r="Q538" s="190">
        <f>IFERROR(VLOOKUP(TRIM(O538), Collection!$B$2:$D$1001, 3, FALSE), "")</f>
        <v/>
      </c>
      <c r="R538" s="153">
        <f>IFERROR(VALUE(SUBSTITUTE(SUBSTITUTE(Q538, "Price", ""), "AED", "")), "")</f>
        <v/>
      </c>
      <c r="S538" s="168" t="n"/>
      <c r="T538" s="183" t="n"/>
      <c r="U538" s="136" t="n"/>
      <c r="V538" s="136" t="n"/>
      <c r="W538" s="156">
        <f>IF(Z538 = "",
"",
TEXT(Z538, "mmmm"))</f>
        <v/>
      </c>
      <c r="X538" s="157" t="n"/>
      <c r="Y538" s="158" t="n"/>
      <c r="Z538" s="158" t="n"/>
      <c r="AA538" s="136">
        <f>IF(H538="", "", IF(U538="Open Sale", IF(TODAY()-H538=0, "0 Days", TEXT(TODAY()-H538, "0") &amp; " Days"), IF(U538="Closed Sale", AA538, "")))</f>
        <v/>
      </c>
      <c r="AB538" s="136">
        <f>IF(H538="", "", IF(OR(U538="Pending", U538="Pending Allocation"), CONCATENATE(TODAY()-H538, " Days"), IF(U538="Closed", "", "")))</f>
        <v/>
      </c>
      <c r="AC538" s="160">
        <f>IF(U538="Pending Allocation", IF(I538="", "", TODAY()-I538), "")</f>
        <v/>
      </c>
      <c r="AD538" s="159">
        <f>IF(U538="Open Sale", TEXT(TODAY()-I538, "0"),
IF(U538="Pending", "",
IF(U538="Closed Sale", "", "")))</f>
        <v/>
      </c>
      <c r="AE538" s="161" t="n"/>
      <c r="AF538" s="161" t="n"/>
      <c r="AG538" s="161" t="n"/>
      <c r="AH538" s="136" t="n"/>
      <c r="AI538" s="164">
        <f>IF(I538="","",TEXT(I538, "mmmm yyyy"))</f>
        <v/>
      </c>
      <c r="AJ538" s="164">
        <f>IF(AND(OpenPendingCases[[#This Row],[Sale Status	]]="Open Sale",OpenPendingCases[[#This Row],[Potential Same Month]]="High"),TEXT(OpenPendingCases[[#This Row],[Request Entry Date]], "[$-en-us]mmmm"),"")</f>
        <v/>
      </c>
      <c r="AK538" s="165">
        <f>IFERROR(VALUE(SUBSTITUTE(OpenPendingCases[[#This Row],[Price]]," AED","")),"")</f>
        <v/>
      </c>
      <c r="AL538" s="165">
        <f>IFERROR(VALUE(LEFT(OpenPendingCases[[#This Row],[Price]],FIND(" ",OpenPendingCases[[#This Row],[Price]])-1)),"")</f>
        <v/>
      </c>
      <c r="AM538" s="165">
        <f>IFERROR(VALUE(_xlfn.TEXTBEFORE(OpenPendingCases[[#This Row],[Price]]," AED")),"")</f>
        <v/>
      </c>
      <c r="AN538" s="165" t="n"/>
    </row>
    <row r="539" hidden="1" ht="18" customHeight="1" s="287">
      <c r="C539" s="133" t="n"/>
      <c r="D539" s="136">
        <f>IF($U539="Open", IF(MAX($D$4:D538)+1=0, "", MAX($D$4:D538)+1), "")</f>
        <v/>
      </c>
      <c r="E539" s="136">
        <f>IF($U539="Pending Allocation", IF(MAX($E$4:E538)+1=0, "", MAX($E$4:E538)+1), "")</f>
        <v/>
      </c>
      <c r="F539" s="136" t="n"/>
      <c r="G539" s="136" t="n"/>
      <c r="H539" s="150" t="n"/>
      <c r="I539" s="150" t="n"/>
      <c r="J539" s="67">
        <f>IF(OpenPendingCases[[#This Row],[Timepiece Reference ]]="", "", IF(_xlfn.XLOOKUP(OpenPendingCases[[#This Row],[Timepiece Reference ]], Table1[[Timepiece Reference ]], Table1[CRC STOCK], "Not Found")="YES", "CRC Stock", "Boutique Stock"))</f>
        <v/>
      </c>
      <c r="K539" s="136">
        <f>IF(OpenPendingCases[[#This Row],[Timepiece Reference ]]="", "", IF(_xlfn.XLOOKUP(OpenPendingCases[[#This Row],[Timepiece Reference ]], Table1[[Timepiece Reference ]], Table1[CRC STOCK], "Not Found")="YES", "CRC Stock", "Boutique Stock"))</f>
        <v/>
      </c>
      <c r="L539" s="142" t="n"/>
      <c r="M539" s="140" t="n"/>
      <c r="N539" s="136" t="n"/>
      <c r="O539" s="133" t="n"/>
      <c r="P539" s="93">
        <f>IFERROR(VLOOKUP(TRIM(O539), Collection!$B$2:$D$1001, 2, FALSE), "")</f>
        <v/>
      </c>
      <c r="Q539" s="190">
        <f>IFERROR(VLOOKUP(TRIM(O539), Collection!$B$2:$D$1001, 3, FALSE), "")</f>
        <v/>
      </c>
      <c r="R539" s="153">
        <f>IFERROR(VALUE(SUBSTITUTE(SUBSTITUTE(Q539, "Price", ""), "AED", "")), "")</f>
        <v/>
      </c>
      <c r="S539" s="168" t="n"/>
      <c r="T539" s="183" t="n"/>
      <c r="U539" s="136" t="n"/>
      <c r="V539" s="136" t="n"/>
      <c r="W539" s="156">
        <f>IF(Z539 = "",
"",
TEXT(Z539, "mmmm"))</f>
        <v/>
      </c>
      <c r="X539" s="157" t="n"/>
      <c r="Y539" s="158" t="n"/>
      <c r="Z539" s="158" t="n"/>
      <c r="AA539" s="136">
        <f>IF(H539="", "", IF(U539="Open Sale", IF(TODAY()-H539=0, "0 Days", TEXT(TODAY()-H539, "0") &amp; " Days"), IF(U539="Closed Sale", AA539, "")))</f>
        <v/>
      </c>
      <c r="AB539" s="136">
        <f>IF(H539="", "", IF(OR(U539="Pending", U539="Pending Allocation"), CONCATENATE(TODAY()-H539, " Days"), IF(U539="Closed", "", "")))</f>
        <v/>
      </c>
      <c r="AC539" s="160">
        <f>IF(U539="Pending Allocation", IF(I539="", "", TODAY()-I539), "")</f>
        <v/>
      </c>
      <c r="AD539" s="159">
        <f>IF(U539="Open Sale", TEXT(TODAY()-I539, "0"),
IF(U539="Pending", "",
IF(U539="Closed Sale", "", "")))</f>
        <v/>
      </c>
      <c r="AE539" s="161" t="n"/>
      <c r="AF539" s="161" t="n"/>
      <c r="AG539" s="161" t="n"/>
      <c r="AH539" s="136" t="n"/>
      <c r="AI539" s="164">
        <f>IF(I539="","",TEXT(I539, "mmmm yyyy"))</f>
        <v/>
      </c>
      <c r="AJ539" s="164">
        <f>IF(AND(OpenPendingCases[[#This Row],[Sale Status	]]="Open Sale",OpenPendingCases[[#This Row],[Potential Same Month]]="High"),TEXT(OpenPendingCases[[#This Row],[Request Entry Date]], "[$-en-us]mmmm"),"")</f>
        <v/>
      </c>
      <c r="AK539" s="165">
        <f>IFERROR(VALUE(SUBSTITUTE(OpenPendingCases[[#This Row],[Price]]," AED","")),"")</f>
        <v/>
      </c>
      <c r="AL539" s="165">
        <f>IFERROR(VALUE(LEFT(OpenPendingCases[[#This Row],[Price]],FIND(" ",OpenPendingCases[[#This Row],[Price]])-1)),"")</f>
        <v/>
      </c>
      <c r="AM539" s="165">
        <f>IFERROR(VALUE(_xlfn.TEXTBEFORE(OpenPendingCases[[#This Row],[Price]]," AED")),"")</f>
        <v/>
      </c>
      <c r="AN539" s="165" t="n"/>
    </row>
    <row r="540" hidden="1" ht="18" customHeight="1" s="287">
      <c r="C540" s="135" t="n"/>
      <c r="D540" s="137">
        <f>IF($U22="Open", IF(MAX($D$4:D539)+1=0, "", MAX($D$4:D539)+1), "")</f>
        <v/>
      </c>
      <c r="E540" s="137">
        <f>IF($U22="Pending Allocation", IF(MAX($E$4:E539)+1=0, "", MAX($E$4:E539)+1), "")</f>
        <v/>
      </c>
      <c r="F540" s="136" t="n"/>
      <c r="G540" s="136" t="n"/>
      <c r="H540" s="150" t="n"/>
      <c r="I540" s="150" t="n"/>
      <c r="J540" s="151" t="n"/>
      <c r="K540" s="136">
        <f>IF(OpenPendingCases[[#This Row],[Timepiece Reference ]]="", "", IF(_xlfn.XLOOKUP(OpenPendingCases[[#This Row],[Timepiece Reference ]], Table1[[Timepiece Reference ]], Table1[CRC STOCK], "Not Found")="YES", "CRC Stock", "Boutique Stock"))</f>
        <v/>
      </c>
      <c r="L540" s="142" t="n"/>
      <c r="M540" s="140" t="n"/>
      <c r="N540" s="136" t="n"/>
      <c r="O540" s="133" t="n"/>
      <c r="P540" s="93" t="n"/>
      <c r="Q540" s="184" t="n"/>
      <c r="R540" s="153" t="n"/>
      <c r="S540" s="168" t="n"/>
      <c r="T540" s="183" t="n"/>
      <c r="U540" s="136" t="n"/>
      <c r="V540" s="136" t="n"/>
      <c r="W540" s="167" t="n"/>
      <c r="X540" s="157" t="n"/>
      <c r="Y540" s="158" t="n"/>
      <c r="Z540" s="158" t="n"/>
      <c r="AA540" s="136" t="n"/>
      <c r="AB540" s="136" t="n"/>
      <c r="AC540" s="160" t="n"/>
      <c r="AD540" s="159" t="n"/>
      <c r="AE540" s="161" t="n"/>
      <c r="AF540" s="178" t="n"/>
      <c r="AG540" s="178" t="n"/>
      <c r="AH540" s="137" t="n"/>
      <c r="AI540" s="164">
        <f>IF(I540="","",TEXT(I540, "mmmm yyyy"))</f>
        <v/>
      </c>
      <c r="AJ540" s="164">
        <f>IF(AND(OpenPendingCases[[#This Row],[Sale Status	]]="Open Sale",OpenPendingCases[[#This Row],[Potential Same Month]]="High"),TEXT(OpenPendingCases[[#This Row],[Request Entry Date]], "[$-en-us]mmmm"),"")</f>
        <v/>
      </c>
      <c r="AK540" s="165">
        <f>IFERROR(VALUE(SUBSTITUTE(OpenPendingCases[[#This Row],[Price]]," AED","")),"")</f>
        <v/>
      </c>
      <c r="AL540" s="165">
        <f>IFERROR(VALUE(LEFT(OpenPendingCases[[#This Row],[Price]],FIND(" ",OpenPendingCases[[#This Row],[Price]])-1)),"")</f>
        <v/>
      </c>
      <c r="AM540" s="165">
        <f>IFERROR(VALUE(_xlfn.TEXTBEFORE(OpenPendingCases[[#This Row],[Price]]," AED")),"")</f>
        <v/>
      </c>
      <c r="AN540" s="165" t="n"/>
    </row>
    <row r="541" hidden="1" ht="18" customHeight="1" s="287">
      <c r="C541" s="135" t="n"/>
      <c r="D541" s="137">
        <f>IF($U541="Open", IF(MAX($D$4:D540)+1=0, "", MAX($D$4:D540)+1), "")</f>
        <v/>
      </c>
      <c r="E541" s="137">
        <f>IF($U541="Pending Allocation", IF(MAX($E$4:E540)+1=0, "", MAX($E$4:E540)+1), "")</f>
        <v/>
      </c>
      <c r="F541" s="133" t="n"/>
      <c r="G541" s="137" t="n"/>
      <c r="H541" s="171" t="n"/>
      <c r="I541" s="150" t="n"/>
      <c r="J541" s="172" t="n"/>
      <c r="K541" s="137">
        <f>IF(OpenPendingCases[[#This Row],[Timepiece Reference ]]="", "", IF(_xlfn.XLOOKUP(OpenPendingCases[[#This Row],[Timepiece Reference ]], Table1[[Timepiece Reference ]], Table1[CRC STOCK], "Not Found")="YES", "CRC Stock", "Boutique Stock"))</f>
        <v/>
      </c>
      <c r="L541" s="142" t="n"/>
      <c r="M541" s="141" t="n"/>
      <c r="N541" s="136" t="n"/>
      <c r="O541" s="133" t="n"/>
      <c r="P541" s="94" t="n"/>
      <c r="Q541" s="152" t="n"/>
      <c r="R541" s="173" t="n"/>
      <c r="S541" s="174" t="n"/>
      <c r="T541" s="185" t="n"/>
      <c r="U541" s="136" t="n"/>
      <c r="V541" s="137" t="n"/>
      <c r="W541" s="186" t="n"/>
      <c r="X541" s="157" t="n"/>
      <c r="Y541" s="175" t="n"/>
      <c r="Z541" s="175" t="n"/>
      <c r="AA541" s="137" t="n"/>
      <c r="AB541" s="137" t="n"/>
      <c r="AC541" s="176" t="n"/>
      <c r="AD541" s="177" t="n"/>
      <c r="AE541" s="178" t="n"/>
      <c r="AF541" s="178" t="n"/>
      <c r="AG541" s="178" t="n"/>
      <c r="AH541" s="137" t="n"/>
      <c r="AI541" s="164">
        <f>IF(I541="","",TEXT(I541, "mmmm yyyy"))</f>
        <v/>
      </c>
      <c r="AJ541" s="164">
        <f>IF(AND(OpenPendingCases[[#This Row],[Sale Status	]]="Open Sale",OpenPendingCases[[#This Row],[Potential Same Month]]="High"),TEXT(OpenPendingCases[[#This Row],[Request Entry Date]], "[$-en-us]mmmm"),"")</f>
        <v/>
      </c>
      <c r="AK541" s="165">
        <f>IFERROR(VALUE(SUBSTITUTE(OpenPendingCases[[#This Row],[Price]]," AED","")),"")</f>
        <v/>
      </c>
      <c r="AL541" s="165">
        <f>IFERROR(VALUE(LEFT(OpenPendingCases[[#This Row],[Price]],FIND(" ",OpenPendingCases[[#This Row],[Price]])-1)),"")</f>
        <v/>
      </c>
      <c r="AM541" s="165">
        <f>IFERROR(VALUE(_xlfn.TEXTBEFORE(OpenPendingCases[[#This Row],[Price]]," AED")),"")</f>
        <v/>
      </c>
      <c r="AN541" s="165" t="n"/>
    </row>
    <row r="542" hidden="1" ht="18" customHeight="1" s="287">
      <c r="C542" s="135" t="n"/>
      <c r="D542" s="137">
        <f>IF($U542="Open", IF(MAX($D$4:D541)+1=0, "", MAX($D$4:D541)+1), "")</f>
        <v/>
      </c>
      <c r="E542" s="137">
        <f>IF($U542="Pending Allocation", IF(MAX($E$4:E541)+1=0, "", MAX($E$4:E541)+1), "")</f>
        <v/>
      </c>
      <c r="F542" s="137" t="n"/>
      <c r="G542" s="137" t="n"/>
      <c r="H542" s="171" t="n"/>
      <c r="I542" s="171" t="n"/>
      <c r="J542" s="172">
        <f>IF(OpenPendingCases[[#This Row],[Timepiece Reference ]]="", "", IF(_xlfn.XLOOKUP(OpenPendingCases[[#This Row],[Timepiece Reference ]], Table1[[Timepiece Reference ]], Table1[CRC STOCK], "Not Found")="YES", "CRC Stock", "Boutique Stock"))</f>
        <v/>
      </c>
      <c r="K542" s="137">
        <f>IF(OpenPendingCases[[#This Row],[Timepiece Reference ]]="", "", IF(_xlfn.XLOOKUP(OpenPendingCases[[#This Row],[Timepiece Reference ]], Table1[[Timepiece Reference ]], Table1[CRC STOCK], "Not Found")="YES", "CRC Stock", "Boutique Stock"))</f>
        <v/>
      </c>
      <c r="L542" s="145" t="n"/>
      <c r="M542" s="141" t="n"/>
      <c r="N542" s="137" t="n"/>
      <c r="O542" s="135" t="n"/>
      <c r="P542" s="94">
        <f>IFERROR(VLOOKUP(TRIM(O542), Collection!$B$2:$D$1001, 2, FALSE), "")</f>
        <v/>
      </c>
      <c r="Q542" s="187">
        <f>IFERROR(VLOOKUP(TRIM(O542), Collection!$B$2:$D$1001, 3, FALSE), "")</f>
        <v/>
      </c>
      <c r="R542" s="173">
        <f>IFERROR(VALUE(SUBSTITUTE(SUBSTITUTE(Q542, "Price", ""), "AED", "")), "")</f>
        <v/>
      </c>
      <c r="S542" s="174" t="n"/>
      <c r="T542" s="185" t="n"/>
      <c r="U542" s="137" t="n"/>
      <c r="V542" s="137" t="n"/>
      <c r="W542" s="186">
        <f>IF(Z542 = "",
     "",
     TEXT(Z542, "mmmm"))</f>
        <v/>
      </c>
      <c r="X542" s="188" t="n"/>
      <c r="Y542" s="175" t="n"/>
      <c r="Z542" s="175" t="n"/>
      <c r="AA542" s="137">
        <f>IF(H542="", "", IF(U542="Open Sale", IF(TODAY()-H542=0, "0 Days", TEXT(TODAY()-H542, "0") &amp; " Days"), IF(U542="Closed Sale", AA542, "")))</f>
        <v/>
      </c>
      <c r="AB542" s="137">
        <f>IF(H542="", "", IF(OR(U542="Pending", U542="Pending Allocation"), CONCATENATE(TODAY()-H542, " Days"), IF(U542="Closed", "", "")))</f>
        <v/>
      </c>
      <c r="AC542" s="176">
        <f>IF(U542="Pending Allocation", IF(I542="", "", TODAY()-I542), "")</f>
        <v/>
      </c>
      <c r="AD542" s="177">
        <f>IF(U542="Open Sale", TEXT(TODAY()-I542, "0"),
   IF(U542="Pending", "",
      IF(U542="Closed Sale", "", "")))</f>
        <v/>
      </c>
      <c r="AE542" s="178" t="n"/>
      <c r="AF542" s="178" t="n"/>
      <c r="AG542" s="178" t="n"/>
      <c r="AH542" s="137" t="n"/>
      <c r="AI542" s="164">
        <f>IF(I542="","",TEXT(I542, "mmmm yyyy"))</f>
        <v/>
      </c>
      <c r="AJ542" s="164">
        <f>IF(AND(OpenPendingCases[[#This Row],[Sale Status	]]="Open Sale",OpenPendingCases[[#This Row],[Potential Same Month]]="High"),TEXT(OpenPendingCases[[#This Row],[Request Entry Date]], "[$-en-us]mmmm"),"")</f>
        <v/>
      </c>
      <c r="AK542" s="165">
        <f>IFERROR(VALUE(SUBSTITUTE(OpenPendingCases[[#This Row],[Price]]," AED","")),"")</f>
        <v/>
      </c>
      <c r="AL542" s="165">
        <f>IFERROR(VALUE(LEFT(OpenPendingCases[[#This Row],[Price]],FIND(" ",OpenPendingCases[[#This Row],[Price]])-1)),"")</f>
        <v/>
      </c>
      <c r="AM542" s="165">
        <f>IFERROR(VALUE(_xlfn.TEXTBEFORE(OpenPendingCases[[#This Row],[Price]]," AED")),"")</f>
        <v/>
      </c>
      <c r="AN542" s="165" t="n"/>
    </row>
    <row r="543" hidden="1" ht="18" customHeight="1" s="287">
      <c r="C543" s="135" t="n"/>
      <c r="D543" s="137">
        <f>IF($U543="Open", IF(MAX($D$4:D542)+1=0, "", MAX($D$4:D542)+1), "")</f>
        <v/>
      </c>
      <c r="E543" s="137">
        <f>IF($U543="Pending Allocation", IF(MAX($E$4:E542)+1=0, "", MAX($E$4:E542)+1), "")</f>
        <v/>
      </c>
      <c r="F543" s="137" t="n"/>
      <c r="G543" s="137" t="n"/>
      <c r="H543" s="171" t="n"/>
      <c r="I543" s="171" t="n"/>
      <c r="J543" s="172">
        <f>IF(OpenPendingCases[[#This Row],[Timepiece Reference ]]="", "", IF(_xlfn.XLOOKUP(OpenPendingCases[[#This Row],[Timepiece Reference ]], Table1[[Timepiece Reference ]], Table1[CRC STOCK], "Not Found")="YES", "CRC Stock", "Boutique Stock"))</f>
        <v/>
      </c>
      <c r="K543" s="137">
        <f>IF(OpenPendingCases[[#This Row],[Timepiece Reference ]]="", "", IF(_xlfn.XLOOKUP(OpenPendingCases[[#This Row],[Timepiece Reference ]], Table1[[Timepiece Reference ]], Table1[CRC STOCK], "Not Found")="YES", "CRC Stock", "Boutique Stock"))</f>
        <v/>
      </c>
      <c r="L543" s="145" t="n"/>
      <c r="M543" s="141" t="n"/>
      <c r="N543" s="137" t="n"/>
      <c r="O543" s="135" t="n"/>
      <c r="P543" s="137">
        <f>IFERROR(VLOOKUP(TRIM(O543), Collection!$B$2:$D$1001, 2, FALSE), "")</f>
        <v/>
      </c>
      <c r="Q543" s="187">
        <f>IFERROR(VLOOKUP(TRIM(O543), Collection!$B$2:$D$1001, 3, FALSE), "")</f>
        <v/>
      </c>
      <c r="R543" s="173">
        <f>IFERROR(VALUE(SUBSTITUTE(SUBSTITUTE(Q543, "Price", ""), "AED", "")), "")</f>
        <v/>
      </c>
      <c r="S543" s="174" t="n"/>
      <c r="T543" s="185" t="n"/>
      <c r="U543" s="137" t="n"/>
      <c r="V543" s="137" t="n"/>
      <c r="W543" s="186">
        <f>IF(Z543 = "",
"",
TEXT(Z543, "mmmm"))</f>
        <v/>
      </c>
      <c r="X543" s="188" t="n"/>
      <c r="Y543" s="175" t="n"/>
      <c r="Z543" s="175" t="n"/>
      <c r="AA543" s="137">
        <f>IF(H543="", "", IF(U543="Open Sale", IF(TODAY()-H543=0, "0 Days", TEXT(TODAY()-H543, "0") &amp; " Days"), IF(U543="Closed Sale", AA543, "")))</f>
        <v/>
      </c>
      <c r="AB543" s="137">
        <f>IF(H543="", "", IF(OR(U543="Pending", U543="Pending Allocation"), CONCATENATE(TODAY()-H543, " Days"), IF(U543="Closed", "", "")))</f>
        <v/>
      </c>
      <c r="AC543" s="176">
        <f>IF(U543="Pending Allocation", IF(I543="", "", TODAY()-I543), "")</f>
        <v/>
      </c>
      <c r="AD543" s="177">
        <f>IF(U543="Open Sale", TEXT(TODAY()-I543, "0"),
IF(U543="Pending", "",
IF(U543="Closed Sale", "", "")))</f>
        <v/>
      </c>
      <c r="AE543" s="178" t="n"/>
      <c r="AF543" s="178" t="n"/>
      <c r="AG543" s="178" t="n"/>
      <c r="AH543" s="137" t="n"/>
      <c r="AI543" s="164">
        <f>IF(I543="","",TEXT(I543, "mmmm yyyy"))</f>
        <v/>
      </c>
      <c r="AJ543" s="164">
        <f>IF(AND(OpenPendingCases[[#This Row],[Sale Status	]]="Open Sale",OpenPendingCases[[#This Row],[Potential Same Month]]="High"),TEXT(OpenPendingCases[[#This Row],[Request Entry Date]], "[$-en-us]mmmm"),"")</f>
        <v/>
      </c>
      <c r="AK543" s="165">
        <f>IFERROR(VALUE(SUBSTITUTE(OpenPendingCases[[#This Row],[Price]]," AED","")),"")</f>
        <v/>
      </c>
      <c r="AL543" s="165">
        <f>IFERROR(VALUE(LEFT(OpenPendingCases[[#This Row],[Price]],FIND(" ",OpenPendingCases[[#This Row],[Price]])-1)),"")</f>
        <v/>
      </c>
      <c r="AM543" s="165">
        <f>IFERROR(VALUE(_xlfn.TEXTBEFORE(OpenPendingCases[[#This Row],[Price]]," AED")),"")</f>
        <v/>
      </c>
      <c r="AN543" s="165" t="n"/>
    </row>
    <row r="544" hidden="1" ht="18" customHeight="1" s="287">
      <c r="C544" s="135" t="n"/>
      <c r="D544" s="137">
        <f>IF($U544="Open", IF(MAX($D$4:D543)+1=0, "", MAX($D$4:D543)+1), "")</f>
        <v/>
      </c>
      <c r="E544" s="137">
        <f>IF($U544="Pending Allocation", IF(MAX($E$4:E543)+1=0, "", MAX($E$4:E543)+1), "")</f>
        <v/>
      </c>
      <c r="F544" s="137" t="n"/>
      <c r="G544" s="137" t="n"/>
      <c r="H544" s="171" t="n"/>
      <c r="I544" s="171" t="n"/>
      <c r="J544" s="172">
        <f>IF(OpenPendingCases[[#This Row],[Timepiece Reference ]]="", "", IF(_xlfn.XLOOKUP(OpenPendingCases[[#This Row],[Timepiece Reference ]], Table1[[Timepiece Reference ]], Table1[CRC STOCK], "Not Found")="YES", "CRC Stock", "Boutique Stock"))</f>
        <v/>
      </c>
      <c r="K544" s="137">
        <f>IF(OpenPendingCases[[#This Row],[Timepiece Reference ]]="", "", IF(_xlfn.XLOOKUP(OpenPendingCases[[#This Row],[Timepiece Reference ]], Table1[[Timepiece Reference ]], Table1[CRC STOCK], "Not Found")="YES", "CRC Stock", "Boutique Stock"))</f>
        <v/>
      </c>
      <c r="L544" s="145" t="n"/>
      <c r="M544" s="141" t="n"/>
      <c r="N544" s="137" t="n"/>
      <c r="O544" s="135" t="n"/>
      <c r="P544" s="137">
        <f>IFERROR(VLOOKUP(TRIM(O544), Collection!$B$2:$D$1001, 2, FALSE), "")</f>
        <v/>
      </c>
      <c r="Q544" s="187">
        <f>IFERROR(VLOOKUP(TRIM(O544), Collection!$B$2:$D$1001, 3, FALSE), "")</f>
        <v/>
      </c>
      <c r="R544" s="173">
        <f>IFERROR(VALUE(SUBSTITUTE(SUBSTITUTE(Q544, "Price", ""), "AED", "")), "")</f>
        <v/>
      </c>
      <c r="S544" s="174" t="n"/>
      <c r="T544" s="185" t="n"/>
      <c r="U544" s="137" t="n"/>
      <c r="V544" s="137" t="n"/>
      <c r="W544" s="186">
        <f>IF(Z544 = "",
"",
TEXT(Z544, "mmmm"))</f>
        <v/>
      </c>
      <c r="X544" s="188" t="n"/>
      <c r="Y544" s="175" t="n"/>
      <c r="Z544" s="175" t="n"/>
      <c r="AA544" s="137">
        <f>IF(H544="", "", IF(U544="Open Sale", IF(TODAY()-H544=0, "0 Days", TEXT(TODAY()-H544, "0") &amp; " Days"), IF(U544="Closed Sale", AA544, "")))</f>
        <v/>
      </c>
      <c r="AB544" s="137">
        <f>IF(H544="", "", IF(OR(U544="Pending", U544="Pending Allocation"), CONCATENATE(TODAY()-H544, " Days"), IF(U544="Closed", "", "")))</f>
        <v/>
      </c>
      <c r="AC544" s="176">
        <f>IF(U544="Pending Allocation", IF(I544="", "", TODAY()-I544), "")</f>
        <v/>
      </c>
      <c r="AD544" s="177">
        <f>IF(U544="Open Sale", TEXT(TODAY()-I544, "0"),
IF(U544="Pending", "",
IF(U544="Closed Sale", "", "")))</f>
        <v/>
      </c>
      <c r="AE544" s="178" t="n"/>
      <c r="AF544" s="178" t="n"/>
      <c r="AG544" s="178" t="n"/>
      <c r="AH544" s="137" t="n"/>
      <c r="AI544" s="164">
        <f>IF(I544="","",TEXT(I544, "mmmm yyyy"))</f>
        <v/>
      </c>
      <c r="AJ544" s="164">
        <f>IF(AND(OpenPendingCases[[#This Row],[Sale Status	]]="Open Sale",OpenPendingCases[[#This Row],[Potential Same Month]]="High"),TEXT(OpenPendingCases[[#This Row],[Request Entry Date]], "[$-en-us]mmmm"),"")</f>
        <v/>
      </c>
      <c r="AK544" s="165">
        <f>IFERROR(VALUE(SUBSTITUTE(OpenPendingCases[[#This Row],[Price]]," AED","")),"")</f>
        <v/>
      </c>
      <c r="AL544" s="165">
        <f>IFERROR(VALUE(LEFT(OpenPendingCases[[#This Row],[Price]],FIND(" ",OpenPendingCases[[#This Row],[Price]])-1)),"")</f>
        <v/>
      </c>
      <c r="AM544" s="165">
        <f>IFERROR(VALUE(_xlfn.TEXTBEFORE(OpenPendingCases[[#This Row],[Price]]," AED")),"")</f>
        <v/>
      </c>
      <c r="AN544" s="165" t="n"/>
    </row>
    <row r="545" hidden="1" ht="18" customHeight="1" s="287">
      <c r="C545" s="135" t="n"/>
      <c r="D545" s="137">
        <f>IF($U545="Open", IF(MAX($D$4:D544)+1=0, "", MAX($D$4:D544)+1), "")</f>
        <v/>
      </c>
      <c r="E545" s="137">
        <f>IF($U545="Pending Allocation", IF(MAX($E$4:E544)+1=0, "", MAX($E$4:E544)+1), "")</f>
        <v/>
      </c>
      <c r="F545" s="137" t="n"/>
      <c r="G545" s="137" t="n"/>
      <c r="H545" s="171" t="n"/>
      <c r="I545" s="171" t="n"/>
      <c r="J545" s="172">
        <f>IF(OpenPendingCases[[#This Row],[Timepiece Reference ]]="", "", IF(_xlfn.XLOOKUP(OpenPendingCases[[#This Row],[Timepiece Reference ]], Table1[[Timepiece Reference ]], Table1[CRC STOCK], "Not Found")="YES", "CRC Stock", "Boutique Stock"))</f>
        <v/>
      </c>
      <c r="K545" s="137">
        <f>IF(OpenPendingCases[[#This Row],[Timepiece Reference ]]="", "", IF(_xlfn.XLOOKUP(OpenPendingCases[[#This Row],[Timepiece Reference ]], Table1[[Timepiece Reference ]], Table1[CRC STOCK], "Not Found")="YES", "CRC Stock", "Boutique Stock"))</f>
        <v/>
      </c>
      <c r="L545" s="145" t="n"/>
      <c r="M545" s="141" t="n"/>
      <c r="N545" s="137" t="n"/>
      <c r="O545" s="135" t="n"/>
      <c r="P545" s="137">
        <f>IFERROR(VLOOKUP(TRIM(O545), Collection!$B$2:$D$1001, 2, FALSE), "")</f>
        <v/>
      </c>
      <c r="Q545" s="187">
        <f>IFERROR(VLOOKUP(TRIM(O545), Collection!$B$2:$D$1001, 3, FALSE), "")</f>
        <v/>
      </c>
      <c r="R545" s="173">
        <f>IFERROR(VALUE(SUBSTITUTE(SUBSTITUTE(Q545, "Price", ""), "AED", "")), "")</f>
        <v/>
      </c>
      <c r="S545" s="174" t="n"/>
      <c r="T545" s="185" t="n"/>
      <c r="U545" s="137" t="n"/>
      <c r="V545" s="137" t="n"/>
      <c r="W545" s="186">
        <f>IF(Z545 = "",
"",
TEXT(Z545, "mmmm"))</f>
        <v/>
      </c>
      <c r="X545" s="188" t="n"/>
      <c r="Y545" s="175" t="n"/>
      <c r="Z545" s="175" t="n"/>
      <c r="AA545" s="137">
        <f>IF(H545="", "", IF(U545="Open Sale", IF(TODAY()-H545=0, "0 Days", TEXT(TODAY()-H545, "0") &amp; " Days"), IF(U545="Closed Sale", AA545, "")))</f>
        <v/>
      </c>
      <c r="AB545" s="137">
        <f>IF(H545="", "", IF(OR(U545="Pending", U545="Pending Allocation"), CONCATENATE(TODAY()-H545, " Days"), IF(U545="Closed", "", "")))</f>
        <v/>
      </c>
      <c r="AC545" s="176">
        <f>IF(U545="Pending Allocation", IF(I545="", "", TODAY()-I545), "")</f>
        <v/>
      </c>
      <c r="AD545" s="177">
        <f>IF(U545="Open Sale", TEXT(TODAY()-I545, "0"),
IF(U545="Pending", "",
IF(U545="Closed Sale", "", "")))</f>
        <v/>
      </c>
      <c r="AE545" s="178" t="n"/>
      <c r="AF545" s="178" t="n"/>
      <c r="AG545" s="178" t="n"/>
      <c r="AH545" s="137" t="n"/>
      <c r="AI545" s="164">
        <f>IF(I545="","",TEXT(I545, "mmmm yyyy"))</f>
        <v/>
      </c>
      <c r="AJ545" s="164">
        <f>IF(AND(OpenPendingCases[[#This Row],[Sale Status	]]="Open Sale",OpenPendingCases[[#This Row],[Potential Same Month]]="High"),TEXT(OpenPendingCases[[#This Row],[Request Entry Date]], "[$-en-us]mmmm"),"")</f>
        <v/>
      </c>
      <c r="AK545" s="165">
        <f>IFERROR(VALUE(SUBSTITUTE(OpenPendingCases[[#This Row],[Price]]," AED","")),"")</f>
        <v/>
      </c>
      <c r="AL545" s="165">
        <f>IFERROR(VALUE(LEFT(OpenPendingCases[[#This Row],[Price]],FIND(" ",OpenPendingCases[[#This Row],[Price]])-1)),"")</f>
        <v/>
      </c>
      <c r="AM545" s="165">
        <f>IFERROR(VALUE(_xlfn.TEXTBEFORE(OpenPendingCases[[#This Row],[Price]]," AED")),"")</f>
        <v/>
      </c>
      <c r="AN545" s="165" t="n"/>
    </row>
    <row r="546" hidden="1" ht="18" customHeight="1" s="287">
      <c r="C546" s="135" t="n"/>
      <c r="D546" s="137">
        <f>IF($U546="Open", IF(MAX($D$4:D545)+1=0, "", MAX($D$4:D545)+1), "")</f>
        <v/>
      </c>
      <c r="E546" s="137">
        <f>IF($U546="Pending Allocation", IF(MAX($E$4:E545)+1=0, "", MAX($E$4:E545)+1), "")</f>
        <v/>
      </c>
      <c r="F546" s="137" t="n"/>
      <c r="G546" s="137" t="n"/>
      <c r="H546" s="171" t="n"/>
      <c r="I546" s="171" t="n"/>
      <c r="J546" s="172">
        <f>IF(OpenPendingCases[[#This Row],[Timepiece Reference ]]="", "", IF(_xlfn.XLOOKUP(OpenPendingCases[[#This Row],[Timepiece Reference ]], Table1[[Timepiece Reference ]], Table1[CRC STOCK], "Not Found")="YES", "CRC Stock", "Boutique Stock"))</f>
        <v/>
      </c>
      <c r="K546" s="137">
        <f>IF(OpenPendingCases[[#This Row],[Timepiece Reference ]]="", "", IF(_xlfn.XLOOKUP(OpenPendingCases[[#This Row],[Timepiece Reference ]], Table1[[Timepiece Reference ]], Table1[CRC STOCK], "Not Found")="YES", "CRC Stock", "Boutique Stock"))</f>
        <v/>
      </c>
      <c r="L546" s="145" t="n"/>
      <c r="M546" s="141" t="n"/>
      <c r="N546" s="137" t="n"/>
      <c r="O546" s="135" t="n"/>
      <c r="P546" s="137">
        <f>IFERROR(VLOOKUP(TRIM(O546), Collection!$B$2:$D$1001, 2, FALSE), "")</f>
        <v/>
      </c>
      <c r="Q546" s="187">
        <f>IFERROR(VLOOKUP(TRIM(O546), Collection!$B$2:$D$1001, 3, FALSE), "")</f>
        <v/>
      </c>
      <c r="R546" s="173">
        <f>IFERROR(VALUE(SUBSTITUTE(SUBSTITUTE(Q546, "Price", ""), "AED", "")), "")</f>
        <v/>
      </c>
      <c r="S546" s="174" t="n"/>
      <c r="T546" s="185" t="n"/>
      <c r="U546" s="137" t="n"/>
      <c r="V546" s="137" t="n"/>
      <c r="W546" s="186">
        <f>IF(Z546 = "",
"",
TEXT(Z546, "mmmm"))</f>
        <v/>
      </c>
      <c r="X546" s="188" t="n"/>
      <c r="Y546" s="175" t="n"/>
      <c r="Z546" s="175" t="n"/>
      <c r="AA546" s="137">
        <f>IF(H546="", "", IF(U546="Open Sale", IF(TODAY()-H546=0, "0 Days", TEXT(TODAY()-H546, "0") &amp; " Days"), IF(U546="Closed Sale", AA546, "")))</f>
        <v/>
      </c>
      <c r="AB546" s="137">
        <f>IF(H546="", "", IF(OR(U546="Pending", U546="Pending Allocation"), CONCATENATE(TODAY()-H546, " Days"), IF(U546="Closed", "", "")))</f>
        <v/>
      </c>
      <c r="AC546" s="176">
        <f>IF(U546="Pending Allocation", IF(I546="", "", TODAY()-I546), "")</f>
        <v/>
      </c>
      <c r="AD546" s="177">
        <f>IF(U546="Open Sale", TEXT(TODAY()-I546, "0"),
IF(U546="Pending", "",
IF(U546="Closed Sale", "", "")))</f>
        <v/>
      </c>
      <c r="AE546" s="178" t="n"/>
      <c r="AF546" s="178" t="n"/>
      <c r="AG546" s="178" t="n"/>
      <c r="AH546" s="137" t="n"/>
      <c r="AI546" s="164">
        <f>IF(I546="","",TEXT(I546, "mmmm yyyy"))</f>
        <v/>
      </c>
      <c r="AJ546" s="164">
        <f>IF(AND(OpenPendingCases[[#This Row],[Sale Status	]]="Open Sale",OpenPendingCases[[#This Row],[Potential Same Month]]="High"),TEXT(OpenPendingCases[[#This Row],[Request Entry Date]], "[$-en-us]mmmm"),"")</f>
        <v/>
      </c>
      <c r="AK546" s="165">
        <f>IFERROR(VALUE(SUBSTITUTE(OpenPendingCases[[#This Row],[Price]]," AED","")),"")</f>
        <v/>
      </c>
      <c r="AL546" s="165">
        <f>IFERROR(VALUE(LEFT(OpenPendingCases[[#This Row],[Price]],FIND(" ",OpenPendingCases[[#This Row],[Price]])-1)),"")</f>
        <v/>
      </c>
      <c r="AM546" s="165">
        <f>IFERROR(VALUE(_xlfn.TEXTBEFORE(OpenPendingCases[[#This Row],[Price]]," AED")),"")</f>
        <v/>
      </c>
      <c r="AN546" s="165" t="n"/>
    </row>
    <row r="547" hidden="1" ht="18" customHeight="1" s="287">
      <c r="C547" s="135" t="n"/>
      <c r="D547" s="137">
        <f>IF($U547="Open", IF(MAX($D$4:D546)+1=0, "", MAX($D$4:D546)+1), "")</f>
        <v/>
      </c>
      <c r="E547" s="137">
        <f>IF($U547="Pending Allocation", IF(MAX($E$4:E546)+1=0, "", MAX($E$4:E546)+1), "")</f>
        <v/>
      </c>
      <c r="F547" s="137" t="n"/>
      <c r="G547" s="137" t="n"/>
      <c r="H547" s="171" t="n"/>
      <c r="I547" s="171" t="n"/>
      <c r="J547" s="172">
        <f>IF(OpenPendingCases[[#This Row],[Timepiece Reference ]]="", "", IF(_xlfn.XLOOKUP(OpenPendingCases[[#This Row],[Timepiece Reference ]], Table1[[Timepiece Reference ]], Table1[CRC STOCK], "Not Found")="YES", "CRC Stock", "Boutique Stock"))</f>
        <v/>
      </c>
      <c r="K547" s="137">
        <f>IF(OpenPendingCases[[#This Row],[Timepiece Reference ]]="", "", IF(_xlfn.XLOOKUP(OpenPendingCases[[#This Row],[Timepiece Reference ]], Table1[[Timepiece Reference ]], Table1[CRC STOCK], "Not Found")="YES", "CRC Stock", "Boutique Stock"))</f>
        <v/>
      </c>
      <c r="L547" s="145" t="n"/>
      <c r="M547" s="141" t="n"/>
      <c r="N547" s="137" t="n"/>
      <c r="O547" s="135" t="n"/>
      <c r="P547" s="137">
        <f>IFERROR(VLOOKUP(TRIM(O547), Collection!$B$2:$D$1001, 2, FALSE), "")</f>
        <v/>
      </c>
      <c r="Q547" s="187">
        <f>IFERROR(VLOOKUP(TRIM(O547), Collection!$B$2:$D$1001, 3, FALSE), "")</f>
        <v/>
      </c>
      <c r="R547" s="173">
        <f>IFERROR(VALUE(SUBSTITUTE(SUBSTITUTE(Q547, "Price", ""), "AED", "")), "")</f>
        <v/>
      </c>
      <c r="S547" s="174" t="n"/>
      <c r="T547" s="185" t="n"/>
      <c r="U547" s="137" t="n"/>
      <c r="V547" s="137" t="n"/>
      <c r="W547" s="186">
        <f>IF(Z547 = "",
"",
TEXT(Z547, "mmmm"))</f>
        <v/>
      </c>
      <c r="X547" s="188" t="n"/>
      <c r="Y547" s="175" t="n"/>
      <c r="Z547" s="175" t="n"/>
      <c r="AA547" s="137">
        <f>IF(H547="", "", IF(U547="Open Sale", IF(TODAY()-H547=0, "0 Days", TEXT(TODAY()-H547, "0") &amp; " Days"), IF(U547="Closed Sale", AA547, "")))</f>
        <v/>
      </c>
      <c r="AB547" s="137">
        <f>IF(H547="", "", IF(OR(U547="Pending", U547="Pending Allocation"), CONCATENATE(TODAY()-H547, " Days"), IF(U547="Closed", "", "")))</f>
        <v/>
      </c>
      <c r="AC547" s="176">
        <f>IF(U547="Pending Allocation", IF(I547="", "", TODAY()-I547), "")</f>
        <v/>
      </c>
      <c r="AD547" s="177">
        <f>IF(U547="Open Sale", TEXT(TODAY()-I547, "0"),
IF(U547="Pending", "",
IF(U547="Closed Sale", "", "")))</f>
        <v/>
      </c>
      <c r="AE547" s="178" t="n"/>
      <c r="AF547" s="178" t="n"/>
      <c r="AG547" s="178" t="n"/>
      <c r="AH547" s="137" t="n"/>
      <c r="AI547" s="164">
        <f>IF(I547="","",TEXT(I547, "mmmm yyyy"))</f>
        <v/>
      </c>
      <c r="AJ547" s="164">
        <f>IF(AND(OpenPendingCases[[#This Row],[Sale Status	]]="Open Sale",OpenPendingCases[[#This Row],[Potential Same Month]]="High"),TEXT(OpenPendingCases[[#This Row],[Request Entry Date]], "[$-en-us]mmmm"),"")</f>
        <v/>
      </c>
      <c r="AK547" s="165">
        <f>IFERROR(VALUE(SUBSTITUTE(OpenPendingCases[[#This Row],[Price]]," AED","")),"")</f>
        <v/>
      </c>
      <c r="AL547" s="165">
        <f>IFERROR(VALUE(LEFT(OpenPendingCases[[#This Row],[Price]],FIND(" ",OpenPendingCases[[#This Row],[Price]])-1)),"")</f>
        <v/>
      </c>
      <c r="AM547" s="165">
        <f>IFERROR(VALUE(_xlfn.TEXTBEFORE(OpenPendingCases[[#This Row],[Price]]," AED")),"")</f>
        <v/>
      </c>
      <c r="AN547" s="165" t="n"/>
    </row>
    <row r="548" hidden="1" ht="18" customHeight="1" s="287">
      <c r="C548" s="135" t="n"/>
      <c r="D548" s="137">
        <f>IF($U548="Open", IF(MAX($D$4:D547)+1=0, "", MAX($D$4:D547)+1), "")</f>
        <v/>
      </c>
      <c r="E548" s="137">
        <f>IF($U548="Pending Allocation", IF(MAX($E$4:E547)+1=0, "", MAX($E$4:E547)+1), "")</f>
        <v/>
      </c>
      <c r="F548" s="137" t="n"/>
      <c r="G548" s="137" t="n"/>
      <c r="H548" s="171" t="n"/>
      <c r="I548" s="171" t="n"/>
      <c r="J548" s="172">
        <f>IF(OpenPendingCases[[#This Row],[Timepiece Reference ]]="", "", IF(_xlfn.XLOOKUP(OpenPendingCases[[#This Row],[Timepiece Reference ]], Table1[[Timepiece Reference ]], Table1[CRC STOCK], "Not Found")="YES", "CRC Stock", "Boutique Stock"))</f>
        <v/>
      </c>
      <c r="K548" s="137">
        <f>IF(OpenPendingCases[[#This Row],[Timepiece Reference ]]="", "", IF(_xlfn.XLOOKUP(OpenPendingCases[[#This Row],[Timepiece Reference ]], Table1[[Timepiece Reference ]], Table1[CRC STOCK], "Not Found")="YES", "CRC Stock", "Boutique Stock"))</f>
        <v/>
      </c>
      <c r="L548" s="145" t="n"/>
      <c r="M548" s="141" t="n"/>
      <c r="N548" s="137" t="n"/>
      <c r="O548" s="135" t="n"/>
      <c r="P548" s="137">
        <f>IFERROR(VLOOKUP(TRIM(O548), Collection!$B$2:$D$1001, 2, FALSE), "")</f>
        <v/>
      </c>
      <c r="Q548" s="187">
        <f>IFERROR(VLOOKUP(TRIM(O548), Collection!$B$2:$D$1001, 3, FALSE), "")</f>
        <v/>
      </c>
      <c r="R548" s="173">
        <f>IFERROR(VALUE(SUBSTITUTE(SUBSTITUTE(Q548, "Price", ""), "AED", "")), "")</f>
        <v/>
      </c>
      <c r="S548" s="174" t="n"/>
      <c r="T548" s="185" t="n"/>
      <c r="U548" s="137" t="n"/>
      <c r="V548" s="137" t="n"/>
      <c r="W548" s="186">
        <f>IF(Z548 = "",
"",
TEXT(Z548, "mmmm"))</f>
        <v/>
      </c>
      <c r="X548" s="188" t="n"/>
      <c r="Y548" s="175" t="n"/>
      <c r="Z548" s="175" t="n"/>
      <c r="AA548" s="137">
        <f>IF(H548="", "", IF(U548="Open Sale", IF(TODAY()-H548=0, "0 Days", TEXT(TODAY()-H548, "0") &amp; " Days"), IF(U548="Closed Sale", AA548, "")))</f>
        <v/>
      </c>
      <c r="AB548" s="137">
        <f>IF(H548="", "", IF(OR(U548="Pending", U548="Pending Allocation"), CONCATENATE(TODAY()-H548, " Days"), IF(U548="Closed", "", "")))</f>
        <v/>
      </c>
      <c r="AC548" s="176">
        <f>IF(U548="Pending Allocation", IF(I548="", "", TODAY()-I548), "")</f>
        <v/>
      </c>
      <c r="AD548" s="177">
        <f>IF(U548="Open Sale", TEXT(TODAY()-I548, "0"),
IF(U548="Pending", "",
IF(U548="Closed Sale", "", "")))</f>
        <v/>
      </c>
      <c r="AE548" s="178" t="n"/>
      <c r="AF548" s="178" t="n"/>
      <c r="AG548" s="178" t="n"/>
      <c r="AH548" s="137" t="n"/>
      <c r="AI548" s="164">
        <f>IF(I548="","",TEXT(I548, "mmmm yyyy"))</f>
        <v/>
      </c>
      <c r="AJ548" s="164">
        <f>IF(AND(OpenPendingCases[[#This Row],[Sale Status	]]="Open Sale",OpenPendingCases[[#This Row],[Potential Same Month]]="High"),TEXT(OpenPendingCases[[#This Row],[Request Entry Date]], "[$-en-us]mmmm"),"")</f>
        <v/>
      </c>
      <c r="AK548" s="165">
        <f>IFERROR(VALUE(SUBSTITUTE(OpenPendingCases[[#This Row],[Price]]," AED","")),"")</f>
        <v/>
      </c>
      <c r="AL548" s="165">
        <f>IFERROR(VALUE(LEFT(OpenPendingCases[[#This Row],[Price]],FIND(" ",OpenPendingCases[[#This Row],[Price]])-1)),"")</f>
        <v/>
      </c>
      <c r="AM548" s="165">
        <f>IFERROR(VALUE(_xlfn.TEXTBEFORE(OpenPendingCases[[#This Row],[Price]]," AED")),"")</f>
        <v/>
      </c>
      <c r="AN548" s="165" t="n"/>
    </row>
    <row r="549" hidden="1" ht="18" customHeight="1" s="287">
      <c r="C549" s="135" t="n"/>
      <c r="D549" s="137">
        <f>IF($U549="Open", IF(MAX($D$4:D548)+1=0, "", MAX($D$4:D548)+1), "")</f>
        <v/>
      </c>
      <c r="E549" s="137">
        <f>IF($U549="Pending Allocation", IF(MAX($E$4:E548)+1=0, "", MAX($E$4:E548)+1), "")</f>
        <v/>
      </c>
      <c r="F549" s="137" t="n"/>
      <c r="G549" s="137" t="n"/>
      <c r="H549" s="171" t="n"/>
      <c r="I549" s="171" t="n"/>
      <c r="J549" s="172">
        <f>IF(OpenPendingCases[[#This Row],[Timepiece Reference ]]="", "", IF(_xlfn.XLOOKUP(OpenPendingCases[[#This Row],[Timepiece Reference ]], Table1[[Timepiece Reference ]], Table1[CRC STOCK], "Not Found")="YES", "CRC Stock", "Boutique Stock"))</f>
        <v/>
      </c>
      <c r="K549" s="137">
        <f>IF(OpenPendingCases[[#This Row],[Timepiece Reference ]]="", "", IF(_xlfn.XLOOKUP(OpenPendingCases[[#This Row],[Timepiece Reference ]], Table1[[Timepiece Reference ]], Table1[CRC STOCK], "Not Found")="YES", "CRC Stock", "Boutique Stock"))</f>
        <v/>
      </c>
      <c r="L549" s="145" t="n"/>
      <c r="M549" s="141" t="n"/>
      <c r="N549" s="137" t="n"/>
      <c r="O549" s="135" t="n"/>
      <c r="P549" s="137">
        <f>IFERROR(VLOOKUP(TRIM(O549), Collection!$B$2:$D$1001, 2, FALSE), "")</f>
        <v/>
      </c>
      <c r="Q549" s="187">
        <f>IFERROR(VLOOKUP(TRIM(O549), Collection!$B$2:$D$1001, 3, FALSE), "")</f>
        <v/>
      </c>
      <c r="R549" s="173">
        <f>IFERROR(VALUE(SUBSTITUTE(SUBSTITUTE(Q549, "Price", ""), "AED", "")), "")</f>
        <v/>
      </c>
      <c r="S549" s="174" t="n"/>
      <c r="T549" s="185" t="n"/>
      <c r="U549" s="137" t="n"/>
      <c r="V549" s="137" t="n"/>
      <c r="W549" s="186">
        <f>IF(Z549 = "",
"",
TEXT(Z549, "mmmm"))</f>
        <v/>
      </c>
      <c r="X549" s="188" t="n"/>
      <c r="Y549" s="175" t="n"/>
      <c r="Z549" s="175" t="n"/>
      <c r="AA549" s="137">
        <f>IF(H549="", "", IF(U549="Open Sale", IF(TODAY()-H549=0, "0 Days", TEXT(TODAY()-H549, "0") &amp; " Days"), IF(U549="Closed Sale", AA549, "")))</f>
        <v/>
      </c>
      <c r="AB549" s="137">
        <f>IF(H549="", "", IF(OR(U549="Pending", U549="Pending Allocation"), CONCATENATE(TODAY()-H549, " Days"), IF(U549="Closed", "", "")))</f>
        <v/>
      </c>
      <c r="AC549" s="176">
        <f>IF(U549="Pending Allocation", IF(I549="", "", TODAY()-I549), "")</f>
        <v/>
      </c>
      <c r="AD549" s="177">
        <f>IF(U549="Open Sale", TEXT(TODAY()-I549, "0"),
IF(U549="Pending", "",
IF(U549="Closed Sale", "", "")))</f>
        <v/>
      </c>
      <c r="AE549" s="178" t="n"/>
      <c r="AF549" s="178" t="n"/>
      <c r="AG549" s="178" t="n"/>
      <c r="AH549" s="137" t="n"/>
      <c r="AI549" s="164">
        <f>IF(I549="","",TEXT(I549, "mmmm yyyy"))</f>
        <v/>
      </c>
      <c r="AJ549" s="164">
        <f>IF(AND(OpenPendingCases[[#This Row],[Sale Status	]]="Open Sale",OpenPendingCases[[#This Row],[Potential Same Month]]="High"),TEXT(OpenPendingCases[[#This Row],[Request Entry Date]], "[$-en-us]mmmm"),"")</f>
        <v/>
      </c>
      <c r="AK549" s="165">
        <f>IFERROR(VALUE(SUBSTITUTE(OpenPendingCases[[#This Row],[Price]]," AED","")),"")</f>
        <v/>
      </c>
      <c r="AL549" s="165">
        <f>IFERROR(VALUE(LEFT(OpenPendingCases[[#This Row],[Price]],FIND(" ",OpenPendingCases[[#This Row],[Price]])-1)),"")</f>
        <v/>
      </c>
      <c r="AM549" s="165">
        <f>IFERROR(VALUE(_xlfn.TEXTBEFORE(OpenPendingCases[[#This Row],[Price]]," AED")),"")</f>
        <v/>
      </c>
      <c r="AN549" s="165" t="n"/>
    </row>
    <row r="550" hidden="1" ht="18" customHeight="1" s="287">
      <c r="C550" s="135" t="n"/>
      <c r="D550" s="137">
        <f>IF($U550="Open", IF(MAX($D$4:D549)+1=0, "", MAX($D$4:D549)+1), "")</f>
        <v/>
      </c>
      <c r="E550" s="137">
        <f>IF($U550="Pending Allocation", IF(MAX($E$4:E549)+1=0, "", MAX($E$4:E549)+1), "")</f>
        <v/>
      </c>
      <c r="F550" s="137" t="n"/>
      <c r="G550" s="137" t="n"/>
      <c r="H550" s="171" t="n"/>
      <c r="I550" s="171" t="n"/>
      <c r="J550" s="172">
        <f>IF(OpenPendingCases[[#This Row],[Timepiece Reference ]]="", "", IF(_xlfn.XLOOKUP(OpenPendingCases[[#This Row],[Timepiece Reference ]], Table1[[Timepiece Reference ]], Table1[CRC STOCK], "Not Found")="YES", "CRC Stock", "Boutique Stock"))</f>
        <v/>
      </c>
      <c r="K550" s="137">
        <f>IF(OpenPendingCases[[#This Row],[Timepiece Reference ]]="", "", IF(_xlfn.XLOOKUP(OpenPendingCases[[#This Row],[Timepiece Reference ]], Table1[[Timepiece Reference ]], Table1[CRC STOCK], "Not Found")="YES", "CRC Stock", "Boutique Stock"))</f>
        <v/>
      </c>
      <c r="L550" s="145" t="n"/>
      <c r="M550" s="141" t="n"/>
      <c r="N550" s="137" t="n"/>
      <c r="O550" s="135" t="n"/>
      <c r="P550" s="137">
        <f>IFERROR(VLOOKUP(TRIM(O550), Collection!$B$2:$D$1001, 2, FALSE), "")</f>
        <v/>
      </c>
      <c r="Q550" s="187">
        <f>IFERROR(VLOOKUP(TRIM(O550), Collection!$B$2:$D$1001, 3, FALSE), "")</f>
        <v/>
      </c>
      <c r="R550" s="173">
        <f>IFERROR(VALUE(SUBSTITUTE(SUBSTITUTE(Q550, "Price", ""), "AED", "")), "")</f>
        <v/>
      </c>
      <c r="S550" s="174" t="n"/>
      <c r="T550" s="185" t="n"/>
      <c r="U550" s="137" t="n"/>
      <c r="V550" s="137" t="n"/>
      <c r="W550" s="186">
        <f>IF(Z550 = "",
"",
TEXT(Z550, "mmmm"))</f>
        <v/>
      </c>
      <c r="X550" s="188" t="n"/>
      <c r="Y550" s="175" t="n"/>
      <c r="Z550" s="175" t="n"/>
      <c r="AA550" s="137">
        <f>IF(H550="", "", IF(U550="Open Sale", IF(TODAY()-H550=0, "0 Days", TEXT(TODAY()-H550, "0") &amp; " Days"), IF(U550="Closed Sale", AA550, "")))</f>
        <v/>
      </c>
      <c r="AB550" s="137">
        <f>IF(H550="", "", IF(OR(U550="Pending", U550="Pending Allocation"), CONCATENATE(TODAY()-H550, " Days"), IF(U550="Closed", "", "")))</f>
        <v/>
      </c>
      <c r="AC550" s="176">
        <f>IF(U550="Pending Allocation", IF(I550="", "", TODAY()-I550), "")</f>
        <v/>
      </c>
      <c r="AD550" s="177">
        <f>IF(U550="Open Sale", TEXT(TODAY()-I550, "0"),
IF(U550="Pending", "",
IF(U550="Closed Sale", "", "")))</f>
        <v/>
      </c>
      <c r="AE550" s="178" t="n"/>
      <c r="AF550" s="178" t="n"/>
      <c r="AG550" s="178" t="n"/>
      <c r="AH550" s="137" t="n"/>
      <c r="AI550" s="164">
        <f>IF(I550="","",TEXT(I550, "mmmm yyyy"))</f>
        <v/>
      </c>
      <c r="AJ550" s="164">
        <f>IF(AND(OpenPendingCases[[#This Row],[Sale Status	]]="Open Sale",OpenPendingCases[[#This Row],[Potential Same Month]]="High"),TEXT(OpenPendingCases[[#This Row],[Request Entry Date]], "[$-en-us]mmmm"),"")</f>
        <v/>
      </c>
      <c r="AK550" s="165">
        <f>IFERROR(VALUE(SUBSTITUTE(OpenPendingCases[[#This Row],[Price]]," AED","")),"")</f>
        <v/>
      </c>
      <c r="AL550" s="165">
        <f>IFERROR(VALUE(LEFT(OpenPendingCases[[#This Row],[Price]],FIND(" ",OpenPendingCases[[#This Row],[Price]])-1)),"")</f>
        <v/>
      </c>
      <c r="AM550" s="165">
        <f>IFERROR(VALUE(_xlfn.TEXTBEFORE(OpenPendingCases[[#This Row],[Price]]," AED")),"")</f>
        <v/>
      </c>
      <c r="AN550" s="165" t="n"/>
    </row>
    <row r="551" hidden="1" ht="18" customHeight="1" s="287">
      <c r="C551" s="133" t="n"/>
      <c r="D551" s="209">
        <f>IF($U551="Open", IF(MAX($D$4:D569)+1=0, "", MAX($D$4:D569)+1), "")</f>
        <v/>
      </c>
      <c r="E551" s="209">
        <f>IF($U551="Pending Allocation", IF(MAX($E$4:E569)+1=0, "", MAX($E$4:E569)+1), "")</f>
        <v/>
      </c>
      <c r="F551" s="136" t="n"/>
      <c r="G551" s="136" t="n"/>
      <c r="H551" s="150" t="n"/>
      <c r="I551" s="150" t="n"/>
      <c r="J551" s="151">
        <f>IF(OpenPendingCases[[#This Row],[Timepiece Reference ]]="", "", IF(_xlfn.XLOOKUP(OpenPendingCases[[#This Row],[Timepiece Reference ]], Table1[[Timepiece Reference ]], Table1[CRC STOCK], "Not Found")="YES", "CRC Stock", "Boutique Stock"))</f>
        <v/>
      </c>
      <c r="K551" s="136">
        <f>IF(OpenPendingCases[[#This Row],[Timepiece Reference ]]="", "", IF(_xlfn.XLOOKUP(OpenPendingCases[[#This Row],[Timepiece Reference ]], Table1[[Timepiece Reference ]], Table1[CRC STOCK], "Not Found")="YES", "CRC Stock", "Boutique Stock"))</f>
        <v/>
      </c>
      <c r="L551" s="142" t="n"/>
      <c r="M551" s="140" t="n"/>
      <c r="N551" s="136" t="n"/>
      <c r="O551" s="133" t="n"/>
      <c r="P551" s="136">
        <f>IFERROR(VLOOKUP(TRIM(O551), Collection!$B$2:$D$1001, 2, FALSE), "")</f>
        <v/>
      </c>
      <c r="Q551" s="184">
        <f>IFERROR(VLOOKUP(TRIM(O551), Collection!$B$2:$D$1001, 3, FALSE), "")</f>
        <v/>
      </c>
      <c r="R551" s="153">
        <f>IFERROR(VALUE(SUBSTITUTE(SUBSTITUTE(Q551, "Price", ""), "AED", "")), "")</f>
        <v/>
      </c>
      <c r="S551" s="168" t="n"/>
      <c r="T551" s="183" t="n"/>
      <c r="U551" s="136" t="n"/>
      <c r="V551" s="136" t="n"/>
      <c r="W551" s="167">
        <f>IF(Z551 = "",
     "",
     TEXT(Z551, "mmmm"))</f>
        <v/>
      </c>
      <c r="X551" s="157" t="n"/>
      <c r="Y551" s="158" t="n"/>
      <c r="Z551" s="158" t="n"/>
      <c r="AA551" s="136">
        <f>IF(H551="", "", IF(U551="Open Sale", IF(TODAY()-H551=0, "0 Days", TEXT(TODAY()-H551, "0") &amp; " Days"), IF(U551="Closed Sale", AA551, "")))</f>
        <v/>
      </c>
      <c r="AB551" s="136">
        <f>IF(H551="", "", IF(OR(U551="Pending", U551="Pending Allocation"), CONCATENATE(TODAY()-H551, " Days"), IF(U551="Closed", "", "")))</f>
        <v/>
      </c>
      <c r="AC551" s="160">
        <f>IF(U551="Pending Allocation", IF(I551="", "", TODAY()-I551), "")</f>
        <v/>
      </c>
      <c r="AD551" s="159">
        <f>IF(U551="Open Sale", TEXT(TODAY()-I551, "0"),
   IF(U551="Pending", "",
      IF(U551="Closed Sale", "", "")))</f>
        <v/>
      </c>
      <c r="AE551" s="161" t="n"/>
      <c r="AF551" s="161" t="n"/>
      <c r="AG551" s="161" t="n"/>
      <c r="AH551" s="136" t="n"/>
      <c r="AI551" s="164">
        <f>IF(I551="","",TEXT(I551, "mmmm yyyy"))</f>
        <v/>
      </c>
      <c r="AJ551" s="164">
        <f>IF(AND(OpenPendingCases[[#This Row],[Sale Status	]]="Open Sale",OpenPendingCases[[#This Row],[Potential Same Month]]="High"),TEXT(OpenPendingCases[[#This Row],[Request Entry Date]], "[$-en-us]mmmm"),"")</f>
        <v/>
      </c>
      <c r="AK551" s="165">
        <f>IFERROR(VALUE(SUBSTITUTE(OpenPendingCases[[#This Row],[Price]]," AED","")),"")</f>
        <v/>
      </c>
      <c r="AL551" s="165">
        <f>IFERROR(VALUE(LEFT(OpenPendingCases[[#This Row],[Price]],FIND(" ",OpenPendingCases[[#This Row],[Price]])-1)),"")</f>
        <v/>
      </c>
      <c r="AM551" s="165">
        <f>IFERROR(VALUE(_xlfn.TEXTBEFORE(OpenPendingCases[[#This Row],[Price]]," AED")),"")</f>
        <v/>
      </c>
      <c r="AN551" s="165" t="n"/>
    </row>
    <row r="552" hidden="1" ht="18" customHeight="1" s="287">
      <c r="C552" s="133" t="n"/>
      <c r="D552" s="136">
        <f>IF($U552="Open", IF(MAX($D$4:D551)+1=0, "", MAX($D$4:D551)+1), "")</f>
        <v/>
      </c>
      <c r="E552" s="136">
        <f>IF($U552="Pending Allocation", IF(MAX($E$4:E551)+1=0, "", MAX($E$4:E551)+1), "")</f>
        <v/>
      </c>
      <c r="F552" s="136" t="n"/>
      <c r="G552" s="136" t="n"/>
      <c r="H552" s="150" t="n"/>
      <c r="I552" s="150" t="n"/>
      <c r="J552" s="151">
        <f>IF(OpenPendingCases[[#This Row],[Timepiece Reference ]]="", "", IF(_xlfn.XLOOKUP(OpenPendingCases[[#This Row],[Timepiece Reference ]], Table1[[Timepiece Reference ]], Table1[CRC STOCK], "Not Found")="YES", "CRC Stock", "Boutique Stock"))</f>
        <v/>
      </c>
      <c r="K552" s="136">
        <f>IF(OpenPendingCases[[#This Row],[Timepiece Reference ]]="", "", IF(_xlfn.XLOOKUP(OpenPendingCases[[#This Row],[Timepiece Reference ]], Table1[[Timepiece Reference ]], Table1[CRC STOCK], "Not Found")="YES", "CRC Stock", "Boutique Stock"))</f>
        <v/>
      </c>
      <c r="L552" s="142" t="n"/>
      <c r="M552" s="140" t="n"/>
      <c r="N552" s="136" t="n"/>
      <c r="O552" s="133" t="n"/>
      <c r="P552" s="136">
        <f>IFERROR(VLOOKUP(TRIM(O552), Collection!$B$2:$D$1001, 2, FALSE), "")</f>
        <v/>
      </c>
      <c r="Q552" s="184">
        <f>IFERROR(VLOOKUP(TRIM(O552), Collection!$B$2:$D$1001, 3, FALSE), "")</f>
        <v/>
      </c>
      <c r="R552" s="153">
        <f>IFERROR(VALUE(SUBSTITUTE(SUBSTITUTE(Q552, "Price", ""), "AED", "")), "")</f>
        <v/>
      </c>
      <c r="S552" s="168" t="n"/>
      <c r="T552" s="183" t="n"/>
      <c r="U552" s="136" t="n"/>
      <c r="V552" s="136" t="n"/>
      <c r="W552" s="167">
        <f>IF(Z552 = "",
"",
TEXT(Z552, "mmmm"))</f>
        <v/>
      </c>
      <c r="X552" s="157" t="n"/>
      <c r="Y552" s="158" t="n"/>
      <c r="Z552" s="158" t="n"/>
      <c r="AA552" s="136">
        <f>IF(H552="", "", IF(U552="Open Sale", IF(TODAY()-H552=0, "0 Days", TEXT(TODAY()-H552, "0") &amp; " Days"), IF(U552="Closed Sale", AA552, "")))</f>
        <v/>
      </c>
      <c r="AB552" s="136">
        <f>IF(H552="", "", IF(OR(U552="Pending", U552="Pending Allocation"), CONCATENATE(TODAY()-H552, " Days"), IF(U552="Closed", "", "")))</f>
        <v/>
      </c>
      <c r="AC552" s="160">
        <f>IF(U552="Pending Allocation", IF(I552="", "", TODAY()-I552), "")</f>
        <v/>
      </c>
      <c r="AD552" s="159">
        <f>IF(U552="Open Sale", TEXT(TODAY()-I552, "0"),
IF(U552="Pending", "",
IF(U552="Closed Sale", "", "")))</f>
        <v/>
      </c>
      <c r="AE552" s="161" t="n"/>
      <c r="AF552" s="161" t="n"/>
      <c r="AG552" s="161" t="n"/>
      <c r="AH552" s="136" t="n"/>
      <c r="AI552" s="164">
        <f>IF(I552="","",TEXT(I552, "mmmm yyyy"))</f>
        <v/>
      </c>
      <c r="AJ552" s="164">
        <f>IF(AND(OpenPendingCases[[#This Row],[Sale Status	]]="Open Sale",OpenPendingCases[[#This Row],[Potential Same Month]]="High"),TEXT(OpenPendingCases[[#This Row],[Request Entry Date]], "[$-en-us]mmmm"),"")</f>
        <v/>
      </c>
      <c r="AK552" s="165">
        <f>IFERROR(VALUE(SUBSTITUTE(OpenPendingCases[[#This Row],[Price]]," AED","")),"")</f>
        <v/>
      </c>
      <c r="AL552" s="165">
        <f>IFERROR(VALUE(LEFT(OpenPendingCases[[#This Row],[Price]],FIND(" ",OpenPendingCases[[#This Row],[Price]])-1)),"")</f>
        <v/>
      </c>
      <c r="AM552" s="165">
        <f>IFERROR(VALUE(_xlfn.TEXTBEFORE(OpenPendingCases[[#This Row],[Price]]," AED")),"")</f>
        <v/>
      </c>
      <c r="AN552" s="165" t="n"/>
    </row>
    <row r="553" hidden="1" ht="18" customHeight="1" s="287">
      <c r="C553" s="133" t="n"/>
      <c r="D553" s="136">
        <f>IF($U553="Open", IF(MAX($D$4:D552)+1=0, "", MAX($D$4:D552)+1), "")</f>
        <v/>
      </c>
      <c r="E553" s="136">
        <f>IF($U553="Pending Allocation", IF(MAX($E$4:E552)+1=0, "", MAX($E$4:E552)+1), "")</f>
        <v/>
      </c>
      <c r="F553" s="136" t="n"/>
      <c r="G553" s="136" t="n"/>
      <c r="H553" s="150" t="n"/>
      <c r="I553" s="150" t="n"/>
      <c r="J553" s="151">
        <f>IF(OpenPendingCases[[#This Row],[Timepiece Reference ]]="", "", IF(_xlfn.XLOOKUP(OpenPendingCases[[#This Row],[Timepiece Reference ]], Table1[[Timepiece Reference ]], Table1[CRC STOCK], "Not Found")="YES", "CRC Stock", "Boutique Stock"))</f>
        <v/>
      </c>
      <c r="K553" s="136">
        <f>IF(OpenPendingCases[[#This Row],[Timepiece Reference ]]="", "", IF(_xlfn.XLOOKUP(OpenPendingCases[[#This Row],[Timepiece Reference ]], Table1[[Timepiece Reference ]], Table1[CRC STOCK], "Not Found")="YES", "CRC Stock", "Boutique Stock"))</f>
        <v/>
      </c>
      <c r="L553" s="142" t="n"/>
      <c r="M553" s="140" t="n"/>
      <c r="N553" s="136" t="n"/>
      <c r="O553" s="133" t="n"/>
      <c r="P553" s="136">
        <f>IFERROR(VLOOKUP(TRIM(O553), Collection!$B$2:$D$1001, 2, FALSE), "")</f>
        <v/>
      </c>
      <c r="Q553" s="184">
        <f>IFERROR(VLOOKUP(TRIM(O553), Collection!$B$2:$D$1001, 3, FALSE), "")</f>
        <v/>
      </c>
      <c r="R553" s="153">
        <f>IFERROR(VALUE(SUBSTITUTE(SUBSTITUTE(Q553, "Price", ""), "AED", "")), "")</f>
        <v/>
      </c>
      <c r="S553" s="168" t="n"/>
      <c r="T553" s="183" t="n"/>
      <c r="U553" s="136" t="n"/>
      <c r="V553" s="136" t="n"/>
      <c r="W553" s="167">
        <f>IF(Z553 = "",
"",
TEXT(Z553, "mmmm"))</f>
        <v/>
      </c>
      <c r="X553" s="157" t="n"/>
      <c r="Y553" s="158" t="n"/>
      <c r="Z553" s="158" t="n"/>
      <c r="AA553" s="136">
        <f>IF(H553="", "", IF(U553="Open Sale", IF(TODAY()-H553=0, "0 Days", TEXT(TODAY()-H553, "0") &amp; " Days"), IF(U553="Closed Sale", AA553, "")))</f>
        <v/>
      </c>
      <c r="AB553" s="136">
        <f>IF(H553="", "", IF(OR(U553="Pending", U553="Pending Allocation"), CONCATENATE(TODAY()-H553, " Days"), IF(U553="Closed", "", "")))</f>
        <v/>
      </c>
      <c r="AC553" s="160">
        <f>IF(U553="Pending Allocation", IF(I553="", "", TODAY()-I553), "")</f>
        <v/>
      </c>
      <c r="AD553" s="159">
        <f>IF(U553="Open Sale", TEXT(TODAY()-I553, "0"),
IF(U553="Pending", "",
IF(U553="Closed Sale", "", "")))</f>
        <v/>
      </c>
      <c r="AE553" s="161" t="n"/>
      <c r="AF553" s="161" t="n"/>
      <c r="AG553" s="161" t="n"/>
      <c r="AH553" s="136" t="n"/>
      <c r="AI553" s="164">
        <f>IF(I553="","",TEXT(I553, "mmmm yyyy"))</f>
        <v/>
      </c>
      <c r="AJ553" s="164">
        <f>IF(AND(OpenPendingCases[[#This Row],[Sale Status	]]="Open Sale",OpenPendingCases[[#This Row],[Potential Same Month]]="High"),TEXT(OpenPendingCases[[#This Row],[Request Entry Date]], "[$-en-us]mmmm"),"")</f>
        <v/>
      </c>
      <c r="AK553" s="165">
        <f>IFERROR(VALUE(SUBSTITUTE(OpenPendingCases[[#This Row],[Price]]," AED","")),"")</f>
        <v/>
      </c>
      <c r="AL553" s="165">
        <f>IFERROR(VALUE(LEFT(OpenPendingCases[[#This Row],[Price]],FIND(" ",OpenPendingCases[[#This Row],[Price]])-1)),"")</f>
        <v/>
      </c>
      <c r="AM553" s="165">
        <f>IFERROR(VALUE(_xlfn.TEXTBEFORE(OpenPendingCases[[#This Row],[Price]]," AED")),"")</f>
        <v/>
      </c>
      <c r="AN553" s="165" t="n"/>
    </row>
    <row r="554" hidden="1" ht="18" customHeight="1" s="287">
      <c r="C554" s="133" t="n"/>
      <c r="D554" s="136">
        <f>IF($U554="Open", IF(MAX($D$4:D553)+1=0, "", MAX($D$4:D553)+1), "")</f>
        <v/>
      </c>
      <c r="E554" s="136">
        <f>IF($U554="Pending Allocation", IF(MAX($E$4:E553)+1=0, "", MAX($E$4:E553)+1), "")</f>
        <v/>
      </c>
      <c r="F554" s="136" t="n"/>
      <c r="G554" s="136" t="n"/>
      <c r="H554" s="150" t="n"/>
      <c r="I554" s="150" t="n"/>
      <c r="J554" s="151">
        <f>IF(OpenPendingCases[[#This Row],[Timepiece Reference ]]="", "", IF(_xlfn.XLOOKUP(OpenPendingCases[[#This Row],[Timepiece Reference ]], Table1[[Timepiece Reference ]], Table1[CRC STOCK], "Not Found")="YES", "CRC Stock", "Boutique Stock"))</f>
        <v/>
      </c>
      <c r="K554" s="136">
        <f>IF(OpenPendingCases[[#This Row],[Timepiece Reference ]]="", "", IF(_xlfn.XLOOKUP(OpenPendingCases[[#This Row],[Timepiece Reference ]], Table1[[Timepiece Reference ]], Table1[CRC STOCK], "Not Found")="YES", "CRC Stock", "Boutique Stock"))</f>
        <v/>
      </c>
      <c r="L554" s="142" t="n"/>
      <c r="M554" s="140" t="n"/>
      <c r="N554" s="136" t="n"/>
      <c r="O554" s="133" t="n"/>
      <c r="P554" s="136">
        <f>IFERROR(VLOOKUP(TRIM(O554), Collection!$B$2:$D$1001, 2, FALSE), "")</f>
        <v/>
      </c>
      <c r="Q554" s="184">
        <f>IFERROR(VLOOKUP(TRIM(O554), Collection!$B$2:$D$1001, 3, FALSE), "")</f>
        <v/>
      </c>
      <c r="R554" s="153">
        <f>IFERROR(VALUE(SUBSTITUTE(SUBSTITUTE(Q554, "Price", ""), "AED", "")), "")</f>
        <v/>
      </c>
      <c r="S554" s="168" t="n"/>
      <c r="T554" s="183" t="n"/>
      <c r="U554" s="136" t="n"/>
      <c r="V554" s="136" t="n"/>
      <c r="W554" s="167">
        <f>IF(Z554 = "",
"",
TEXT(Z554, "mmmm"))</f>
        <v/>
      </c>
      <c r="X554" s="157" t="n"/>
      <c r="Y554" s="158" t="n"/>
      <c r="Z554" s="158" t="n"/>
      <c r="AA554" s="136">
        <f>IF(H554="", "", IF(U554="Open Sale", IF(TODAY()-H554=0, "0 Days", TEXT(TODAY()-H554, "0") &amp; " Days"), IF(U554="Closed Sale", AA554, "")))</f>
        <v/>
      </c>
      <c r="AB554" s="136">
        <f>IF(H554="", "", IF(OR(U554="Pending", U554="Pending Allocation"), CONCATENATE(TODAY()-H554, " Days"), IF(U554="Closed", "", "")))</f>
        <v/>
      </c>
      <c r="AC554" s="160">
        <f>IF(U554="Pending Allocation", IF(I554="", "", TODAY()-I554), "")</f>
        <v/>
      </c>
      <c r="AD554" s="159">
        <f>IF(U554="Open Sale", TEXT(TODAY()-I554, "0"),
IF(U554="Pending", "",
IF(U554="Closed Sale", "", "")))</f>
        <v/>
      </c>
      <c r="AE554" s="161" t="n"/>
      <c r="AF554" s="161" t="n"/>
      <c r="AG554" s="161" t="n"/>
      <c r="AH554" s="136" t="n"/>
      <c r="AI554" s="164">
        <f>IF(I554="","",TEXT(I554, "mmmm yyyy"))</f>
        <v/>
      </c>
      <c r="AJ554" s="164">
        <f>IF(AND(OpenPendingCases[[#This Row],[Sale Status	]]="Open Sale",OpenPendingCases[[#This Row],[Potential Same Month]]="High"),TEXT(OpenPendingCases[[#This Row],[Request Entry Date]], "[$-en-us]mmmm"),"")</f>
        <v/>
      </c>
      <c r="AK554" s="165">
        <f>IFERROR(VALUE(SUBSTITUTE(OpenPendingCases[[#This Row],[Price]]," AED","")),"")</f>
        <v/>
      </c>
      <c r="AL554" s="165">
        <f>IFERROR(VALUE(LEFT(OpenPendingCases[[#This Row],[Price]],FIND(" ",OpenPendingCases[[#This Row],[Price]])-1)),"")</f>
        <v/>
      </c>
      <c r="AM554" s="165">
        <f>IFERROR(VALUE(_xlfn.TEXTBEFORE(OpenPendingCases[[#This Row],[Price]]," AED")),"")</f>
        <v/>
      </c>
      <c r="AN554" s="165" t="n"/>
    </row>
    <row r="555" hidden="1" ht="18" customHeight="1" s="287">
      <c r="C555" s="133" t="n"/>
      <c r="D555" s="136">
        <f>IF($U555="Open", IF(MAX($D$4:D554)+1=0, "", MAX($D$4:D554)+1), "")</f>
        <v/>
      </c>
      <c r="E555" s="136">
        <f>IF($U555="Pending Allocation", IF(MAX($E$4:E554)+1=0, "", MAX($E$4:E554)+1), "")</f>
        <v/>
      </c>
      <c r="F555" s="136" t="n"/>
      <c r="G555" s="136" t="n"/>
      <c r="H555" s="150" t="n"/>
      <c r="I555" s="150" t="n"/>
      <c r="J555" s="151">
        <f>IF(OpenPendingCases[[#This Row],[Timepiece Reference ]]="", "", IF(_xlfn.XLOOKUP(OpenPendingCases[[#This Row],[Timepiece Reference ]], Table1[[Timepiece Reference ]], Table1[CRC STOCK], "Not Found")="YES", "CRC Stock", "Boutique Stock"))</f>
        <v/>
      </c>
      <c r="K555" s="136">
        <f>IF(OpenPendingCases[[#This Row],[Timepiece Reference ]]="", "", IF(_xlfn.XLOOKUP(OpenPendingCases[[#This Row],[Timepiece Reference ]], Table1[[Timepiece Reference ]], Table1[CRC STOCK], "Not Found")="YES", "CRC Stock", "Boutique Stock"))</f>
        <v/>
      </c>
      <c r="L555" s="142" t="n"/>
      <c r="M555" s="140" t="n"/>
      <c r="N555" s="136" t="n"/>
      <c r="O555" s="133" t="n"/>
      <c r="P555" s="136">
        <f>IFERROR(VLOOKUP(TRIM(O555), Collection!$B$2:$D$1001, 2, FALSE), "")</f>
        <v/>
      </c>
      <c r="Q555" s="184">
        <f>IFERROR(VLOOKUP(TRIM(O555), Collection!$B$2:$D$1001, 3, FALSE), "")</f>
        <v/>
      </c>
      <c r="R555" s="153">
        <f>IFERROR(VALUE(SUBSTITUTE(SUBSTITUTE(Q555, "Price", ""), "AED", "")), "")</f>
        <v/>
      </c>
      <c r="S555" s="168" t="n"/>
      <c r="T555" s="183" t="n"/>
      <c r="U555" s="136" t="n"/>
      <c r="V555" s="136" t="n"/>
      <c r="W555" s="167">
        <f>IF(Z555 = "",
"",
TEXT(Z555, "mmmm"))</f>
        <v/>
      </c>
      <c r="X555" s="157" t="n"/>
      <c r="Y555" s="158" t="n"/>
      <c r="Z555" s="158" t="n"/>
      <c r="AA555" s="136">
        <f>IF(H555="", "", IF(U555="Open Sale", IF(TODAY()-H555=0, "0 Days", TEXT(TODAY()-H555, "0") &amp; " Days"), IF(U555="Closed Sale", AA555, "")))</f>
        <v/>
      </c>
      <c r="AB555" s="136">
        <f>IF(H555="", "", IF(OR(U555="Pending", U555="Pending Allocation"), CONCATENATE(TODAY()-H555, " Days"), IF(U555="Closed", "", "")))</f>
        <v/>
      </c>
      <c r="AC555" s="160">
        <f>IF(U555="Pending Allocation", IF(I555="", "", TODAY()-I555), "")</f>
        <v/>
      </c>
      <c r="AD555" s="159">
        <f>IF(U555="Open Sale", TEXT(TODAY()-I555, "0"),
IF(U555="Pending", "",
IF(U555="Closed Sale", "", "")))</f>
        <v/>
      </c>
      <c r="AE555" s="161" t="n"/>
      <c r="AF555" s="161" t="n"/>
      <c r="AG555" s="161" t="n"/>
      <c r="AH555" s="136" t="n"/>
      <c r="AI555" s="164">
        <f>IF(I555="","",TEXT(I555, "mmmm yyyy"))</f>
        <v/>
      </c>
      <c r="AJ555" s="164">
        <f>IF(AND(OpenPendingCases[[#This Row],[Sale Status	]]="Open Sale",OpenPendingCases[[#This Row],[Potential Same Month]]="High"),TEXT(OpenPendingCases[[#This Row],[Request Entry Date]], "[$-en-us]mmmm"),"")</f>
        <v/>
      </c>
      <c r="AK555" s="165">
        <f>IFERROR(VALUE(SUBSTITUTE(OpenPendingCases[[#This Row],[Price]]," AED","")),"")</f>
        <v/>
      </c>
      <c r="AL555" s="165">
        <f>IFERROR(VALUE(LEFT(OpenPendingCases[[#This Row],[Price]],FIND(" ",OpenPendingCases[[#This Row],[Price]])-1)),"")</f>
        <v/>
      </c>
      <c r="AM555" s="165">
        <f>IFERROR(VALUE(_xlfn.TEXTBEFORE(OpenPendingCases[[#This Row],[Price]]," AED")),"")</f>
        <v/>
      </c>
      <c r="AN555" s="165" t="n"/>
    </row>
    <row r="556" hidden="1" ht="18" customHeight="1" s="287">
      <c r="C556" s="133" t="n"/>
      <c r="D556" s="136">
        <f>IF($U556="Open", IF(MAX($D$4:D555)+1=0, "", MAX($D$4:D555)+1), "")</f>
        <v/>
      </c>
      <c r="E556" s="136">
        <f>IF($U556="Pending Allocation", IF(MAX($E$4:E555)+1=0, "", MAX($E$4:E555)+1), "")</f>
        <v/>
      </c>
      <c r="F556" s="136" t="n"/>
      <c r="G556" s="136" t="n"/>
      <c r="H556" s="150" t="n"/>
      <c r="I556" s="150" t="n"/>
      <c r="J556" s="151">
        <f>IF(OpenPendingCases[[#This Row],[Timepiece Reference ]]="", "", IF(_xlfn.XLOOKUP(OpenPendingCases[[#This Row],[Timepiece Reference ]], Table1[[Timepiece Reference ]], Table1[CRC STOCK], "Not Found")="YES", "CRC Stock", "Boutique Stock"))</f>
        <v/>
      </c>
      <c r="K556" s="136">
        <f>IF(OpenPendingCases[[#This Row],[Timepiece Reference ]]="", "", IF(_xlfn.XLOOKUP(OpenPendingCases[[#This Row],[Timepiece Reference ]], Table1[[Timepiece Reference ]], Table1[CRC STOCK], "Not Found")="YES", "CRC Stock", "Boutique Stock"))</f>
        <v/>
      </c>
      <c r="L556" s="142" t="n"/>
      <c r="M556" s="140" t="n"/>
      <c r="N556" s="136" t="n"/>
      <c r="O556" s="133" t="n"/>
      <c r="P556" s="136">
        <f>IFERROR(VLOOKUP(TRIM(O556), Collection!$B$2:$D$1001, 2, FALSE), "")</f>
        <v/>
      </c>
      <c r="Q556" s="184">
        <f>IFERROR(VLOOKUP(TRIM(O556), Collection!$B$2:$D$1001, 3, FALSE), "")</f>
        <v/>
      </c>
      <c r="R556" s="153">
        <f>IFERROR(VALUE(SUBSTITUTE(SUBSTITUTE(Q556, "Price", ""), "AED", "")), "")</f>
        <v/>
      </c>
      <c r="S556" s="168" t="n"/>
      <c r="T556" s="183" t="n"/>
      <c r="U556" s="136" t="n"/>
      <c r="V556" s="136" t="n"/>
      <c r="W556" s="167">
        <f>IF(Z556 = "",
"",
TEXT(Z556, "mmmm"))</f>
        <v/>
      </c>
      <c r="X556" s="157" t="n"/>
      <c r="Y556" s="158" t="n"/>
      <c r="Z556" s="158" t="n"/>
      <c r="AA556" s="136">
        <f>IF(H556="", "", IF(U556="Open Sale", IF(TODAY()-H556=0, "0 Days", TEXT(TODAY()-H556, "0") &amp; " Days"), IF(U556="Closed Sale", AA556, "")))</f>
        <v/>
      </c>
      <c r="AB556" s="136">
        <f>IF(H556="", "", IF(OR(U556="Pending", U556="Pending Allocation"), CONCATENATE(TODAY()-H556, " Days"), IF(U556="Closed", "", "")))</f>
        <v/>
      </c>
      <c r="AC556" s="160">
        <f>IF(U556="Pending Allocation", IF(I556="", "", TODAY()-I556), "")</f>
        <v/>
      </c>
      <c r="AD556" s="159">
        <f>IF(U556="Open Sale", TEXT(TODAY()-I556, "0"),
IF(U556="Pending", "",
IF(U556="Closed Sale", "", "")))</f>
        <v/>
      </c>
      <c r="AE556" s="161" t="n"/>
      <c r="AF556" s="161" t="n"/>
      <c r="AG556" s="161" t="n"/>
      <c r="AH556" s="136" t="n"/>
      <c r="AI556" s="164">
        <f>IF(I556="","",TEXT(I556, "mmmm yyyy"))</f>
        <v/>
      </c>
      <c r="AJ556" s="164">
        <f>IF(AND(OpenPendingCases[[#This Row],[Sale Status	]]="Open Sale",OpenPendingCases[[#This Row],[Potential Same Month]]="High"),TEXT(OpenPendingCases[[#This Row],[Request Entry Date]], "[$-en-us]mmmm"),"")</f>
        <v/>
      </c>
      <c r="AK556" s="165">
        <f>IFERROR(VALUE(SUBSTITUTE(OpenPendingCases[[#This Row],[Price]]," AED","")),"")</f>
        <v/>
      </c>
      <c r="AL556" s="165">
        <f>IFERROR(VALUE(LEFT(OpenPendingCases[[#This Row],[Price]],FIND(" ",OpenPendingCases[[#This Row],[Price]])-1)),"")</f>
        <v/>
      </c>
      <c r="AM556" s="165">
        <f>IFERROR(VALUE(_xlfn.TEXTBEFORE(OpenPendingCases[[#This Row],[Price]]," AED")),"")</f>
        <v/>
      </c>
      <c r="AN556" s="165" t="n"/>
    </row>
    <row r="557" hidden="1" ht="18" customHeight="1" s="287">
      <c r="C557" s="133" t="n"/>
      <c r="D557" s="136">
        <f>IF($U557="Open", IF(MAX($D$4:D556)+1=0, "", MAX($D$4:D556)+1), "")</f>
        <v/>
      </c>
      <c r="E557" s="136">
        <f>IF($U557="Pending Allocation", IF(MAX($E$4:E556)+1=0, "", MAX($E$4:E556)+1), "")</f>
        <v/>
      </c>
      <c r="F557" s="136" t="n"/>
      <c r="G557" s="136" t="n"/>
      <c r="H557" s="150" t="n"/>
      <c r="I557" s="150" t="n"/>
      <c r="J557" s="151">
        <f>IF(OpenPendingCases[[#This Row],[Timepiece Reference ]]="", "", IF(_xlfn.XLOOKUP(OpenPendingCases[[#This Row],[Timepiece Reference ]], Table1[[Timepiece Reference ]], Table1[CRC STOCK], "Not Found")="YES", "CRC Stock", "Boutique Stock"))</f>
        <v/>
      </c>
      <c r="K557" s="136">
        <f>IF(OpenPendingCases[[#This Row],[Timepiece Reference ]]="", "", IF(_xlfn.XLOOKUP(OpenPendingCases[[#This Row],[Timepiece Reference ]], Table1[[Timepiece Reference ]], Table1[CRC STOCK], "Not Found")="YES", "CRC Stock", "Boutique Stock"))</f>
        <v/>
      </c>
      <c r="L557" s="142" t="n"/>
      <c r="M557" s="140" t="n"/>
      <c r="N557" s="136" t="n"/>
      <c r="O557" s="133" t="n"/>
      <c r="P557" s="136">
        <f>IFERROR(VLOOKUP(TRIM(O557), Collection!$B$2:$D$1001, 2, FALSE), "")</f>
        <v/>
      </c>
      <c r="Q557" s="184">
        <f>IFERROR(VLOOKUP(TRIM(O557), Collection!$B$2:$D$1001, 3, FALSE), "")</f>
        <v/>
      </c>
      <c r="R557" s="153">
        <f>IFERROR(VALUE(SUBSTITUTE(SUBSTITUTE(Q557, "Price", ""), "AED", "")), "")</f>
        <v/>
      </c>
      <c r="S557" s="168" t="n"/>
      <c r="T557" s="183" t="n"/>
      <c r="U557" s="136" t="n"/>
      <c r="V557" s="136" t="n"/>
      <c r="W557" s="167">
        <f>IF(Z557 = "",
"",
TEXT(Z557, "mmmm"))</f>
        <v/>
      </c>
      <c r="X557" s="157" t="n"/>
      <c r="Y557" s="158" t="n"/>
      <c r="Z557" s="158" t="n"/>
      <c r="AA557" s="136">
        <f>IF(H557="", "", IF(U557="Open Sale", IF(TODAY()-H557=0, "0 Days", TEXT(TODAY()-H557, "0") &amp; " Days"), IF(U557="Closed Sale", AA557, "")))</f>
        <v/>
      </c>
      <c r="AB557" s="136">
        <f>IF(H557="", "", IF(OR(U557="Pending", U557="Pending Allocation"), CONCATENATE(TODAY()-H557, " Days"), IF(U557="Closed", "", "")))</f>
        <v/>
      </c>
      <c r="AC557" s="160">
        <f>IF(U557="Pending Allocation", IF(I557="", "", TODAY()-I557), "")</f>
        <v/>
      </c>
      <c r="AD557" s="159">
        <f>IF(U557="Open Sale", TEXT(TODAY()-I557, "0"),
IF(U557="Pending", "",
IF(U557="Closed Sale", "", "")))</f>
        <v/>
      </c>
      <c r="AE557" s="161" t="n"/>
      <c r="AF557" s="161" t="n"/>
      <c r="AG557" s="161" t="n"/>
      <c r="AH557" s="136" t="n"/>
      <c r="AI557" s="164">
        <f>IF(I557="","",TEXT(I557, "mmmm yyyy"))</f>
        <v/>
      </c>
      <c r="AJ557" s="164">
        <f>IF(AND(OpenPendingCases[[#This Row],[Sale Status	]]="Open Sale",OpenPendingCases[[#This Row],[Potential Same Month]]="High"),TEXT(OpenPendingCases[[#This Row],[Request Entry Date]], "[$-en-us]mmmm"),"")</f>
        <v/>
      </c>
      <c r="AK557" s="165">
        <f>IFERROR(VALUE(SUBSTITUTE(OpenPendingCases[[#This Row],[Price]]," AED","")),"")</f>
        <v/>
      </c>
      <c r="AL557" s="165">
        <f>IFERROR(VALUE(LEFT(OpenPendingCases[[#This Row],[Price]],FIND(" ",OpenPendingCases[[#This Row],[Price]])-1)),"")</f>
        <v/>
      </c>
      <c r="AM557" s="165">
        <f>IFERROR(VALUE(_xlfn.TEXTBEFORE(OpenPendingCases[[#This Row],[Price]]," AED")),"")</f>
        <v/>
      </c>
      <c r="AN557" s="165" t="n"/>
    </row>
    <row r="558" hidden="1" ht="18" customHeight="1" s="287">
      <c r="C558" s="133" t="n"/>
      <c r="D558" s="136">
        <f>IF($U558="Open", IF(MAX($D$4:D557)+1=0, "", MAX($D$4:D557)+1), "")</f>
        <v/>
      </c>
      <c r="E558" s="136">
        <f>IF($U558="Pending Allocation", IF(MAX($E$4:E557)+1=0, "", MAX($E$4:E557)+1), "")</f>
        <v/>
      </c>
      <c r="F558" s="136" t="n"/>
      <c r="G558" s="136" t="n"/>
      <c r="H558" s="150" t="n"/>
      <c r="I558" s="150" t="n"/>
      <c r="J558" s="151">
        <f>IF(OpenPendingCases[[#This Row],[Timepiece Reference ]]="", "", IF(_xlfn.XLOOKUP(OpenPendingCases[[#This Row],[Timepiece Reference ]], Table1[[Timepiece Reference ]], Table1[CRC STOCK], "Not Found")="YES", "CRC Stock", "Boutique Stock"))</f>
        <v/>
      </c>
      <c r="K558" s="136">
        <f>IF(OpenPendingCases[[#This Row],[Timepiece Reference ]]="", "", IF(_xlfn.XLOOKUP(OpenPendingCases[[#This Row],[Timepiece Reference ]], Table1[[Timepiece Reference ]], Table1[CRC STOCK], "Not Found")="YES", "CRC Stock", "Boutique Stock"))</f>
        <v/>
      </c>
      <c r="L558" s="142" t="n"/>
      <c r="M558" s="140" t="n"/>
      <c r="N558" s="136" t="n"/>
      <c r="O558" s="133" t="n"/>
      <c r="P558" s="136">
        <f>IFERROR(VLOOKUP(TRIM(O558), Collection!$B$2:$D$1001, 2, FALSE), "")</f>
        <v/>
      </c>
      <c r="Q558" s="184">
        <f>IFERROR(VLOOKUP(TRIM(O558), Collection!$B$2:$D$1001, 3, FALSE), "")</f>
        <v/>
      </c>
      <c r="R558" s="153">
        <f>IFERROR(VALUE(SUBSTITUTE(SUBSTITUTE(Q558, "Price", ""), "AED", "")), "")</f>
        <v/>
      </c>
      <c r="S558" s="168" t="n"/>
      <c r="T558" s="183" t="n"/>
      <c r="U558" s="136" t="n"/>
      <c r="V558" s="136" t="n"/>
      <c r="W558" s="167">
        <f>IF(Z558 = "",
"",
TEXT(Z558, "mmmm"))</f>
        <v/>
      </c>
      <c r="X558" s="157" t="n"/>
      <c r="Y558" s="158" t="n"/>
      <c r="Z558" s="158" t="n"/>
      <c r="AA558" s="136">
        <f>IF(H558="", "", IF(U558="Open Sale", IF(TODAY()-H558=0, "0 Days", TEXT(TODAY()-H558, "0") &amp; " Days"), IF(U558="Closed Sale", AA558, "")))</f>
        <v/>
      </c>
      <c r="AB558" s="136">
        <f>IF(H558="", "", IF(OR(U558="Pending", U558="Pending Allocation"), CONCATENATE(TODAY()-H558, " Days"), IF(U558="Closed", "", "")))</f>
        <v/>
      </c>
      <c r="AC558" s="160">
        <f>IF(U558="Pending Allocation", IF(I558="", "", TODAY()-I558), "")</f>
        <v/>
      </c>
      <c r="AD558" s="159">
        <f>IF(U558="Open Sale", TEXT(TODAY()-I558, "0"),
IF(U558="Pending", "",
IF(U558="Closed Sale", "", "")))</f>
        <v/>
      </c>
      <c r="AE558" s="161" t="n"/>
      <c r="AF558" s="161" t="n"/>
      <c r="AG558" s="161" t="n"/>
      <c r="AH558" s="136" t="n"/>
      <c r="AI558" s="164">
        <f>IF(I558="","",TEXT(I558, "mmmm yyyy"))</f>
        <v/>
      </c>
      <c r="AJ558" s="164">
        <f>IF(AND(OpenPendingCases[[#This Row],[Sale Status	]]="Open Sale",OpenPendingCases[[#This Row],[Potential Same Month]]="High"),TEXT(OpenPendingCases[[#This Row],[Request Entry Date]], "[$-en-us]mmmm"),"")</f>
        <v/>
      </c>
      <c r="AK558" s="165">
        <f>IFERROR(VALUE(SUBSTITUTE(OpenPendingCases[[#This Row],[Price]]," AED","")),"")</f>
        <v/>
      </c>
      <c r="AL558" s="165">
        <f>IFERROR(VALUE(LEFT(OpenPendingCases[[#This Row],[Price]],FIND(" ",OpenPendingCases[[#This Row],[Price]])-1)),"")</f>
        <v/>
      </c>
      <c r="AM558" s="165">
        <f>IFERROR(VALUE(_xlfn.TEXTBEFORE(OpenPendingCases[[#This Row],[Price]]," AED")),"")</f>
        <v/>
      </c>
      <c r="AN558" s="165" t="n"/>
    </row>
    <row r="559" hidden="1" ht="18" customHeight="1" s="287">
      <c r="C559" s="133" t="n"/>
      <c r="D559" s="136">
        <f>IF($U559="Open", IF(MAX($D$4:D558)+1=0, "", MAX($D$4:D558)+1), "")</f>
        <v/>
      </c>
      <c r="E559" s="136">
        <f>IF($U559="Pending Allocation", IF(MAX($E$4:E558)+1=0, "", MAX($E$4:E558)+1), "")</f>
        <v/>
      </c>
      <c r="F559" s="136" t="n"/>
      <c r="G559" s="136" t="n"/>
      <c r="H559" s="150" t="n"/>
      <c r="I559" s="150" t="n"/>
      <c r="J559" s="151">
        <f>IF(OpenPendingCases[[#This Row],[Timepiece Reference ]]="", "", IF(_xlfn.XLOOKUP(OpenPendingCases[[#This Row],[Timepiece Reference ]], Table1[[Timepiece Reference ]], Table1[CRC STOCK], "Not Found")="YES", "CRC Stock", "Boutique Stock"))</f>
        <v/>
      </c>
      <c r="K559" s="136">
        <f>IF(OpenPendingCases[[#This Row],[Timepiece Reference ]]="", "", IF(_xlfn.XLOOKUP(OpenPendingCases[[#This Row],[Timepiece Reference ]], Table1[[Timepiece Reference ]], Table1[CRC STOCK], "Not Found")="YES", "CRC Stock", "Boutique Stock"))</f>
        <v/>
      </c>
      <c r="L559" s="142" t="n"/>
      <c r="M559" s="140" t="n"/>
      <c r="N559" s="136" t="n"/>
      <c r="O559" s="133" t="n"/>
      <c r="P559" s="136">
        <f>IFERROR(VLOOKUP(TRIM(O559), Collection!$B$2:$D$1001, 2, FALSE), "")</f>
        <v/>
      </c>
      <c r="Q559" s="184">
        <f>IFERROR(VLOOKUP(TRIM(O559), Collection!$B$2:$D$1001, 3, FALSE), "")</f>
        <v/>
      </c>
      <c r="R559" s="153">
        <f>IFERROR(VALUE(SUBSTITUTE(SUBSTITUTE(Q559, "Price", ""), "AED", "")), "")</f>
        <v/>
      </c>
      <c r="S559" s="168" t="n"/>
      <c r="T559" s="183" t="n"/>
      <c r="U559" s="136" t="n"/>
      <c r="V559" s="136" t="n"/>
      <c r="W559" s="167">
        <f>IF(Z559 = "",
"",
TEXT(Z559, "mmmm"))</f>
        <v/>
      </c>
      <c r="X559" s="157" t="n"/>
      <c r="Y559" s="158" t="n"/>
      <c r="Z559" s="158" t="n"/>
      <c r="AA559" s="136">
        <f>IF(H559="", "", IF(U559="Open Sale", IF(TODAY()-H559=0, "0 Days", TEXT(TODAY()-H559, "0") &amp; " Days"), IF(U559="Closed Sale", AA559, "")))</f>
        <v/>
      </c>
      <c r="AB559" s="136">
        <f>IF(H559="", "", IF(OR(U559="Pending", U559="Pending Allocation"), CONCATENATE(TODAY()-H559, " Days"), IF(U559="Closed", "", "")))</f>
        <v/>
      </c>
      <c r="AC559" s="160">
        <f>IF(U559="Pending Allocation", IF(I559="", "", TODAY()-I559), "")</f>
        <v/>
      </c>
      <c r="AD559" s="159">
        <f>IF(U559="Open Sale", TEXT(TODAY()-I559, "0"),
IF(U559="Pending", "",
IF(U559="Closed Sale", "", "")))</f>
        <v/>
      </c>
      <c r="AE559" s="161" t="n"/>
      <c r="AF559" s="161" t="n"/>
      <c r="AG559" s="161" t="n"/>
      <c r="AH559" s="136" t="n"/>
      <c r="AI559" s="164">
        <f>IF(I559="","",TEXT(I559, "mmmm yyyy"))</f>
        <v/>
      </c>
      <c r="AJ559" s="164">
        <f>IF(AND(OpenPendingCases[[#This Row],[Sale Status	]]="Open Sale",OpenPendingCases[[#This Row],[Potential Same Month]]="High"),TEXT(OpenPendingCases[[#This Row],[Request Entry Date]], "[$-en-us]mmmm"),"")</f>
        <v/>
      </c>
      <c r="AK559" s="165">
        <f>IFERROR(VALUE(SUBSTITUTE(OpenPendingCases[[#This Row],[Price]]," AED","")),"")</f>
        <v/>
      </c>
      <c r="AL559" s="165">
        <f>IFERROR(VALUE(LEFT(OpenPendingCases[[#This Row],[Price]],FIND(" ",OpenPendingCases[[#This Row],[Price]])-1)),"")</f>
        <v/>
      </c>
      <c r="AM559" s="165">
        <f>IFERROR(VALUE(_xlfn.TEXTBEFORE(OpenPendingCases[[#This Row],[Price]]," AED")),"")</f>
        <v/>
      </c>
      <c r="AN559" s="165" t="n"/>
    </row>
    <row r="560" hidden="1" ht="18" customHeight="1" s="287">
      <c r="C560" s="133" t="n"/>
      <c r="D560" s="136">
        <f>IF($U560="Open", IF(MAX($D$4:D559)+1=0, "", MAX($D$4:D559)+1), "")</f>
        <v/>
      </c>
      <c r="E560" s="136">
        <f>IF($U560="Pending Allocation", IF(MAX($E$4:E559)+1=0, "", MAX($E$4:E559)+1), "")</f>
        <v/>
      </c>
      <c r="F560" s="136" t="n"/>
      <c r="G560" s="136" t="n"/>
      <c r="H560" s="150" t="n"/>
      <c r="I560" s="150" t="n"/>
      <c r="J560" s="151">
        <f>IF(OpenPendingCases[[#This Row],[Timepiece Reference ]]="", "", IF(_xlfn.XLOOKUP(OpenPendingCases[[#This Row],[Timepiece Reference ]], Table1[[Timepiece Reference ]], Table1[CRC STOCK], "Not Found")="YES", "CRC Stock", "Boutique Stock"))</f>
        <v/>
      </c>
      <c r="K560" s="136">
        <f>IF(OpenPendingCases[[#This Row],[Timepiece Reference ]]="", "", IF(_xlfn.XLOOKUP(OpenPendingCases[[#This Row],[Timepiece Reference ]], Table1[[Timepiece Reference ]], Table1[CRC STOCK], "Not Found")="YES", "CRC Stock", "Boutique Stock"))</f>
        <v/>
      </c>
      <c r="L560" s="142" t="n"/>
      <c r="M560" s="140" t="n"/>
      <c r="N560" s="136" t="n"/>
      <c r="O560" s="133" t="n"/>
      <c r="P560" s="136">
        <f>IFERROR(VLOOKUP(TRIM(O560), Collection!$B$2:$D$1001, 2, FALSE), "")</f>
        <v/>
      </c>
      <c r="Q560" s="184">
        <f>IFERROR(VLOOKUP(TRIM(O560), Collection!$B$2:$D$1001, 3, FALSE), "")</f>
        <v/>
      </c>
      <c r="R560" s="153">
        <f>IFERROR(VALUE(SUBSTITUTE(SUBSTITUTE(Q560, "Price", ""), "AED", "")), "")</f>
        <v/>
      </c>
      <c r="S560" s="168" t="n"/>
      <c r="T560" s="183" t="n"/>
      <c r="U560" s="136" t="n"/>
      <c r="V560" s="136" t="n"/>
      <c r="W560" s="167">
        <f>IF(Z560 = "",
"",
TEXT(Z560, "mmmm"))</f>
        <v/>
      </c>
      <c r="X560" s="157" t="n"/>
      <c r="Y560" s="158" t="n"/>
      <c r="Z560" s="158" t="n"/>
      <c r="AA560" s="136">
        <f>IF(H560="", "", IF(U560="Open Sale", IF(TODAY()-H560=0, "0 Days", TEXT(TODAY()-H560, "0") &amp; " Days"), IF(U560="Closed Sale", AA560, "")))</f>
        <v/>
      </c>
      <c r="AB560" s="136">
        <f>IF(H560="", "", IF(OR(U560="Pending", U560="Pending Allocation"), CONCATENATE(TODAY()-H560, " Days"), IF(U560="Closed", "", "")))</f>
        <v/>
      </c>
      <c r="AC560" s="160">
        <f>IF(U560="Pending Allocation", IF(I560="", "", TODAY()-I560), "")</f>
        <v/>
      </c>
      <c r="AD560" s="159">
        <f>IF(U560="Open Sale", TEXT(TODAY()-I560, "0"),
IF(U560="Pending", "",
IF(U560="Closed Sale", "", "")))</f>
        <v/>
      </c>
      <c r="AE560" s="161" t="n"/>
      <c r="AF560" s="161" t="n"/>
      <c r="AG560" s="161" t="n"/>
      <c r="AH560" s="136" t="n"/>
      <c r="AI560" s="164">
        <f>IF(I560="","",TEXT(I560, "mmmm yyyy"))</f>
        <v/>
      </c>
      <c r="AJ560" s="189">
        <f>IF(AND(OpenPendingCases[[#This Row],[Sale Status	]]="Open Sale",OpenPendingCases[[#This Row],[Potential Same Month]]="High"),TEXT(OpenPendingCases[[#This Row],[Request Entry Date]], "[$-en-us]mmmm"),"")</f>
        <v/>
      </c>
      <c r="AK560" s="165">
        <f>IFERROR(VALUE(SUBSTITUTE(OpenPendingCases[[#This Row],[Price]]," AED","")),"")</f>
        <v/>
      </c>
      <c r="AL560" s="165">
        <f>IFERROR(VALUE(LEFT(OpenPendingCases[[#This Row],[Price]],FIND(" ",OpenPendingCases[[#This Row],[Price]])-1)),"")</f>
        <v/>
      </c>
      <c r="AM560" s="165">
        <f>IFERROR(VALUE(_xlfn.TEXTBEFORE(OpenPendingCases[[#This Row],[Price]]," AED")),"")</f>
        <v/>
      </c>
      <c r="AN560" s="165" t="n"/>
    </row>
    <row r="561" hidden="1" ht="18" customHeight="1" s="287">
      <c r="C561" s="133" t="n"/>
      <c r="D561" s="136">
        <f>IF($U561="Open", IF(MAX($D$4:D560)+1=0, "", MAX($D$4:D560)+1), "")</f>
        <v/>
      </c>
      <c r="E561" s="136">
        <f>IF($U561="Pending Allocation", IF(MAX($E$4:E560)+1=0, "", MAX($E$4:E560)+1), "")</f>
        <v/>
      </c>
      <c r="F561" s="136" t="n"/>
      <c r="G561" s="136" t="n"/>
      <c r="H561" s="150" t="n"/>
      <c r="I561" s="150" t="n"/>
      <c r="J561" s="151">
        <f>IF(OpenPendingCases[[#This Row],[Timepiece Reference ]]="", "", IF(_xlfn.XLOOKUP(OpenPendingCases[[#This Row],[Timepiece Reference ]], Table1[[Timepiece Reference ]], Table1[CRC STOCK], "Not Found")="YES", "CRC Stock", "Boutique Stock"))</f>
        <v/>
      </c>
      <c r="K561" s="136">
        <f>IF(OpenPendingCases[[#This Row],[Timepiece Reference ]]="", "", IF(_xlfn.XLOOKUP(OpenPendingCases[[#This Row],[Timepiece Reference ]], Table1[[Timepiece Reference ]], Table1[CRC STOCK], "Not Found")="YES", "CRC Stock", "Boutique Stock"))</f>
        <v/>
      </c>
      <c r="L561" s="142" t="n"/>
      <c r="M561" s="140" t="n"/>
      <c r="N561" s="136" t="n"/>
      <c r="O561" s="133" t="n"/>
      <c r="P561" s="136">
        <f>IFERROR(VLOOKUP(TRIM(O561), Collection!$B$2:$D$1001, 2, FALSE), "")</f>
        <v/>
      </c>
      <c r="Q561" s="184">
        <f>IFERROR(VLOOKUP(TRIM(O561), Collection!$B$2:$D$1001, 3, FALSE), "")</f>
        <v/>
      </c>
      <c r="R561" s="153">
        <f>IFERROR(VALUE(SUBSTITUTE(SUBSTITUTE(Q561, "Price", ""), "AED", "")), "")</f>
        <v/>
      </c>
      <c r="S561" s="168" t="n"/>
      <c r="T561" s="183" t="n"/>
      <c r="U561" s="136" t="n"/>
      <c r="V561" s="136" t="n"/>
      <c r="W561" s="167">
        <f>IF(Z561 = "",
"",
TEXT(Z561, "mmmm"))</f>
        <v/>
      </c>
      <c r="X561" s="157" t="n"/>
      <c r="Y561" s="158" t="n"/>
      <c r="Z561" s="158" t="n"/>
      <c r="AA561" s="136">
        <f>IF(H561="", "", IF(U561="Open Sale", IF(TODAY()-H561=0, "0 Days", TEXT(TODAY()-H561, "0") &amp; " Days"), IF(U561="Closed Sale", AA561, "")))</f>
        <v/>
      </c>
      <c r="AB561" s="136">
        <f>IF(H561="", "", IF(OR(U561="Pending", U561="Pending Allocation"), CONCATENATE(TODAY()-H561, " Days"), IF(U561="Closed", "", "")))</f>
        <v/>
      </c>
      <c r="AC561" s="160">
        <f>IF(U561="Pending Allocation", IF(I561="", "", TODAY()-I561), "")</f>
        <v/>
      </c>
      <c r="AD561" s="159">
        <f>IF(U561="Open Sale", TEXT(TODAY()-I561, "0"),
IF(U561="Pending", "",
IF(U561="Closed Sale", "", "")))</f>
        <v/>
      </c>
      <c r="AE561" s="161" t="n"/>
      <c r="AF561" s="161" t="n"/>
      <c r="AG561" s="161" t="n"/>
      <c r="AH561" s="136" t="n"/>
      <c r="AI561" s="164">
        <f>IF(I561="","",TEXT(I561, "mmmm yyyy"))</f>
        <v/>
      </c>
      <c r="AJ561" s="189">
        <f>IF(AND(OpenPendingCases[[#This Row],[Sale Status	]]="Open Sale",OpenPendingCases[[#This Row],[Potential Same Month]]="High"),TEXT(OpenPendingCases[[#This Row],[Request Entry Date]], "[$-en-us]mmmm"),"")</f>
        <v/>
      </c>
      <c r="AK561" s="165">
        <f>IFERROR(VALUE(SUBSTITUTE(OpenPendingCases[[#This Row],[Price]]," AED","")),"")</f>
        <v/>
      </c>
      <c r="AL561" s="165">
        <f>IFERROR(VALUE(LEFT(OpenPendingCases[[#This Row],[Price]],FIND(" ",OpenPendingCases[[#This Row],[Price]])-1)),"")</f>
        <v/>
      </c>
      <c r="AM561" s="165">
        <f>IFERROR(VALUE(_xlfn.TEXTBEFORE(OpenPendingCases[[#This Row],[Price]]," AED")),"")</f>
        <v/>
      </c>
      <c r="AN561" s="165" t="n"/>
    </row>
    <row r="562" hidden="1" ht="18" customHeight="1" s="287">
      <c r="C562" s="133" t="n"/>
      <c r="D562" s="136">
        <f>IF($U562="Open", IF(MAX($D$4:D561)+1=0, "", MAX($D$4:D561)+1), "")</f>
        <v/>
      </c>
      <c r="E562" s="136">
        <f>IF($U562="Pending Allocation", IF(MAX($E$4:E561)+1=0, "", MAX($E$4:E561)+1), "")</f>
        <v/>
      </c>
      <c r="F562" s="136" t="n"/>
      <c r="G562" s="136" t="n"/>
      <c r="H562" s="150" t="n"/>
      <c r="I562" s="150" t="n"/>
      <c r="J562" s="151">
        <f>IF(OpenPendingCases[[#This Row],[Timepiece Reference ]]="", "", IF(_xlfn.XLOOKUP(OpenPendingCases[[#This Row],[Timepiece Reference ]], Table1[[Timepiece Reference ]], Table1[CRC STOCK], "Not Found")="YES", "CRC Stock", "Boutique Stock"))</f>
        <v/>
      </c>
      <c r="K562" s="136">
        <f>IF(OpenPendingCases[[#This Row],[Timepiece Reference ]]="", "", IF(_xlfn.XLOOKUP(OpenPendingCases[[#This Row],[Timepiece Reference ]], Table1[[Timepiece Reference ]], Table1[CRC STOCK], "Not Found")="YES", "CRC Stock", "Boutique Stock"))</f>
        <v/>
      </c>
      <c r="L562" s="142" t="n"/>
      <c r="M562" s="140" t="n"/>
      <c r="N562" s="136" t="n"/>
      <c r="O562" s="133" t="n"/>
      <c r="P562" s="136">
        <f>IFERROR(VLOOKUP(TRIM(O562), Collection!$B$2:$D$1001, 2, FALSE), "")</f>
        <v/>
      </c>
      <c r="Q562" s="184">
        <f>IFERROR(VLOOKUP(TRIM(O562), Collection!$B$2:$D$1001, 3, FALSE), "")</f>
        <v/>
      </c>
      <c r="R562" s="153">
        <f>IFERROR(VALUE(SUBSTITUTE(SUBSTITUTE(Q562, "Price", ""), "AED", "")), "")</f>
        <v/>
      </c>
      <c r="S562" s="168" t="n"/>
      <c r="T562" s="183" t="n"/>
      <c r="U562" s="136" t="n"/>
      <c r="V562" s="136" t="n"/>
      <c r="W562" s="167">
        <f>IF(Z562 = "",
"",
TEXT(Z562, "mmmm"))</f>
        <v/>
      </c>
      <c r="X562" s="157" t="n"/>
      <c r="Y562" s="158" t="n"/>
      <c r="Z562" s="158" t="n"/>
      <c r="AA562" s="136">
        <f>IF(H562="", "", IF(U562="Open Sale", IF(TODAY()-H562=0, "0 Days", TEXT(TODAY()-H562, "0") &amp; " Days"), IF(U562="Closed Sale", AA562, "")))</f>
        <v/>
      </c>
      <c r="AB562" s="136">
        <f>IF(H562="", "", IF(OR(U562="Pending", U562="Pending Allocation"), CONCATENATE(TODAY()-H562, " Days"), IF(U562="Closed", "", "")))</f>
        <v/>
      </c>
      <c r="AC562" s="160">
        <f>IF(U562="Pending Allocation", IF(I562="", "", TODAY()-I562), "")</f>
        <v/>
      </c>
      <c r="AD562" s="159">
        <f>IF(U562="Open Sale", TEXT(TODAY()-I562, "0"),
IF(U562="Pending", "",
IF(U562="Closed Sale", "", "")))</f>
        <v/>
      </c>
      <c r="AE562" s="161" t="n"/>
      <c r="AF562" s="161" t="n"/>
      <c r="AG562" s="161" t="n"/>
      <c r="AH562" s="136" t="n"/>
      <c r="AI562" s="164">
        <f>IF(I562="","",TEXT(I562, "mmmm yyyy"))</f>
        <v/>
      </c>
      <c r="AJ562" s="189">
        <f>IF(AND(OpenPendingCases[[#This Row],[Sale Status	]]="Open Sale",OpenPendingCases[[#This Row],[Potential Same Month]]="High"),TEXT(OpenPendingCases[[#This Row],[Request Entry Date]], "[$-en-us]mmmm"),"")</f>
        <v/>
      </c>
      <c r="AK562" s="165">
        <f>IFERROR(VALUE(SUBSTITUTE(OpenPendingCases[[#This Row],[Price]]," AED","")),"")</f>
        <v/>
      </c>
      <c r="AL562" s="165">
        <f>IFERROR(VALUE(LEFT(OpenPendingCases[[#This Row],[Price]],FIND(" ",OpenPendingCases[[#This Row],[Price]])-1)),"")</f>
        <v/>
      </c>
      <c r="AM562" s="165">
        <f>IFERROR(VALUE(_xlfn.TEXTBEFORE(OpenPendingCases[[#This Row],[Price]]," AED")),"")</f>
        <v/>
      </c>
      <c r="AN562" s="165" t="n"/>
    </row>
    <row r="563" hidden="1" ht="18" customHeight="1" s="287">
      <c r="C563" s="133" t="n"/>
      <c r="D563" s="136">
        <f>IF($U563="Open", IF(MAX($D$4:D562)+1=0, "", MAX($D$4:D562)+1), "")</f>
        <v/>
      </c>
      <c r="E563" s="136">
        <f>IF($U563="Pending Allocation", IF(MAX($E$4:E562)+1=0, "", MAX($E$4:E562)+1), "")</f>
        <v/>
      </c>
      <c r="F563" s="136" t="n"/>
      <c r="G563" s="136" t="n"/>
      <c r="H563" s="150" t="n"/>
      <c r="I563" s="150" t="n"/>
      <c r="J563" s="151">
        <f>IF(OpenPendingCases[[#This Row],[Timepiece Reference ]]="", "", IF(_xlfn.XLOOKUP(OpenPendingCases[[#This Row],[Timepiece Reference ]], Table1[[Timepiece Reference ]], Table1[CRC STOCK], "Not Found")="YES", "CRC Stock", "Boutique Stock"))</f>
        <v/>
      </c>
      <c r="K563" s="136">
        <f>IF(OpenPendingCases[[#This Row],[Timepiece Reference ]]="", "", IF(_xlfn.XLOOKUP(OpenPendingCases[[#This Row],[Timepiece Reference ]], Table1[[Timepiece Reference ]], Table1[CRC STOCK], "Not Found")="YES", "CRC Stock", "Boutique Stock"))</f>
        <v/>
      </c>
      <c r="L563" s="142" t="n"/>
      <c r="M563" s="140" t="n"/>
      <c r="N563" s="136" t="n"/>
      <c r="O563" s="133" t="n"/>
      <c r="P563" s="136">
        <f>IFERROR(VLOOKUP(TRIM(O563), Collection!$B$2:$D$1001, 2, FALSE), "")</f>
        <v/>
      </c>
      <c r="Q563" s="184">
        <f>IFERROR(VLOOKUP(TRIM(O563), Collection!$B$2:$D$1001, 3, FALSE), "")</f>
        <v/>
      </c>
      <c r="R563" s="153">
        <f>IFERROR(VALUE(SUBSTITUTE(SUBSTITUTE(Q563, "Price", ""), "AED", "")), "")</f>
        <v/>
      </c>
      <c r="S563" s="168" t="n"/>
      <c r="T563" s="183" t="n"/>
      <c r="U563" s="136" t="n"/>
      <c r="V563" s="136" t="n"/>
      <c r="W563" s="167">
        <f>IF(Z563 = "",
"",
TEXT(Z563, "mmmm"))</f>
        <v/>
      </c>
      <c r="X563" s="157" t="n"/>
      <c r="Y563" s="158" t="n"/>
      <c r="Z563" s="158" t="n"/>
      <c r="AA563" s="136">
        <f>IF(H563="", "", IF(U563="Open Sale", IF(TODAY()-H563=0, "0 Days", TEXT(TODAY()-H563, "0") &amp; " Days"), IF(U563="Closed Sale", AA563, "")))</f>
        <v/>
      </c>
      <c r="AB563" s="136">
        <f>IF(H563="", "", IF(OR(U563="Pending", U563="Pending Allocation"), CONCATENATE(TODAY()-H563, " Days"), IF(U563="Closed", "", "")))</f>
        <v/>
      </c>
      <c r="AC563" s="160">
        <f>IF(U563="Pending Allocation", IF(I563="", "", TODAY()-I563), "")</f>
        <v/>
      </c>
      <c r="AD563" s="159">
        <f>IF(U563="Open Sale", TEXT(TODAY()-I563, "0"),
IF(U563="Pending", "",
IF(U563="Closed Sale", "", "")))</f>
        <v/>
      </c>
      <c r="AE563" s="161" t="n"/>
      <c r="AF563" s="161" t="n"/>
      <c r="AG563" s="161" t="n"/>
      <c r="AH563" s="136" t="n"/>
      <c r="AI563" s="164">
        <f>IF(I563="","",TEXT(I563, "mmmm yyyy"))</f>
        <v/>
      </c>
      <c r="AJ563" s="189">
        <f>IF(AND(OpenPendingCases[[#This Row],[Sale Status	]]="Open Sale",OpenPendingCases[[#This Row],[Potential Same Month]]="High"),TEXT(OpenPendingCases[[#This Row],[Request Entry Date]], "[$-en-us]mmmm"),"")</f>
        <v/>
      </c>
      <c r="AK563" s="165">
        <f>IFERROR(VALUE(SUBSTITUTE(OpenPendingCases[[#This Row],[Price]]," AED","")),"")</f>
        <v/>
      </c>
      <c r="AL563" s="165">
        <f>IFERROR(VALUE(LEFT(OpenPendingCases[[#This Row],[Price]],FIND(" ",OpenPendingCases[[#This Row],[Price]])-1)),"")</f>
        <v/>
      </c>
      <c r="AM563" s="165">
        <f>IFERROR(VALUE(_xlfn.TEXTBEFORE(OpenPendingCases[[#This Row],[Price]]," AED")),"")</f>
        <v/>
      </c>
      <c r="AN563" s="165" t="n"/>
    </row>
    <row r="564" hidden="1" ht="18" customHeight="1" s="287">
      <c r="C564" s="133" t="n"/>
      <c r="D564" s="136">
        <f>IF($U564="Open", IF(MAX($D$4:D563)+1=0, "", MAX($D$4:D563)+1), "")</f>
        <v/>
      </c>
      <c r="E564" s="136">
        <f>IF($U564="Pending Allocation", IF(MAX($E$4:E563)+1=0, "", MAX($E$4:E563)+1), "")</f>
        <v/>
      </c>
      <c r="F564" s="136" t="n"/>
      <c r="G564" s="136" t="n"/>
      <c r="H564" s="150" t="n"/>
      <c r="I564" s="150" t="n"/>
      <c r="J564" s="151">
        <f>IF(OpenPendingCases[[#This Row],[Timepiece Reference ]]="", "", IF(_xlfn.XLOOKUP(OpenPendingCases[[#This Row],[Timepiece Reference ]], Table1[[Timepiece Reference ]], Table1[CRC STOCK], "Not Found")="YES", "CRC Stock", "Boutique Stock"))</f>
        <v/>
      </c>
      <c r="K564" s="136">
        <f>IF(OpenPendingCases[[#This Row],[Timepiece Reference ]]="", "", IF(_xlfn.XLOOKUP(OpenPendingCases[[#This Row],[Timepiece Reference ]], Table1[[Timepiece Reference ]], Table1[CRC STOCK], "Not Found")="YES", "CRC Stock", "Boutique Stock"))</f>
        <v/>
      </c>
      <c r="L564" s="142" t="n"/>
      <c r="M564" s="140" t="n"/>
      <c r="N564" s="136" t="n"/>
      <c r="O564" s="133" t="n"/>
      <c r="P564" s="136">
        <f>IFERROR(VLOOKUP(TRIM(O564), Collection!$B$2:$D$1001, 2, FALSE), "")</f>
        <v/>
      </c>
      <c r="Q564" s="184">
        <f>IFERROR(VLOOKUP(TRIM(O564), Collection!$B$2:$D$1001, 3, FALSE), "")</f>
        <v/>
      </c>
      <c r="R564" s="153">
        <f>IFERROR(VALUE(SUBSTITUTE(SUBSTITUTE(Q564, "Price", ""), "AED", "")), "")</f>
        <v/>
      </c>
      <c r="S564" s="168" t="n"/>
      <c r="T564" s="183" t="n"/>
      <c r="U564" s="136" t="n"/>
      <c r="V564" s="136" t="n"/>
      <c r="W564" s="167">
        <f>IF(Z564 = "",
"",
TEXT(Z564, "mmmm"))</f>
        <v/>
      </c>
      <c r="X564" s="157" t="n"/>
      <c r="Y564" s="158" t="n"/>
      <c r="Z564" s="158" t="n"/>
      <c r="AA564" s="136">
        <f>IF(H564="", "", IF(U564="Open Sale", IF(TODAY()-H564=0, "0 Days", TEXT(TODAY()-H564, "0") &amp; " Days"), IF(U564="Closed Sale", AA564, "")))</f>
        <v/>
      </c>
      <c r="AB564" s="136">
        <f>IF(H564="", "", IF(OR(U564="Pending", U564="Pending Allocation"), CONCATENATE(TODAY()-H564, " Days"), IF(U564="Closed", "", "")))</f>
        <v/>
      </c>
      <c r="AC564" s="160">
        <f>IF(U564="Pending Allocation", IF(I564="", "", TODAY()-I564), "")</f>
        <v/>
      </c>
      <c r="AD564" s="159">
        <f>IF(U564="Open Sale", TEXT(TODAY()-I564, "0"),
IF(U564="Pending", "",
IF(U564="Closed Sale", "", "")))</f>
        <v/>
      </c>
      <c r="AE564" s="161" t="n"/>
      <c r="AF564" s="161" t="n"/>
      <c r="AG564" s="161" t="n"/>
      <c r="AH564" s="136" t="n"/>
      <c r="AI564" s="164">
        <f>IF(I564="","",TEXT(I564, "mmmm yyyy"))</f>
        <v/>
      </c>
      <c r="AJ564" s="189">
        <f>IF(AND(OpenPendingCases[[#This Row],[Sale Status	]]="Open Sale",OpenPendingCases[[#This Row],[Potential Same Month]]="High"),TEXT(OpenPendingCases[[#This Row],[Request Entry Date]], "[$-en-us]mmmm"),"")</f>
        <v/>
      </c>
      <c r="AK564" s="165">
        <f>IFERROR(VALUE(SUBSTITUTE(OpenPendingCases[[#This Row],[Price]]," AED","")),"")</f>
        <v/>
      </c>
      <c r="AL564" s="165">
        <f>IFERROR(VALUE(LEFT(OpenPendingCases[[#This Row],[Price]],FIND(" ",OpenPendingCases[[#This Row],[Price]])-1)),"")</f>
        <v/>
      </c>
      <c r="AM564" s="165">
        <f>IFERROR(VALUE(_xlfn.TEXTBEFORE(OpenPendingCases[[#This Row],[Price]]," AED")),"")</f>
        <v/>
      </c>
      <c r="AN564" s="165" t="n"/>
    </row>
    <row r="565" hidden="1" ht="18" customHeight="1" s="287">
      <c r="C565" s="133" t="n"/>
      <c r="D565" s="136">
        <f>IF($U565="Open", IF(MAX($D$4:D564)+1=0, "", MAX($D$4:D564)+1), "")</f>
        <v/>
      </c>
      <c r="E565" s="136">
        <f>IF($U565="Pending Allocation", IF(MAX($E$4:E564)+1=0, "", MAX($E$4:E564)+1), "")</f>
        <v/>
      </c>
      <c r="F565" s="136" t="n"/>
      <c r="G565" s="136" t="n"/>
      <c r="H565" s="150" t="n"/>
      <c r="I565" s="150" t="n"/>
      <c r="J565" s="151">
        <f>IF(OpenPendingCases[[#This Row],[Timepiece Reference ]]="", "", IF(_xlfn.XLOOKUP(OpenPendingCases[[#This Row],[Timepiece Reference ]], Table1[[Timepiece Reference ]], Table1[CRC STOCK], "Not Found")="YES", "CRC Stock", "Boutique Stock"))</f>
        <v/>
      </c>
      <c r="K565" s="136">
        <f>IF(OpenPendingCases[[#This Row],[Timepiece Reference ]]="", "", IF(_xlfn.XLOOKUP(OpenPendingCases[[#This Row],[Timepiece Reference ]], Table1[[Timepiece Reference ]], Table1[CRC STOCK], "Not Found")="YES", "CRC Stock", "Boutique Stock"))</f>
        <v/>
      </c>
      <c r="L565" s="142" t="n"/>
      <c r="M565" s="140" t="n"/>
      <c r="N565" s="136" t="n"/>
      <c r="O565" s="133" t="n"/>
      <c r="P565" s="136">
        <f>IFERROR(VLOOKUP(TRIM(O565), Collection!$B$2:$D$1001, 2, FALSE), "")</f>
        <v/>
      </c>
      <c r="Q565" s="184">
        <f>IFERROR(VLOOKUP(TRIM(O565), Collection!$B$2:$D$1001, 3, FALSE), "")</f>
        <v/>
      </c>
      <c r="R565" s="153">
        <f>IFERROR(VALUE(SUBSTITUTE(SUBSTITUTE(Q565, "Price", ""), "AED", "")), "")</f>
        <v/>
      </c>
      <c r="S565" s="168" t="n"/>
      <c r="T565" s="183" t="n"/>
      <c r="U565" s="136" t="n"/>
      <c r="V565" s="136" t="n"/>
      <c r="W565" s="167">
        <f>IF(Z565 = "",
"",
TEXT(Z565, "mmmm"))</f>
        <v/>
      </c>
      <c r="X565" s="157" t="n"/>
      <c r="Y565" s="158" t="n"/>
      <c r="Z565" s="158" t="n"/>
      <c r="AA565" s="136">
        <f>IF(H565="", "", IF(U565="Open Sale", IF(TODAY()-H565=0, "0 Days", TEXT(TODAY()-H565, "0") &amp; " Days"), IF(U565="Closed Sale", AA565, "")))</f>
        <v/>
      </c>
      <c r="AB565" s="136">
        <f>IF(H565="", "", IF(OR(U565="Pending", U565="Pending Allocation"), CONCATENATE(TODAY()-H565, " Days"), IF(U565="Closed", "", "")))</f>
        <v/>
      </c>
      <c r="AC565" s="160">
        <f>IF(U565="Pending Allocation", IF(I565="", "", TODAY()-I565), "")</f>
        <v/>
      </c>
      <c r="AD565" s="159">
        <f>IF(U565="Open Sale", TEXT(TODAY()-I565, "0"),
IF(U565="Pending", "",
IF(U565="Closed Sale", "", "")))</f>
        <v/>
      </c>
      <c r="AE565" s="161" t="n"/>
      <c r="AF565" s="161" t="n"/>
      <c r="AG565" s="161" t="n"/>
      <c r="AH565" s="136" t="n"/>
      <c r="AI565" s="164">
        <f>IF(I565="","",TEXT(I565, "mmmm yyyy"))</f>
        <v/>
      </c>
      <c r="AJ565" s="189">
        <f>IF(AND(OpenPendingCases[[#This Row],[Sale Status	]]="Open Sale",OpenPendingCases[[#This Row],[Potential Same Month]]="High"),TEXT(OpenPendingCases[[#This Row],[Request Entry Date]], "[$-en-us]mmmm"),"")</f>
        <v/>
      </c>
      <c r="AK565" s="165">
        <f>IFERROR(VALUE(SUBSTITUTE(OpenPendingCases[[#This Row],[Price]]," AED","")),"")</f>
        <v/>
      </c>
      <c r="AL565" s="165">
        <f>IFERROR(VALUE(LEFT(OpenPendingCases[[#This Row],[Price]],FIND(" ",OpenPendingCases[[#This Row],[Price]])-1)),"")</f>
        <v/>
      </c>
      <c r="AM565" s="165">
        <f>IFERROR(VALUE(_xlfn.TEXTBEFORE(OpenPendingCases[[#This Row],[Price]]," AED")),"")</f>
        <v/>
      </c>
      <c r="AN565" s="165" t="n"/>
    </row>
    <row r="566" hidden="1" ht="18" customHeight="1" s="287">
      <c r="C566" s="133" t="n"/>
      <c r="D566" s="136">
        <f>IF($U566="Open", IF(MAX($D$4:D565)+1=0, "", MAX($D$4:D565)+1), "")</f>
        <v/>
      </c>
      <c r="E566" s="136">
        <f>IF($U566="Pending Allocation", IF(MAX($E$4:E565)+1=0, "", MAX($E$4:E565)+1), "")</f>
        <v/>
      </c>
      <c r="F566" s="136" t="n"/>
      <c r="G566" s="136" t="n"/>
      <c r="H566" s="150" t="n"/>
      <c r="I566" s="150" t="n"/>
      <c r="J566" s="151">
        <f>IF(OpenPendingCases[[#This Row],[Timepiece Reference ]]="", "", IF(_xlfn.XLOOKUP(OpenPendingCases[[#This Row],[Timepiece Reference ]], Table1[[Timepiece Reference ]], Table1[CRC STOCK], "Not Found")="YES", "CRC Stock", "Boutique Stock"))</f>
        <v/>
      </c>
      <c r="K566" s="136">
        <f>IF(OpenPendingCases[[#This Row],[Timepiece Reference ]]="", "", IF(_xlfn.XLOOKUP(OpenPendingCases[[#This Row],[Timepiece Reference ]], Table1[[Timepiece Reference ]], Table1[CRC STOCK], "Not Found")="YES", "CRC Stock", "Boutique Stock"))</f>
        <v/>
      </c>
      <c r="L566" s="142" t="n"/>
      <c r="M566" s="140" t="n"/>
      <c r="N566" s="136" t="n"/>
      <c r="O566" s="133" t="n"/>
      <c r="P566" s="136">
        <f>IFERROR(VLOOKUP(TRIM(O566), Collection!$B$2:$D$1001, 2, FALSE), "")</f>
        <v/>
      </c>
      <c r="Q566" s="184">
        <f>IFERROR(VLOOKUP(TRIM(O566), Collection!$B$2:$D$1001, 3, FALSE), "")</f>
        <v/>
      </c>
      <c r="R566" s="153">
        <f>IFERROR(VALUE(SUBSTITUTE(SUBSTITUTE(Q566, "Price", ""), "AED", "")), "")</f>
        <v/>
      </c>
      <c r="S566" s="168" t="n"/>
      <c r="T566" s="183" t="n"/>
      <c r="U566" s="136" t="n"/>
      <c r="V566" s="136" t="n"/>
      <c r="W566" s="167">
        <f>IF(Z566 = "",
"",
TEXT(Z566, "mmmm"))</f>
        <v/>
      </c>
      <c r="X566" s="157" t="n"/>
      <c r="Y566" s="158" t="n"/>
      <c r="Z566" s="158" t="n"/>
      <c r="AA566" s="136">
        <f>IF(H566="", "", IF(U566="Open Sale", IF(TODAY()-H566=0, "0 Days", TEXT(TODAY()-H566, "0") &amp; " Days"), IF(U566="Closed Sale", AA566, "")))</f>
        <v/>
      </c>
      <c r="AB566" s="136">
        <f>IF(H566="", "", IF(OR(U566="Pending", U566="Pending Allocation"), CONCATENATE(TODAY()-H566, " Days"), IF(U566="Closed", "", "")))</f>
        <v/>
      </c>
      <c r="AC566" s="160">
        <f>IF(U566="Pending Allocation", IF(I566="", "", TODAY()-I566), "")</f>
        <v/>
      </c>
      <c r="AD566" s="159">
        <f>IF(U566="Open Sale", TEXT(TODAY()-I566, "0"),
IF(U566="Pending", "",
IF(U566="Closed Sale", "", "")))</f>
        <v/>
      </c>
      <c r="AE566" s="161" t="n"/>
      <c r="AF566" s="161" t="n"/>
      <c r="AG566" s="161" t="n"/>
      <c r="AH566" s="136" t="n"/>
      <c r="AI566" s="164">
        <f>IF(I566="","",TEXT(I566, "mmmm yyyy"))</f>
        <v/>
      </c>
      <c r="AJ566" s="189">
        <f>IF(AND(OpenPendingCases[[#This Row],[Sale Status	]]="Open Sale",OpenPendingCases[[#This Row],[Potential Same Month]]="High"),TEXT(OpenPendingCases[[#This Row],[Request Entry Date]], "[$-en-us]mmmm"),"")</f>
        <v/>
      </c>
      <c r="AK566" s="165">
        <f>IFERROR(VALUE(SUBSTITUTE(OpenPendingCases[[#This Row],[Price]]," AED","")),"")</f>
        <v/>
      </c>
      <c r="AL566" s="165">
        <f>IFERROR(VALUE(LEFT(OpenPendingCases[[#This Row],[Price]],FIND(" ",OpenPendingCases[[#This Row],[Price]])-1)),"")</f>
        <v/>
      </c>
      <c r="AM566" s="165">
        <f>IFERROR(VALUE(_xlfn.TEXTBEFORE(OpenPendingCases[[#This Row],[Price]]," AED")),"")</f>
        <v/>
      </c>
      <c r="AN566" s="165" t="n"/>
    </row>
    <row r="567" hidden="1" ht="18" customHeight="1" s="287">
      <c r="C567" s="133" t="n"/>
      <c r="D567" s="136">
        <f>IF($U567="Open", IF(MAX($D$4:D566)+1=0, "", MAX($D$4:D566)+1), "")</f>
        <v/>
      </c>
      <c r="E567" s="136">
        <f>IF($U567="Pending Allocation", IF(MAX($E$4:E566)+1=0, "", MAX($E$4:E566)+1), "")</f>
        <v/>
      </c>
      <c r="F567" s="136" t="n"/>
      <c r="G567" s="136" t="n"/>
      <c r="H567" s="150" t="n"/>
      <c r="I567" s="150" t="n"/>
      <c r="J567" s="151">
        <f>IF(OpenPendingCases[[#This Row],[Timepiece Reference ]]="", "", IF(_xlfn.XLOOKUP(OpenPendingCases[[#This Row],[Timepiece Reference ]], Table1[[Timepiece Reference ]], Table1[CRC STOCK], "Not Found")="YES", "CRC Stock", "Boutique Stock"))</f>
        <v/>
      </c>
      <c r="K567" s="136">
        <f>IF(OpenPendingCases[[#This Row],[Timepiece Reference ]]="", "", IF(_xlfn.XLOOKUP(OpenPendingCases[[#This Row],[Timepiece Reference ]], Table1[[Timepiece Reference ]], Table1[CRC STOCK], "Not Found")="YES", "CRC Stock", "Boutique Stock"))</f>
        <v/>
      </c>
      <c r="L567" s="142" t="n"/>
      <c r="M567" s="140" t="n"/>
      <c r="N567" s="136" t="n"/>
      <c r="O567" s="133" t="n"/>
      <c r="P567" s="136">
        <f>IFERROR(VLOOKUP(TRIM(O567), Collection!$B$2:$D$1001, 2, FALSE), "")</f>
        <v/>
      </c>
      <c r="Q567" s="184">
        <f>IFERROR(VLOOKUP(TRIM(O567), Collection!$B$2:$D$1001, 3, FALSE), "")</f>
        <v/>
      </c>
      <c r="R567" s="153">
        <f>IFERROR(VALUE(SUBSTITUTE(SUBSTITUTE(Q567, "Price", ""), "AED", "")), "")</f>
        <v/>
      </c>
      <c r="S567" s="168" t="n"/>
      <c r="T567" s="183" t="n"/>
      <c r="U567" s="136" t="n"/>
      <c r="V567" s="136" t="n"/>
      <c r="W567" s="167">
        <f>IF(Z567 = "",
"",
TEXT(Z567, "mmmm"))</f>
        <v/>
      </c>
      <c r="X567" s="157" t="n"/>
      <c r="Y567" s="158" t="n"/>
      <c r="Z567" s="158" t="n"/>
      <c r="AA567" s="136">
        <f>IF(H567="", "", IF(U567="Open Sale", IF(TODAY()-H567=0, "0 Days", TEXT(TODAY()-H567, "0") &amp; " Days"), IF(U567="Closed Sale", AA567, "")))</f>
        <v/>
      </c>
      <c r="AB567" s="136">
        <f>IF(H567="", "", IF(OR(U567="Pending", U567="Pending Allocation"), CONCATENATE(TODAY()-H567, " Days"), IF(U567="Closed", "", "")))</f>
        <v/>
      </c>
      <c r="AC567" s="160">
        <f>IF(U567="Pending Allocation", IF(I567="", "", TODAY()-I567), "")</f>
        <v/>
      </c>
      <c r="AD567" s="159">
        <f>IF(U567="Open Sale", TEXT(TODAY()-I567, "0"),
IF(U567="Pending", "",
IF(U567="Closed Sale", "", "")))</f>
        <v/>
      </c>
      <c r="AE567" s="161" t="n"/>
      <c r="AF567" s="161" t="n"/>
      <c r="AG567" s="161" t="n"/>
      <c r="AH567" s="136" t="n"/>
      <c r="AI567" s="164">
        <f>IF(I567="","",TEXT(I567, "mmmm yyyy"))</f>
        <v/>
      </c>
      <c r="AJ567" s="189">
        <f>IF(AND(OpenPendingCases[[#This Row],[Sale Status	]]="Open Sale",OpenPendingCases[[#This Row],[Potential Same Month]]="High"),TEXT(OpenPendingCases[[#This Row],[Request Entry Date]], "[$-en-us]mmmm"),"")</f>
        <v/>
      </c>
      <c r="AK567" s="165">
        <f>IFERROR(VALUE(SUBSTITUTE(OpenPendingCases[[#This Row],[Price]]," AED","")),"")</f>
        <v/>
      </c>
      <c r="AL567" s="165">
        <f>IFERROR(VALUE(LEFT(OpenPendingCases[[#This Row],[Price]],FIND(" ",OpenPendingCases[[#This Row],[Price]])-1)),"")</f>
        <v/>
      </c>
      <c r="AM567" s="165">
        <f>IFERROR(VALUE(_xlfn.TEXTBEFORE(OpenPendingCases[[#This Row],[Price]]," AED")),"")</f>
        <v/>
      </c>
      <c r="AN567" s="165" t="n"/>
    </row>
    <row r="568" hidden="1" ht="18" customHeight="1" s="287">
      <c r="C568" s="135" t="n">
        <v>32</v>
      </c>
      <c r="D568" s="137">
        <f>IF($U568="Open", IF(MAX($D$4:D567)+1=0, "", MAX($D$4:D567)+1), "")</f>
        <v/>
      </c>
      <c r="E568" s="137">
        <f>IF($U568="Pending Allocation", IF(MAX($E$4:E567)+1=0, "", MAX($E$4:E567)+1), "")</f>
        <v/>
      </c>
      <c r="F568" s="137" t="inlineStr">
        <is>
          <t>Maaz</t>
        </is>
      </c>
      <c r="G568" s="137" t="n"/>
      <c r="H568" s="171" t="n"/>
      <c r="I568" s="171" t="n"/>
      <c r="J568" s="172">
        <f>IF(OpenPendingCases[[#This Row],[Timepiece Reference ]]="", "", IF(_xlfn.XLOOKUP(OpenPendingCases[[#This Row],[Timepiece Reference ]], Table1[[Timepiece Reference ]], Table1[CRC STOCK], "Not Found")="YES", "CRC Stock", "Boutique Stock"))</f>
        <v/>
      </c>
      <c r="K568" s="137">
        <f>IF(OpenPendingCases[[#This Row],[Timepiece Reference ]]="", "", IF(_xlfn.XLOOKUP(OpenPendingCases[[#This Row],[Timepiece Reference ]], Table1[[Timepiece Reference ]], Table1[CRC STOCK], "Not Found")="YES", "CRC Stock", "Boutique Stock"))</f>
        <v/>
      </c>
      <c r="L568" s="205" t="n"/>
      <c r="M568" s="141" t="n"/>
      <c r="N568" s="206" t="n"/>
      <c r="O568" s="135" t="n"/>
      <c r="P568" s="137">
        <f>IFERROR(VLOOKUP(TRIM(O568), Collection!$B$2:$D$1001, 2, FALSE), "")</f>
        <v/>
      </c>
      <c r="Q568" s="187">
        <f>IFERROR(VLOOKUP(TRIM(O568), Collection!$B$2:$D$1001, 3, FALSE), "")</f>
        <v/>
      </c>
      <c r="R568" s="173">
        <f>IFERROR(VALUE(SUBSTITUTE(SUBSTITUTE(Q568, "Price", ""), "AED", "")), "")</f>
        <v/>
      </c>
      <c r="S568" s="174" t="n"/>
      <c r="T568" s="185" t="n"/>
      <c r="U568" s="137" t="n"/>
      <c r="V568" s="137" t="n"/>
      <c r="W568" s="186">
        <f>IF(Z568 = "",
     "",
     TEXT(Z568, "mmmm"))</f>
        <v/>
      </c>
      <c r="X568" s="188" t="n"/>
      <c r="Y568" s="175" t="n"/>
      <c r="Z568" s="175" t="n"/>
      <c r="AA568" s="137">
        <f>IF(H568="", "", IF(U568="Open Sale", IF(TODAY()-H568=0, "0 Days", TEXT(TODAY()-H568, "0") &amp; " Days"), IF(U568="Closed Sale", AA568, "")))</f>
        <v/>
      </c>
      <c r="AB568" s="137">
        <f>IF(H568="", "", IF(OR(U568="Pending", U568="Pending Allocation"), CONCATENATE(TODAY()-H568, " Days"), IF(U568="Closed", "", "")))</f>
        <v/>
      </c>
      <c r="AC568" s="176">
        <f>IF(U568="Pending Allocation", IF(I568="", "", TODAY()-I568), "")</f>
        <v/>
      </c>
      <c r="AD568" s="177">
        <f>IF(U568="Open Sale", TEXT(TODAY()-I568, "0"),
   IF(U568="Pending", "",
      IF(U568="Closed Sale", "", "")))</f>
        <v/>
      </c>
      <c r="AE568" s="178" t="n"/>
      <c r="AF568" s="178" t="n"/>
      <c r="AG568" s="178" t="n"/>
      <c r="AH568" s="137" t="n"/>
      <c r="AI568" s="207">
        <f>TEXT(I568, "mmmm yyyy")</f>
        <v/>
      </c>
      <c r="AJ568" s="208">
        <f>IF(AND(OpenPendingCases[[#This Row],[Sale Status	]]="Open Sale",OpenPendingCases[[#This Row],[Potential Same Month]]="High"),TEXT(OpenPendingCases[[#This Row],[Request Entry Date]], "[$-en-us]mmmm"),"")</f>
        <v/>
      </c>
      <c r="AK568" s="165">
        <f>IFERROR(VALUE(SUBSTITUTE(OpenPendingCases[[#This Row],[Price]]," AED","")),"")</f>
        <v/>
      </c>
      <c r="AL568" s="165">
        <f>IFERROR(VALUE(LEFT(OpenPendingCases[[#This Row],[Price]],FIND(" ",OpenPendingCases[[#This Row],[Price]])-1)),"")</f>
        <v/>
      </c>
      <c r="AM568" s="165">
        <f>IFERROR(VALUE(_xlfn.TEXTBEFORE(OpenPendingCases[[#This Row],[Price]]," AED")),"")</f>
        <v/>
      </c>
      <c r="AN568" s="165" t="n"/>
    </row>
    <row r="569" hidden="1" ht="18" customHeight="1" s="287">
      <c r="C569" s="135" t="n">
        <v>32</v>
      </c>
      <c r="D569" s="137">
        <f>IF($U10="Open", IF(MAX($D$4:D568)+1=0, "", MAX($D$4:D568)+1), "")</f>
        <v/>
      </c>
      <c r="E569" s="137">
        <f>IF($U10="Pending Allocation", IF(MAX($E$4:E568)+1=0, "", MAX($E$4:E568)+1), "")</f>
        <v/>
      </c>
      <c r="F569" s="133" t="inlineStr">
        <is>
          <t>Maaz</t>
        </is>
      </c>
      <c r="G569" s="137" t="n"/>
      <c r="H569" s="171" t="n"/>
      <c r="I569" s="171" t="n"/>
      <c r="J569" s="172" t="n"/>
      <c r="K569" s="137" t="n"/>
      <c r="L569" s="205" t="n"/>
      <c r="M569" s="141" t="n"/>
      <c r="N569" s="206" t="n"/>
      <c r="O569" s="135" t="n"/>
      <c r="P569" s="137" t="n"/>
      <c r="Q569" s="187" t="n"/>
      <c r="R569" s="173" t="n"/>
      <c r="S569" s="174" t="n"/>
      <c r="T569" s="185" t="n"/>
      <c r="U569" s="137" t="n"/>
      <c r="V569" s="137" t="n"/>
      <c r="W569" s="186" t="n"/>
      <c r="X569" s="188" t="n"/>
      <c r="Y569" s="175" t="n"/>
      <c r="Z569" s="175" t="n"/>
      <c r="AA569" s="137" t="n"/>
      <c r="AB569" s="137" t="n"/>
      <c r="AC569" s="176" t="n"/>
      <c r="AD569" s="177" t="n"/>
      <c r="AE569" s="178" t="n"/>
      <c r="AF569" s="178" t="n"/>
      <c r="AG569" s="178" t="n"/>
      <c r="AH569" s="137" t="n"/>
      <c r="AI569" s="207">
        <f>TEXT(I10, "mmmm yyyy")</f>
        <v/>
      </c>
      <c r="AJ569" s="208">
        <f>IF(AND(OpenPendingCases[[#This Row],[Sale Status	]]="Open Sale",OpenPendingCases[[#This Row],[Potential Same Month]]="High"),TEXT(OpenPendingCases[[#This Row],[Request Entry Date]], "[$-en-us]mmmm"),"")</f>
        <v/>
      </c>
      <c r="AK569" s="165">
        <f>IFERROR(VALUE(SUBSTITUTE(OpenPendingCases[[#This Row],[Price]]," AED","")),"")</f>
        <v/>
      </c>
      <c r="AL569" s="165">
        <f>IFERROR(VALUE(LEFT(OpenPendingCases[[#This Row],[Price]],FIND(" ",OpenPendingCases[[#This Row],[Price]])-1)),"")</f>
        <v/>
      </c>
      <c r="AM569" s="165">
        <f>IFERROR(VALUE(_xlfn.TEXTBEFORE(OpenPendingCases[[#This Row],[Price]]," AED")),"")</f>
        <v/>
      </c>
      <c r="AN569" s="137" t="n"/>
    </row>
    <row r="570" ht="15.6" customHeight="1" s="287">
      <c r="C570" s="210" t="n"/>
      <c r="F570" s="211" t="n"/>
      <c r="G570" s="212" t="n"/>
      <c r="H570" s="213" t="n"/>
      <c r="I570" s="213" t="n"/>
      <c r="J570" s="213" t="n"/>
      <c r="K570" s="213" t="n"/>
      <c r="L570" s="214" t="n"/>
      <c r="M570" s="215" t="n"/>
      <c r="N570" s="216" t="n"/>
      <c r="O570" s="217" t="n"/>
      <c r="P570" s="217" t="n"/>
      <c r="Q570" s="213" t="n"/>
      <c r="S570" s="218" t="n"/>
      <c r="T570" s="219" t="n"/>
      <c r="U570" s="220" t="n"/>
      <c r="V570" s="220" t="n"/>
      <c r="W570" s="213" t="n"/>
      <c r="X570" s="217" t="n"/>
      <c r="Y570" s="217" t="n"/>
      <c r="Z570" s="217" t="n"/>
      <c r="AE570" s="217" t="n"/>
      <c r="AF570" s="217" t="n"/>
      <c r="AG570" s="217" t="n"/>
      <c r="AH570" s="217" t="n"/>
      <c r="AN570" s="212" t="n"/>
    </row>
    <row r="571" ht="15.6" customHeight="1" s="287">
      <c r="C571" s="210" t="n"/>
      <c r="F571" s="211" t="n"/>
      <c r="G571" s="212" t="n"/>
      <c r="H571" s="213" t="n"/>
      <c r="I571" s="213" t="n"/>
      <c r="J571" s="213" t="n"/>
      <c r="K571" s="213" t="n"/>
      <c r="L571" s="214" t="n"/>
      <c r="M571" s="215" t="n"/>
      <c r="N571" s="216" t="n"/>
      <c r="O571" s="217" t="n"/>
      <c r="P571" s="217" t="n"/>
      <c r="Q571" s="213" t="n"/>
      <c r="S571" s="218" t="n"/>
      <c r="T571" s="219" t="n"/>
      <c r="U571" s="220" t="n"/>
      <c r="V571" s="220" t="n"/>
      <c r="W571" s="213" t="n"/>
      <c r="X571" s="217" t="n"/>
      <c r="Y571" s="217" t="n"/>
      <c r="Z571" s="217" t="n"/>
      <c r="AE571" s="217" t="n"/>
      <c r="AF571" s="217" t="n"/>
      <c r="AG571" s="217" t="n"/>
      <c r="AH571" s="217" t="n"/>
      <c r="AN571" s="212" t="n"/>
    </row>
    <row r="572" ht="15.6" customHeight="1" s="287">
      <c r="C572" s="210" t="n"/>
      <c r="F572" s="211" t="n"/>
      <c r="G572" s="212" t="n"/>
      <c r="H572" s="213" t="n"/>
      <c r="I572" s="213" t="n"/>
      <c r="J572" s="213" t="n"/>
      <c r="K572" s="213" t="n"/>
      <c r="L572" s="214" t="n"/>
      <c r="M572" s="215" t="n"/>
      <c r="N572" s="216" t="n"/>
      <c r="O572" s="217" t="n"/>
      <c r="P572" s="217" t="n"/>
      <c r="S572" s="218" t="n"/>
      <c r="T572" s="219" t="n"/>
      <c r="U572" s="220" t="n"/>
      <c r="V572" s="220" t="n"/>
      <c r="W572" s="213" t="n"/>
      <c r="X572" s="217" t="n"/>
      <c r="Y572" s="217" t="n"/>
      <c r="Z572" s="217" t="n"/>
      <c r="AE572" s="217" t="n"/>
      <c r="AF572" s="217" t="n"/>
      <c r="AG572" s="217" t="n"/>
      <c r="AH572" s="217" t="n"/>
      <c r="AN572" s="212" t="n"/>
    </row>
    <row r="573" ht="15.6" customHeight="1" s="287">
      <c r="C573" s="38" t="n"/>
      <c r="F573" s="31" t="n"/>
      <c r="Q573" s="213" t="n"/>
    </row>
    <row r="574" ht="15.6" customHeight="1" s="287">
      <c r="C574" s="38" t="n"/>
      <c r="F574" s="31" t="n"/>
    </row>
    <row r="575" ht="15.6" customHeight="1" s="287">
      <c r="C575" s="38" t="n"/>
      <c r="F575" s="31" t="n"/>
    </row>
    <row r="576" ht="15.6" customHeight="1" s="287">
      <c r="C576" s="38" t="n"/>
      <c r="F576" s="31" t="n"/>
    </row>
    <row r="577" ht="15.6" customHeight="1" s="287">
      <c r="C577" s="38" t="n"/>
      <c r="F577" s="31" t="n"/>
    </row>
    <row r="578" ht="15.6" customHeight="1" s="287">
      <c r="C578" s="38" t="n"/>
      <c r="F578" s="31" t="n"/>
    </row>
    <row r="579" ht="15.6" customHeight="1" s="287">
      <c r="C579" s="38" t="n"/>
      <c r="F579" s="31" t="n"/>
    </row>
    <row r="580" ht="15.6" customHeight="1" s="287">
      <c r="C580" s="38" t="n"/>
      <c r="F580" s="31" t="n"/>
    </row>
    <row r="581" ht="18" customHeight="1" s="287">
      <c r="C581" s="38" t="n"/>
      <c r="F581" s="31" t="n"/>
      <c r="O581" s="221" t="n"/>
    </row>
    <row r="582" ht="18" customHeight="1" s="287">
      <c r="C582" s="38" t="n"/>
      <c r="F582" s="31" t="n"/>
      <c r="O582" s="203" t="n"/>
    </row>
    <row r="583" ht="18" customHeight="1" s="287">
      <c r="C583" s="38" t="n"/>
      <c r="F583" s="31" t="n"/>
      <c r="O583" s="203" t="n"/>
    </row>
    <row r="584" ht="14.4" customHeight="1" s="287">
      <c r="F584" s="31" t="n"/>
    </row>
    <row r="585" ht="14.4" customHeight="1" s="287">
      <c r="F585" s="31" t="n"/>
    </row>
    <row r="586" ht="14.4" customHeight="1" s="287">
      <c r="F586" s="31" t="n"/>
    </row>
    <row r="587" ht="14.4" customHeight="1" s="287">
      <c r="F587" s="31" t="n"/>
    </row>
    <row r="588" ht="14.4" customHeight="1" s="287">
      <c r="F588" s="31" t="n"/>
    </row>
    <row r="589" ht="14.4" customHeight="1" s="287">
      <c r="F589" s="31" t="n"/>
    </row>
    <row r="590" ht="14.4" customHeight="1" s="287">
      <c r="F590" s="31" t="n"/>
    </row>
    <row r="591" ht="14.4" customHeight="1" s="287">
      <c r="F591" s="31" t="n"/>
    </row>
    <row r="592" ht="14.4" customHeight="1" s="287">
      <c r="F592" s="31" t="n"/>
    </row>
    <row r="593" ht="14.4" customHeight="1" s="287">
      <c r="F593" s="31" t="n"/>
    </row>
    <row r="594" ht="14.4" customHeight="1" s="287">
      <c r="F594" s="31" t="n"/>
    </row>
    <row r="595" ht="14.4" customHeight="1" s="287">
      <c r="F595" s="31" t="n"/>
    </row>
    <row r="596" ht="14.4" customHeight="1" s="287">
      <c r="F596" s="31" t="n"/>
    </row>
    <row r="597" ht="14.4" customHeight="1" s="287">
      <c r="F597" s="31" t="n"/>
    </row>
    <row r="598" ht="14.4" customHeight="1" s="287">
      <c r="F598" s="31" t="n"/>
    </row>
    <row r="599" ht="14.4" customHeight="1" s="287">
      <c r="F599" s="31" t="n"/>
    </row>
    <row r="600" ht="14.4" customHeight="1" s="287">
      <c r="F600" s="31" t="n"/>
    </row>
    <row r="601" ht="14.4" customHeight="1" s="287">
      <c r="F601" s="31" t="n"/>
    </row>
    <row r="602" ht="14.4" customHeight="1" s="287">
      <c r="F602" s="31" t="n"/>
    </row>
    <row r="603" ht="14.4" customHeight="1" s="287">
      <c r="F603" s="31" t="n"/>
    </row>
    <row r="604" ht="14.4" customHeight="1" s="287">
      <c r="F604" s="31" t="n"/>
    </row>
    <row r="605" ht="14.4" customHeight="1" s="287">
      <c r="F605" s="31" t="n"/>
    </row>
    <row r="606" ht="14.4" customHeight="1" s="287">
      <c r="F606" s="31" t="n"/>
    </row>
    <row r="607" ht="14.4" customHeight="1" s="287">
      <c r="F607" s="31" t="n"/>
    </row>
    <row r="608" ht="14.4" customHeight="1" s="287">
      <c r="F608" s="31" t="n"/>
    </row>
    <row r="609" ht="14.4" customHeight="1" s="287">
      <c r="F609" s="31" t="n"/>
    </row>
    <row r="610" ht="14.4" customHeight="1" s="287">
      <c r="F610" s="31" t="n"/>
    </row>
    <row r="611" ht="14.4" customHeight="1" s="287">
      <c r="F611" s="31" t="n"/>
    </row>
    <row r="612" ht="14.4" customHeight="1" s="287">
      <c r="F612" s="31" t="n"/>
    </row>
    <row r="613" ht="14.4" customHeight="1" s="287">
      <c r="F613" s="31" t="n"/>
    </row>
    <row r="614" ht="14.4" customHeight="1" s="287">
      <c r="F614" s="31" t="n"/>
    </row>
    <row r="615" ht="14.4" customHeight="1" s="287">
      <c r="F615" s="31" t="n"/>
    </row>
    <row r="616" ht="14.4" customHeight="1" s="287">
      <c r="F616" s="31" t="n"/>
    </row>
    <row r="617" ht="14.4" customHeight="1" s="287">
      <c r="F617" s="31" t="n"/>
    </row>
    <row r="618" ht="14.4" customHeight="1" s="287">
      <c r="F618" s="31" t="n"/>
    </row>
    <row r="619" ht="14.4" customHeight="1" s="287">
      <c r="F619" s="31" t="n"/>
    </row>
    <row r="620" ht="14.4" customHeight="1" s="287">
      <c r="F620" s="31" t="n"/>
    </row>
    <row r="621" ht="14.4" customHeight="1" s="287">
      <c r="F621" s="31" t="n"/>
    </row>
    <row r="622" ht="14.4" customHeight="1" s="287">
      <c r="F622" s="31" t="n"/>
    </row>
    <row r="623" ht="14.4" customHeight="1" s="287">
      <c r="F623" s="31" t="n"/>
    </row>
    <row r="624" ht="14.4" customHeight="1" s="287">
      <c r="F624" s="31" t="n"/>
    </row>
    <row r="625" ht="14.4" customHeight="1" s="287">
      <c r="F625" s="31" t="n"/>
    </row>
    <row r="626" ht="14.4" customHeight="1" s="287">
      <c r="F626" s="31" t="n"/>
    </row>
    <row r="627" ht="14.4" customHeight="1" s="287">
      <c r="F627" s="31" t="n"/>
    </row>
    <row r="628" ht="14.4" customHeight="1" s="287">
      <c r="F628" s="31" t="n"/>
    </row>
    <row r="629" ht="14.4" customHeight="1" s="287">
      <c r="F629" s="31" t="n"/>
    </row>
    <row r="630" ht="14.4" customHeight="1" s="287">
      <c r="F630" s="31" t="n"/>
    </row>
    <row r="631" ht="14.4" customHeight="1" s="287">
      <c r="F631" s="31" t="n"/>
    </row>
    <row r="632" ht="14.4" customHeight="1" s="287">
      <c r="F632" s="31" t="n"/>
    </row>
    <row r="633" ht="14.4" customHeight="1" s="287">
      <c r="F633" s="31" t="n"/>
    </row>
    <row r="634" ht="14.4" customHeight="1" s="287">
      <c r="F634" s="31" t="n"/>
    </row>
    <row r="635" ht="14.4" customHeight="1" s="287">
      <c r="F635" s="31" t="n"/>
    </row>
    <row r="636" ht="14.4" customHeight="1" s="287">
      <c r="F636" s="31" t="n"/>
    </row>
    <row r="637" ht="14.4" customHeight="1" s="287">
      <c r="F637" s="31" t="n"/>
    </row>
    <row r="638" ht="14.4" customHeight="1" s="287">
      <c r="F638" s="31" t="n"/>
    </row>
    <row r="639" ht="14.4" customHeight="1" s="287">
      <c r="F639" s="31" t="n"/>
    </row>
    <row r="640" ht="14.4" customHeight="1" s="287">
      <c r="F640" s="31" t="n"/>
    </row>
    <row r="641" ht="14.4" customHeight="1" s="287">
      <c r="F641" s="31" t="n"/>
    </row>
    <row r="642" ht="14.4" customHeight="1" s="287">
      <c r="F642" s="31" t="n"/>
    </row>
    <row r="643" ht="14.4" customHeight="1" s="287">
      <c r="F643" s="31" t="n"/>
    </row>
    <row r="644" ht="14.4" customHeight="1" s="287">
      <c r="F644" s="31" t="n"/>
    </row>
    <row r="645" ht="14.4" customHeight="1" s="287">
      <c r="F645" s="31" t="n"/>
    </row>
    <row r="646" ht="14.4" customHeight="1" s="287">
      <c r="F646" s="31" t="n"/>
    </row>
    <row r="647" ht="14.4" customHeight="1" s="287">
      <c r="F647" s="31" t="n"/>
    </row>
    <row r="648" ht="14.4" customHeight="1" s="287">
      <c r="F648" s="31" t="n"/>
    </row>
    <row r="649" ht="14.4" customHeight="1" s="287">
      <c r="F649" s="31" t="n"/>
    </row>
    <row r="650" ht="14.4" customHeight="1" s="287">
      <c r="F650" s="31" t="n"/>
    </row>
    <row r="651" ht="14.4" customHeight="1" s="287">
      <c r="F651" s="31" t="n"/>
    </row>
    <row r="652" ht="14.4" customHeight="1" s="287">
      <c r="F652" s="31" t="n"/>
    </row>
    <row r="653" ht="14.4" customHeight="1" s="287">
      <c r="F653" s="31" t="n"/>
    </row>
    <row r="654" ht="14.4" customHeight="1" s="287">
      <c r="F654" s="31" t="n"/>
    </row>
    <row r="655" ht="14.4" customHeight="1" s="287">
      <c r="F655" s="31" t="n"/>
    </row>
    <row r="656" ht="14.4" customHeight="1" s="287">
      <c r="F656" s="31" t="n"/>
    </row>
    <row r="657" ht="14.4" customHeight="1" s="287">
      <c r="F657" s="31" t="n"/>
    </row>
    <row r="658" ht="14.4" customHeight="1" s="287">
      <c r="F658" s="31" t="n"/>
    </row>
    <row r="659" ht="14.4" customHeight="1" s="287">
      <c r="F659" s="31" t="n"/>
    </row>
    <row r="660" ht="14.4" customHeight="1" s="287">
      <c r="F660" s="31" t="n"/>
    </row>
    <row r="661" ht="14.4" customHeight="1" s="287">
      <c r="F661" s="31" t="n"/>
    </row>
    <row r="662" ht="14.4" customHeight="1" s="287">
      <c r="F662" s="31" t="n"/>
    </row>
    <row r="663" ht="14.4" customHeight="1" s="287">
      <c r="F663" s="31" t="n"/>
    </row>
    <row r="664" ht="14.4" customHeight="1" s="287">
      <c r="F664" s="31" t="n"/>
    </row>
    <row r="665" ht="14.4" customHeight="1" s="287">
      <c r="F665" s="31" t="n"/>
    </row>
    <row r="666" ht="14.4" customHeight="1" s="287">
      <c r="F666" s="31" t="n"/>
    </row>
    <row r="667" ht="14.4" customHeight="1" s="287">
      <c r="F667" s="31" t="n"/>
    </row>
    <row r="668" ht="14.4" customHeight="1" s="287">
      <c r="F668" s="31" t="n"/>
    </row>
    <row r="669" ht="14.4" customHeight="1" s="287">
      <c r="F669" s="31" t="n"/>
    </row>
    <row r="670" ht="14.4" customHeight="1" s="287">
      <c r="F670" s="31" t="n"/>
    </row>
    <row r="671" ht="14.4" customHeight="1" s="287">
      <c r="F671" s="31" t="n"/>
    </row>
    <row r="672" ht="14.4" customHeight="1" s="287">
      <c r="F672" s="31" t="n"/>
    </row>
    <row r="673" ht="14.4" customHeight="1" s="287">
      <c r="F673" s="31" t="n"/>
    </row>
    <row r="674" ht="14.4" customHeight="1" s="287">
      <c r="F674" s="31" t="n"/>
    </row>
    <row r="675" ht="14.4" customHeight="1" s="287">
      <c r="F675" s="31" t="n"/>
    </row>
    <row r="676" ht="14.4" customHeight="1" s="287">
      <c r="F676" s="31" t="n"/>
    </row>
    <row r="677" ht="14.4" customHeight="1" s="287">
      <c r="F677" s="31" t="n"/>
    </row>
    <row r="678" ht="14.4" customHeight="1" s="287">
      <c r="F678" s="31" t="n"/>
    </row>
    <row r="679" ht="14.4" customHeight="1" s="287">
      <c r="F679" s="31" t="n"/>
    </row>
    <row r="680" ht="14.4" customHeight="1" s="287">
      <c r="F680" s="31" t="n"/>
    </row>
    <row r="681" ht="14.4" customHeight="1" s="287">
      <c r="F681" s="31" t="n"/>
    </row>
    <row r="682" ht="14.4" customHeight="1" s="287">
      <c r="F682" s="31" t="n"/>
    </row>
    <row r="683" ht="14.4" customHeight="1" s="287">
      <c r="F683" s="31" t="n"/>
    </row>
    <row r="684" ht="14.4" customHeight="1" s="287">
      <c r="F684" s="31" t="n"/>
    </row>
    <row r="685" ht="14.4" customHeight="1" s="287">
      <c r="F685" s="31" t="n"/>
    </row>
    <row r="686" ht="14.4" customHeight="1" s="287">
      <c r="F686" s="31" t="n"/>
    </row>
    <row r="687" ht="14.4" customHeight="1" s="287">
      <c r="F687" s="31" t="n"/>
    </row>
    <row r="688" ht="14.4" customHeight="1" s="287">
      <c r="F688" s="31" t="n"/>
    </row>
    <row r="689" ht="14.4" customHeight="1" s="287">
      <c r="F689" s="31" t="n"/>
    </row>
    <row r="690" ht="14.4" customHeight="1" s="287">
      <c r="F690" s="31" t="n"/>
    </row>
    <row r="691" ht="14.4" customHeight="1" s="287">
      <c r="F691" s="31" t="n"/>
    </row>
    <row r="692" ht="14.4" customHeight="1" s="287">
      <c r="F692" s="31" t="n"/>
    </row>
    <row r="693" ht="14.4" customHeight="1" s="287">
      <c r="F693" s="31" t="n"/>
    </row>
    <row r="694" ht="14.4" customHeight="1" s="287">
      <c r="F694" s="31" t="n"/>
    </row>
    <row r="695" ht="14.4" customHeight="1" s="287">
      <c r="F695" s="31" t="n"/>
    </row>
    <row r="696" ht="14.4" customHeight="1" s="287">
      <c r="F696" s="31" t="n"/>
    </row>
    <row r="697" ht="14.4" customHeight="1" s="287">
      <c r="F697" s="31" t="n"/>
    </row>
    <row r="698" ht="14.4" customHeight="1" s="287">
      <c r="F698" s="31" t="n"/>
    </row>
    <row r="699" ht="14.4" customHeight="1" s="287">
      <c r="F699" s="31" t="n"/>
    </row>
    <row r="700" ht="14.4" customHeight="1" s="287">
      <c r="F700" s="31" t="n"/>
    </row>
    <row r="701" ht="14.4" customHeight="1" s="287">
      <c r="F701" s="31" t="n"/>
    </row>
    <row r="702" ht="14.4" customHeight="1" s="287">
      <c r="F702" s="31" t="n"/>
    </row>
    <row r="703" ht="14.4" customHeight="1" s="287">
      <c r="F703" s="31" t="n"/>
    </row>
    <row r="704" ht="14.4" customHeight="1" s="287">
      <c r="F704" s="31" t="n"/>
    </row>
    <row r="705" ht="14.4" customHeight="1" s="287">
      <c r="F705" s="31" t="n"/>
    </row>
    <row r="706" ht="14.4" customHeight="1" s="287">
      <c r="F706" s="31" t="n"/>
    </row>
    <row r="707" ht="14.4" customHeight="1" s="287">
      <c r="F707" s="31" t="n"/>
    </row>
    <row r="708" ht="14.4" customHeight="1" s="287">
      <c r="F708" s="31" t="n"/>
    </row>
    <row r="709" ht="14.4" customHeight="1" s="287">
      <c r="F709" s="31" t="n"/>
    </row>
    <row r="710" ht="14.4" customHeight="1" s="287">
      <c r="F710" s="31" t="n"/>
    </row>
    <row r="711" ht="14.4" customHeight="1" s="287">
      <c r="F711" s="31" t="n"/>
    </row>
    <row r="712" ht="14.4" customHeight="1" s="287">
      <c r="F712" s="31" t="n"/>
    </row>
    <row r="713" ht="14.4" customHeight="1" s="287">
      <c r="F713" s="31" t="n"/>
    </row>
    <row r="714" ht="14.4" customHeight="1" s="287">
      <c r="F714" s="31" t="n"/>
    </row>
    <row r="715" ht="14.4" customHeight="1" s="287">
      <c r="F715" s="31" t="n"/>
    </row>
    <row r="716" ht="14.4" customHeight="1" s="287">
      <c r="F716" s="31" t="n"/>
    </row>
    <row r="717" ht="14.4" customHeight="1" s="287">
      <c r="F717" s="31" t="n"/>
    </row>
    <row r="718" ht="14.4" customHeight="1" s="287">
      <c r="F718" s="31" t="n"/>
    </row>
    <row r="719" ht="14.4" customHeight="1" s="287">
      <c r="F719" s="31" t="n"/>
    </row>
    <row r="720" ht="14.4" customHeight="1" s="287">
      <c r="F720" s="31" t="n"/>
    </row>
    <row r="721" ht="14.4" customHeight="1" s="287">
      <c r="F721" s="31" t="n"/>
    </row>
    <row r="722" ht="14.4" customHeight="1" s="287">
      <c r="F722" s="31" t="n"/>
    </row>
    <row r="723" ht="14.4" customHeight="1" s="287">
      <c r="F723" s="31" t="n"/>
    </row>
    <row r="724" ht="14.4" customHeight="1" s="287">
      <c r="F724" s="31" t="n"/>
    </row>
    <row r="725" ht="14.4" customHeight="1" s="287">
      <c r="F725" s="31" t="n"/>
    </row>
    <row r="726" ht="14.4" customHeight="1" s="287">
      <c r="F726" s="31" t="n"/>
    </row>
    <row r="727" ht="14.4" customHeight="1" s="287">
      <c r="F727" s="31" t="n"/>
    </row>
    <row r="728" ht="14.4" customHeight="1" s="287">
      <c r="F728" s="31" t="n"/>
    </row>
    <row r="729" ht="14.4" customHeight="1" s="287">
      <c r="F729" s="31" t="n"/>
    </row>
    <row r="730" ht="14.4" customHeight="1" s="287">
      <c r="F730" s="31" t="n"/>
    </row>
    <row r="731" ht="14.4" customHeight="1" s="287">
      <c r="F731" s="31" t="n"/>
    </row>
    <row r="732" ht="14.4" customHeight="1" s="287">
      <c r="F732" s="31" t="n"/>
    </row>
    <row r="733" ht="14.4" customHeight="1" s="287">
      <c r="F733" s="31" t="n"/>
    </row>
    <row r="734" ht="14.4" customHeight="1" s="287">
      <c r="F734" s="31" t="n"/>
    </row>
    <row r="735" ht="14.4" customHeight="1" s="287">
      <c r="F735" s="31" t="n"/>
    </row>
    <row r="736" ht="14.4" customHeight="1" s="287">
      <c r="F736" s="31" t="n"/>
    </row>
    <row r="737" ht="14.4" customHeight="1" s="287">
      <c r="F737" s="31" t="n"/>
    </row>
    <row r="738" ht="14.4" customHeight="1" s="287">
      <c r="F738" s="31" t="n"/>
    </row>
    <row r="739" ht="14.4" customHeight="1" s="287">
      <c r="F739" s="31" t="n"/>
    </row>
    <row r="740" ht="14.4" customHeight="1" s="287">
      <c r="F740" s="31" t="n"/>
    </row>
    <row r="741" ht="14.4" customHeight="1" s="287">
      <c r="F741" s="31" t="n"/>
    </row>
    <row r="742" ht="14.4" customHeight="1" s="287">
      <c r="F742" s="31" t="n"/>
    </row>
    <row r="743" ht="14.4" customHeight="1" s="287">
      <c r="F743" s="31" t="n"/>
    </row>
    <row r="744" ht="14.4" customHeight="1" s="287">
      <c r="F744" s="31" t="n"/>
    </row>
    <row r="745" ht="14.4" customHeight="1" s="287">
      <c r="F745" s="31" t="n"/>
    </row>
    <row r="746" ht="14.4" customHeight="1" s="287">
      <c r="F746" s="31" t="n"/>
    </row>
    <row r="747" ht="14.4" customHeight="1" s="287">
      <c r="F747" s="31" t="n"/>
    </row>
    <row r="748" ht="14.4" customHeight="1" s="287">
      <c r="F748" s="31" t="n"/>
    </row>
    <row r="749" ht="14.4" customHeight="1" s="287">
      <c r="F749" s="31" t="n"/>
    </row>
    <row r="750" ht="14.4" customHeight="1" s="287">
      <c r="F750" s="31" t="n"/>
    </row>
    <row r="751" ht="14.4" customHeight="1" s="287">
      <c r="F751" s="31" t="n"/>
    </row>
    <row r="752" ht="14.4" customHeight="1" s="287">
      <c r="F752" s="31" t="n"/>
    </row>
    <row r="753" ht="14.4" customHeight="1" s="287">
      <c r="F753" s="31" t="n"/>
    </row>
    <row r="754" ht="14.4" customHeight="1" s="287">
      <c r="F754" s="31" t="n"/>
    </row>
    <row r="755" ht="14.4" customHeight="1" s="287">
      <c r="F755" s="31" t="n"/>
    </row>
    <row r="756" ht="14.4" customHeight="1" s="287">
      <c r="F756" s="31" t="n"/>
    </row>
    <row r="757" ht="14.4" customHeight="1" s="287">
      <c r="F757" s="31" t="n"/>
    </row>
    <row r="758" ht="14.4" customHeight="1" s="287">
      <c r="F758" s="31" t="n"/>
    </row>
    <row r="759" ht="14.4" customHeight="1" s="287">
      <c r="F759" s="31" t="n"/>
    </row>
    <row r="760" ht="14.4" customHeight="1" s="287">
      <c r="F760" s="31" t="n"/>
    </row>
    <row r="761" ht="14.4" customHeight="1" s="287">
      <c r="F761" s="31" t="n"/>
    </row>
    <row r="762" ht="14.4" customHeight="1" s="287">
      <c r="F762" s="31" t="n"/>
    </row>
    <row r="763" ht="14.4" customHeight="1" s="287">
      <c r="F763" s="31" t="n"/>
    </row>
    <row r="764" ht="14.4" customHeight="1" s="287">
      <c r="F764" s="31" t="n"/>
    </row>
    <row r="765" ht="14.4" customHeight="1" s="287">
      <c r="F765" s="31" t="n"/>
    </row>
    <row r="766" ht="14.4" customHeight="1" s="287">
      <c r="F766" s="31" t="n"/>
    </row>
    <row r="767" ht="14.4" customHeight="1" s="287">
      <c r="F767" s="31" t="n"/>
    </row>
    <row r="768" ht="14.4" customHeight="1" s="287">
      <c r="F768" s="31" t="n"/>
    </row>
    <row r="769" ht="14.4" customHeight="1" s="287">
      <c r="F769" s="31" t="n"/>
    </row>
    <row r="770" ht="14.4" customHeight="1" s="287">
      <c r="F770" s="31" t="n"/>
    </row>
    <row r="771" ht="14.4" customHeight="1" s="287">
      <c r="F771" s="31" t="n"/>
    </row>
    <row r="772" ht="14.4" customHeight="1" s="287">
      <c r="F772" s="31" t="n"/>
    </row>
    <row r="773" ht="14.4" customHeight="1" s="287">
      <c r="F773" s="31" t="n"/>
    </row>
    <row r="774" ht="14.4" customHeight="1" s="287">
      <c r="F774" s="31" t="n"/>
    </row>
    <row r="775" ht="14.4" customHeight="1" s="287">
      <c r="F775" s="31" t="n"/>
    </row>
    <row r="776" ht="14.4" customHeight="1" s="287">
      <c r="F776" s="31" t="n"/>
    </row>
    <row r="777" ht="14.4" customHeight="1" s="287">
      <c r="F777" s="31" t="n"/>
    </row>
    <row r="778" ht="14.4" customHeight="1" s="287">
      <c r="F778" s="31" t="n"/>
    </row>
    <row r="779" ht="14.4" customHeight="1" s="287">
      <c r="F779" s="31" t="n"/>
    </row>
    <row r="780" ht="14.4" customHeight="1" s="287">
      <c r="F780" s="31" t="n"/>
    </row>
    <row r="781" ht="14.4" customHeight="1" s="287">
      <c r="F781" s="31" t="n"/>
    </row>
    <row r="782" ht="14.4" customHeight="1" s="287">
      <c r="F782" s="31" t="n"/>
    </row>
    <row r="783" ht="14.4" customHeight="1" s="287">
      <c r="F783" s="31" t="n"/>
    </row>
    <row r="784" ht="14.4" customHeight="1" s="287">
      <c r="F784" s="31" t="n"/>
    </row>
    <row r="785" ht="14.4" customHeight="1" s="287">
      <c r="F785" s="31" t="n"/>
    </row>
    <row r="786" ht="14.4" customHeight="1" s="287">
      <c r="F786" s="31" t="n"/>
    </row>
    <row r="787" ht="14.4" customHeight="1" s="287">
      <c r="F787" s="31" t="n"/>
    </row>
    <row r="788" ht="14.4" customHeight="1" s="287">
      <c r="F788" s="31" t="n"/>
    </row>
    <row r="789" ht="14.4" customHeight="1" s="287">
      <c r="F789" s="31" t="n"/>
    </row>
    <row r="790" ht="14.4" customHeight="1" s="287">
      <c r="F790" s="31" t="n"/>
    </row>
    <row r="791" ht="14.4" customHeight="1" s="287">
      <c r="F791" s="31" t="n"/>
    </row>
    <row r="792" ht="14.4" customHeight="1" s="287">
      <c r="F792" s="31" t="n"/>
    </row>
    <row r="793" ht="14.4" customHeight="1" s="287">
      <c r="F793" s="31" t="n"/>
    </row>
    <row r="794" ht="14.4" customHeight="1" s="287">
      <c r="F794" s="31" t="n"/>
    </row>
    <row r="795" ht="14.4" customHeight="1" s="287">
      <c r="F795" s="31" t="n"/>
    </row>
    <row r="796" ht="14.4" customHeight="1" s="287">
      <c r="F796" s="31" t="n"/>
    </row>
    <row r="797" ht="14.4" customHeight="1" s="287">
      <c r="F797" s="31" t="n"/>
    </row>
    <row r="798" ht="14.4" customHeight="1" s="287">
      <c r="F798" s="31" t="n"/>
    </row>
    <row r="799" ht="14.4" customHeight="1" s="287">
      <c r="F799" s="31" t="n"/>
    </row>
    <row r="800" ht="14.4" customHeight="1" s="287">
      <c r="F800" s="31" t="n"/>
    </row>
    <row r="801" ht="14.4" customHeight="1" s="287">
      <c r="F801" s="31" t="n"/>
    </row>
    <row r="802" ht="14.4" customHeight="1" s="287">
      <c r="F802" s="31" t="n"/>
    </row>
    <row r="803" ht="14.4" customHeight="1" s="287">
      <c r="F803" s="31" t="n"/>
    </row>
    <row r="804" ht="14.4" customHeight="1" s="287">
      <c r="F804" s="31" t="n"/>
    </row>
    <row r="805" ht="14.4" customHeight="1" s="287">
      <c r="F805" s="31" t="n"/>
    </row>
    <row r="806" ht="14.4" customHeight="1" s="287">
      <c r="F806" s="31" t="n"/>
    </row>
    <row r="807" ht="14.4" customHeight="1" s="287">
      <c r="F807" s="31" t="n"/>
    </row>
    <row r="808" ht="14.4" customHeight="1" s="287">
      <c r="F808" s="31" t="n"/>
    </row>
    <row r="809" ht="14.4" customHeight="1" s="287">
      <c r="F809" s="31" t="n"/>
    </row>
    <row r="810" ht="14.4" customHeight="1" s="287">
      <c r="F810" s="31" t="n"/>
    </row>
    <row r="811" ht="14.4" customHeight="1" s="287">
      <c r="F811" s="31" t="n"/>
    </row>
    <row r="812" ht="14.4" customHeight="1" s="287">
      <c r="F812" s="31" t="n"/>
    </row>
    <row r="813" ht="14.4" customHeight="1" s="287">
      <c r="F813" s="31" t="n"/>
    </row>
    <row r="814" ht="14.4" customHeight="1" s="287">
      <c r="F814" s="31" t="n"/>
    </row>
    <row r="815" ht="14.4" customHeight="1" s="287">
      <c r="F815" s="31" t="n"/>
    </row>
    <row r="816" ht="14.4" customHeight="1" s="287">
      <c r="F816" s="31" t="n"/>
    </row>
    <row r="817" ht="14.4" customHeight="1" s="287">
      <c r="F817" s="31" t="n"/>
    </row>
    <row r="818" ht="14.4" customHeight="1" s="287">
      <c r="F818" s="31" t="n"/>
    </row>
    <row r="819" ht="14.4" customHeight="1" s="287">
      <c r="F819" s="31" t="n"/>
    </row>
    <row r="820" ht="14.4" customHeight="1" s="287">
      <c r="F820" s="31" t="n"/>
    </row>
    <row r="821" ht="14.4" customHeight="1" s="287">
      <c r="F821" s="31" t="n"/>
    </row>
    <row r="822" ht="14.4" customHeight="1" s="287">
      <c r="F822" s="31" t="n"/>
    </row>
    <row r="823" ht="14.4" customHeight="1" s="287">
      <c r="F823" s="31" t="n"/>
    </row>
    <row r="824" ht="14.4" customHeight="1" s="287">
      <c r="F824" s="31" t="n"/>
    </row>
    <row r="825" ht="14.4" customHeight="1" s="287">
      <c r="F825" s="31" t="n"/>
    </row>
    <row r="826" ht="14.4" customHeight="1" s="287">
      <c r="F826" s="31" t="n"/>
    </row>
    <row r="827" ht="14.4" customHeight="1" s="287">
      <c r="F827" s="31" t="n"/>
    </row>
    <row r="828" ht="14.4" customHeight="1" s="287">
      <c r="F828" s="31" t="n"/>
    </row>
    <row r="829" ht="14.4" customHeight="1" s="287">
      <c r="F829" s="31" t="n"/>
    </row>
    <row r="830" ht="14.4" customHeight="1" s="287">
      <c r="F830" s="31" t="n"/>
    </row>
    <row r="831" ht="14.4" customHeight="1" s="287">
      <c r="F831" s="31" t="n"/>
    </row>
    <row r="832" ht="14.4" customHeight="1" s="287">
      <c r="F832" s="31" t="n"/>
    </row>
    <row r="833" ht="14.4" customHeight="1" s="287">
      <c r="F833" s="31" t="n"/>
    </row>
    <row r="834" ht="14.4" customHeight="1" s="287">
      <c r="F834" s="31" t="n"/>
    </row>
    <row r="835" ht="14.4" customHeight="1" s="287">
      <c r="F835" s="31" t="n"/>
    </row>
    <row r="836" ht="14.4" customHeight="1" s="287">
      <c r="F836" s="31" t="n"/>
    </row>
    <row r="837" ht="14.4" customHeight="1" s="287">
      <c r="F837" s="31" t="n"/>
    </row>
    <row r="838" ht="14.4" customHeight="1" s="287">
      <c r="F838" s="31" t="n"/>
    </row>
    <row r="839" ht="14.4" customHeight="1" s="287">
      <c r="F839" s="31" t="n"/>
    </row>
    <row r="840" ht="14.4" customHeight="1" s="287">
      <c r="F840" s="31" t="n"/>
    </row>
    <row r="841" ht="14.4" customHeight="1" s="287">
      <c r="F841" s="31" t="n"/>
    </row>
    <row r="842" ht="14.4" customHeight="1" s="287">
      <c r="F842" s="31" t="n"/>
    </row>
    <row r="843" ht="14.4" customHeight="1" s="287">
      <c r="F843" s="31" t="n"/>
    </row>
    <row r="844" ht="14.4" customHeight="1" s="287">
      <c r="F844" s="31" t="n"/>
    </row>
    <row r="845" ht="14.4" customHeight="1" s="287">
      <c r="F845" s="31" t="n"/>
    </row>
    <row r="846" ht="14.4" customHeight="1" s="287">
      <c r="F846" s="31" t="n"/>
    </row>
    <row r="847" ht="14.4" customHeight="1" s="287">
      <c r="F847" s="31" t="n"/>
    </row>
    <row r="848" ht="14.4" customHeight="1" s="287">
      <c r="F848" s="31" t="n"/>
    </row>
    <row r="849" ht="14.4" customHeight="1" s="287">
      <c r="F849" s="31" t="n"/>
    </row>
    <row r="850" ht="14.4" customHeight="1" s="287">
      <c r="F850" s="31" t="n"/>
    </row>
    <row r="851" ht="14.4" customHeight="1" s="287">
      <c r="F851" s="31" t="n"/>
    </row>
    <row r="852" ht="14.4" customHeight="1" s="287">
      <c r="F852" s="31" t="n"/>
    </row>
    <row r="853" ht="14.4" customHeight="1" s="287">
      <c r="F853" s="31" t="n"/>
    </row>
    <row r="854" ht="14.4" customHeight="1" s="287">
      <c r="F854" s="31" t="n"/>
    </row>
    <row r="855" ht="14.4" customHeight="1" s="287">
      <c r="F855" s="31" t="n"/>
    </row>
    <row r="856" ht="14.4" customHeight="1" s="287">
      <c r="F856" s="31" t="n"/>
    </row>
    <row r="857" ht="14.4" customHeight="1" s="287">
      <c r="F857" s="31" t="n"/>
    </row>
    <row r="858" ht="14.4" customHeight="1" s="287">
      <c r="F858" s="31" t="n"/>
    </row>
    <row r="859" ht="14.4" customHeight="1" s="287">
      <c r="F859" s="31" t="n"/>
    </row>
    <row r="860" ht="14.4" customHeight="1" s="287">
      <c r="F860" s="31" t="n"/>
    </row>
    <row r="861" ht="14.4" customHeight="1" s="287">
      <c r="F861" s="31" t="n"/>
    </row>
    <row r="862" ht="14.4" customHeight="1" s="287">
      <c r="F862" s="31" t="n"/>
    </row>
    <row r="863" ht="14.4" customHeight="1" s="287">
      <c r="F863" s="31" t="n"/>
    </row>
    <row r="864" ht="14.4" customHeight="1" s="287">
      <c r="F864" s="31" t="n"/>
    </row>
    <row r="865" ht="14.4" customHeight="1" s="287">
      <c r="F865" s="31" t="n"/>
    </row>
    <row r="866" ht="14.4" customHeight="1" s="287">
      <c r="F866" s="31" t="n"/>
    </row>
    <row r="867" ht="14.4" customHeight="1" s="287">
      <c r="F867" s="31" t="n"/>
    </row>
    <row r="868" ht="14.4" customHeight="1" s="287">
      <c r="F868" s="31" t="n"/>
    </row>
    <row r="869" ht="14.4" customHeight="1" s="287">
      <c r="F869" s="31" t="n"/>
    </row>
    <row r="870" ht="14.4" customHeight="1" s="287">
      <c r="F870" s="31" t="n"/>
    </row>
    <row r="871" ht="14.4" customHeight="1" s="287">
      <c r="F871" s="31" t="n"/>
    </row>
    <row r="872" ht="14.4" customHeight="1" s="287">
      <c r="F872" s="31" t="n"/>
    </row>
    <row r="873" ht="14.4" customHeight="1" s="287">
      <c r="F873" s="31" t="n"/>
    </row>
    <row r="874" ht="14.4" customHeight="1" s="287">
      <c r="F874" s="31" t="n"/>
    </row>
    <row r="875" ht="14.4" customHeight="1" s="287">
      <c r="F875" s="31" t="n"/>
    </row>
    <row r="876" ht="14.4" customHeight="1" s="287">
      <c r="F876" s="31" t="n"/>
    </row>
    <row r="877" ht="14.4" customHeight="1" s="287">
      <c r="F877" s="31" t="n"/>
    </row>
    <row r="878" ht="14.4" customHeight="1" s="287">
      <c r="F878" s="31" t="n"/>
    </row>
    <row r="879" ht="14.4" customHeight="1" s="287">
      <c r="F879" s="31" t="n"/>
    </row>
    <row r="880" ht="14.4" customHeight="1" s="287">
      <c r="F880" s="31" t="n"/>
    </row>
    <row r="881" ht="14.4" customHeight="1" s="287">
      <c r="F881" s="31" t="n"/>
    </row>
    <row r="882" ht="14.4" customHeight="1" s="287">
      <c r="F882" s="31" t="n"/>
    </row>
    <row r="883" ht="14.4" customHeight="1" s="287">
      <c r="F883" s="31" t="n"/>
    </row>
    <row r="884" ht="14.4" customHeight="1" s="287">
      <c r="F884" s="31" t="n"/>
    </row>
    <row r="885" ht="14.4" customHeight="1" s="287">
      <c r="F885" s="31" t="n"/>
    </row>
    <row r="886" ht="14.4" customHeight="1" s="287">
      <c r="F886" s="31" t="n"/>
    </row>
    <row r="887" ht="14.4" customHeight="1" s="287">
      <c r="F887" s="31" t="n"/>
    </row>
    <row r="888" ht="14.4" customHeight="1" s="287">
      <c r="F888" s="31" t="n"/>
    </row>
    <row r="889" ht="14.4" customHeight="1" s="287">
      <c r="F889" s="31" t="n"/>
    </row>
    <row r="890" ht="14.4" customHeight="1" s="287">
      <c r="F890" s="31" t="n"/>
    </row>
    <row r="891" ht="14.4" customHeight="1" s="287">
      <c r="F891" s="31" t="n"/>
    </row>
    <row r="892" ht="14.4" customHeight="1" s="287">
      <c r="F892" s="31" t="n"/>
    </row>
    <row r="893" ht="14.4" customHeight="1" s="287">
      <c r="F893" s="31" t="n"/>
    </row>
    <row r="894" ht="14.4" customHeight="1" s="287">
      <c r="F894" s="31" t="n"/>
    </row>
    <row r="895" ht="14.4" customHeight="1" s="287">
      <c r="F895" s="31" t="n"/>
    </row>
    <row r="896" ht="14.4" customHeight="1" s="287">
      <c r="F896" s="31" t="n"/>
    </row>
    <row r="897" ht="14.4" customHeight="1" s="287">
      <c r="F897" s="31" t="n"/>
    </row>
    <row r="898" ht="14.4" customHeight="1" s="287">
      <c r="F898" s="31" t="n"/>
    </row>
    <row r="899" ht="14.4" customHeight="1" s="287">
      <c r="F899" s="31" t="n"/>
    </row>
    <row r="900" ht="14.4" customHeight="1" s="287">
      <c r="F900" s="31" t="n"/>
    </row>
    <row r="901" ht="14.4" customHeight="1" s="287">
      <c r="F901" s="31" t="n"/>
    </row>
    <row r="902" ht="14.4" customHeight="1" s="287">
      <c r="F902" s="31" t="n"/>
    </row>
    <row r="903" ht="14.4" customHeight="1" s="287">
      <c r="F903" s="31" t="n"/>
    </row>
    <row r="904" ht="14.4" customHeight="1" s="287">
      <c r="F904" s="31" t="n"/>
    </row>
    <row r="905" ht="14.4" customHeight="1" s="287">
      <c r="F905" s="31" t="n"/>
    </row>
    <row r="906" ht="14.4" customHeight="1" s="287">
      <c r="F906" s="31" t="n"/>
    </row>
    <row r="907" ht="14.4" customHeight="1" s="287">
      <c r="F907" s="31" t="n"/>
    </row>
    <row r="908" ht="14.4" customHeight="1" s="287">
      <c r="F908" s="31" t="n"/>
    </row>
    <row r="909" ht="14.4" customHeight="1" s="287">
      <c r="F909" s="31" t="n"/>
    </row>
    <row r="910" ht="14.4" customHeight="1" s="287">
      <c r="F910" s="31" t="n"/>
    </row>
    <row r="911" ht="14.4" customHeight="1" s="287">
      <c r="F911" s="31" t="n"/>
    </row>
    <row r="912" ht="14.4" customHeight="1" s="287">
      <c r="F912" s="31" t="n"/>
    </row>
    <row r="913" ht="14.4" customHeight="1" s="287">
      <c r="F913" s="31" t="n"/>
    </row>
    <row r="914" ht="14.4" customHeight="1" s="287">
      <c r="F914" s="31" t="n"/>
    </row>
    <row r="915" ht="14.4" customHeight="1" s="287">
      <c r="F915" s="31" t="n"/>
    </row>
    <row r="916" ht="14.4" customHeight="1" s="287">
      <c r="F916" s="31" t="n"/>
    </row>
    <row r="917" ht="14.4" customHeight="1" s="287">
      <c r="F917" s="31" t="n"/>
    </row>
    <row r="918" ht="14.4" customHeight="1" s="287">
      <c r="F918" s="31" t="n"/>
    </row>
    <row r="919" ht="14.4" customHeight="1" s="287">
      <c r="F919" s="31" t="n"/>
    </row>
    <row r="920" ht="14.4" customHeight="1" s="287">
      <c r="F920" s="31" t="n"/>
    </row>
    <row r="921" ht="14.4" customHeight="1" s="287">
      <c r="F921" s="31" t="n"/>
    </row>
    <row r="922" ht="14.4" customHeight="1" s="287">
      <c r="F922" s="31" t="n"/>
    </row>
    <row r="923" ht="14.4" customHeight="1" s="287">
      <c r="F923" s="31" t="n"/>
    </row>
    <row r="924" ht="14.4" customHeight="1" s="287">
      <c r="F924" s="31" t="n"/>
    </row>
    <row r="925" ht="14.4" customHeight="1" s="287">
      <c r="F925" s="31" t="n"/>
    </row>
    <row r="926" ht="14.4" customHeight="1" s="287">
      <c r="F926" s="31" t="n"/>
    </row>
    <row r="927" ht="14.4" customHeight="1" s="287">
      <c r="F927" s="31" t="n"/>
    </row>
    <row r="928" ht="14.4" customHeight="1" s="287">
      <c r="F928" s="31" t="n"/>
    </row>
    <row r="929" ht="14.4" customHeight="1" s="287">
      <c r="F929" s="31" t="n"/>
    </row>
    <row r="930" ht="14.4" customHeight="1" s="287">
      <c r="F930" s="31" t="n"/>
    </row>
    <row r="931" ht="14.4" customHeight="1" s="287">
      <c r="F931" s="31" t="n"/>
    </row>
    <row r="932" ht="14.4" customHeight="1" s="287">
      <c r="F932" s="31" t="n"/>
    </row>
    <row r="933" ht="14.4" customHeight="1" s="287">
      <c r="F933" s="31" t="n"/>
    </row>
    <row r="934" ht="14.4" customHeight="1" s="287">
      <c r="F934" s="31" t="n"/>
    </row>
    <row r="935" ht="14.4" customHeight="1" s="287">
      <c r="F935" s="31" t="n"/>
    </row>
    <row r="936" ht="14.4" customHeight="1" s="287">
      <c r="F936" s="31" t="n"/>
    </row>
    <row r="937" ht="14.4" customHeight="1" s="287">
      <c r="F937" s="31" t="n"/>
    </row>
    <row r="938" ht="14.4" customHeight="1" s="287">
      <c r="F938" s="31" t="n"/>
    </row>
    <row r="939" ht="14.4" customHeight="1" s="287">
      <c r="F939" s="31" t="n"/>
    </row>
    <row r="940" ht="14.4" customHeight="1" s="287">
      <c r="F940" s="31" t="n"/>
    </row>
    <row r="941" ht="14.4" customHeight="1" s="287">
      <c r="F941" s="31" t="n"/>
    </row>
    <row r="942" ht="14.4" customHeight="1" s="287">
      <c r="F942" s="31" t="n"/>
    </row>
    <row r="943" ht="14.4" customHeight="1" s="287">
      <c r="F943" s="31" t="n"/>
    </row>
    <row r="944" ht="14.4" customHeight="1" s="287">
      <c r="F944" s="31" t="n"/>
    </row>
    <row r="945" ht="14.4" customHeight="1" s="287">
      <c r="F945" s="31" t="n"/>
    </row>
    <row r="946" ht="14.4" customHeight="1" s="287">
      <c r="F946" s="31" t="n"/>
    </row>
    <row r="947" ht="14.4" customHeight="1" s="287">
      <c r="F947" s="31" t="n"/>
    </row>
    <row r="948" ht="14.4" customHeight="1" s="287">
      <c r="F948" s="31" t="n"/>
    </row>
    <row r="949" ht="14.4" customHeight="1" s="287">
      <c r="F949" s="31" t="n"/>
    </row>
    <row r="950" ht="14.4" customHeight="1" s="287">
      <c r="F950" s="31" t="n"/>
    </row>
    <row r="951" ht="14.4" customHeight="1" s="287">
      <c r="F951" s="31" t="n"/>
    </row>
    <row r="952" ht="14.4" customHeight="1" s="287">
      <c r="F952" s="31" t="n"/>
    </row>
    <row r="953" ht="14.4" customHeight="1" s="287">
      <c r="F953" s="31" t="n"/>
    </row>
    <row r="954" ht="14.4" customHeight="1" s="287">
      <c r="F954" s="31" t="n"/>
    </row>
    <row r="955" ht="14.4" customHeight="1" s="287">
      <c r="F955" s="31" t="n"/>
    </row>
    <row r="956" ht="14.4" customHeight="1" s="287">
      <c r="F956" s="31" t="n"/>
    </row>
    <row r="957" ht="14.4" customHeight="1" s="287">
      <c r="F957" s="31" t="n"/>
    </row>
    <row r="958" ht="14.4" customHeight="1" s="287">
      <c r="F958" s="31" t="n"/>
    </row>
    <row r="959" ht="14.4" customHeight="1" s="287">
      <c r="F959" s="31" t="n"/>
    </row>
    <row r="960" ht="14.4" customHeight="1" s="287">
      <c r="F960" s="31" t="n"/>
    </row>
    <row r="961" ht="14.4" customHeight="1" s="287">
      <c r="F961" s="31" t="n"/>
    </row>
    <row r="962" ht="14.4" customHeight="1" s="287">
      <c r="F962" s="31" t="n"/>
    </row>
    <row r="963" ht="14.4" customHeight="1" s="287">
      <c r="F963" s="31" t="n"/>
    </row>
    <row r="964" ht="14.4" customHeight="1" s="287">
      <c r="F964" s="31" t="n"/>
    </row>
    <row r="965" ht="14.4" customHeight="1" s="287">
      <c r="F965" s="31" t="n"/>
    </row>
    <row r="966" ht="14.4" customHeight="1" s="287">
      <c r="F966" s="31" t="n"/>
    </row>
    <row r="967" ht="14.4" customHeight="1" s="287">
      <c r="F967" s="31" t="n"/>
    </row>
    <row r="968" ht="14.4" customHeight="1" s="287">
      <c r="F968" s="31" t="n"/>
    </row>
    <row r="969" ht="14.4" customHeight="1" s="287">
      <c r="F969" s="31" t="n"/>
    </row>
    <row r="970" ht="14.4" customHeight="1" s="287">
      <c r="F970" s="31" t="n"/>
    </row>
    <row r="971" ht="14.4" customHeight="1" s="287">
      <c r="F971" s="31" t="n"/>
    </row>
    <row r="972" ht="14.4" customHeight="1" s="287">
      <c r="F972" s="31" t="n"/>
    </row>
    <row r="973" ht="14.4" customHeight="1" s="287">
      <c r="F973" s="31" t="n"/>
    </row>
    <row r="974" ht="14.4" customHeight="1" s="287">
      <c r="F974" s="31" t="n"/>
    </row>
    <row r="975" ht="14.4" customHeight="1" s="287">
      <c r="F975" s="31" t="n"/>
    </row>
    <row r="976" ht="14.4" customHeight="1" s="287">
      <c r="F976" s="31" t="n"/>
    </row>
    <row r="977" ht="14.4" customHeight="1" s="287">
      <c r="F977" s="31" t="n"/>
    </row>
    <row r="978" ht="14.4" customHeight="1" s="287">
      <c r="F978" s="31" t="n"/>
    </row>
  </sheetData>
  <mergeCells count="1">
    <mergeCell ref="C1:AJ2"/>
  </mergeCells>
  <conditionalFormatting sqref="M5:M9 M11:M31 M33:M539 M541:M567">
    <cfRule type="containsText" priority="11" operator="containsText" dxfId="27" text="High">
      <formula>NOT(ISERROR(SEARCH("High",M5)))</formula>
    </cfRule>
  </conditionalFormatting>
  <conditionalFormatting sqref="U5:V9 U11:V539 U541:V567">
    <cfRule type="cellIs" priority="12" operator="equal" dxfId="394">
      <formula>"Closed"</formula>
    </cfRule>
    <cfRule type="cellIs" priority="13" operator="equal" dxfId="25">
      <formula>"Open Sale"</formula>
    </cfRule>
    <cfRule type="cellIs" priority="14" operator="equal" dxfId="24">
      <formula>"Pending Allocation"</formula>
    </cfRule>
    <cfRule type="cellIs" priority="15" operator="equal" dxfId="23">
      <formula>"transferred"</formula>
    </cfRule>
    <cfRule type="cellIs" priority="16" operator="equal" dxfId="401">
      <formula>"Sold"</formula>
    </cfRule>
  </conditionalFormatting>
  <conditionalFormatting sqref="U22:V22 U541:W541 U542:Z548 W10:Z10 W549:Z568 W570:Z1048576 Y22:Z22 Y541:Z541">
    <cfRule type="cellIs" priority="389" operator="equal" dxfId="400">
      <formula>"Closed"</formula>
    </cfRule>
    <cfRule type="cellIs" priority="390" operator="equal" dxfId="25">
      <formula>"Open"</formula>
    </cfRule>
    <cfRule type="cellIs" priority="391" operator="equal" dxfId="24">
      <formula>"Pending"</formula>
    </cfRule>
  </conditionalFormatting>
  <conditionalFormatting sqref="U27:V27">
    <cfRule type="cellIs" priority="8" operator="equal" dxfId="394">
      <formula>"Closed"</formula>
    </cfRule>
    <cfRule type="cellIs" priority="9" operator="equal" dxfId="25">
      <formula>"Open"</formula>
    </cfRule>
    <cfRule type="cellIs" priority="10" operator="equal" dxfId="24">
      <formula>"Pending"</formula>
    </cfRule>
  </conditionalFormatting>
  <conditionalFormatting sqref="U28:V28">
    <cfRule type="cellIs" priority="5" operator="equal" dxfId="394">
      <formula>"Closed"</formula>
    </cfRule>
    <cfRule type="cellIs" priority="6" operator="equal" dxfId="25">
      <formula>"Open"</formula>
    </cfRule>
    <cfRule type="cellIs" priority="7" operator="equal" dxfId="24">
      <formula>"Pending"</formula>
    </cfRule>
  </conditionalFormatting>
  <conditionalFormatting sqref="M32">
    <cfRule type="containsText" priority="4" operator="containsText" dxfId="27" text="High">
      <formula>NOT(ISERROR(SEARCH("High",M32)))</formula>
    </cfRule>
  </conditionalFormatting>
  <conditionalFormatting sqref="U5:V9 U11:V33">
    <cfRule type="containsText" priority="3" operator="containsText" dxfId="390" text="Paid Deposit ">
      <formula>NOT(ISERROR(SEARCH("Paid Deposit ",U5)))</formula>
    </cfRule>
  </conditionalFormatting>
  <conditionalFormatting sqref="O581:O582">
    <cfRule type="containsText" priority="2" operator="containsText" dxfId="27" text="High">
      <formula>NOT(ISERROR(SEARCH("High",O581)))</formula>
    </cfRule>
  </conditionalFormatting>
  <conditionalFormatting sqref="O583">
    <cfRule type="containsText" priority="1" operator="containsText" dxfId="27" text="High">
      <formula>NOT(ISERROR(SEARCH("High",O583)))</formula>
    </cfRule>
  </conditionalFormatting>
  <dataValidations count="12">
    <dataValidation sqref="U542:V548 W10:Y10 W541:W568 W570:Y1048576 X542:X568 Y22 Y541:Y568" showDropDown="0" showInputMessage="1" showErrorMessage="1" allowBlank="1" type="list">
      <formula1>$AS$5:$AS$8</formula1>
    </dataValidation>
    <dataValidation sqref="M10 M22 M541:M568 M570:M1048576" showDropDown="0" showInputMessage="1" showErrorMessage="1" allowBlank="1" type="list">
      <formula1>$AX$5:$AX$10</formula1>
    </dataValidation>
    <dataValidation sqref="F5:F539 F541:F569 F570:G1048576 G568" showDropDown="0" showInputMessage="1" showErrorMessage="1" allowBlank="1" type="list">
      <formula1>"Maaz,Asma,Riham"</formula1>
    </dataValidation>
    <dataValidation sqref="J10:K10 J22 J541:J568 J570:K1048576 K568" showDropDown="0" showInputMessage="1" showErrorMessage="1" allowBlank="1" type="list">
      <formula1>"Yes,BTQ Stock"</formula1>
    </dataValidation>
    <dataValidation sqref="U34:V539 U541:V541" showDropDown="0" showInputMessage="1" showErrorMessage="1" allowBlank="1" type="list">
      <formula1>$AS$5:$AS$10</formula1>
    </dataValidation>
    <dataValidation sqref="X5:X9 X11:X539 X541" showDropDown="0" showInputMessage="1" showErrorMessage="1" allowBlank="1" type="list">
      <formula1>"Paid Deposit, Paid Deposit - Full Payment, Full Payment - By link, Full Payment - Bank Transfer, Full payment - At Boutique,Paid Deposit - Bank Transfer - At Boutique,Full Payment Bank Transfer - At Boutique"</formula1>
    </dataValidation>
    <dataValidation sqref="N5:N539 N541:N568 N570:N1048576" showDropDown="0" showInputMessage="1" showErrorMessage="1" allowBlank="1" type="list">
      <formula1>"Middle East (UAE),Middle East (KSA),Middle East (Qatar),Middle East (Kuwait)"</formula1>
    </dataValidation>
    <dataValidation sqref="G10 G23:G567" showDropDown="0" showInputMessage="1" showErrorMessage="1" allowBlank="1"/>
    <dataValidation sqref="M5:M9 M11:M539 O581:O583" showDropDown="0" showInputMessage="1" showErrorMessage="1" allowBlank="1" type="list">
      <formula1>$AX$7:$AX$10</formula1>
    </dataValidation>
    <dataValidation sqref="K5:K9 K11:K567" showDropDown="0" showInputMessage="1" showErrorMessage="1" allowBlank="1" type="list">
      <formula1>"CRC Stock, Boutique Stock"</formula1>
    </dataValidation>
    <dataValidation sqref="L1:L568 L570:L1048576" showDropDown="0" showInputMessage="1" showErrorMessage="1" allowBlank="1" type="list">
      <formula1>"Awaiting HQ Approval, Approved by HQ, Allocation Confirmed, Allocation Closed (Sold),Currently Under Review,Allocation confirmed(Deposit paid)"</formula1>
    </dataValidation>
    <dataValidation sqref="U5:V9 U11:V33" showDropDown="0" showInputMessage="1" showErrorMessage="1" allowBlank="1" type="list">
      <formula1>$AS$5:$AS$11</formula1>
    </dataValidation>
  </dataValidations>
  <pageMargins left="0.7" right="0.7" top="0.75" bottom="0.75" header="0.3" footer="0.3"/>
  <pageSetup orientation="portrait" scale="24"/>
  <colBreaks count="1" manualBreakCount="1">
    <brk id="29" min="0" max="1048575" man="1"/>
  </colBreaks>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P510"/>
  <sheetViews>
    <sheetView topLeftCell="H1" workbookViewId="0">
      <selection activeCell="L25" sqref="L14:L28"/>
    </sheetView>
  </sheetViews>
  <sheetFormatPr baseColWidth="8" defaultRowHeight="14.4"/>
  <cols>
    <col width="12" bestFit="1" customWidth="1" style="287" min="1" max="1"/>
    <col width="22.109375" bestFit="1" customWidth="1" style="287" min="2" max="2"/>
    <col width="18.33203125" bestFit="1" customWidth="1" style="287" min="3" max="3"/>
    <col width="16.109375" bestFit="1" customWidth="1" style="287" min="4" max="4"/>
    <col width="22.109375" bestFit="1" customWidth="1" style="287" min="5" max="5"/>
    <col width="13.5546875" bestFit="1" customWidth="1" style="287" min="6" max="6"/>
    <col width="20.33203125" bestFit="1" customWidth="1" style="287" min="7" max="7"/>
    <col width="20.5546875" bestFit="1" customWidth="1" style="287" min="8" max="8"/>
    <col width="15.6640625" customWidth="1" style="24" min="9" max="9"/>
    <col width="13.5546875" bestFit="1" customWidth="1" style="287" min="10" max="10"/>
    <col width="17.109375" bestFit="1" customWidth="1" style="287" min="15" max="15"/>
    <col width="25" bestFit="1" customWidth="1" style="287" min="16" max="16"/>
    <col width="27.109375" bestFit="1" customWidth="1" style="287" min="17" max="17"/>
    <col width="11" bestFit="1" customWidth="1" style="287" min="18" max="18"/>
    <col width="9.6640625" bestFit="1" customWidth="1" style="287" min="19" max="19"/>
    <col width="10.6640625" bestFit="1" customWidth="1" style="287" min="20" max="20"/>
    <col width="9.6640625" bestFit="1" customWidth="1" style="287" min="21" max="25"/>
    <col width="10.6640625" bestFit="1" customWidth="1" style="287" min="26" max="27"/>
    <col width="9.6640625" bestFit="1" customWidth="1" style="287" min="28" max="31"/>
    <col width="10.6640625" bestFit="1" customWidth="1" style="287" min="32" max="32"/>
    <col width="9.6640625" bestFit="1" customWidth="1" style="287" min="33" max="35"/>
    <col width="10.6640625" bestFit="1" customWidth="1" style="287" min="36" max="37"/>
    <col width="9.6640625" bestFit="1" customWidth="1" style="287" min="38" max="41"/>
    <col width="10.6640625" bestFit="1" customWidth="1" style="287" min="42" max="42"/>
    <col width="9.6640625" bestFit="1" customWidth="1" style="287" min="43" max="45"/>
    <col width="10.6640625" bestFit="1" customWidth="1" style="287" min="46" max="47"/>
    <col width="9.6640625" bestFit="1" customWidth="1" style="287" min="48" max="52"/>
    <col width="10.6640625" bestFit="1" customWidth="1" style="287" min="53" max="54"/>
    <col width="9.6640625" bestFit="1" customWidth="1" style="287" min="55" max="56"/>
    <col width="8.6640625" bestFit="1" customWidth="1" style="287" min="57" max="57"/>
    <col width="9.6640625" bestFit="1" customWidth="1" style="287" min="58" max="59"/>
    <col width="8.6640625" bestFit="1" customWidth="1" style="287" min="60" max="60"/>
    <col width="9.6640625" bestFit="1" customWidth="1" style="287" min="61" max="61"/>
    <col width="10.6640625" bestFit="1" customWidth="1" style="287" min="62" max="64"/>
    <col width="9.6640625" bestFit="1" customWidth="1" style="287" min="65" max="67"/>
    <col width="10.6640625" bestFit="1" customWidth="1" style="287" min="68" max="69"/>
    <col width="9.6640625" bestFit="1" customWidth="1" style="287" min="70" max="77"/>
    <col width="10.6640625" bestFit="1" customWidth="1" style="287" min="78" max="79"/>
    <col width="9.6640625" bestFit="1" customWidth="1" style="287" min="80" max="83"/>
    <col width="10.6640625" bestFit="1" customWidth="1" style="287" min="84" max="84"/>
    <col width="9.6640625" bestFit="1" customWidth="1" style="287" min="85" max="89"/>
    <col width="10.6640625" bestFit="1" customWidth="1" style="287" min="90" max="90"/>
    <col width="9.6640625" bestFit="1" customWidth="1" style="287" min="91" max="92"/>
    <col width="8.6640625" bestFit="1" customWidth="1" style="287" min="93" max="93"/>
    <col width="9.6640625" bestFit="1" customWidth="1" style="287" min="94" max="94"/>
    <col width="10.6640625" bestFit="1" customWidth="1" style="287" min="95" max="95"/>
    <col width="9.6640625" bestFit="1" customWidth="1" style="287" min="96" max="96"/>
    <col width="10.6640625" bestFit="1" customWidth="1" style="287" min="97" max="97"/>
    <col width="9.6640625" bestFit="1" customWidth="1" style="287" min="98" max="98"/>
    <col width="8.6640625" bestFit="1" customWidth="1" style="287" min="99" max="101"/>
    <col width="9.6640625" bestFit="1" customWidth="1" style="287" min="102" max="103"/>
    <col width="8.6640625" bestFit="1" customWidth="1" style="287" min="104" max="112"/>
    <col width="9.6640625" bestFit="1" customWidth="1" style="287" min="113" max="113"/>
    <col width="8.6640625" bestFit="1" customWidth="1" style="287" min="114" max="116"/>
    <col width="9.6640625" bestFit="1" customWidth="1" style="287" min="117" max="117"/>
    <col width="11" bestFit="1" customWidth="1" style="287" min="118" max="118"/>
  </cols>
  <sheetData>
    <row r="1">
      <c r="A1" s="8" t="inlineStr">
        <is>
          <t>STATUS</t>
        </is>
      </c>
      <c r="B1" s="9" t="inlineStr">
        <is>
          <t>CLIENT FEEDBACK</t>
        </is>
      </c>
      <c r="C1" s="9" t="inlineStr">
        <is>
          <t>REQUEST DATE</t>
        </is>
      </c>
      <c r="D1" s="9" t="inlineStr">
        <is>
          <t>REFERENCE</t>
        </is>
      </c>
      <c r="E1" s="9" t="inlineStr">
        <is>
          <t>BOUTIQUE</t>
        </is>
      </c>
      <c r="F1" s="9" t="inlineStr">
        <is>
          <t>CLIENT ID</t>
        </is>
      </c>
      <c r="G1" s="9" t="inlineStr">
        <is>
          <t>CLIENT SEGMENT</t>
        </is>
      </c>
      <c r="H1" s="9" t="inlineStr">
        <is>
          <t>SALES ASSOCIATE</t>
        </is>
      </c>
      <c r="I1" s="110" t="inlineStr">
        <is>
          <t>COMMENTS</t>
        </is>
      </c>
      <c r="J1" s="9" t="inlineStr">
        <is>
          <t>Avaliblity</t>
        </is>
      </c>
    </row>
    <row r="2" ht="72" customHeight="1" s="287">
      <c r="A2" s="111" t="inlineStr">
        <is>
          <t>Request</t>
        </is>
      </c>
      <c r="B2" s="112" t="n"/>
      <c r="C2" s="112" t="inlineStr">
        <is>
          <t>13/5/2025</t>
        </is>
      </c>
      <c r="D2" s="112" t="inlineStr">
        <is>
          <t>4000V/210A-B911</t>
        </is>
      </c>
      <c r="E2" s="112" t="inlineStr">
        <is>
          <t>Phone sales Middle East</t>
        </is>
      </c>
      <c r="F2" s="112" t="n"/>
      <c r="G2" s="112" t="inlineStr">
        <is>
          <t>Prospect</t>
        </is>
      </c>
      <c r="H2" s="112" t="inlineStr">
        <is>
          <t>SHARIF Maaz</t>
        </is>
      </c>
      <c r="I2" s="113" t="inlineStr">
        <is>
          <t xml:space="preserve">The client is intrested in the B911 and the Fiftysix 
</t>
        </is>
      </c>
      <c r="J2" s="117" t="n"/>
      <c r="O2" s="118" t="inlineStr">
        <is>
          <t>Count of STATUS</t>
        </is>
      </c>
      <c r="P2" s="118" t="inlineStr">
        <is>
          <t>Column Labels</t>
        </is>
      </c>
    </row>
    <row r="3" ht="43.2" customHeight="1" s="287">
      <c r="A3" s="111" t="inlineStr">
        <is>
          <t>Request</t>
        </is>
      </c>
      <c r="B3" s="112" t="n"/>
      <c r="C3" s="112" t="inlineStr">
        <is>
          <t>13/5/2025</t>
        </is>
      </c>
      <c r="D3" s="112" t="inlineStr">
        <is>
          <t>4000E/000A-B439</t>
        </is>
      </c>
      <c r="E3" s="112" t="inlineStr">
        <is>
          <t>Phone sales Middle East</t>
        </is>
      </c>
      <c r="F3" s="112" t="n"/>
      <c r="G3" s="112" t="inlineStr">
        <is>
          <t>Prospect</t>
        </is>
      </c>
      <c r="H3" s="112" t="inlineStr">
        <is>
          <t>SHARIF Maaz</t>
        </is>
      </c>
      <c r="I3" s="113" t="inlineStr">
        <is>
          <t xml:space="preserve">Fiftysix complete calendar
</t>
        </is>
      </c>
      <c r="J3" s="112" t="n"/>
      <c r="O3" s="112" t="n"/>
      <c r="P3" s="112" t="inlineStr">
        <is>
          <t>Phone sales Middle East</t>
        </is>
      </c>
    </row>
    <row r="4" ht="28.95" customHeight="1" s="287">
      <c r="A4" s="111" t="inlineStr">
        <is>
          <t>Request</t>
        </is>
      </c>
      <c r="B4" s="112" t="n"/>
      <c r="C4" s="112" t="inlineStr">
        <is>
          <t>10/5/2025</t>
        </is>
      </c>
      <c r="D4" s="112" t="inlineStr">
        <is>
          <t>4200H/222A-B934</t>
        </is>
      </c>
      <c r="E4" s="112" t="inlineStr">
        <is>
          <t>Phone sales Middle East</t>
        </is>
      </c>
      <c r="F4" s="112" t="n"/>
      <c r="G4" s="112" t="inlineStr">
        <is>
          <t>Prospect</t>
        </is>
      </c>
      <c r="H4" s="112" t="inlineStr">
        <is>
          <t>TAHHAN Riham</t>
        </is>
      </c>
      <c r="I4" s="113" t="inlineStr">
        <is>
          <t xml:space="preserve">
</t>
        </is>
      </c>
      <c r="J4" s="112" t="n"/>
      <c r="O4" s="118" t="inlineStr">
        <is>
          <t>Row Labels</t>
        </is>
      </c>
      <c r="P4" s="112" t="inlineStr">
        <is>
          <t>4000V/210A-B911</t>
        </is>
      </c>
    </row>
    <row r="5" ht="43.2" customHeight="1" s="287">
      <c r="A5" s="111" t="inlineStr">
        <is>
          <t>Request</t>
        </is>
      </c>
      <c r="B5" s="112" t="n"/>
      <c r="C5" s="112" t="inlineStr">
        <is>
          <t>10/5/2025</t>
        </is>
      </c>
      <c r="D5" s="112" t="inlineStr">
        <is>
          <t>4520V/210A-B128</t>
        </is>
      </c>
      <c r="E5" s="112" t="inlineStr">
        <is>
          <t>Phone sales Middle East</t>
        </is>
      </c>
      <c r="F5" s="112" t="n"/>
      <c r="G5" s="112" t="n"/>
      <c r="H5" s="112" t="inlineStr">
        <is>
          <t>OMARI Asma</t>
        </is>
      </c>
      <c r="I5" s="113" t="inlineStr">
        <is>
          <t xml:space="preserve">Aleksandr Luchenko
</t>
        </is>
      </c>
      <c r="J5" s="112" t="n"/>
      <c r="O5" s="112" t="n"/>
      <c r="P5" s="112" t="n">
        <v>2</v>
      </c>
    </row>
    <row r="6">
      <c r="A6" s="111" t="inlineStr">
        <is>
          <t>Request</t>
        </is>
      </c>
      <c r="B6" s="112" t="n"/>
      <c r="C6" s="112" t="inlineStr">
        <is>
          <t>6/5/2025</t>
        </is>
      </c>
      <c r="D6" s="112" t="inlineStr">
        <is>
          <t>4200H/222A-B934</t>
        </is>
      </c>
      <c r="E6" s="112" t="inlineStr">
        <is>
          <t>Phone sales Middle East</t>
        </is>
      </c>
      <c r="F6" s="112" t="inlineStr">
        <is>
          <t>105678778</t>
        </is>
      </c>
      <c r="G6" s="112" t="inlineStr">
        <is>
          <t>Prospect</t>
        </is>
      </c>
      <c r="H6" s="112" t="inlineStr">
        <is>
          <t>TAHHAN Riham</t>
        </is>
      </c>
      <c r="I6" s="113" t="n"/>
      <c r="J6" s="112" t="n"/>
      <c r="O6" s="112" t="inlineStr">
        <is>
          <t>101770162</t>
        </is>
      </c>
      <c r="P6" s="112" t="n">
        <v>1</v>
      </c>
    </row>
    <row r="7">
      <c r="A7" s="111" t="inlineStr">
        <is>
          <t>Request</t>
        </is>
      </c>
      <c r="B7" s="112" t="n"/>
      <c r="C7" s="112" t="inlineStr">
        <is>
          <t>6/5/2025</t>
        </is>
      </c>
      <c r="D7" s="112" t="inlineStr">
        <is>
          <t>4520V/210A-B483</t>
        </is>
      </c>
      <c r="E7" s="112" t="inlineStr">
        <is>
          <t>Phone sales Middle East</t>
        </is>
      </c>
      <c r="F7" s="112" t="inlineStr">
        <is>
          <t>101467308</t>
        </is>
      </c>
      <c r="G7" s="112" t="inlineStr">
        <is>
          <t>Prospect</t>
        </is>
      </c>
      <c r="H7" s="112" t="inlineStr">
        <is>
          <t>SHARIF Maaz</t>
        </is>
      </c>
      <c r="I7" s="113" t="n"/>
      <c r="J7" s="112" t="n"/>
      <c r="O7" s="112" t="inlineStr">
        <is>
          <t>102003092</t>
        </is>
      </c>
      <c r="P7" s="112" t="n">
        <v>1</v>
      </c>
    </row>
    <row r="8">
      <c r="A8" s="111" t="inlineStr">
        <is>
          <t>Request</t>
        </is>
      </c>
      <c r="B8" s="112" t="n"/>
      <c r="C8" s="112" t="inlineStr">
        <is>
          <t>6/5/2025</t>
        </is>
      </c>
      <c r="D8" s="112" t="inlineStr">
        <is>
          <t>4000V/210A-B911</t>
        </is>
      </c>
      <c r="E8" s="112" t="inlineStr">
        <is>
          <t>Phone sales Middle East</t>
        </is>
      </c>
      <c r="F8" s="112" t="inlineStr">
        <is>
          <t>105678696</t>
        </is>
      </c>
      <c r="G8" s="112" t="inlineStr">
        <is>
          <t>Prospect</t>
        </is>
      </c>
      <c r="H8" s="112" t="inlineStr">
        <is>
          <t>TAHHAN Riham</t>
        </is>
      </c>
      <c r="I8" s="113" t="n"/>
      <c r="J8" s="112" t="n"/>
      <c r="O8" s="112" t="inlineStr">
        <is>
          <t>103658184</t>
        </is>
      </c>
      <c r="P8" s="112" t="n">
        <v>1</v>
      </c>
    </row>
    <row r="9" ht="43.2" customHeight="1" s="287">
      <c r="A9" s="111" t="inlineStr">
        <is>
          <t>Request</t>
        </is>
      </c>
      <c r="B9" s="112" t="n"/>
      <c r="C9" s="112" t="inlineStr">
        <is>
          <t>3/5/2025</t>
        </is>
      </c>
      <c r="D9" s="112" t="inlineStr">
        <is>
          <t>4200H/222A-B934</t>
        </is>
      </c>
      <c r="E9" s="112" t="inlineStr">
        <is>
          <t>Phone sales Middle East</t>
        </is>
      </c>
      <c r="F9" s="112" t="inlineStr">
        <is>
          <t>105562671</t>
        </is>
      </c>
      <c r="G9" s="112" t="inlineStr">
        <is>
          <t>Prospect</t>
        </is>
      </c>
      <c r="H9" s="112" t="inlineStr">
        <is>
          <t>OMARI Asma</t>
        </is>
      </c>
      <c r="I9" s="113" t="inlineStr">
        <is>
          <t xml:space="preserve">Mohammed Omar
</t>
        </is>
      </c>
      <c r="J9" s="112" t="n"/>
      <c r="O9" s="112" t="inlineStr">
        <is>
          <t>105306744</t>
        </is>
      </c>
      <c r="P9" s="112" t="n">
        <v>1</v>
      </c>
    </row>
    <row r="10">
      <c r="A10" s="111" t="inlineStr">
        <is>
          <t>Request</t>
        </is>
      </c>
      <c r="B10" s="112" t="n"/>
      <c r="C10" s="112" t="inlineStr">
        <is>
          <t>2/5/2025</t>
        </is>
      </c>
      <c r="D10" s="112" t="inlineStr">
        <is>
          <t>4520V/210A-B128</t>
        </is>
      </c>
      <c r="E10" s="112" t="inlineStr">
        <is>
          <t>Phone sales Middle East</t>
        </is>
      </c>
      <c r="F10" s="112" t="inlineStr">
        <is>
          <t>103643274</t>
        </is>
      </c>
      <c r="G10" s="112" t="inlineStr">
        <is>
          <t>Prospect</t>
        </is>
      </c>
      <c r="H10" s="112" t="inlineStr">
        <is>
          <t>TAHHAN Riham</t>
        </is>
      </c>
      <c r="I10" s="113" t="n"/>
      <c r="J10" s="112" t="n"/>
      <c r="O10" s="112" t="inlineStr">
        <is>
          <t>105366145</t>
        </is>
      </c>
      <c r="P10" s="112" t="n">
        <v>1</v>
      </c>
    </row>
    <row r="11" ht="43.2" customHeight="1" s="287">
      <c r="A11" s="111" t="inlineStr">
        <is>
          <t>Request</t>
        </is>
      </c>
      <c r="B11" s="112" t="n"/>
      <c r="C11" s="112" t="inlineStr">
        <is>
          <t>1/5/2025</t>
        </is>
      </c>
      <c r="D11" s="112" t="inlineStr">
        <is>
          <t>4200H/222A-B934</t>
        </is>
      </c>
      <c r="E11" s="112" t="inlineStr">
        <is>
          <t>Phone sales Middle East</t>
        </is>
      </c>
      <c r="F11" s="112" t="inlineStr">
        <is>
          <t>105487562</t>
        </is>
      </c>
      <c r="G11" s="112" t="inlineStr">
        <is>
          <t>Prospect</t>
        </is>
      </c>
      <c r="H11" s="112" t="inlineStr">
        <is>
          <t>TAHHAN Riham</t>
        </is>
      </c>
      <c r="I11" s="113" t="inlineStr">
        <is>
          <t xml:space="preserve">The client will visit UAE
</t>
        </is>
      </c>
      <c r="J11" s="112" t="n"/>
      <c r="O11" s="112" t="inlineStr">
        <is>
          <t>105366966</t>
        </is>
      </c>
      <c r="P11" s="112" t="n">
        <v>1</v>
      </c>
    </row>
    <row r="12" ht="43.2" customHeight="1" s="287">
      <c r="A12" s="111" t="inlineStr">
        <is>
          <t>Request</t>
        </is>
      </c>
      <c r="B12" s="112" t="n"/>
      <c r="C12" s="112" t="inlineStr">
        <is>
          <t>29/4/2025</t>
        </is>
      </c>
      <c r="D12" s="112" t="inlineStr">
        <is>
          <t>4000V/210A-B911</t>
        </is>
      </c>
      <c r="E12" s="112" t="inlineStr">
        <is>
          <t>Phone sales Middle East</t>
        </is>
      </c>
      <c r="F12" s="112" t="inlineStr">
        <is>
          <t>105366966</t>
        </is>
      </c>
      <c r="G12" s="112" t="inlineStr">
        <is>
          <t>Prospect</t>
        </is>
      </c>
      <c r="H12" s="112" t="inlineStr">
        <is>
          <t>SHARIF Maaz</t>
        </is>
      </c>
      <c r="I12" s="113" t="inlineStr">
        <is>
          <t xml:space="preserve">Moonphase and 222
</t>
        </is>
      </c>
      <c r="J12" s="112" t="n"/>
      <c r="O12" s="112" t="inlineStr">
        <is>
          <t>92424528</t>
        </is>
      </c>
      <c r="P12" s="112" t="n">
        <v>1</v>
      </c>
    </row>
    <row r="13">
      <c r="A13" s="111" t="inlineStr">
        <is>
          <t>Request</t>
        </is>
      </c>
      <c r="B13" s="112" t="n"/>
      <c r="C13" s="112" t="inlineStr">
        <is>
          <t>29/4/2025</t>
        </is>
      </c>
      <c r="D13" s="112" t="inlineStr">
        <is>
          <t>4200H/222A-B934</t>
        </is>
      </c>
      <c r="E13" s="112" t="inlineStr">
        <is>
          <t>Phone sales Middle East</t>
        </is>
      </c>
      <c r="F13" s="112" t="inlineStr">
        <is>
          <t>105338699</t>
        </is>
      </c>
      <c r="G13" s="112" t="inlineStr">
        <is>
          <t>Prospect</t>
        </is>
      </c>
      <c r="H13" s="112" t="inlineStr">
        <is>
          <t>TAHHAN Riham</t>
        </is>
      </c>
      <c r="I13" s="113" t="n"/>
      <c r="J13" s="112" t="n"/>
      <c r="O13" s="112" t="inlineStr">
        <is>
          <t>Grand Total</t>
        </is>
      </c>
      <c r="P13" s="112" t="n">
        <v>9</v>
      </c>
    </row>
    <row r="14" ht="72" customHeight="1" s="287">
      <c r="A14" s="111" t="inlineStr">
        <is>
          <t>Request</t>
        </is>
      </c>
      <c r="B14" s="112" t="inlineStr">
        <is>
          <t>Confirmed</t>
        </is>
      </c>
      <c r="C14" s="112" t="inlineStr">
        <is>
          <t>25/4/2025</t>
        </is>
      </c>
      <c r="D14" s="112" t="inlineStr">
        <is>
          <t>7920V/210R-B965</t>
        </is>
      </c>
      <c r="E14" s="112" t="inlineStr">
        <is>
          <t>Phone sales Middle East</t>
        </is>
      </c>
      <c r="F14" s="112" t="inlineStr">
        <is>
          <t>105366145</t>
        </is>
      </c>
      <c r="G14" s="112" t="inlineStr">
        <is>
          <t>Prospect</t>
        </is>
      </c>
      <c r="H14" s="112" t="inlineStr">
        <is>
          <t>SHARIF Maaz</t>
        </is>
      </c>
      <c r="I14" s="113" t="inlineStr">
        <is>
          <t xml:space="preserve">The client is interested in either the bule or green dual time 
</t>
        </is>
      </c>
      <c r="J14" s="112" t="n"/>
    </row>
    <row r="15" ht="43.2" customHeight="1" s="287">
      <c r="A15" s="111" t="inlineStr">
        <is>
          <t>Request</t>
        </is>
      </c>
      <c r="B15" s="112" t="inlineStr">
        <is>
          <t>Pending client feedback</t>
        </is>
      </c>
      <c r="C15" s="112" t="inlineStr">
        <is>
          <t>23/4/2025</t>
        </is>
      </c>
      <c r="D15" s="112" t="inlineStr">
        <is>
          <t>4000V/210A-B911</t>
        </is>
      </c>
      <c r="E15" s="112" t="inlineStr">
        <is>
          <t>Phone sales Middle East</t>
        </is>
      </c>
      <c r="F15" s="112" t="inlineStr">
        <is>
          <t>104559752</t>
        </is>
      </c>
      <c r="G15" s="112" t="inlineStr">
        <is>
          <t>Prospect</t>
        </is>
      </c>
      <c r="H15" s="112" t="inlineStr">
        <is>
          <t>OMARI Asma</t>
        </is>
      </c>
      <c r="I15" s="113" t="inlineStr">
        <is>
          <t xml:space="preserve">order placed for Phone sales.
</t>
        </is>
      </c>
      <c r="J15" s="112" t="n"/>
    </row>
    <row r="16" ht="28.95" customHeight="1" s="287">
      <c r="A16" s="111" t="inlineStr">
        <is>
          <t>Request</t>
        </is>
      </c>
      <c r="B16" s="112" t="n"/>
      <c r="C16" s="112" t="inlineStr">
        <is>
          <t>23/4/2025</t>
        </is>
      </c>
      <c r="D16" s="112" t="inlineStr">
        <is>
          <t>4200H/222A-B934</t>
        </is>
      </c>
      <c r="E16" s="112" t="inlineStr">
        <is>
          <t>Phone sales Middle East</t>
        </is>
      </c>
      <c r="F16" s="112" t="inlineStr">
        <is>
          <t>104559752</t>
        </is>
      </c>
      <c r="G16" s="112" t="inlineStr">
        <is>
          <t>Prospect</t>
        </is>
      </c>
      <c r="H16" s="112" t="inlineStr">
        <is>
          <t>OMARI Asma</t>
        </is>
      </c>
      <c r="I16" s="113" t="inlineStr">
        <is>
          <t xml:space="preserve">Aziz Ata
</t>
        </is>
      </c>
      <c r="J16" s="112" t="n"/>
    </row>
    <row r="17">
      <c r="A17" s="111" t="inlineStr">
        <is>
          <t>Sold</t>
        </is>
      </c>
      <c r="B17" s="112" t="inlineStr">
        <is>
          <t>Confirmed</t>
        </is>
      </c>
      <c r="C17" s="112" t="inlineStr">
        <is>
          <t>19/4/2025</t>
        </is>
      </c>
      <c r="D17" s="112" t="inlineStr">
        <is>
          <t>7920V/210A-B546</t>
        </is>
      </c>
      <c r="E17" s="112" t="inlineStr">
        <is>
          <t>Phone sales Middle East</t>
        </is>
      </c>
      <c r="F17" s="112" t="inlineStr">
        <is>
          <t>101893659</t>
        </is>
      </c>
      <c r="G17" s="112" t="inlineStr">
        <is>
          <t>Prospect</t>
        </is>
      </c>
      <c r="H17" s="112" t="inlineStr">
        <is>
          <t>TAHHAN Riham</t>
        </is>
      </c>
      <c r="I17" s="113" t="n"/>
      <c r="J17" s="112" t="n"/>
    </row>
    <row r="18" ht="43.2" customHeight="1" s="287">
      <c r="A18" s="111" t="inlineStr">
        <is>
          <t>Request</t>
        </is>
      </c>
      <c r="B18" s="112" t="n"/>
      <c r="C18" s="112" t="inlineStr">
        <is>
          <t>19/4/2025</t>
        </is>
      </c>
      <c r="D18" s="112" t="inlineStr">
        <is>
          <t>4000V/210A-B911</t>
        </is>
      </c>
      <c r="E18" s="112" t="inlineStr">
        <is>
          <t>Phone sales Middle East</t>
        </is>
      </c>
      <c r="F18" s="112" t="inlineStr">
        <is>
          <t>105306744</t>
        </is>
      </c>
      <c r="G18" s="112" t="inlineStr">
        <is>
          <t>Prospect</t>
        </is>
      </c>
      <c r="H18" s="112" t="inlineStr">
        <is>
          <t>SHARIF Maaz</t>
        </is>
      </c>
      <c r="I18" s="113" t="inlineStr">
        <is>
          <t xml:space="preserve">UAE - Collector AP, RM
</t>
        </is>
      </c>
      <c r="J18" s="112" t="n"/>
    </row>
    <row r="19">
      <c r="A19" s="111" t="inlineStr">
        <is>
          <t>Request</t>
        </is>
      </c>
      <c r="B19" s="112" t="n"/>
      <c r="C19" s="112" t="inlineStr">
        <is>
          <t>19/4/2025</t>
        </is>
      </c>
      <c r="D19" s="112" t="inlineStr">
        <is>
          <t>4520V/210A-B128</t>
        </is>
      </c>
      <c r="E19" s="112" t="inlineStr">
        <is>
          <t>Phone sales Middle East</t>
        </is>
      </c>
      <c r="F19" s="112" t="inlineStr">
        <is>
          <t>105306744</t>
        </is>
      </c>
      <c r="G19" s="112" t="inlineStr">
        <is>
          <t>Prospect</t>
        </is>
      </c>
      <c r="H19" s="112" t="inlineStr">
        <is>
          <t>SHARIF Maaz</t>
        </is>
      </c>
      <c r="I19" s="113" t="n"/>
      <c r="J19" s="112" t="n"/>
    </row>
    <row r="20">
      <c r="A20" s="111" t="inlineStr">
        <is>
          <t>Request</t>
        </is>
      </c>
      <c r="B20" s="112" t="n"/>
      <c r="C20" s="112" t="inlineStr">
        <is>
          <t>19/4/2025</t>
        </is>
      </c>
      <c r="D20" s="112" t="inlineStr">
        <is>
          <t>4200H/222A-B934</t>
        </is>
      </c>
      <c r="E20" s="112" t="inlineStr">
        <is>
          <t>Phone sales Middle East</t>
        </is>
      </c>
      <c r="F20" s="112" t="inlineStr">
        <is>
          <t>105306744</t>
        </is>
      </c>
      <c r="G20" s="112" t="inlineStr">
        <is>
          <t>Prospect</t>
        </is>
      </c>
      <c r="H20" s="112" t="inlineStr">
        <is>
          <t>SHARIF Maaz</t>
        </is>
      </c>
      <c r="I20" s="113" t="n"/>
      <c r="J20" s="112" t="n"/>
    </row>
    <row r="21">
      <c r="A21" s="111" t="inlineStr">
        <is>
          <t>Request</t>
        </is>
      </c>
      <c r="B21" s="112" t="n"/>
      <c r="C21" s="112" t="inlineStr">
        <is>
          <t>19/4/2025</t>
        </is>
      </c>
      <c r="D21" s="112" t="inlineStr">
        <is>
          <t>82035/000P-H063</t>
        </is>
      </c>
      <c r="E21" s="112" t="inlineStr">
        <is>
          <t>Phone sales Middle East</t>
        </is>
      </c>
      <c r="F21" s="112" t="inlineStr">
        <is>
          <t>105306744</t>
        </is>
      </c>
      <c r="G21" s="112" t="inlineStr">
        <is>
          <t>Prospect</t>
        </is>
      </c>
      <c r="H21" s="112" t="inlineStr">
        <is>
          <t>SHARIF Maaz</t>
        </is>
      </c>
      <c r="I21" s="113" t="n"/>
      <c r="J21" s="112" t="n"/>
    </row>
    <row r="22">
      <c r="A22" s="111" t="inlineStr">
        <is>
          <t>Request</t>
        </is>
      </c>
      <c r="B22" s="112" t="n"/>
      <c r="C22" s="112" t="inlineStr">
        <is>
          <t>18/4/2025</t>
        </is>
      </c>
      <c r="D22" s="112" t="inlineStr">
        <is>
          <t>5520V/210A-B148</t>
        </is>
      </c>
      <c r="E22" s="112" t="inlineStr">
        <is>
          <t>Phone sales Middle East</t>
        </is>
      </c>
      <c r="F22" s="112" t="inlineStr">
        <is>
          <t>105225518</t>
        </is>
      </c>
      <c r="G22" s="112" t="inlineStr">
        <is>
          <t>Prospect</t>
        </is>
      </c>
      <c r="H22" s="112" t="inlineStr">
        <is>
          <t>TAHHAN Riham</t>
        </is>
      </c>
      <c r="I22" s="113" t="n"/>
      <c r="J22" s="112" t="n"/>
    </row>
    <row r="23" ht="28.95" customHeight="1" s="287">
      <c r="A23" s="111" t="inlineStr">
        <is>
          <t>Request</t>
        </is>
      </c>
      <c r="B23" s="112" t="n"/>
      <c r="C23" s="112" t="inlineStr">
        <is>
          <t>18/4/2025</t>
        </is>
      </c>
      <c r="D23" s="112" t="inlineStr">
        <is>
          <t>4520V/210A-B128</t>
        </is>
      </c>
      <c r="E23" s="112" t="inlineStr">
        <is>
          <t>Phone sales Middle East</t>
        </is>
      </c>
      <c r="F23" s="112" t="inlineStr">
        <is>
          <t>105232635</t>
        </is>
      </c>
      <c r="G23" s="112" t="inlineStr">
        <is>
          <t>Prospect</t>
        </is>
      </c>
      <c r="H23" s="112" t="inlineStr">
        <is>
          <t>OMARI Asma</t>
        </is>
      </c>
      <c r="I23" s="113" t="inlineStr">
        <is>
          <t xml:space="preserve">Erkan Kaya
</t>
        </is>
      </c>
      <c r="J23" s="112" t="n"/>
    </row>
    <row r="24" ht="57.6" customHeight="1" s="287">
      <c r="A24" s="111" t="inlineStr">
        <is>
          <t>Request</t>
        </is>
      </c>
      <c r="B24" s="112" t="n"/>
      <c r="C24" s="112" t="inlineStr">
        <is>
          <t>17/4/2025</t>
        </is>
      </c>
      <c r="D24" s="112" t="inlineStr">
        <is>
          <t>82172/000P-H062</t>
        </is>
      </c>
      <c r="E24" s="112" t="inlineStr">
        <is>
          <t>Phone sales Middle East</t>
        </is>
      </c>
      <c r="F24" s="112" t="inlineStr">
        <is>
          <t>92425024</t>
        </is>
      </c>
      <c r="G24" s="112" t="inlineStr">
        <is>
          <t>Client</t>
        </is>
      </c>
      <c r="H24" s="112" t="inlineStr">
        <is>
          <t>OMARI Asma</t>
        </is>
      </c>
      <c r="I24" s="113" t="inlineStr">
        <is>
          <t xml:space="preserve">Majid Rahman (intrested in Novelties)
</t>
        </is>
      </c>
      <c r="J24" s="112" t="n"/>
    </row>
    <row r="25" ht="28.95" customHeight="1" s="287">
      <c r="A25" s="111" t="inlineStr">
        <is>
          <t>Request</t>
        </is>
      </c>
      <c r="B25" s="112" t="n"/>
      <c r="C25" s="112" t="inlineStr">
        <is>
          <t>17/4/2025</t>
        </is>
      </c>
      <c r="D25" s="112" t="inlineStr">
        <is>
          <t>4200H/222A-B934</t>
        </is>
      </c>
      <c r="E25" s="112" t="inlineStr">
        <is>
          <t>Phone sales Middle East</t>
        </is>
      </c>
      <c r="F25" s="112" t="inlineStr">
        <is>
          <t>105234569</t>
        </is>
      </c>
      <c r="G25" s="112" t="inlineStr">
        <is>
          <t>Prospect</t>
        </is>
      </c>
      <c r="H25" s="112" t="inlineStr">
        <is>
          <t>SHARIF Maaz</t>
        </is>
      </c>
      <c r="I25" s="113" t="inlineStr">
        <is>
          <t xml:space="preserve">KSA 222
</t>
        </is>
      </c>
      <c r="J25" s="112" t="n"/>
    </row>
    <row r="26" ht="72" customHeight="1" s="287">
      <c r="A26" s="111" t="inlineStr">
        <is>
          <t>Request</t>
        </is>
      </c>
      <c r="B26" s="112" t="n"/>
      <c r="C26" s="112" t="inlineStr">
        <is>
          <t>16/4/2025</t>
        </is>
      </c>
      <c r="D26" s="112" t="inlineStr">
        <is>
          <t>4520V/210A-B128</t>
        </is>
      </c>
      <c r="E26" s="112" t="inlineStr">
        <is>
          <t>Phone sales Middle East</t>
        </is>
      </c>
      <c r="F26" s="112" t="inlineStr">
        <is>
          <t>105231885</t>
        </is>
      </c>
      <c r="G26" s="112" t="inlineStr">
        <is>
          <t>Prospect</t>
        </is>
      </c>
      <c r="H26" s="112" t="inlineStr">
        <is>
          <t>OMARI Asma</t>
        </is>
      </c>
      <c r="I26" s="113" t="inlineStr">
        <is>
          <t xml:space="preserve">Ms. Theresa Jaeger : Gift for her husband birthday
</t>
        </is>
      </c>
      <c r="J26" s="112" t="n"/>
    </row>
    <row r="27" ht="43.2" customHeight="1" s="287">
      <c r="A27" s="111" t="inlineStr">
        <is>
          <t>Request</t>
        </is>
      </c>
      <c r="B27" s="112" t="n"/>
      <c r="C27" s="112" t="inlineStr">
        <is>
          <t>16/4/2025</t>
        </is>
      </c>
      <c r="D27" s="112" t="inlineStr">
        <is>
          <t>4200H/222A-B934</t>
        </is>
      </c>
      <c r="E27" s="112" t="inlineStr">
        <is>
          <t>Phone sales Middle East</t>
        </is>
      </c>
      <c r="F27" s="112" t="inlineStr">
        <is>
          <t>105224074</t>
        </is>
      </c>
      <c r="G27" s="112" t="inlineStr">
        <is>
          <t>Prospect</t>
        </is>
      </c>
      <c r="H27" s="112" t="inlineStr">
        <is>
          <t>OMARI Asma</t>
        </is>
      </c>
      <c r="I27" s="113" t="inlineStr">
        <is>
          <t xml:space="preserve">Mr. Abdulelah Bineid : ksa
</t>
        </is>
      </c>
      <c r="J27" s="112" t="n"/>
    </row>
    <row r="28" ht="43.2" customHeight="1" s="287">
      <c r="A28" s="111" t="inlineStr">
        <is>
          <t>Request</t>
        </is>
      </c>
      <c r="B28" s="112" t="n"/>
      <c r="C28" s="112" t="inlineStr">
        <is>
          <t>16/4/2025</t>
        </is>
      </c>
      <c r="D28" s="112" t="inlineStr">
        <is>
          <t>4300V/220G-B945</t>
        </is>
      </c>
      <c r="E28" s="112" t="inlineStr">
        <is>
          <t>Phone sales Middle East</t>
        </is>
      </c>
      <c r="F28" s="112" t="inlineStr">
        <is>
          <t>105248739</t>
        </is>
      </c>
      <c r="G28" s="112" t="inlineStr">
        <is>
          <t>Prospect</t>
        </is>
      </c>
      <c r="H28" s="112" t="inlineStr">
        <is>
          <t>SHARIF Maaz</t>
        </is>
      </c>
      <c r="I28" s="113" t="inlineStr">
        <is>
          <t xml:space="preserve">client showed interest 
</t>
        </is>
      </c>
      <c r="J28" s="112" t="n"/>
    </row>
    <row r="29" ht="187.2" customHeight="1" s="287">
      <c r="A29" s="111" t="inlineStr">
        <is>
          <t>Request</t>
        </is>
      </c>
      <c r="B29" s="112" t="inlineStr">
        <is>
          <t>Confirmed</t>
        </is>
      </c>
      <c r="C29" s="112" t="inlineStr">
        <is>
          <t>16/4/2025</t>
        </is>
      </c>
      <c r="D29" s="112" t="inlineStr">
        <is>
          <t>4010T/000G-B740</t>
        </is>
      </c>
      <c r="E29" s="112" t="inlineStr">
        <is>
          <t>Phone sales Middle East</t>
        </is>
      </c>
      <c r="F29" s="112" t="inlineStr">
        <is>
          <t>105370532</t>
        </is>
      </c>
      <c r="G29" s="112" t="inlineStr">
        <is>
          <t>Prospect</t>
        </is>
      </c>
      <c r="H29" s="112" t="inlineStr">
        <is>
          <t>SHARIF Maaz</t>
        </is>
      </c>
      <c r="I29" s="113" t="inlineStr">
        <is>
          <t xml:space="preserve">**Managing Director**
- **Companies:**
- **Blue Star Tiles** (real estate/construction) fiftysix black dial 
</t>
        </is>
      </c>
      <c r="J29" s="112" t="n"/>
    </row>
    <row r="30">
      <c r="A30" s="111" t="inlineStr">
        <is>
          <t>Request</t>
        </is>
      </c>
      <c r="B30" s="112" t="n"/>
      <c r="C30" s="112" t="inlineStr">
        <is>
          <t>15/4/2025</t>
        </is>
      </c>
      <c r="D30" s="112" t="inlineStr">
        <is>
          <t>4200H/222A-B934</t>
        </is>
      </c>
      <c r="E30" s="112" t="inlineStr">
        <is>
          <t>Phone sales Middle East</t>
        </is>
      </c>
      <c r="F30" s="112" t="inlineStr">
        <is>
          <t>105223407</t>
        </is>
      </c>
      <c r="G30" s="112" t="inlineStr">
        <is>
          <t>Prospect</t>
        </is>
      </c>
      <c r="H30" s="112" t="inlineStr">
        <is>
          <t>TAHHAN Riham</t>
        </is>
      </c>
      <c r="I30" s="113" t="n"/>
      <c r="J30" s="112" t="n"/>
    </row>
    <row r="31" ht="28.95" customHeight="1" s="287">
      <c r="A31" s="111" t="inlineStr">
        <is>
          <t>Request</t>
        </is>
      </c>
      <c r="B31" s="112" t="n"/>
      <c r="C31" s="112" t="inlineStr">
        <is>
          <t>15/4/2025</t>
        </is>
      </c>
      <c r="D31" s="112" t="inlineStr">
        <is>
          <t>4200H/222A-B934</t>
        </is>
      </c>
      <c r="E31" s="112" t="inlineStr">
        <is>
          <t>Phone sales Middle East</t>
        </is>
      </c>
      <c r="F31" s="112" t="n"/>
      <c r="G31" s="112" t="inlineStr">
        <is>
          <t>Prospect</t>
        </is>
      </c>
      <c r="H31" s="112" t="inlineStr">
        <is>
          <t>TAHHAN Riham</t>
        </is>
      </c>
      <c r="I31" s="113" t="inlineStr">
        <is>
          <t xml:space="preserve">
</t>
        </is>
      </c>
      <c r="J31" s="112" t="n"/>
    </row>
    <row r="32">
      <c r="A32" s="111" t="inlineStr">
        <is>
          <t>Cancelled</t>
        </is>
      </c>
      <c r="B32" s="112" t="inlineStr">
        <is>
          <t>Cancelled</t>
        </is>
      </c>
      <c r="C32" s="112" t="inlineStr">
        <is>
          <t>12/4/2025</t>
        </is>
      </c>
      <c r="D32" s="112" t="inlineStr">
        <is>
          <t>4000V/210A-B911</t>
        </is>
      </c>
      <c r="E32" s="112" t="inlineStr">
        <is>
          <t>Phone sales Middle East</t>
        </is>
      </c>
      <c r="F32" s="112" t="inlineStr">
        <is>
          <t>105366145</t>
        </is>
      </c>
      <c r="G32" s="112" t="inlineStr">
        <is>
          <t>Prospect</t>
        </is>
      </c>
      <c r="H32" s="112" t="inlineStr">
        <is>
          <t>SHARIF Maaz</t>
        </is>
      </c>
      <c r="I32" s="113" t="n"/>
      <c r="J32" s="112" t="n"/>
    </row>
    <row r="33" ht="129.6" customHeight="1" s="287">
      <c r="A33" s="111" t="inlineStr">
        <is>
          <t>Request</t>
        </is>
      </c>
      <c r="B33" s="112" t="n"/>
      <c r="C33" s="112" t="inlineStr">
        <is>
          <t>12/4/2025</t>
        </is>
      </c>
      <c r="D33" s="112" t="inlineStr">
        <is>
          <t>7920V/210R-B965</t>
        </is>
      </c>
      <c r="E33" s="112" t="inlineStr">
        <is>
          <t>Phone sales Middle East</t>
        </is>
      </c>
      <c r="F33" s="112" t="inlineStr">
        <is>
          <t>105371442</t>
        </is>
      </c>
      <c r="G33" s="112" t="inlineStr">
        <is>
          <t>Prospect</t>
        </is>
      </c>
      <c r="H33" s="112" t="inlineStr">
        <is>
          <t>SHARIF Maaz</t>
        </is>
      </c>
      <c r="I33" s="113" t="inlineStr">
        <is>
          <t xml:space="preserve">the client owns : Rolex Submariner 126613LB - Rolex Datejust 41 - Rolex Submariner Date 41mm **Target budget ~185,000 AE**  
</t>
        </is>
      </c>
      <c r="J33" s="112" t="n"/>
    </row>
    <row r="34" ht="43.2" customHeight="1" s="287">
      <c r="A34" s="111" t="inlineStr">
        <is>
          <t>Request</t>
        </is>
      </c>
      <c r="B34" s="112" t="n"/>
      <c r="C34" s="112" t="inlineStr">
        <is>
          <t>9/4/2025</t>
        </is>
      </c>
      <c r="D34" s="112" t="inlineStr">
        <is>
          <t>4200H/222A-B934</t>
        </is>
      </c>
      <c r="E34" s="112" t="inlineStr">
        <is>
          <t>Phone sales Middle East</t>
        </is>
      </c>
      <c r="F34" s="112" t="inlineStr">
        <is>
          <t>105122031</t>
        </is>
      </c>
      <c r="G34" s="112" t="inlineStr">
        <is>
          <t>Prospect</t>
        </is>
      </c>
      <c r="H34" s="112" t="inlineStr">
        <is>
          <t>OMARI Asma</t>
        </is>
      </c>
      <c r="I34" s="113" t="inlineStr">
        <is>
          <t xml:space="preserve">Ahmed El-Badawy
</t>
        </is>
      </c>
      <c r="J34" s="112" t="n"/>
    </row>
    <row r="35" ht="28.95" customHeight="1" s="287">
      <c r="A35" s="111" t="inlineStr">
        <is>
          <t>Request</t>
        </is>
      </c>
      <c r="B35" s="112" t="n"/>
      <c r="C35" s="112" t="inlineStr">
        <is>
          <t>8/4/2025</t>
        </is>
      </c>
      <c r="D35" s="112" t="inlineStr">
        <is>
          <t>7920V/210A-B334</t>
        </is>
      </c>
      <c r="E35" s="112" t="inlineStr">
        <is>
          <t>Phone sales Middle East</t>
        </is>
      </c>
      <c r="F35" s="112" t="inlineStr">
        <is>
          <t>105116801</t>
        </is>
      </c>
      <c r="G35" s="112" t="inlineStr">
        <is>
          <t>Prospect</t>
        </is>
      </c>
      <c r="H35" s="112" t="inlineStr">
        <is>
          <t>SHARIF Maaz</t>
        </is>
      </c>
      <c r="I35" s="113" t="inlineStr">
        <is>
          <t xml:space="preserve">dual time ksa 
</t>
        </is>
      </c>
      <c r="J35" s="112" t="n"/>
    </row>
    <row r="36" ht="28.95" customHeight="1" s="287">
      <c r="A36" s="111" t="inlineStr">
        <is>
          <t>Request</t>
        </is>
      </c>
      <c r="B36" s="112" t="n"/>
      <c r="C36" s="112" t="inlineStr">
        <is>
          <t>8/4/2025</t>
        </is>
      </c>
      <c r="D36" s="112" t="inlineStr">
        <is>
          <t>4200H/222A-B934</t>
        </is>
      </c>
      <c r="E36" s="112" t="inlineStr">
        <is>
          <t>Phone sales Middle East</t>
        </is>
      </c>
      <c r="F36" s="112" t="inlineStr">
        <is>
          <t>105117467</t>
        </is>
      </c>
      <c r="G36" s="112" t="inlineStr">
        <is>
          <t>Prospect</t>
        </is>
      </c>
      <c r="H36" s="112" t="inlineStr">
        <is>
          <t>SHARIF Maaz</t>
        </is>
      </c>
      <c r="I36" s="113" t="inlineStr">
        <is>
          <t xml:space="preserve">222 KSA client - P
</t>
        </is>
      </c>
      <c r="J36" s="112" t="n"/>
    </row>
    <row r="37" ht="28.95" customHeight="1" s="287">
      <c r="A37" s="111" t="inlineStr">
        <is>
          <t>Request</t>
        </is>
      </c>
      <c r="B37" s="112" t="n"/>
      <c r="C37" s="112" t="inlineStr">
        <is>
          <t>8/4/2025</t>
        </is>
      </c>
      <c r="D37" s="112" t="inlineStr">
        <is>
          <t>7920V/210A-B334</t>
        </is>
      </c>
      <c r="E37" s="112" t="inlineStr">
        <is>
          <t>Phone sales Middle East</t>
        </is>
      </c>
      <c r="F37" s="112" t="inlineStr">
        <is>
          <t>101467308</t>
        </is>
      </c>
      <c r="G37" s="112" t="inlineStr">
        <is>
          <t>Prospect</t>
        </is>
      </c>
      <c r="H37" s="112" t="inlineStr">
        <is>
          <t>SHARIF Maaz</t>
        </is>
      </c>
      <c r="I37" s="113" t="inlineStr">
        <is>
          <t xml:space="preserve">the dual  time , 
</t>
        </is>
      </c>
      <c r="J37" s="112" t="n"/>
    </row>
    <row r="38" ht="57.6" customHeight="1" s="287">
      <c r="A38" s="111" t="inlineStr">
        <is>
          <t>Request</t>
        </is>
      </c>
      <c r="B38" s="112" t="n"/>
      <c r="C38" s="112" t="inlineStr">
        <is>
          <t>6/4/2025</t>
        </is>
      </c>
      <c r="D38" s="112" t="inlineStr">
        <is>
          <t>7920V/210A-B334</t>
        </is>
      </c>
      <c r="E38" s="112" t="inlineStr">
        <is>
          <t>Phone sales Middle East</t>
        </is>
      </c>
      <c r="F38" s="112" t="inlineStr">
        <is>
          <t>101467308</t>
        </is>
      </c>
      <c r="G38" s="112" t="inlineStr">
        <is>
          <t>Prospect</t>
        </is>
      </c>
      <c r="H38" s="112" t="inlineStr">
        <is>
          <t>SHARIF Maaz</t>
        </is>
      </c>
      <c r="I38" s="113" t="inlineStr">
        <is>
          <t xml:space="preserve">very interested in the dual time and Chronograph 
</t>
        </is>
      </c>
      <c r="J38" s="112" t="n"/>
    </row>
    <row r="39" ht="28.95" customHeight="1" s="287">
      <c r="A39" s="111" t="inlineStr">
        <is>
          <t>Request</t>
        </is>
      </c>
      <c r="B39" s="112" t="n"/>
      <c r="C39" s="112" t="inlineStr">
        <is>
          <t>5/4/2025</t>
        </is>
      </c>
      <c r="D39" s="112" t="inlineStr">
        <is>
          <t>4200H/222A-B934</t>
        </is>
      </c>
      <c r="E39" s="112" t="inlineStr">
        <is>
          <t>Phone sales Middle East</t>
        </is>
      </c>
      <c r="F39" s="112" t="inlineStr">
        <is>
          <t>105413736</t>
        </is>
      </c>
      <c r="G39" s="112" t="inlineStr">
        <is>
          <t>Prospect</t>
        </is>
      </c>
      <c r="H39" s="112" t="inlineStr">
        <is>
          <t>SHARIF Maaz</t>
        </is>
      </c>
      <c r="I39" s="113" t="inlineStr">
        <is>
          <t xml:space="preserve">222
</t>
        </is>
      </c>
      <c r="J39" s="112" t="n"/>
    </row>
    <row r="40" ht="43.2" customHeight="1" s="287">
      <c r="A40" s="111" t="inlineStr">
        <is>
          <t>Request</t>
        </is>
      </c>
      <c r="B40" s="112" t="n"/>
      <c r="C40" s="112" t="inlineStr">
        <is>
          <t>4/4/2025</t>
        </is>
      </c>
      <c r="D40" s="112" t="inlineStr">
        <is>
          <t>4200H/222A-B934</t>
        </is>
      </c>
      <c r="E40" s="112" t="inlineStr">
        <is>
          <t>Phone sales Middle East</t>
        </is>
      </c>
      <c r="F40" s="112" t="inlineStr">
        <is>
          <t>105001985</t>
        </is>
      </c>
      <c r="G40" s="112" t="inlineStr">
        <is>
          <t>Prospect</t>
        </is>
      </c>
      <c r="H40" s="112" t="inlineStr">
        <is>
          <t>OMARI Asma</t>
        </is>
      </c>
      <c r="I40" s="113" t="inlineStr">
        <is>
          <t xml:space="preserve">Mr. Sultan Al Saud ksa
</t>
        </is>
      </c>
      <c r="J40" s="112" t="n"/>
    </row>
    <row r="41" ht="144" customHeight="1" s="287">
      <c r="A41" s="111" t="inlineStr">
        <is>
          <t>Request</t>
        </is>
      </c>
      <c r="B41" s="112" t="n"/>
      <c r="C41" s="112" t="inlineStr">
        <is>
          <t>4/4/2025</t>
        </is>
      </c>
      <c r="D41" s="112" t="inlineStr">
        <is>
          <t>4200H/222A-B934</t>
        </is>
      </c>
      <c r="E41" s="112" t="inlineStr">
        <is>
          <t>Phone sales Middle East</t>
        </is>
      </c>
      <c r="F41" s="112" t="inlineStr">
        <is>
          <t>101108337</t>
        </is>
      </c>
      <c r="G41" s="112" t="inlineStr">
        <is>
          <t>Client</t>
        </is>
      </c>
      <c r="H41" s="112" t="inlineStr">
        <is>
          <t>TAHHAN Riham</t>
        </is>
      </c>
      <c r="I41" s="113" t="inlineStr">
        <is>
          <t xml:space="preserve">0098845999 - 0101108337 client is an owner of OVS dual time. But now he is interested in 222 and requested to be added to the waiting list
</t>
        </is>
      </c>
      <c r="J41" s="112" t="n"/>
    </row>
    <row r="42">
      <c r="A42" s="111" t="inlineStr">
        <is>
          <t>Request</t>
        </is>
      </c>
      <c r="B42" s="112" t="n"/>
      <c r="C42" s="112" t="inlineStr">
        <is>
          <t>3/4/2025</t>
        </is>
      </c>
      <c r="D42" s="112" t="inlineStr">
        <is>
          <t>4520V/210A-B483</t>
        </is>
      </c>
      <c r="E42" s="112" t="inlineStr">
        <is>
          <t>Phone sales Middle East</t>
        </is>
      </c>
      <c r="F42" s="112" t="inlineStr">
        <is>
          <t>104989923</t>
        </is>
      </c>
      <c r="G42" s="112" t="inlineStr">
        <is>
          <t>Prospect</t>
        </is>
      </c>
      <c r="H42" s="112" t="inlineStr">
        <is>
          <t>TAHHAN Riham</t>
        </is>
      </c>
      <c r="I42" s="113" t="n"/>
      <c r="J42" s="112" t="n"/>
    </row>
    <row r="43" ht="43.2" customHeight="1" s="287">
      <c r="A43" s="111" t="inlineStr">
        <is>
          <t>Request</t>
        </is>
      </c>
      <c r="B43" s="112" t="n"/>
      <c r="C43" s="112" t="inlineStr">
        <is>
          <t>3/4/2025</t>
        </is>
      </c>
      <c r="D43" s="112" t="inlineStr">
        <is>
          <t>4520V/210A-B128</t>
        </is>
      </c>
      <c r="E43" s="112" t="inlineStr">
        <is>
          <t>Phone sales Middle East</t>
        </is>
      </c>
      <c r="F43" s="112" t="inlineStr">
        <is>
          <t>104977543</t>
        </is>
      </c>
      <c r="G43" s="112" t="inlineStr">
        <is>
          <t>Prospect</t>
        </is>
      </c>
      <c r="H43" s="112" t="inlineStr">
        <is>
          <t>OMARI Asma</t>
        </is>
      </c>
      <c r="I43" s="113" t="inlineStr">
        <is>
          <t xml:space="preserve">Mr. Amit Agarwal (india)
</t>
        </is>
      </c>
      <c r="J43" s="112" t="n"/>
    </row>
    <row r="44" ht="43.2" customHeight="1" s="287">
      <c r="A44" s="111" t="inlineStr">
        <is>
          <t>Request</t>
        </is>
      </c>
      <c r="B44" s="112" t="n"/>
      <c r="C44" s="112" t="inlineStr">
        <is>
          <t>3/4/2025</t>
        </is>
      </c>
      <c r="D44" s="112" t="inlineStr">
        <is>
          <t>4200H/222A-B934</t>
        </is>
      </c>
      <c r="E44" s="112" t="inlineStr">
        <is>
          <t>Phone sales Middle East</t>
        </is>
      </c>
      <c r="F44" s="112" t="inlineStr">
        <is>
          <t>103771139</t>
        </is>
      </c>
      <c r="G44" s="112" t="inlineStr">
        <is>
          <t>Prospect</t>
        </is>
      </c>
      <c r="H44" s="112" t="inlineStr">
        <is>
          <t>OMARI Asma</t>
        </is>
      </c>
      <c r="I44" s="113" t="inlineStr">
        <is>
          <t xml:space="preserve">Mr. Aliwavip Etowati (Egypt)
</t>
        </is>
      </c>
      <c r="J44" s="112" t="n"/>
    </row>
    <row r="45" ht="28.95" customHeight="1" s="287">
      <c r="A45" s="111" t="inlineStr">
        <is>
          <t>Request</t>
        </is>
      </c>
      <c r="B45" s="112" t="n"/>
      <c r="C45" s="112" t="inlineStr">
        <is>
          <t>3/4/2025</t>
        </is>
      </c>
      <c r="D45" s="112" t="inlineStr">
        <is>
          <t>4200H/222J-B935</t>
        </is>
      </c>
      <c r="E45" s="112" t="inlineStr">
        <is>
          <t>Phone sales Middle East</t>
        </is>
      </c>
      <c r="F45" s="112" t="inlineStr">
        <is>
          <t>104939061</t>
        </is>
      </c>
      <c r="G45" s="112" t="inlineStr">
        <is>
          <t>Prospect</t>
        </is>
      </c>
      <c r="H45" s="112" t="inlineStr">
        <is>
          <t>SHARIF Maaz</t>
        </is>
      </c>
      <c r="I45" s="113" t="inlineStr">
        <is>
          <t xml:space="preserve">222
</t>
        </is>
      </c>
      <c r="J45" s="112" t="n"/>
    </row>
    <row r="46" ht="100.95" customHeight="1" s="287">
      <c r="A46" s="111" t="inlineStr">
        <is>
          <t>Request</t>
        </is>
      </c>
      <c r="B46" s="112" t="n"/>
      <c r="C46" s="112" t="inlineStr">
        <is>
          <t>3/4/2025</t>
        </is>
      </c>
      <c r="D46" s="112" t="inlineStr">
        <is>
          <t>4200H/222A-B934</t>
        </is>
      </c>
      <c r="E46" s="112" t="inlineStr">
        <is>
          <t>Phone sales Middle East</t>
        </is>
      </c>
      <c r="F46" s="112" t="inlineStr">
        <is>
          <t>105007242</t>
        </is>
      </c>
      <c r="G46" s="112" t="inlineStr">
        <is>
          <t>Prospect</t>
        </is>
      </c>
      <c r="H46" s="112" t="inlineStr">
        <is>
          <t>SHARIF Maaz</t>
        </is>
      </c>
      <c r="I46" s="113" t="inlineStr">
        <is>
          <t xml:space="preserve">[Obaid Mubarak Al muhairi](mailto:Obaidmuhairi@gmail.com) | a collector 
</t>
        </is>
      </c>
      <c r="J46" s="112" t="n"/>
    </row>
    <row r="47" ht="28.95" customHeight="1" s="287">
      <c r="A47" s="111" t="inlineStr">
        <is>
          <t>Request</t>
        </is>
      </c>
      <c r="B47" s="112" t="n"/>
      <c r="C47" s="112" t="inlineStr">
        <is>
          <t>3/4/2025</t>
        </is>
      </c>
      <c r="D47" s="112" t="inlineStr">
        <is>
          <t>4600E/000R-H101</t>
        </is>
      </c>
      <c r="E47" s="112" t="inlineStr">
        <is>
          <t>Phone sales Middle East</t>
        </is>
      </c>
      <c r="F47" s="112" t="inlineStr">
        <is>
          <t>105372157</t>
        </is>
      </c>
      <c r="G47" s="112" t="inlineStr">
        <is>
          <t>Prospect</t>
        </is>
      </c>
      <c r="H47" s="112" t="inlineStr">
        <is>
          <t>SHARIF Maaz</t>
        </is>
      </c>
      <c r="I47" s="113" t="inlineStr">
        <is>
          <t xml:space="preserve">Fiftysix black dial 
</t>
        </is>
      </c>
      <c r="J47" s="112" t="n"/>
    </row>
    <row r="48" ht="43.2" customHeight="1" s="287">
      <c r="A48" s="111" t="inlineStr">
        <is>
          <t>Request</t>
        </is>
      </c>
      <c r="B48" s="112" t="n"/>
      <c r="C48" s="112" t="inlineStr">
        <is>
          <t>2/4/2025</t>
        </is>
      </c>
      <c r="D48" s="112" t="inlineStr">
        <is>
          <t>4520V/210A-B128</t>
        </is>
      </c>
      <c r="E48" s="112" t="inlineStr">
        <is>
          <t>Phone sales Middle East</t>
        </is>
      </c>
      <c r="F48" s="112" t="inlineStr">
        <is>
          <t>92397772</t>
        </is>
      </c>
      <c r="G48" s="112" t="inlineStr">
        <is>
          <t>Prospect</t>
        </is>
      </c>
      <c r="H48" s="112" t="inlineStr">
        <is>
          <t>OMARI Asma</t>
        </is>
      </c>
      <c r="I48" s="113" t="inlineStr">
        <is>
          <t xml:space="preserve">Mr. Sameer Rafique
</t>
        </is>
      </c>
      <c r="J48" s="112" t="n"/>
    </row>
    <row r="49" ht="43.2" customHeight="1" s="287">
      <c r="A49" s="111" t="inlineStr">
        <is>
          <t>Request</t>
        </is>
      </c>
      <c r="B49" s="112" t="n"/>
      <c r="C49" s="112" t="inlineStr">
        <is>
          <t>2/4/2025</t>
        </is>
      </c>
      <c r="D49" s="112" t="inlineStr">
        <is>
          <t>4520V/210R-B705</t>
        </is>
      </c>
      <c r="E49" s="112" t="inlineStr">
        <is>
          <t>Phone sales Middle East</t>
        </is>
      </c>
      <c r="F49" s="112" t="inlineStr">
        <is>
          <t>104908207</t>
        </is>
      </c>
      <c r="G49" s="112" t="inlineStr">
        <is>
          <t>Prospect</t>
        </is>
      </c>
      <c r="H49" s="112" t="inlineStr">
        <is>
          <t>OMARI Asma</t>
        </is>
      </c>
      <c r="I49" s="113" t="inlineStr">
        <is>
          <t xml:space="preserve">Mr. Vincent Kedikilwe
</t>
        </is>
      </c>
      <c r="J49" s="112" t="n"/>
    </row>
    <row r="50" ht="43.2" customHeight="1" s="287">
      <c r="A50" s="111" t="inlineStr">
        <is>
          <t>Request</t>
        </is>
      </c>
      <c r="B50" s="112" t="n"/>
      <c r="C50" s="112" t="inlineStr">
        <is>
          <t>2/4/2025</t>
        </is>
      </c>
      <c r="D50" s="112" t="inlineStr">
        <is>
          <t>4200H/222A-B934</t>
        </is>
      </c>
      <c r="E50" s="112" t="inlineStr">
        <is>
          <t>Phone sales Middle East</t>
        </is>
      </c>
      <c r="F50" s="112" t="inlineStr">
        <is>
          <t>104994951</t>
        </is>
      </c>
      <c r="G50" s="112" t="inlineStr">
        <is>
          <t>Prospect</t>
        </is>
      </c>
      <c r="H50" s="112" t="inlineStr">
        <is>
          <t>OMARI Asma</t>
        </is>
      </c>
      <c r="I50" s="113" t="inlineStr">
        <is>
          <t xml:space="preserve">Salman Almashari ksa
</t>
        </is>
      </c>
      <c r="J50" s="112" t="n"/>
    </row>
    <row r="51">
      <c r="A51" s="111" t="inlineStr">
        <is>
          <t>Request</t>
        </is>
      </c>
      <c r="B51" s="112" t="n"/>
      <c r="C51" s="112" t="inlineStr">
        <is>
          <t>2/4/2025</t>
        </is>
      </c>
      <c r="D51" s="112" t="inlineStr">
        <is>
          <t>4600E/000A-B487</t>
        </is>
      </c>
      <c r="E51" s="112" t="inlineStr">
        <is>
          <t>Phone sales Middle East</t>
        </is>
      </c>
      <c r="F51" s="112" t="inlineStr">
        <is>
          <t>105485963</t>
        </is>
      </c>
      <c r="G51" s="112" t="inlineStr">
        <is>
          <t>Prospect</t>
        </is>
      </c>
      <c r="H51" s="112" t="inlineStr">
        <is>
          <t>SHARIF Maaz</t>
        </is>
      </c>
      <c r="I51" s="113" t="n"/>
      <c r="J51" s="112" t="n"/>
    </row>
    <row r="52">
      <c r="A52" s="111" t="inlineStr">
        <is>
          <t>Request</t>
        </is>
      </c>
      <c r="B52" s="112" t="n"/>
      <c r="C52" s="112" t="inlineStr">
        <is>
          <t>1/4/2025</t>
        </is>
      </c>
      <c r="D52" s="112" t="inlineStr">
        <is>
          <t>4200H/222A-B934</t>
        </is>
      </c>
      <c r="E52" s="112" t="inlineStr">
        <is>
          <t>Phone sales Middle East</t>
        </is>
      </c>
      <c r="F52" s="112" t="inlineStr">
        <is>
          <t>104687880</t>
        </is>
      </c>
      <c r="G52" s="112" t="inlineStr">
        <is>
          <t>Prospect</t>
        </is>
      </c>
      <c r="H52" s="112" t="inlineStr">
        <is>
          <t>TAHHAN Riham</t>
        </is>
      </c>
      <c r="I52" s="113" t="n"/>
      <c r="J52" s="112" t="n"/>
    </row>
    <row r="53" ht="86.40000000000001" customHeight="1" s="287">
      <c r="A53" s="111" t="inlineStr">
        <is>
          <t>Cancelled</t>
        </is>
      </c>
      <c r="B53" s="112" t="inlineStr">
        <is>
          <t>Cancelled</t>
        </is>
      </c>
      <c r="C53" s="112" t="inlineStr">
        <is>
          <t>1/4/2025</t>
        </is>
      </c>
      <c r="D53" s="112" t="inlineStr">
        <is>
          <t>5520V/210R-B952</t>
        </is>
      </c>
      <c r="E53" s="112" t="inlineStr">
        <is>
          <t>Phone sales Middle East</t>
        </is>
      </c>
      <c r="F53" s="112" t="inlineStr">
        <is>
          <t>104802404</t>
        </is>
      </c>
      <c r="G53" s="112" t="inlineStr">
        <is>
          <t>Prospect</t>
        </is>
      </c>
      <c r="H53" s="112" t="inlineStr">
        <is>
          <t>TAHHAN Riham</t>
        </is>
      </c>
      <c r="I53" s="113" t="inlineStr">
        <is>
          <t xml:space="preserve">He will visiting the UAE end of April to purchase the Overseas (If available)
</t>
        </is>
      </c>
      <c r="J53" s="112" t="n"/>
    </row>
    <row r="54">
      <c r="A54" s="111" t="inlineStr">
        <is>
          <t>Request</t>
        </is>
      </c>
      <c r="B54" s="112" t="n"/>
      <c r="C54" s="112" t="inlineStr">
        <is>
          <t>1/4/2025</t>
        </is>
      </c>
      <c r="D54" s="112" t="inlineStr">
        <is>
          <t>4200H/222A-B934</t>
        </is>
      </c>
      <c r="E54" s="112" t="inlineStr">
        <is>
          <t>Phone sales Middle East</t>
        </is>
      </c>
      <c r="F54" s="112" t="inlineStr">
        <is>
          <t>104687223</t>
        </is>
      </c>
      <c r="G54" s="112" t="inlineStr">
        <is>
          <t>Prospect</t>
        </is>
      </c>
      <c r="H54" s="112" t="inlineStr">
        <is>
          <t>TAHHAN Riham</t>
        </is>
      </c>
      <c r="I54" s="113" t="n"/>
      <c r="J54" s="112" t="n"/>
    </row>
    <row r="55" ht="43.2" customHeight="1" s="287">
      <c r="A55" s="111" t="inlineStr">
        <is>
          <t>Request</t>
        </is>
      </c>
      <c r="B55" s="112" t="n"/>
      <c r="C55" s="112" t="inlineStr">
        <is>
          <t>1/4/2025</t>
        </is>
      </c>
      <c r="D55" s="112" t="inlineStr">
        <is>
          <t>4520V/210A-B128</t>
        </is>
      </c>
      <c r="E55" s="112" t="inlineStr">
        <is>
          <t>Phone sales Middle East</t>
        </is>
      </c>
      <c r="F55" s="112" t="inlineStr">
        <is>
          <t>104982295</t>
        </is>
      </c>
      <c r="G55" s="112" t="inlineStr">
        <is>
          <t>Prospect</t>
        </is>
      </c>
      <c r="H55" s="112" t="inlineStr">
        <is>
          <t>OMARI Asma</t>
        </is>
      </c>
      <c r="I55" s="113" t="inlineStr">
        <is>
          <t xml:space="preserve">Ahmed Alhammadi
</t>
        </is>
      </c>
      <c r="J55" s="112" t="n"/>
    </row>
    <row r="56" ht="43.2" customHeight="1" s="287">
      <c r="A56" s="111" t="inlineStr">
        <is>
          <t>Request</t>
        </is>
      </c>
      <c r="B56" s="112" t="n"/>
      <c r="C56" s="112" t="inlineStr">
        <is>
          <t>29/3/2025</t>
        </is>
      </c>
      <c r="D56" s="112" t="inlineStr">
        <is>
          <t>4200H/222A-B934</t>
        </is>
      </c>
      <c r="E56" s="112" t="inlineStr">
        <is>
          <t>Phone sales Middle East</t>
        </is>
      </c>
      <c r="F56" s="112" t="inlineStr">
        <is>
          <t>101107205</t>
        </is>
      </c>
      <c r="G56" s="112" t="inlineStr">
        <is>
          <t>Prospect</t>
        </is>
      </c>
      <c r="H56" s="112" t="inlineStr">
        <is>
          <t>OMARI Asma</t>
        </is>
      </c>
      <c r="I56" s="113" t="inlineStr">
        <is>
          <t xml:space="preserve">Mr. Mohamed Eljadi
</t>
        </is>
      </c>
      <c r="J56" s="112" t="n"/>
    </row>
    <row r="57" ht="28.95" customHeight="1" s="287">
      <c r="A57" s="111" t="inlineStr">
        <is>
          <t>Request</t>
        </is>
      </c>
      <c r="B57" s="112" t="n"/>
      <c r="C57" s="112" t="inlineStr">
        <is>
          <t>29/3/2025</t>
        </is>
      </c>
      <c r="D57" s="112" t="inlineStr">
        <is>
          <t>4200H/222A-B934</t>
        </is>
      </c>
      <c r="E57" s="112" t="inlineStr">
        <is>
          <t>Phone sales Middle East</t>
        </is>
      </c>
      <c r="F57" s="112" t="inlineStr">
        <is>
          <t>104922362</t>
        </is>
      </c>
      <c r="G57" s="112" t="inlineStr">
        <is>
          <t>Prospect</t>
        </is>
      </c>
      <c r="H57" s="112" t="inlineStr">
        <is>
          <t>OMARI Asma</t>
        </is>
      </c>
      <c r="I57" s="113" t="inlineStr">
        <is>
          <t xml:space="preserve">Mr. Conrad Lee
</t>
        </is>
      </c>
      <c r="J57" s="112" t="n"/>
    </row>
    <row r="58" ht="28.95" customHeight="1" s="287">
      <c r="A58" s="111" t="inlineStr">
        <is>
          <t>Request</t>
        </is>
      </c>
      <c r="B58" s="112" t="n"/>
      <c r="C58" s="112" t="inlineStr">
        <is>
          <t>29/3/2025</t>
        </is>
      </c>
      <c r="D58" s="112" t="inlineStr">
        <is>
          <t>4200H/222A-B934</t>
        </is>
      </c>
      <c r="E58" s="112" t="inlineStr">
        <is>
          <t>Phone sales Middle East</t>
        </is>
      </c>
      <c r="F58" s="112" t="inlineStr">
        <is>
          <t>103645785</t>
        </is>
      </c>
      <c r="G58" s="112" t="inlineStr">
        <is>
          <t>Prospect</t>
        </is>
      </c>
      <c r="H58" s="112" t="inlineStr">
        <is>
          <t>SHARIF Maaz</t>
        </is>
      </c>
      <c r="I58" s="113" t="inlineStr">
        <is>
          <t xml:space="preserve">222 
</t>
        </is>
      </c>
      <c r="J58" s="112" t="n"/>
    </row>
    <row r="59" ht="28.95" customHeight="1" s="287">
      <c r="A59" s="111" t="inlineStr">
        <is>
          <t>Request</t>
        </is>
      </c>
      <c r="B59" s="112" t="n"/>
      <c r="C59" s="112" t="inlineStr">
        <is>
          <t>29/3/2025</t>
        </is>
      </c>
      <c r="D59" s="112" t="inlineStr">
        <is>
          <t>4200H/222A-B934</t>
        </is>
      </c>
      <c r="E59" s="112" t="inlineStr">
        <is>
          <t>Phone sales Middle East</t>
        </is>
      </c>
      <c r="F59" s="112" t="inlineStr">
        <is>
          <t>105366966</t>
        </is>
      </c>
      <c r="G59" s="112" t="inlineStr">
        <is>
          <t>Prospect</t>
        </is>
      </c>
      <c r="H59" s="112" t="inlineStr">
        <is>
          <t>SHARIF Maaz</t>
        </is>
      </c>
      <c r="I59" s="113" t="inlineStr">
        <is>
          <t xml:space="preserve">222
</t>
        </is>
      </c>
      <c r="J59" s="112" t="n"/>
    </row>
    <row r="60" ht="28.95" customHeight="1" s="287">
      <c r="A60" s="111" t="inlineStr">
        <is>
          <t>Request</t>
        </is>
      </c>
      <c r="B60" s="112" t="n"/>
      <c r="C60" s="112" t="inlineStr">
        <is>
          <t>29/3/2025</t>
        </is>
      </c>
      <c r="D60" s="112" t="inlineStr">
        <is>
          <t>4200H/222A-B934</t>
        </is>
      </c>
      <c r="E60" s="112" t="inlineStr">
        <is>
          <t>Phone sales Middle East</t>
        </is>
      </c>
      <c r="F60" s="112" t="inlineStr">
        <is>
          <t>93231984</t>
        </is>
      </c>
      <c r="G60" s="112" t="inlineStr">
        <is>
          <t>Client</t>
        </is>
      </c>
      <c r="H60" s="112" t="inlineStr">
        <is>
          <t>SHARIF Maaz</t>
        </is>
      </c>
      <c r="I60" s="113" t="inlineStr">
        <is>
          <t xml:space="preserve">the 222
</t>
        </is>
      </c>
      <c r="J60" s="112" t="n"/>
    </row>
    <row r="61" ht="57.6" customHeight="1" s="287">
      <c r="A61" s="111" t="inlineStr">
        <is>
          <t>Request</t>
        </is>
      </c>
      <c r="B61" s="112" t="n"/>
      <c r="C61" s="112" t="inlineStr">
        <is>
          <t>29/3/2025</t>
        </is>
      </c>
      <c r="D61" s="112" t="inlineStr">
        <is>
          <t>4520V/210A-B483</t>
        </is>
      </c>
      <c r="E61" s="112" t="inlineStr">
        <is>
          <t>Phone sales Middle East</t>
        </is>
      </c>
      <c r="F61" s="112" t="inlineStr">
        <is>
          <t>101921704</t>
        </is>
      </c>
      <c r="G61" s="112" t="inlineStr">
        <is>
          <t>Prospect</t>
        </is>
      </c>
      <c r="H61" s="112" t="inlineStr">
        <is>
          <t>SHARIF Maaz</t>
        </is>
      </c>
      <c r="I61" s="113" t="inlineStr">
        <is>
          <t xml:space="preserve">OS black dial : 4520V/210A-B483
</t>
        </is>
      </c>
      <c r="J61" s="112" t="n"/>
    </row>
    <row r="62" ht="86.40000000000001" customHeight="1" s="287">
      <c r="A62" s="111" t="inlineStr">
        <is>
          <t>Request</t>
        </is>
      </c>
      <c r="B62" s="112" t="n"/>
      <c r="C62" s="112" t="inlineStr">
        <is>
          <t>29/3/2025</t>
        </is>
      </c>
      <c r="D62" s="112" t="inlineStr">
        <is>
          <t>7920V/210A-B334</t>
        </is>
      </c>
      <c r="E62" s="112" t="inlineStr">
        <is>
          <t>Phone sales Middle East</t>
        </is>
      </c>
      <c r="F62" s="112" t="inlineStr">
        <is>
          <t>103831079</t>
        </is>
      </c>
      <c r="G62" s="112" t="inlineStr">
        <is>
          <t>Prospect</t>
        </is>
      </c>
      <c r="H62" s="112" t="inlineStr">
        <is>
          <t>SHARIF Maaz</t>
        </is>
      </c>
      <c r="I62" s="113" t="inlineStr">
        <is>
          <t xml:space="preserve">the client is interested in the Overseas blue dial and paid deposit 
</t>
        </is>
      </c>
      <c r="J62" s="112" t="n"/>
    </row>
    <row r="63" ht="43.2" customHeight="1" s="287">
      <c r="A63" s="111" t="inlineStr">
        <is>
          <t>Request</t>
        </is>
      </c>
      <c r="B63" s="112" t="n"/>
      <c r="C63" s="112" t="inlineStr">
        <is>
          <t>29/3/2025</t>
        </is>
      </c>
      <c r="D63" s="112" t="inlineStr">
        <is>
          <t>4600E/000R-H101</t>
        </is>
      </c>
      <c r="E63" s="112" t="inlineStr">
        <is>
          <t>Phone sales Middle East</t>
        </is>
      </c>
      <c r="F63" s="112" t="inlineStr">
        <is>
          <t>105370532</t>
        </is>
      </c>
      <c r="G63" s="112" t="inlineStr">
        <is>
          <t>Prospect</t>
        </is>
      </c>
      <c r="H63" s="112" t="inlineStr">
        <is>
          <t>SHARIF Maaz</t>
        </is>
      </c>
      <c r="I63" s="113" t="inlineStr">
        <is>
          <t xml:space="preserve">Fiftysix self-winding
</t>
        </is>
      </c>
      <c r="J63" s="112" t="n"/>
    </row>
    <row r="64" ht="57.6" customHeight="1" s="287">
      <c r="A64" s="111" t="inlineStr">
        <is>
          <t>Request</t>
        </is>
      </c>
      <c r="B64" s="112" t="n"/>
      <c r="C64" s="112" t="inlineStr">
        <is>
          <t>28/3/2025</t>
        </is>
      </c>
      <c r="D64" s="112" t="inlineStr">
        <is>
          <t>4520V/210A-B128</t>
        </is>
      </c>
      <c r="E64" s="112" t="inlineStr">
        <is>
          <t>Phone sales Middle East</t>
        </is>
      </c>
      <c r="F64" s="112" t="inlineStr">
        <is>
          <t>104181314</t>
        </is>
      </c>
      <c r="G64" s="112" t="inlineStr">
        <is>
          <t>Prospect</t>
        </is>
      </c>
      <c r="H64" s="112" t="inlineStr">
        <is>
          <t>OMARI Asma</t>
        </is>
      </c>
      <c r="I64" s="113" t="inlineStr">
        <is>
          <t xml:space="preserve">For his graduation next year :Mr. Lakshya Gupta
</t>
        </is>
      </c>
      <c r="J64" s="112" t="n"/>
    </row>
    <row r="65" ht="28.95" customHeight="1" s="287">
      <c r="A65" s="111" t="inlineStr">
        <is>
          <t>Request</t>
        </is>
      </c>
      <c r="B65" s="112" t="n"/>
      <c r="C65" s="112" t="inlineStr">
        <is>
          <t>27/3/2025</t>
        </is>
      </c>
      <c r="D65" s="112" t="inlineStr">
        <is>
          <t>4200H/222A-B934</t>
        </is>
      </c>
      <c r="E65" s="112" t="inlineStr">
        <is>
          <t>Phone sales Middle East</t>
        </is>
      </c>
      <c r="F65" s="112" t="inlineStr">
        <is>
          <t>104908886</t>
        </is>
      </c>
      <c r="G65" s="112" t="inlineStr">
        <is>
          <t>Prospect</t>
        </is>
      </c>
      <c r="H65" s="112" t="inlineStr">
        <is>
          <t>SHARIF Maaz</t>
        </is>
      </c>
      <c r="I65" s="113" t="inlineStr">
        <is>
          <t xml:space="preserve">222
</t>
        </is>
      </c>
      <c r="J65" s="112" t="n"/>
    </row>
    <row r="66" ht="115.2" customHeight="1" s="287">
      <c r="A66" s="111" t="inlineStr">
        <is>
          <t>Request</t>
        </is>
      </c>
      <c r="B66" s="112" t="n"/>
      <c r="C66" s="112" t="inlineStr">
        <is>
          <t>25/3/2025</t>
        </is>
      </c>
      <c r="D66" s="112" t="inlineStr">
        <is>
          <t>7920V/210A-B334</t>
        </is>
      </c>
      <c r="E66" s="112" t="inlineStr">
        <is>
          <t>Phone sales Middle East</t>
        </is>
      </c>
      <c r="F66" s="112" t="inlineStr">
        <is>
          <t>104849248</t>
        </is>
      </c>
      <c r="G66" s="112" t="inlineStr">
        <is>
          <t>Client</t>
        </is>
      </c>
      <c r="H66" s="112" t="inlineStr">
        <is>
          <t>SHARIF Maaz</t>
        </is>
      </c>
      <c r="I66" s="113" t="inlineStr">
        <is>
          <t xml:space="preserve">the client is coming next week. already own the  \n Overseas chronograph  VMX55AV148
</t>
        </is>
      </c>
      <c r="J66" s="112" t="n"/>
    </row>
    <row r="67" ht="43.2" customHeight="1" s="287">
      <c r="A67" s="111" t="inlineStr">
        <is>
          <t>Request</t>
        </is>
      </c>
      <c r="B67" s="112" t="n"/>
      <c r="C67" s="112" t="inlineStr">
        <is>
          <t>25/3/2025</t>
        </is>
      </c>
      <c r="D67" s="112" t="inlineStr">
        <is>
          <t>4200H/222A-B934</t>
        </is>
      </c>
      <c r="E67" s="112" t="inlineStr">
        <is>
          <t>Phone sales Middle East</t>
        </is>
      </c>
      <c r="F67" s="112" t="inlineStr">
        <is>
          <t>93232291</t>
        </is>
      </c>
      <c r="G67" s="112" t="inlineStr">
        <is>
          <t>Prospect</t>
        </is>
      </c>
      <c r="H67" s="112" t="inlineStr">
        <is>
          <t>SHARIF Maaz</t>
        </is>
      </c>
      <c r="I67" s="113" t="inlineStr">
        <is>
          <t xml:space="preserve">4200H/222A-B934 222
</t>
        </is>
      </c>
      <c r="J67" s="112" t="n"/>
    </row>
    <row r="68">
      <c r="A68" s="111" t="inlineStr">
        <is>
          <t>Request</t>
        </is>
      </c>
      <c r="B68" s="112" t="n"/>
      <c r="C68" s="112" t="inlineStr">
        <is>
          <t>25/3/2025</t>
        </is>
      </c>
      <c r="D68" s="112" t="inlineStr">
        <is>
          <t>4200H/222A-B934</t>
        </is>
      </c>
      <c r="E68" s="112" t="inlineStr">
        <is>
          <t>Phone sales Middle East</t>
        </is>
      </c>
      <c r="F68" s="112" t="inlineStr">
        <is>
          <t>103617532</t>
        </is>
      </c>
      <c r="G68" s="112" t="inlineStr">
        <is>
          <t>Prospect</t>
        </is>
      </c>
      <c r="H68" s="112" t="inlineStr">
        <is>
          <t>TAHHAN Riham</t>
        </is>
      </c>
      <c r="I68" s="113" t="n"/>
      <c r="J68" s="112" t="n"/>
    </row>
    <row r="69" ht="28.95" customHeight="1" s="287">
      <c r="A69" s="111" t="inlineStr">
        <is>
          <t>Request</t>
        </is>
      </c>
      <c r="B69" s="112" t="n"/>
      <c r="C69" s="112" t="inlineStr">
        <is>
          <t>25/3/2025</t>
        </is>
      </c>
      <c r="D69" s="112" t="inlineStr">
        <is>
          <t>4200H/222A-B934</t>
        </is>
      </c>
      <c r="E69" s="112" t="inlineStr">
        <is>
          <t>Phone sales Middle East</t>
        </is>
      </c>
      <c r="F69" s="112" t="inlineStr">
        <is>
          <t>104564947</t>
        </is>
      </c>
      <c r="G69" s="112" t="inlineStr">
        <is>
          <t>Prospect</t>
        </is>
      </c>
      <c r="H69" s="112" t="inlineStr">
        <is>
          <t>SHARIF Maaz</t>
        </is>
      </c>
      <c r="I69" s="113" t="inlineStr">
        <is>
          <t xml:space="preserve">222
</t>
        </is>
      </c>
      <c r="J69" s="112" t="n"/>
    </row>
    <row r="70">
      <c r="A70" s="111" t="inlineStr">
        <is>
          <t>Request</t>
        </is>
      </c>
      <c r="B70" s="112" t="n"/>
      <c r="C70" s="112" t="inlineStr">
        <is>
          <t>25/3/2025</t>
        </is>
      </c>
      <c r="D70" s="112" t="inlineStr">
        <is>
          <t>4520V/210A-B128</t>
        </is>
      </c>
      <c r="E70" s="112" t="inlineStr">
        <is>
          <t>Phone sales Middle East</t>
        </is>
      </c>
      <c r="F70" s="112" t="inlineStr">
        <is>
          <t>104853731</t>
        </is>
      </c>
      <c r="G70" s="112" t="inlineStr">
        <is>
          <t>Prospect</t>
        </is>
      </c>
      <c r="H70" s="112" t="inlineStr">
        <is>
          <t>TAHHAN Riham</t>
        </is>
      </c>
      <c r="I70" s="113" t="n"/>
      <c r="J70" s="112" t="n"/>
    </row>
    <row r="71">
      <c r="A71" s="111" t="inlineStr">
        <is>
          <t>Sold</t>
        </is>
      </c>
      <c r="B71" s="112" t="inlineStr">
        <is>
          <t>Confirmed</t>
        </is>
      </c>
      <c r="C71" s="112" t="inlineStr">
        <is>
          <t>25/3/2025</t>
        </is>
      </c>
      <c r="D71" s="112" t="inlineStr">
        <is>
          <t>5520V/210R-B966</t>
        </is>
      </c>
      <c r="E71" s="112" t="inlineStr">
        <is>
          <t>Phone sales Middle East</t>
        </is>
      </c>
      <c r="F71" s="112" t="inlineStr">
        <is>
          <t>104802404</t>
        </is>
      </c>
      <c r="G71" s="112" t="inlineStr">
        <is>
          <t>Prospect</t>
        </is>
      </c>
      <c r="H71" s="112" t="inlineStr">
        <is>
          <t>TAHHAN Riham</t>
        </is>
      </c>
      <c r="I71" s="113" t="n"/>
      <c r="J71" s="112" t="n"/>
    </row>
    <row r="72">
      <c r="A72" s="111" t="inlineStr">
        <is>
          <t>Request</t>
        </is>
      </c>
      <c r="B72" s="112" t="n"/>
      <c r="C72" s="112" t="inlineStr">
        <is>
          <t>25/3/2025</t>
        </is>
      </c>
      <c r="D72" s="112" t="inlineStr">
        <is>
          <t>5520V/210A-B686</t>
        </is>
      </c>
      <c r="E72" s="112" t="inlineStr">
        <is>
          <t>Phone sales Middle East</t>
        </is>
      </c>
      <c r="F72" s="112" t="inlineStr">
        <is>
          <t>104853450</t>
        </is>
      </c>
      <c r="G72" s="112" t="inlineStr">
        <is>
          <t>Prospect</t>
        </is>
      </c>
      <c r="H72" s="112" t="inlineStr">
        <is>
          <t>TAHHAN Riham</t>
        </is>
      </c>
      <c r="I72" s="113" t="n"/>
      <c r="J72" s="112" t="n"/>
    </row>
    <row r="73" ht="57.6" customHeight="1" s="287">
      <c r="A73" s="111" t="inlineStr">
        <is>
          <t>Request</t>
        </is>
      </c>
      <c r="B73" s="112" t="n"/>
      <c r="C73" s="112" t="inlineStr">
        <is>
          <t>22/3/2025</t>
        </is>
      </c>
      <c r="D73" s="112" t="inlineStr">
        <is>
          <t>4200H/222A-B934</t>
        </is>
      </c>
      <c r="E73" s="112" t="inlineStr">
        <is>
          <t>Phone sales Middle East</t>
        </is>
      </c>
      <c r="F73" s="112" t="inlineStr">
        <is>
          <t>104769573</t>
        </is>
      </c>
      <c r="G73" s="112" t="inlineStr">
        <is>
          <t>Prospect</t>
        </is>
      </c>
      <c r="H73" s="112" t="inlineStr">
        <is>
          <t>OMARI Asma</t>
        </is>
      </c>
      <c r="I73" s="113" t="inlineStr">
        <is>
          <t xml:space="preserve">lives between Dubai and Geneva.
</t>
        </is>
      </c>
      <c r="J73" s="112" t="n"/>
    </row>
    <row r="74" ht="43.2" customHeight="1" s="287">
      <c r="A74" s="111" t="inlineStr">
        <is>
          <t>Request</t>
        </is>
      </c>
      <c r="B74" s="112" t="n"/>
      <c r="C74" s="112" t="inlineStr">
        <is>
          <t>22/3/2025</t>
        </is>
      </c>
      <c r="D74" s="112" t="inlineStr">
        <is>
          <t>4200H/222A-B934</t>
        </is>
      </c>
      <c r="E74" s="112" t="inlineStr">
        <is>
          <t>Phone sales Middle East</t>
        </is>
      </c>
      <c r="F74" s="112" t="inlineStr">
        <is>
          <t>99219912</t>
        </is>
      </c>
      <c r="G74" s="112" t="inlineStr">
        <is>
          <t>Prospect</t>
        </is>
      </c>
      <c r="H74" s="112" t="inlineStr">
        <is>
          <t>OMARI Asma</t>
        </is>
      </c>
      <c r="I74" s="113" t="inlineStr">
        <is>
          <t xml:space="preserve">elrahmanhefny ksa
</t>
        </is>
      </c>
      <c r="J74" s="112" t="n"/>
    </row>
    <row r="75" ht="244.95" customHeight="1" s="287">
      <c r="A75" s="111" t="inlineStr">
        <is>
          <t>Request</t>
        </is>
      </c>
      <c r="B75" s="112" t="n"/>
      <c r="C75" s="112" t="inlineStr">
        <is>
          <t>22/3/2025</t>
        </is>
      </c>
      <c r="D75" s="112" t="inlineStr">
        <is>
          <t>7920V/210A-B546</t>
        </is>
      </c>
      <c r="E75" s="112" t="inlineStr">
        <is>
          <t>Phone sales Middle East</t>
        </is>
      </c>
      <c r="F75" s="112" t="inlineStr">
        <is>
          <t>104796476</t>
        </is>
      </c>
      <c r="G75" s="112" t="inlineStr">
        <is>
          <t>Prospect</t>
        </is>
      </c>
      <c r="H75" s="112" t="inlineStr">
        <is>
          <t>TAHHAN Riham</t>
        </is>
      </c>
      <c r="I75" s="113" t="inlineStr">
        <is>
          <t xml:space="preserve">The client wishes to purchase his first Vacheron Constantin timepiece in Dubai, as he has a deep appreciation for the city and wants his first VC watch to hold a special connection to it. He is ready to purchase it right away.
</t>
        </is>
      </c>
      <c r="J75" s="112" t="n"/>
    </row>
    <row r="76">
      <c r="A76" s="111" t="inlineStr">
        <is>
          <t>Request</t>
        </is>
      </c>
      <c r="B76" s="112" t="n"/>
      <c r="C76" s="112" t="inlineStr">
        <is>
          <t>19/3/2025</t>
        </is>
      </c>
      <c r="D76" s="112" t="inlineStr">
        <is>
          <t>6000V/210R-B934</t>
        </is>
      </c>
      <c r="E76" s="112" t="inlineStr">
        <is>
          <t>Phone sales Middle East</t>
        </is>
      </c>
      <c r="F76" s="112" t="inlineStr">
        <is>
          <t>104689190</t>
        </is>
      </c>
      <c r="G76" s="112" t="inlineStr">
        <is>
          <t>Prospect</t>
        </is>
      </c>
      <c r="H76" s="112" t="inlineStr">
        <is>
          <t>TAHHAN Riham</t>
        </is>
      </c>
      <c r="I76" s="113" t="n"/>
      <c r="J76" s="112" t="n"/>
    </row>
    <row r="77">
      <c r="A77" s="111" t="inlineStr">
        <is>
          <t>Request</t>
        </is>
      </c>
      <c r="B77" s="112" t="n"/>
      <c r="C77" s="112" t="inlineStr">
        <is>
          <t>18/3/2025</t>
        </is>
      </c>
      <c r="D77" s="112" t="inlineStr">
        <is>
          <t>7920V/210A-B334</t>
        </is>
      </c>
      <c r="E77" s="112" t="inlineStr">
        <is>
          <t>Phone sales Middle East</t>
        </is>
      </c>
      <c r="F77" s="112" t="inlineStr">
        <is>
          <t>104687223</t>
        </is>
      </c>
      <c r="G77" s="112" t="inlineStr">
        <is>
          <t>Prospect</t>
        </is>
      </c>
      <c r="H77" s="112" t="inlineStr">
        <is>
          <t>TAHHAN Riham</t>
        </is>
      </c>
      <c r="I77" s="113" t="n"/>
      <c r="J77" s="112" t="n"/>
    </row>
    <row r="78" ht="28.95" customHeight="1" s="287">
      <c r="A78" s="111" t="inlineStr">
        <is>
          <t>Request</t>
        </is>
      </c>
      <c r="B78" s="112" t="n"/>
      <c r="C78" s="112" t="inlineStr">
        <is>
          <t>15/3/2025</t>
        </is>
      </c>
      <c r="D78" s="112" t="inlineStr">
        <is>
          <t>4520V/210A-B128</t>
        </is>
      </c>
      <c r="E78" s="112" t="inlineStr">
        <is>
          <t>Phone sales Middle East</t>
        </is>
      </c>
      <c r="F78" s="112" t="inlineStr">
        <is>
          <t>104609280</t>
        </is>
      </c>
      <c r="G78" s="112" t="inlineStr">
        <is>
          <t>Prospect</t>
        </is>
      </c>
      <c r="H78" s="112" t="inlineStr">
        <is>
          <t>SHARIF Maaz</t>
        </is>
      </c>
      <c r="I78" s="113" t="inlineStr">
        <is>
          <t xml:space="preserve">b128 no history 
</t>
        </is>
      </c>
      <c r="J78" s="112" t="n"/>
    </row>
    <row r="79">
      <c r="A79" s="111" t="inlineStr">
        <is>
          <t>Request</t>
        </is>
      </c>
      <c r="B79" s="112" t="n"/>
      <c r="C79" s="112" t="inlineStr">
        <is>
          <t>13/3/2025</t>
        </is>
      </c>
      <c r="D79" s="112" t="inlineStr">
        <is>
          <t>4200H/222A-B934</t>
        </is>
      </c>
      <c r="E79" s="112" t="inlineStr">
        <is>
          <t>Phone sales Middle East</t>
        </is>
      </c>
      <c r="F79" s="112" t="inlineStr">
        <is>
          <t>99351991</t>
        </is>
      </c>
      <c r="G79" s="112" t="inlineStr">
        <is>
          <t>Prospect</t>
        </is>
      </c>
      <c r="H79" s="112" t="inlineStr">
        <is>
          <t>TAHHAN Riham</t>
        </is>
      </c>
      <c r="I79" s="113" t="n"/>
      <c r="J79" s="112" t="n"/>
    </row>
    <row r="80">
      <c r="A80" s="111" t="inlineStr">
        <is>
          <t>Request</t>
        </is>
      </c>
      <c r="B80" s="112" t="n"/>
      <c r="C80" s="112" t="inlineStr">
        <is>
          <t>13/3/2025</t>
        </is>
      </c>
      <c r="D80" s="112" t="inlineStr">
        <is>
          <t>4520V/210A-B483</t>
        </is>
      </c>
      <c r="E80" s="112" t="inlineStr">
        <is>
          <t>Phone sales Middle East</t>
        </is>
      </c>
      <c r="F80" s="112" t="inlineStr">
        <is>
          <t>104572070</t>
        </is>
      </c>
      <c r="G80" s="112" t="inlineStr">
        <is>
          <t>Prospect</t>
        </is>
      </c>
      <c r="H80" s="112" t="inlineStr">
        <is>
          <t>TAHHAN Riham</t>
        </is>
      </c>
      <c r="I80" s="113" t="n"/>
      <c r="J80" s="112" t="n"/>
    </row>
    <row r="81" ht="28.95" customHeight="1" s="287">
      <c r="A81" s="111" t="inlineStr">
        <is>
          <t>Request</t>
        </is>
      </c>
      <c r="B81" s="112" t="n"/>
      <c r="C81" s="112" t="inlineStr">
        <is>
          <t>13/3/2025</t>
        </is>
      </c>
      <c r="D81" s="112" t="inlineStr">
        <is>
          <t>4200H/222A-B934</t>
        </is>
      </c>
      <c r="E81" s="112" t="inlineStr">
        <is>
          <t>Phone sales Middle East</t>
        </is>
      </c>
      <c r="F81" s="112" t="inlineStr">
        <is>
          <t>104576008</t>
        </is>
      </c>
      <c r="G81" s="112" t="inlineStr">
        <is>
          <t>Prospect</t>
        </is>
      </c>
      <c r="H81" s="112" t="inlineStr">
        <is>
          <t>SHARIF Maaz</t>
        </is>
      </c>
      <c r="I81" s="113" t="inlineStr">
        <is>
          <t xml:space="preserve">222
</t>
        </is>
      </c>
      <c r="J81" s="112" t="n"/>
    </row>
    <row r="82" ht="43.2" customHeight="1" s="287">
      <c r="A82" s="111" t="inlineStr">
        <is>
          <t>Request</t>
        </is>
      </c>
      <c r="B82" s="112" t="n"/>
      <c r="C82" s="112" t="inlineStr">
        <is>
          <t>11/3/2025</t>
        </is>
      </c>
      <c r="D82" s="112" t="inlineStr">
        <is>
          <t>4200H/222A-B934</t>
        </is>
      </c>
      <c r="E82" s="112" t="inlineStr">
        <is>
          <t>Phone sales Middle East</t>
        </is>
      </c>
      <c r="F82" s="112" t="inlineStr">
        <is>
          <t>104513303</t>
        </is>
      </c>
      <c r="G82" s="112" t="inlineStr">
        <is>
          <t>Prospect</t>
        </is>
      </c>
      <c r="H82" s="112" t="inlineStr">
        <is>
          <t>OMARI Asma</t>
        </is>
      </c>
      <c r="I82" s="113" t="inlineStr">
        <is>
          <t xml:space="preserve">Sultan Aldhaher (ksa)
</t>
        </is>
      </c>
      <c r="J82" s="112" t="n"/>
    </row>
    <row r="83">
      <c r="A83" s="111" t="inlineStr">
        <is>
          <t>Request</t>
        </is>
      </c>
      <c r="B83" s="112" t="n"/>
      <c r="C83" s="112" t="inlineStr">
        <is>
          <t>11/3/2025</t>
        </is>
      </c>
      <c r="D83" s="112" t="inlineStr">
        <is>
          <t>4200H/222A-B934</t>
        </is>
      </c>
      <c r="E83" s="112" t="inlineStr">
        <is>
          <t>Phone sales Middle East</t>
        </is>
      </c>
      <c r="F83" s="112" t="inlineStr">
        <is>
          <t>103058008</t>
        </is>
      </c>
      <c r="G83" s="112" t="inlineStr">
        <is>
          <t>Prospect</t>
        </is>
      </c>
      <c r="H83" s="112" t="inlineStr">
        <is>
          <t>TAHHAN Riham</t>
        </is>
      </c>
      <c r="I83" s="113" t="n"/>
      <c r="J83" s="112" t="n"/>
    </row>
    <row r="84" ht="43.2" customHeight="1" s="287">
      <c r="A84" s="111" t="inlineStr">
        <is>
          <t>Request</t>
        </is>
      </c>
      <c r="B84" s="112" t="n"/>
      <c r="C84" s="112" t="inlineStr">
        <is>
          <t>11/3/2025</t>
        </is>
      </c>
      <c r="D84" s="112" t="inlineStr">
        <is>
          <t>4200H/222A-B934</t>
        </is>
      </c>
      <c r="E84" s="112" t="inlineStr">
        <is>
          <t>Phone sales Middle East</t>
        </is>
      </c>
      <c r="F84" s="112" t="inlineStr">
        <is>
          <t>104075516</t>
        </is>
      </c>
      <c r="G84" s="112" t="inlineStr">
        <is>
          <t>Client</t>
        </is>
      </c>
      <c r="H84" s="112" t="inlineStr">
        <is>
          <t>SHARIF Maaz</t>
        </is>
      </c>
      <c r="I84" s="113" t="inlineStr">
        <is>
          <t xml:space="preserve">interested in the 222
</t>
        </is>
      </c>
      <c r="J84" s="112" t="n"/>
    </row>
    <row r="85">
      <c r="A85" s="111" t="inlineStr">
        <is>
          <t>Request</t>
        </is>
      </c>
      <c r="B85" s="112" t="n"/>
      <c r="C85" s="112" t="inlineStr">
        <is>
          <t>11/3/2025</t>
        </is>
      </c>
      <c r="D85" s="112" t="inlineStr">
        <is>
          <t>4200H/222A-B934</t>
        </is>
      </c>
      <c r="E85" s="112" t="inlineStr">
        <is>
          <t>Phone sales Middle East</t>
        </is>
      </c>
      <c r="F85" s="112" t="inlineStr">
        <is>
          <t>101055665</t>
        </is>
      </c>
      <c r="G85" s="112" t="inlineStr">
        <is>
          <t>Prospect</t>
        </is>
      </c>
      <c r="H85" s="112" t="inlineStr">
        <is>
          <t>TAHHAN Riham</t>
        </is>
      </c>
      <c r="I85" s="113" t="n"/>
      <c r="J85" s="112" t="n"/>
    </row>
    <row r="86" ht="28.95" customHeight="1" s="287">
      <c r="A86" s="111" t="inlineStr">
        <is>
          <t>Request</t>
        </is>
      </c>
      <c r="B86" s="112" t="n"/>
      <c r="C86" s="112" t="inlineStr">
        <is>
          <t>8/3/2025</t>
        </is>
      </c>
      <c r="D86" s="112" t="inlineStr">
        <is>
          <t>4200H/222A-B934</t>
        </is>
      </c>
      <c r="E86" s="112" t="inlineStr">
        <is>
          <t>Phone sales Middle East</t>
        </is>
      </c>
      <c r="F86" s="112" t="inlineStr">
        <is>
          <t>104506669</t>
        </is>
      </c>
      <c r="G86" s="112" t="inlineStr">
        <is>
          <t>Prospect</t>
        </is>
      </c>
      <c r="H86" s="112" t="inlineStr">
        <is>
          <t>SHARIF Maaz</t>
        </is>
      </c>
      <c r="I86" s="113" t="inlineStr">
        <is>
          <t xml:space="preserve">222
</t>
        </is>
      </c>
      <c r="J86" s="112" t="n"/>
    </row>
    <row r="87" ht="28.95" customHeight="1" s="287">
      <c r="A87" s="111" t="inlineStr">
        <is>
          <t>Request</t>
        </is>
      </c>
      <c r="B87" s="112" t="n"/>
      <c r="C87" s="112" t="inlineStr">
        <is>
          <t>8/3/2025</t>
        </is>
      </c>
      <c r="D87" s="112" t="inlineStr">
        <is>
          <t>6000T/000R-B346</t>
        </is>
      </c>
      <c r="E87" s="112" t="inlineStr">
        <is>
          <t>Phone sales Middle East</t>
        </is>
      </c>
      <c r="F87" s="112" t="inlineStr">
        <is>
          <t>104509438</t>
        </is>
      </c>
      <c r="G87" s="112" t="inlineStr">
        <is>
          <t>Prospect</t>
        </is>
      </c>
      <c r="H87" s="112" t="inlineStr">
        <is>
          <t>SHARIF Maaz</t>
        </is>
      </c>
      <c r="I87" s="113" t="inlineStr">
        <is>
          <t xml:space="preserve">
</t>
        </is>
      </c>
      <c r="J87" s="112" t="n"/>
    </row>
    <row r="88" ht="28.95" customHeight="1" s="287">
      <c r="A88" s="111" t="inlineStr">
        <is>
          <t>Request</t>
        </is>
      </c>
      <c r="B88" s="112" t="n"/>
      <c r="C88" s="112" t="inlineStr">
        <is>
          <t>8/3/2025</t>
        </is>
      </c>
      <c r="D88" s="112" t="inlineStr">
        <is>
          <t>7920V/210R-B965</t>
        </is>
      </c>
      <c r="E88" s="112" t="inlineStr">
        <is>
          <t>Phone sales Middle East</t>
        </is>
      </c>
      <c r="F88" s="112" t="inlineStr">
        <is>
          <t>105118480</t>
        </is>
      </c>
      <c r="G88" s="112" t="inlineStr">
        <is>
          <t>Prospect</t>
        </is>
      </c>
      <c r="H88" s="112" t="inlineStr">
        <is>
          <t>SHARIF Maaz</t>
        </is>
      </c>
      <c r="I88" s="113" t="inlineStr">
        <is>
          <t xml:space="preserve">Dual time green 
</t>
        </is>
      </c>
      <c r="J88" s="112" t="n"/>
    </row>
    <row r="89" ht="28.95" customHeight="1" s="287">
      <c r="A89" s="111" t="inlineStr">
        <is>
          <t>Request</t>
        </is>
      </c>
      <c r="B89" s="112" t="n"/>
      <c r="C89" s="112" t="inlineStr">
        <is>
          <t>7/3/2025</t>
        </is>
      </c>
      <c r="D89" s="112" t="inlineStr">
        <is>
          <t>4200H/222A-B934</t>
        </is>
      </c>
      <c r="E89" s="112" t="inlineStr">
        <is>
          <t>Phone sales Middle East</t>
        </is>
      </c>
      <c r="F89" s="112" t="inlineStr">
        <is>
          <t>102277427</t>
        </is>
      </c>
      <c r="G89" s="112" t="inlineStr">
        <is>
          <t>Prospect</t>
        </is>
      </c>
      <c r="H89" s="112" t="inlineStr">
        <is>
          <t>OMARI Asma</t>
        </is>
      </c>
      <c r="I89" s="113" t="inlineStr">
        <is>
          <t xml:space="preserve">Mr. Fida Hussain
</t>
        </is>
      </c>
      <c r="J89" s="112" t="n"/>
    </row>
    <row r="90" ht="43.2" customHeight="1" s="287">
      <c r="A90" s="111" t="inlineStr">
        <is>
          <t>Request</t>
        </is>
      </c>
      <c r="B90" s="112" t="n"/>
      <c r="C90" s="112" t="inlineStr">
        <is>
          <t>7/3/2025</t>
        </is>
      </c>
      <c r="D90" s="112" t="inlineStr">
        <is>
          <t>4200H/222A-B934</t>
        </is>
      </c>
      <c r="E90" s="112" t="inlineStr">
        <is>
          <t>Phone sales Middle East</t>
        </is>
      </c>
      <c r="F90" s="112" t="inlineStr">
        <is>
          <t>91002249</t>
        </is>
      </c>
      <c r="G90" s="112" t="inlineStr">
        <is>
          <t>Prospect</t>
        </is>
      </c>
      <c r="H90" s="112" t="inlineStr">
        <is>
          <t>OMARI Asma</t>
        </is>
      </c>
      <c r="I90" s="113" t="inlineStr">
        <is>
          <t xml:space="preserve">Abdullaziz Alshreef : KSA
</t>
        </is>
      </c>
      <c r="J90" s="112" t="n"/>
    </row>
    <row r="91" ht="28.95" customHeight="1" s="287">
      <c r="A91" s="111" t="inlineStr">
        <is>
          <t>Request</t>
        </is>
      </c>
      <c r="B91" s="112" t="n"/>
      <c r="C91" s="112" t="inlineStr">
        <is>
          <t>7/3/2025</t>
        </is>
      </c>
      <c r="D91" s="112" t="inlineStr">
        <is>
          <t>4200H/222A-B934</t>
        </is>
      </c>
      <c r="E91" s="112" t="inlineStr">
        <is>
          <t>Phone sales Middle East</t>
        </is>
      </c>
      <c r="F91" s="112" t="inlineStr">
        <is>
          <t>104481449</t>
        </is>
      </c>
      <c r="G91" s="112" t="inlineStr">
        <is>
          <t>Prospect</t>
        </is>
      </c>
      <c r="H91" s="112" t="inlineStr">
        <is>
          <t>OMARI Asma</t>
        </is>
      </c>
      <c r="I91" s="113" t="inlineStr">
        <is>
          <t xml:space="preserve">Alhasan Alkindi
</t>
        </is>
      </c>
      <c r="J91" s="112" t="n"/>
    </row>
    <row r="92" ht="28.95" customHeight="1" s="287">
      <c r="A92" s="111" t="inlineStr">
        <is>
          <t>Request</t>
        </is>
      </c>
      <c r="B92" s="112" t="n"/>
      <c r="C92" s="112" t="inlineStr">
        <is>
          <t>7/3/2025</t>
        </is>
      </c>
      <c r="D92" s="112" t="inlineStr">
        <is>
          <t>4200H/222A-B934</t>
        </is>
      </c>
      <c r="E92" s="112" t="inlineStr">
        <is>
          <t>Phone sales Middle East</t>
        </is>
      </c>
      <c r="F92" s="112" t="inlineStr">
        <is>
          <t>104455540</t>
        </is>
      </c>
      <c r="G92" s="112" t="inlineStr">
        <is>
          <t>Prospect</t>
        </is>
      </c>
      <c r="H92" s="112" t="inlineStr">
        <is>
          <t>OMARI Asma</t>
        </is>
      </c>
      <c r="I92" s="113" t="inlineStr">
        <is>
          <t xml:space="preserve">Andrey Karpov
</t>
        </is>
      </c>
      <c r="J92" s="112" t="n"/>
    </row>
    <row r="93" ht="28.95" customHeight="1" s="287">
      <c r="A93" s="111" t="inlineStr">
        <is>
          <t>Request</t>
        </is>
      </c>
      <c r="B93" s="112" t="n"/>
      <c r="C93" s="112" t="inlineStr">
        <is>
          <t>7/3/2025</t>
        </is>
      </c>
      <c r="D93" s="112" t="inlineStr">
        <is>
          <t>4200H/222A-B934</t>
        </is>
      </c>
      <c r="E93" s="112" t="inlineStr">
        <is>
          <t>Phone sales Middle East</t>
        </is>
      </c>
      <c r="F93" s="112" t="inlineStr">
        <is>
          <t>103831079</t>
        </is>
      </c>
      <c r="G93" s="112" t="inlineStr">
        <is>
          <t>Prospect</t>
        </is>
      </c>
      <c r="H93" s="112" t="inlineStr">
        <is>
          <t>SHARIF Maaz</t>
        </is>
      </c>
      <c r="I93" s="113" t="inlineStr">
        <is>
          <t xml:space="preserve">222 
</t>
        </is>
      </c>
      <c r="J93" s="112" t="n"/>
    </row>
    <row r="94" ht="28.95" customHeight="1" s="287">
      <c r="A94" s="111" t="inlineStr">
        <is>
          <t>Request</t>
        </is>
      </c>
      <c r="B94" s="112" t="n"/>
      <c r="C94" s="112" t="inlineStr">
        <is>
          <t>7/3/2025</t>
        </is>
      </c>
      <c r="D94" s="112" t="inlineStr">
        <is>
          <t>4200H/222A-B934</t>
        </is>
      </c>
      <c r="E94" s="112" t="inlineStr">
        <is>
          <t>Phone sales Middle East</t>
        </is>
      </c>
      <c r="F94" s="112" t="inlineStr">
        <is>
          <t>104909110</t>
        </is>
      </c>
      <c r="G94" s="112" t="inlineStr">
        <is>
          <t>Prospect</t>
        </is>
      </c>
      <c r="H94" s="112" t="inlineStr">
        <is>
          <t>SHARIF Maaz</t>
        </is>
      </c>
      <c r="I94" s="113" t="inlineStr">
        <is>
          <t xml:space="preserve">222
</t>
        </is>
      </c>
      <c r="J94" s="112" t="n"/>
    </row>
    <row r="95" ht="28.95" customHeight="1" s="287">
      <c r="A95" s="111" t="inlineStr">
        <is>
          <t>Request</t>
        </is>
      </c>
      <c r="B95" s="112" t="n"/>
      <c r="C95" s="112" t="inlineStr">
        <is>
          <t>6/3/2025</t>
        </is>
      </c>
      <c r="D95" s="112" t="inlineStr">
        <is>
          <t>4520V/210A-B128</t>
        </is>
      </c>
      <c r="E95" s="112" t="inlineStr">
        <is>
          <t>Phone sales Middle East</t>
        </is>
      </c>
      <c r="F95" s="112" t="inlineStr">
        <is>
          <t>104241748</t>
        </is>
      </c>
      <c r="G95" s="112" t="inlineStr">
        <is>
          <t>Prospect</t>
        </is>
      </c>
      <c r="H95" s="112" t="inlineStr">
        <is>
          <t>OMARI Asma</t>
        </is>
      </c>
      <c r="I95" s="113" t="inlineStr">
        <is>
          <t xml:space="preserve">DR Ali Aldhanhani
</t>
        </is>
      </c>
      <c r="J95" s="112" t="n"/>
    </row>
    <row r="96" ht="28.95" customHeight="1" s="287">
      <c r="A96" s="111" t="inlineStr">
        <is>
          <t>Request</t>
        </is>
      </c>
      <c r="B96" s="112" t="n"/>
      <c r="C96" s="112" t="inlineStr">
        <is>
          <t>5/3/2025</t>
        </is>
      </c>
      <c r="D96" s="112" t="inlineStr">
        <is>
          <t>4200H/222A-B934</t>
        </is>
      </c>
      <c r="E96" s="112" t="inlineStr">
        <is>
          <t>Phone sales Middle East</t>
        </is>
      </c>
      <c r="F96" s="112" t="inlineStr">
        <is>
          <t>104457258</t>
        </is>
      </c>
      <c r="G96" s="112" t="inlineStr">
        <is>
          <t>Prospect</t>
        </is>
      </c>
      <c r="H96" s="112" t="inlineStr">
        <is>
          <t>SHARIF Maaz</t>
        </is>
      </c>
      <c r="I96" s="113" t="inlineStr">
        <is>
          <t xml:space="preserve">222
</t>
        </is>
      </c>
      <c r="J96" s="112" t="n"/>
    </row>
    <row r="97" ht="28.95" customHeight="1" s="287">
      <c r="A97" s="111" t="inlineStr">
        <is>
          <t>Request</t>
        </is>
      </c>
      <c r="B97" s="112" t="n"/>
      <c r="C97" s="112" t="inlineStr">
        <is>
          <t>5/3/2025</t>
        </is>
      </c>
      <c r="D97" s="112" t="inlineStr">
        <is>
          <t>4200H/222A-B934</t>
        </is>
      </c>
      <c r="E97" s="112" t="inlineStr">
        <is>
          <t>Phone sales Middle East</t>
        </is>
      </c>
      <c r="F97" s="112" t="inlineStr">
        <is>
          <t>104482467</t>
        </is>
      </c>
      <c r="G97" s="112" t="inlineStr">
        <is>
          <t>Prospect</t>
        </is>
      </c>
      <c r="H97" s="112" t="inlineStr">
        <is>
          <t>SHARIF Maaz</t>
        </is>
      </c>
      <c r="I97" s="113" t="inlineStr">
        <is>
          <t xml:space="preserve">222
</t>
        </is>
      </c>
      <c r="J97" s="112" t="n"/>
    </row>
    <row r="98" ht="57.6" customHeight="1" s="287">
      <c r="A98" s="111" t="inlineStr">
        <is>
          <t>Request</t>
        </is>
      </c>
      <c r="B98" s="112" t="n"/>
      <c r="C98" s="112" t="inlineStr">
        <is>
          <t>4/3/2025</t>
        </is>
      </c>
      <c r="D98" s="112" t="inlineStr">
        <is>
          <t>4200H/222A-B934</t>
        </is>
      </c>
      <c r="E98" s="112" t="inlineStr">
        <is>
          <t>Phone sales Middle East</t>
        </is>
      </c>
      <c r="F98" s="112" t="inlineStr">
        <is>
          <t>104455380</t>
        </is>
      </c>
      <c r="G98" s="112" t="inlineStr">
        <is>
          <t>Prospect</t>
        </is>
      </c>
      <c r="H98" s="112" t="inlineStr">
        <is>
          <t>OMARI Asma</t>
        </is>
      </c>
      <c r="I98" s="113" t="inlineStr">
        <is>
          <t xml:space="preserve">Mr. Peter AROKIANATHAN (ksa)
</t>
        </is>
      </c>
      <c r="J98" s="112" t="n"/>
    </row>
    <row r="99" ht="57.6" customHeight="1" s="287">
      <c r="A99" s="111" t="inlineStr">
        <is>
          <t>Request</t>
        </is>
      </c>
      <c r="B99" s="112" t="n"/>
      <c r="C99" s="112" t="inlineStr">
        <is>
          <t>4/3/2025</t>
        </is>
      </c>
      <c r="D99" s="112" t="inlineStr">
        <is>
          <t>4520V/210R-B967</t>
        </is>
      </c>
      <c r="E99" s="112" t="inlineStr">
        <is>
          <t>Phone sales Middle East</t>
        </is>
      </c>
      <c r="F99" s="112" t="inlineStr">
        <is>
          <t>104455689</t>
        </is>
      </c>
      <c r="G99" s="112" t="inlineStr">
        <is>
          <t>Prospect</t>
        </is>
      </c>
      <c r="H99" s="112" t="inlineStr">
        <is>
          <t>TAHHAN Riham</t>
        </is>
      </c>
      <c r="I99" s="113" t="inlineStr">
        <is>
          <t xml:space="preserve">Would like the pick up to be end of Dec first of Jan
</t>
        </is>
      </c>
      <c r="J99" s="112" t="n"/>
    </row>
    <row r="100">
      <c r="A100" s="111" t="inlineStr">
        <is>
          <t>Request</t>
        </is>
      </c>
      <c r="B100" s="112" t="n"/>
      <c r="C100" s="112" t="inlineStr">
        <is>
          <t>4/3/2025</t>
        </is>
      </c>
      <c r="D100" s="112" t="inlineStr">
        <is>
          <t>7920V/210R-B965</t>
        </is>
      </c>
      <c r="E100" s="112" t="inlineStr">
        <is>
          <t>Phone sales Middle East</t>
        </is>
      </c>
      <c r="F100" s="112" t="inlineStr">
        <is>
          <t>104455689</t>
        </is>
      </c>
      <c r="G100" s="112" t="inlineStr">
        <is>
          <t>Prospect</t>
        </is>
      </c>
      <c r="H100" s="112" t="inlineStr">
        <is>
          <t>TAHHAN Riham</t>
        </is>
      </c>
      <c r="I100" s="113" t="n"/>
      <c r="J100" s="112" t="n"/>
    </row>
    <row r="101">
      <c r="A101" s="111" t="inlineStr">
        <is>
          <t>Request</t>
        </is>
      </c>
      <c r="B101" s="112" t="n"/>
      <c r="C101" s="112" t="inlineStr">
        <is>
          <t>4/3/2025</t>
        </is>
      </c>
      <c r="D101" s="112" t="inlineStr">
        <is>
          <t>4200H/222A-B934</t>
        </is>
      </c>
      <c r="E101" s="112" t="inlineStr">
        <is>
          <t>Phone sales Middle East</t>
        </is>
      </c>
      <c r="F101" s="112" t="inlineStr">
        <is>
          <t>104455472</t>
        </is>
      </c>
      <c r="G101" s="112" t="inlineStr">
        <is>
          <t>Prospect</t>
        </is>
      </c>
      <c r="H101" s="112" t="inlineStr">
        <is>
          <t>TAHHAN Riham</t>
        </is>
      </c>
      <c r="I101" s="113" t="n"/>
      <c r="J101" s="112" t="n"/>
    </row>
    <row r="102">
      <c r="A102" s="111" t="inlineStr">
        <is>
          <t>Request</t>
        </is>
      </c>
      <c r="B102" s="112" t="n"/>
      <c r="C102" s="112" t="inlineStr">
        <is>
          <t>4/3/2025</t>
        </is>
      </c>
      <c r="D102" s="112" t="inlineStr">
        <is>
          <t>4200H/222A-B934</t>
        </is>
      </c>
      <c r="E102" s="112" t="inlineStr">
        <is>
          <t>Phone sales Middle East</t>
        </is>
      </c>
      <c r="F102" s="112" t="inlineStr">
        <is>
          <t>91002262</t>
        </is>
      </c>
      <c r="G102" s="112" t="inlineStr">
        <is>
          <t>Prospect</t>
        </is>
      </c>
      <c r="H102" s="112" t="inlineStr">
        <is>
          <t>TAHHAN Riham</t>
        </is>
      </c>
      <c r="I102" s="113" t="n"/>
      <c r="J102" s="112" t="n"/>
    </row>
    <row r="103" ht="86.40000000000001" customHeight="1" s="287">
      <c r="A103" s="111" t="inlineStr">
        <is>
          <t>Request</t>
        </is>
      </c>
      <c r="B103" s="112" t="n"/>
      <c r="C103" s="112" t="inlineStr">
        <is>
          <t>4/3/2025</t>
        </is>
      </c>
      <c r="D103" s="112" t="inlineStr">
        <is>
          <t>7920V/210A-B546</t>
        </is>
      </c>
      <c r="E103" s="112" t="inlineStr">
        <is>
          <t>Phone sales Middle East</t>
        </is>
      </c>
      <c r="F103" s="112" t="inlineStr">
        <is>
          <t>104459323</t>
        </is>
      </c>
      <c r="G103" s="112" t="inlineStr">
        <is>
          <t>Prospect</t>
        </is>
      </c>
      <c r="H103" s="112" t="inlineStr">
        <is>
          <t>SHARIF Maaz</t>
        </is>
      </c>
      <c r="I103" s="113" t="inlineStr">
        <is>
          <t xml:space="preserve">the client is interested in the dual and Chronograph black dial 
</t>
        </is>
      </c>
      <c r="J103" s="112" t="n"/>
    </row>
    <row r="104" ht="43.2" customHeight="1" s="287">
      <c r="A104" s="111" t="inlineStr">
        <is>
          <t>Request</t>
        </is>
      </c>
      <c r="B104" s="112" t="n"/>
      <c r="C104" s="112" t="inlineStr">
        <is>
          <t>1/3/2025</t>
        </is>
      </c>
      <c r="D104" s="112" t="inlineStr">
        <is>
          <t>4200H/222A-B934</t>
        </is>
      </c>
      <c r="E104" s="112" t="inlineStr">
        <is>
          <t>Phone sales Middle East</t>
        </is>
      </c>
      <c r="F104" s="112" t="inlineStr">
        <is>
          <t>104397738</t>
        </is>
      </c>
      <c r="G104" s="112" t="inlineStr">
        <is>
          <t>Prospect</t>
        </is>
      </c>
      <c r="H104" s="112" t="inlineStr">
        <is>
          <t>SHARIF Maaz</t>
        </is>
      </c>
      <c r="I104" s="113" t="inlineStr">
        <is>
          <t xml:space="preserve">interested in the 222 and dual time 
</t>
        </is>
      </c>
      <c r="J104" s="112" t="n"/>
    </row>
    <row r="105" ht="57.6" customHeight="1" s="287">
      <c r="A105" s="111" t="inlineStr">
        <is>
          <t>Request</t>
        </is>
      </c>
      <c r="B105" s="112" t="n"/>
      <c r="C105" s="112" t="inlineStr">
        <is>
          <t>1/3/2025</t>
        </is>
      </c>
      <c r="D105" s="112" t="inlineStr">
        <is>
          <t>4200H/222J-B935</t>
        </is>
      </c>
      <c r="E105" s="112" t="inlineStr">
        <is>
          <t>Phone sales Middle East</t>
        </is>
      </c>
      <c r="F105" s="112" t="inlineStr">
        <is>
          <t>98874827</t>
        </is>
      </c>
      <c r="G105" s="112" t="inlineStr">
        <is>
          <t>Prospect</t>
        </is>
      </c>
      <c r="H105" s="112" t="inlineStr">
        <is>
          <t>SHARIF Maaz</t>
        </is>
      </c>
      <c r="I105" s="113" t="inlineStr">
        <is>
          <t xml:space="preserve">the client intrested in the 222
</t>
        </is>
      </c>
      <c r="J105" s="112" t="n"/>
    </row>
    <row r="106" ht="43.2" customHeight="1" s="287">
      <c r="A106" s="111" t="inlineStr">
        <is>
          <t>Request</t>
        </is>
      </c>
      <c r="B106" s="112" t="n"/>
      <c r="C106" s="112" t="inlineStr">
        <is>
          <t>1/3/2025</t>
        </is>
      </c>
      <c r="D106" s="112" t="inlineStr">
        <is>
          <t>4200H/222A-B934</t>
        </is>
      </c>
      <c r="E106" s="112" t="inlineStr">
        <is>
          <t>Phone sales Middle East</t>
        </is>
      </c>
      <c r="F106" s="112" t="inlineStr">
        <is>
          <t>104457807</t>
        </is>
      </c>
      <c r="G106" s="112" t="inlineStr">
        <is>
          <t>Prospect</t>
        </is>
      </c>
      <c r="H106" s="112" t="inlineStr">
        <is>
          <t>SHARIF Maaz</t>
        </is>
      </c>
      <c r="I106" s="113" t="inlineStr">
        <is>
          <t xml:space="preserve">the client is interested 
</t>
        </is>
      </c>
      <c r="J106" s="112" t="n"/>
    </row>
    <row r="107" ht="230.4" customHeight="1" s="287">
      <c r="A107" s="111" t="inlineStr">
        <is>
          <t>Request</t>
        </is>
      </c>
      <c r="B107" s="112" t="n"/>
      <c r="C107" s="112" t="inlineStr">
        <is>
          <t>1/3/2025</t>
        </is>
      </c>
      <c r="D107" s="112" t="inlineStr">
        <is>
          <t>6010T/000R-B638</t>
        </is>
      </c>
      <c r="E107" s="112" t="inlineStr">
        <is>
          <t>Phone sales Middle East</t>
        </is>
      </c>
      <c r="F107" s="112" t="inlineStr">
        <is>
          <t>104509438</t>
        </is>
      </c>
      <c r="G107" s="112" t="inlineStr">
        <is>
          <t>Prospect</t>
        </is>
      </c>
      <c r="H107" s="112" t="inlineStr">
        <is>
          <t>SHARIF Maaz</t>
        </is>
      </c>
      <c r="I107" s="113" t="inlineStr">
        <is>
          <t xml:space="preserve">The client specializes in auto tuning, automatic watches, and exclusive key fobs. His uncle has a strong interest in Traditionnelle and Overseas collections, particularly the tourbillon editions
</t>
        </is>
      </c>
      <c r="J107" s="112" t="n"/>
    </row>
    <row r="108" ht="57.6" customHeight="1" s="287">
      <c r="A108" s="111" t="inlineStr">
        <is>
          <t>Request</t>
        </is>
      </c>
      <c r="B108" s="112" t="n"/>
      <c r="C108" s="112" t="inlineStr">
        <is>
          <t>1/3/2025</t>
        </is>
      </c>
      <c r="D108" s="112" t="inlineStr">
        <is>
          <t>4520V/210A-B128</t>
        </is>
      </c>
      <c r="E108" s="112" t="inlineStr">
        <is>
          <t>Phone sales Middle East</t>
        </is>
      </c>
      <c r="F108" s="112" t="inlineStr">
        <is>
          <t>103673092</t>
        </is>
      </c>
      <c r="G108" s="112" t="inlineStr">
        <is>
          <t>Prospect</t>
        </is>
      </c>
      <c r="H108" s="112" t="inlineStr">
        <is>
          <t>SHARIF Maaz</t>
        </is>
      </c>
      <c r="I108" s="113" t="inlineStr">
        <is>
          <t xml:space="preserve">the client main aim is the 222 and the 128 
</t>
        </is>
      </c>
      <c r="J108" s="112" t="n"/>
    </row>
    <row r="109" ht="43.2" customHeight="1" s="287">
      <c r="A109" s="111" t="inlineStr">
        <is>
          <t>Request</t>
        </is>
      </c>
      <c r="B109" s="112" t="n"/>
      <c r="C109" s="112" t="inlineStr">
        <is>
          <t>28/2/2025</t>
        </is>
      </c>
      <c r="D109" s="112" t="inlineStr">
        <is>
          <t>4200H/222A-B934</t>
        </is>
      </c>
      <c r="E109" s="112" t="inlineStr">
        <is>
          <t>Phone sales Middle East</t>
        </is>
      </c>
      <c r="F109" s="112" t="inlineStr">
        <is>
          <t>104299847</t>
        </is>
      </c>
      <c r="G109" s="112" t="n"/>
      <c r="H109" s="112" t="inlineStr">
        <is>
          <t>SHARIF Maaz</t>
        </is>
      </c>
      <c r="I109" s="113" t="inlineStr">
        <is>
          <t xml:space="preserve">interested in the 222
</t>
        </is>
      </c>
      <c r="J109" s="112" t="n"/>
    </row>
    <row r="110" ht="28.95" customHeight="1" s="287">
      <c r="A110" s="111" t="inlineStr">
        <is>
          <t>Request</t>
        </is>
      </c>
      <c r="B110" s="112" t="n"/>
      <c r="C110" s="112" t="inlineStr">
        <is>
          <t>28/2/2025</t>
        </is>
      </c>
      <c r="D110" s="112" t="inlineStr">
        <is>
          <t>4200H/222A-B934</t>
        </is>
      </c>
      <c r="E110" s="112" t="inlineStr">
        <is>
          <t>Phone sales Middle East</t>
        </is>
      </c>
      <c r="F110" s="112" t="inlineStr">
        <is>
          <t>103621137</t>
        </is>
      </c>
      <c r="G110" s="112" t="inlineStr">
        <is>
          <t>Prospect</t>
        </is>
      </c>
      <c r="H110" s="112" t="inlineStr">
        <is>
          <t>SHARIF Maaz</t>
        </is>
      </c>
      <c r="I110" s="113" t="inlineStr">
        <is>
          <t xml:space="preserve">222
</t>
        </is>
      </c>
      <c r="J110" s="112" t="n"/>
    </row>
    <row r="111">
      <c r="A111" s="111" t="inlineStr">
        <is>
          <t>Request</t>
        </is>
      </c>
      <c r="B111" s="112" t="n"/>
      <c r="C111" s="112" t="inlineStr">
        <is>
          <t>28/2/2025</t>
        </is>
      </c>
      <c r="D111" s="112" t="inlineStr">
        <is>
          <t>82035/000P-H063</t>
        </is>
      </c>
      <c r="E111" s="112" t="inlineStr">
        <is>
          <t>Phone sales Middle East</t>
        </is>
      </c>
      <c r="F111" s="112" t="inlineStr">
        <is>
          <t>98609197</t>
        </is>
      </c>
      <c r="G111" s="112" t="inlineStr">
        <is>
          <t>Prospect</t>
        </is>
      </c>
      <c r="H111" s="112" t="inlineStr">
        <is>
          <t>SHARIF Maaz</t>
        </is>
      </c>
      <c r="I111" s="113" t="n"/>
      <c r="J111" s="112" t="n"/>
    </row>
    <row r="112" ht="28.95" customHeight="1" s="287">
      <c r="A112" s="111" t="inlineStr">
        <is>
          <t>Request</t>
        </is>
      </c>
      <c r="B112" s="112" t="n"/>
      <c r="C112" s="112" t="inlineStr">
        <is>
          <t>28/2/2025</t>
        </is>
      </c>
      <c r="D112" s="112" t="inlineStr">
        <is>
          <t>4200H/222A-B934</t>
        </is>
      </c>
      <c r="E112" s="112" t="inlineStr">
        <is>
          <t>Phone sales Middle East</t>
        </is>
      </c>
      <c r="F112" s="112" t="inlineStr">
        <is>
          <t>98609197</t>
        </is>
      </c>
      <c r="G112" s="112" t="inlineStr">
        <is>
          <t>Prospect</t>
        </is>
      </c>
      <c r="H112" s="112" t="inlineStr">
        <is>
          <t>SHARIF Maaz</t>
        </is>
      </c>
      <c r="I112" s="113" t="inlineStr">
        <is>
          <t xml:space="preserve">222
</t>
        </is>
      </c>
      <c r="J112" s="112" t="n"/>
    </row>
    <row r="113" ht="28.95" customHeight="1" s="287">
      <c r="A113" s="111" t="inlineStr">
        <is>
          <t>Request</t>
        </is>
      </c>
      <c r="B113" s="112" t="n"/>
      <c r="C113" s="112" t="inlineStr">
        <is>
          <t>27/2/2025</t>
        </is>
      </c>
      <c r="D113" s="112" t="inlineStr">
        <is>
          <t>7920V/210A-B334</t>
        </is>
      </c>
      <c r="E113" s="112" t="inlineStr">
        <is>
          <t>Phone sales Middle East</t>
        </is>
      </c>
      <c r="F113" s="112" t="inlineStr">
        <is>
          <t>104329408</t>
        </is>
      </c>
      <c r="G113" s="112" t="n"/>
      <c r="H113" s="112" t="inlineStr">
        <is>
          <t>SHARIF Maaz</t>
        </is>
      </c>
      <c r="I113" s="113" t="inlineStr">
        <is>
          <t xml:space="preserve">222 Fam
</t>
        </is>
      </c>
      <c r="J113" s="112" t="n"/>
    </row>
    <row r="114" ht="43.2" customHeight="1" s="287">
      <c r="A114" s="111" t="inlineStr">
        <is>
          <t>Request</t>
        </is>
      </c>
      <c r="B114" s="112" t="n"/>
      <c r="C114" s="112" t="inlineStr">
        <is>
          <t>27/2/2025</t>
        </is>
      </c>
      <c r="D114" s="112" t="inlineStr">
        <is>
          <t>4200H/222A-B934</t>
        </is>
      </c>
      <c r="E114" s="112" t="inlineStr">
        <is>
          <t>Phone sales Middle East</t>
        </is>
      </c>
      <c r="F114" s="112" t="inlineStr">
        <is>
          <t>104375430</t>
        </is>
      </c>
      <c r="G114" s="112" t="n"/>
      <c r="H114" s="112" t="inlineStr">
        <is>
          <t>OMARI Asma</t>
        </is>
      </c>
      <c r="I114" s="113" t="inlineStr">
        <is>
          <t xml:space="preserve">Mr. Sultan Al Faisal (ksa)
</t>
        </is>
      </c>
      <c r="J114" s="112" t="n"/>
    </row>
    <row r="115" ht="43.2" customHeight="1" s="287">
      <c r="A115" s="111" t="inlineStr">
        <is>
          <t>Request</t>
        </is>
      </c>
      <c r="B115" s="112" t="n"/>
      <c r="C115" s="112" t="inlineStr">
        <is>
          <t>27/2/2025</t>
        </is>
      </c>
      <c r="D115" s="112" t="inlineStr">
        <is>
          <t>4520V/210A-B128</t>
        </is>
      </c>
      <c r="E115" s="112" t="inlineStr">
        <is>
          <t>Phone sales Middle East</t>
        </is>
      </c>
      <c r="F115" s="112" t="inlineStr">
        <is>
          <t>104183935</t>
        </is>
      </c>
      <c r="G115" s="112" t="n"/>
      <c r="H115" s="112" t="inlineStr">
        <is>
          <t>OMARI Asma</t>
        </is>
      </c>
      <c r="I115" s="113" t="inlineStr">
        <is>
          <t xml:space="preserve">Mr. Tauqeer Dawood
</t>
        </is>
      </c>
      <c r="J115" s="112" t="n"/>
    </row>
    <row r="116" ht="28.95" customHeight="1" s="287">
      <c r="A116" s="111" t="inlineStr">
        <is>
          <t>Request</t>
        </is>
      </c>
      <c r="B116" s="112" t="n"/>
      <c r="C116" s="112" t="inlineStr">
        <is>
          <t>27/2/2025</t>
        </is>
      </c>
      <c r="D116" s="112" t="inlineStr">
        <is>
          <t>4200H/222A-B934</t>
        </is>
      </c>
      <c r="E116" s="112" t="inlineStr">
        <is>
          <t>Phone sales Middle East</t>
        </is>
      </c>
      <c r="F116" s="112" t="inlineStr">
        <is>
          <t>104375462</t>
        </is>
      </c>
      <c r="G116" s="112" t="n"/>
      <c r="H116" s="112" t="inlineStr">
        <is>
          <t>SHARIF Maaz</t>
        </is>
      </c>
      <c r="I116" s="113" t="inlineStr">
        <is>
          <t xml:space="preserve">222 Blue
</t>
        </is>
      </c>
      <c r="J116" s="112" t="n"/>
    </row>
    <row r="117" ht="86.40000000000001" customHeight="1" s="287">
      <c r="A117" s="111" t="inlineStr">
        <is>
          <t>Request</t>
        </is>
      </c>
      <c r="B117" s="112" t="n"/>
      <c r="C117" s="112" t="inlineStr">
        <is>
          <t>27/2/2025</t>
        </is>
      </c>
      <c r="D117" s="112" t="inlineStr">
        <is>
          <t>4200H/222A-B934</t>
        </is>
      </c>
      <c r="E117" s="112" t="inlineStr">
        <is>
          <t>Phone sales Middle East</t>
        </is>
      </c>
      <c r="F117" s="112" t="inlineStr">
        <is>
          <t>104326404</t>
        </is>
      </c>
      <c r="G117" s="112" t="n"/>
      <c r="H117" s="112" t="inlineStr">
        <is>
          <t>SHARIF Maaz</t>
        </is>
      </c>
      <c r="I117" s="113" t="inlineStr">
        <is>
          <t xml:space="preserve">The client is always between  Riyadh and Dubai and want the 222
</t>
        </is>
      </c>
      <c r="J117" s="112" t="n"/>
    </row>
    <row r="118" ht="43.2" customHeight="1" s="287">
      <c r="A118" s="111" t="inlineStr">
        <is>
          <t>Request</t>
        </is>
      </c>
      <c r="B118" s="112" t="n"/>
      <c r="C118" s="112" t="inlineStr">
        <is>
          <t>27/2/2025</t>
        </is>
      </c>
      <c r="D118" s="112" t="inlineStr">
        <is>
          <t>4200H/222A-B934</t>
        </is>
      </c>
      <c r="E118" s="112" t="inlineStr">
        <is>
          <t>Phone sales Middle East</t>
        </is>
      </c>
      <c r="F118" s="112" t="inlineStr">
        <is>
          <t>102680410</t>
        </is>
      </c>
      <c r="G118" s="112" t="n"/>
      <c r="H118" s="112" t="inlineStr">
        <is>
          <t>SHARIF Maaz</t>
        </is>
      </c>
      <c r="I118" s="113" t="inlineStr">
        <is>
          <t xml:space="preserve">The client is very interested KW 
</t>
        </is>
      </c>
      <c r="J118" s="112" t="n"/>
    </row>
    <row r="119" ht="28.95" customHeight="1" s="287">
      <c r="A119" s="111" t="inlineStr">
        <is>
          <t>Request</t>
        </is>
      </c>
      <c r="B119" s="112" t="n"/>
      <c r="C119" s="112" t="inlineStr">
        <is>
          <t>27/2/2025</t>
        </is>
      </c>
      <c r="D119" s="112" t="inlineStr">
        <is>
          <t>4200H/222A-B934</t>
        </is>
      </c>
      <c r="E119" s="112" t="inlineStr">
        <is>
          <t>Phone sales Middle East</t>
        </is>
      </c>
      <c r="F119" s="112" t="inlineStr">
        <is>
          <t>104908886</t>
        </is>
      </c>
      <c r="G119" s="112" t="inlineStr">
        <is>
          <t>Prospect</t>
        </is>
      </c>
      <c r="H119" s="112" t="inlineStr">
        <is>
          <t>SHARIF Maaz</t>
        </is>
      </c>
      <c r="I119" s="113" t="inlineStr">
        <is>
          <t xml:space="preserve">222
</t>
        </is>
      </c>
      <c r="J119" s="112" t="n"/>
    </row>
    <row r="120" ht="28.95" customHeight="1" s="287">
      <c r="A120" s="111" t="inlineStr">
        <is>
          <t>Request</t>
        </is>
      </c>
      <c r="B120" s="112" t="n"/>
      <c r="C120" s="112" t="inlineStr">
        <is>
          <t>25/2/2025</t>
        </is>
      </c>
      <c r="D120" s="112" t="inlineStr">
        <is>
          <t>4200H/222A-B934</t>
        </is>
      </c>
      <c r="E120" s="112" t="inlineStr">
        <is>
          <t>Phone sales Middle East</t>
        </is>
      </c>
      <c r="F120" s="112" t="inlineStr">
        <is>
          <t>103847224</t>
        </is>
      </c>
      <c r="G120" s="112" t="n"/>
      <c r="H120" s="112" t="inlineStr">
        <is>
          <t>SHARIF Maaz</t>
        </is>
      </c>
      <c r="I120" s="113" t="inlineStr">
        <is>
          <t xml:space="preserve">222
</t>
        </is>
      </c>
      <c r="J120" s="112" t="n"/>
    </row>
    <row r="121" ht="28.95" customHeight="1" s="287">
      <c r="A121" s="111" t="inlineStr">
        <is>
          <t>Request</t>
        </is>
      </c>
      <c r="B121" s="112" t="n"/>
      <c r="C121" s="112" t="inlineStr">
        <is>
          <t>25/2/2025</t>
        </is>
      </c>
      <c r="D121" s="112" t="inlineStr">
        <is>
          <t>4200H/222A-B934</t>
        </is>
      </c>
      <c r="E121" s="112" t="inlineStr">
        <is>
          <t>Phone sales Middle East</t>
        </is>
      </c>
      <c r="F121" s="112" t="inlineStr">
        <is>
          <t>104255707</t>
        </is>
      </c>
      <c r="G121" s="112" t="n"/>
      <c r="H121" s="112" t="inlineStr">
        <is>
          <t>SHARIF Maaz</t>
        </is>
      </c>
      <c r="I121" s="113" t="inlineStr">
        <is>
          <t xml:space="preserve">222
</t>
        </is>
      </c>
      <c r="J121" s="112" t="n"/>
    </row>
    <row r="122" ht="28.95" customHeight="1" s="287">
      <c r="A122" s="111" t="inlineStr">
        <is>
          <t>Request</t>
        </is>
      </c>
      <c r="B122" s="112" t="n"/>
      <c r="C122" s="112" t="inlineStr">
        <is>
          <t>25/2/2025</t>
        </is>
      </c>
      <c r="D122" s="112" t="inlineStr">
        <is>
          <t>4200H/222A-B934</t>
        </is>
      </c>
      <c r="E122" s="112" t="inlineStr">
        <is>
          <t>Phone sales Middle East</t>
        </is>
      </c>
      <c r="F122" s="112" t="inlineStr">
        <is>
          <t>104270695</t>
        </is>
      </c>
      <c r="G122" s="112" t="n"/>
      <c r="H122" s="112" t="inlineStr">
        <is>
          <t>SHARIF Maaz</t>
        </is>
      </c>
      <c r="I122" s="113" t="inlineStr">
        <is>
          <t xml:space="preserve">222 gcc 
</t>
        </is>
      </c>
      <c r="J122" s="112" t="n"/>
    </row>
    <row r="123" ht="28.95" customHeight="1" s="287">
      <c r="A123" s="111" t="inlineStr">
        <is>
          <t>Request</t>
        </is>
      </c>
      <c r="B123" s="112" t="n"/>
      <c r="C123" s="112" t="inlineStr">
        <is>
          <t>25/2/2025</t>
        </is>
      </c>
      <c r="D123" s="112" t="inlineStr">
        <is>
          <t>4200H/222A-B934</t>
        </is>
      </c>
      <c r="E123" s="112" t="inlineStr">
        <is>
          <t>Phone sales Middle East</t>
        </is>
      </c>
      <c r="F123" s="112" t="inlineStr">
        <is>
          <t>102905736</t>
        </is>
      </c>
      <c r="G123" s="112" t="n"/>
      <c r="H123" s="112" t="inlineStr">
        <is>
          <t>SHARIF Maaz</t>
        </is>
      </c>
      <c r="I123" s="113" t="inlineStr">
        <is>
          <t xml:space="preserve">222
</t>
        </is>
      </c>
      <c r="J123" s="112" t="n"/>
    </row>
    <row r="124" ht="43.2" customHeight="1" s="287">
      <c r="A124" s="111" t="inlineStr">
        <is>
          <t>Request</t>
        </is>
      </c>
      <c r="B124" s="112" t="n"/>
      <c r="C124" s="112" t="inlineStr">
        <is>
          <t>21/2/2025</t>
        </is>
      </c>
      <c r="D124" s="112" t="inlineStr">
        <is>
          <t>4200H/222A-B934</t>
        </is>
      </c>
      <c r="E124" s="112" t="inlineStr">
        <is>
          <t>Phone sales Middle East</t>
        </is>
      </c>
      <c r="F124" s="112" t="inlineStr">
        <is>
          <t>92404193</t>
        </is>
      </c>
      <c r="G124" s="112" t="inlineStr">
        <is>
          <t>Client</t>
        </is>
      </c>
      <c r="H124" s="112" t="inlineStr">
        <is>
          <t>OMARI Asma</t>
        </is>
      </c>
      <c r="I124" s="113" t="inlineStr">
        <is>
          <t xml:space="preserve">Mr. Ronnie Anbouba
</t>
        </is>
      </c>
      <c r="J124" s="112" t="n"/>
    </row>
    <row r="125" ht="43.2" customHeight="1" s="287">
      <c r="A125" s="111" t="inlineStr">
        <is>
          <t>Request</t>
        </is>
      </c>
      <c r="B125" s="112" t="n"/>
      <c r="C125" s="112" t="inlineStr">
        <is>
          <t>20/2/2025</t>
        </is>
      </c>
      <c r="D125" s="112" t="inlineStr">
        <is>
          <t>4200H/222A-B934</t>
        </is>
      </c>
      <c r="E125" s="112" t="inlineStr">
        <is>
          <t>Phone sales Middle East</t>
        </is>
      </c>
      <c r="F125" s="112" t="inlineStr">
        <is>
          <t>103831073</t>
        </is>
      </c>
      <c r="G125" s="112" t="inlineStr">
        <is>
          <t>Prospect</t>
        </is>
      </c>
      <c r="H125" s="112" t="inlineStr">
        <is>
          <t>SHARIF Maaz</t>
        </is>
      </c>
      <c r="I125" s="113" t="inlineStr">
        <is>
          <t xml:space="preserve">interested in the 222
</t>
        </is>
      </c>
      <c r="J125" s="112" t="n"/>
    </row>
    <row r="126" ht="57.6" customHeight="1" s="287">
      <c r="A126" s="111" t="inlineStr">
        <is>
          <t>Request</t>
        </is>
      </c>
      <c r="B126" s="112" t="n"/>
      <c r="C126" s="112" t="inlineStr">
        <is>
          <t>19/2/2025</t>
        </is>
      </c>
      <c r="D126" s="112" t="inlineStr">
        <is>
          <t>4520V/210A-B128</t>
        </is>
      </c>
      <c r="E126" s="112" t="inlineStr">
        <is>
          <t>Phone sales Middle East</t>
        </is>
      </c>
      <c r="F126" s="112" t="inlineStr">
        <is>
          <t>104181189</t>
        </is>
      </c>
      <c r="G126" s="112" t="inlineStr">
        <is>
          <t>Prospect</t>
        </is>
      </c>
      <c r="H126" s="112" t="inlineStr">
        <is>
          <t>OMARI Asma</t>
        </is>
      </c>
      <c r="I126" s="113" t="inlineStr">
        <is>
          <t xml:space="preserve">Mr. Arkan Khedair
</t>
        </is>
      </c>
      <c r="J126" s="112" t="n"/>
    </row>
    <row r="127">
      <c r="A127" s="111" t="inlineStr">
        <is>
          <t>Request</t>
        </is>
      </c>
      <c r="B127" s="112" t="n"/>
      <c r="C127" s="112" t="inlineStr">
        <is>
          <t>19/2/2025</t>
        </is>
      </c>
      <c r="D127" s="112" t="inlineStr">
        <is>
          <t>4200H/222A-B934</t>
        </is>
      </c>
      <c r="E127" s="112" t="inlineStr">
        <is>
          <t>Phone sales Middle East</t>
        </is>
      </c>
      <c r="F127" s="112" t="inlineStr">
        <is>
          <t>102905736</t>
        </is>
      </c>
      <c r="G127" s="112" t="n"/>
      <c r="H127" s="112" t="inlineStr">
        <is>
          <t>SHARIF Maaz</t>
        </is>
      </c>
      <c r="I127" s="113" t="n"/>
      <c r="J127" s="112" t="n"/>
    </row>
    <row r="128" ht="72" customHeight="1" s="287">
      <c r="A128" s="111" t="inlineStr">
        <is>
          <t>Request</t>
        </is>
      </c>
      <c r="B128" s="112" t="n"/>
      <c r="C128" s="112" t="inlineStr">
        <is>
          <t>19/2/2025</t>
        </is>
      </c>
      <c r="D128" s="112" t="inlineStr">
        <is>
          <t>5520V/210R-B966</t>
        </is>
      </c>
      <c r="E128" s="112" t="inlineStr">
        <is>
          <t>Phone sales Middle East</t>
        </is>
      </c>
      <c r="F128" s="112" t="inlineStr">
        <is>
          <t>104459131</t>
        </is>
      </c>
      <c r="G128" s="112" t="inlineStr">
        <is>
          <t>Prospect</t>
        </is>
      </c>
      <c r="H128" s="112" t="inlineStr">
        <is>
          <t>SHARIF Maaz</t>
        </is>
      </c>
      <c r="I128" s="113" t="inlineStr">
        <is>
          <t xml:space="preserve">the client would like to reserve  Overseas chronograph
</t>
        </is>
      </c>
      <c r="J128" s="112" t="n"/>
    </row>
    <row r="129" ht="43.2" customHeight="1" s="287">
      <c r="A129" s="111" t="inlineStr">
        <is>
          <t>Request</t>
        </is>
      </c>
      <c r="B129" s="112" t="n"/>
      <c r="C129" s="112" t="inlineStr">
        <is>
          <t>18/2/2025</t>
        </is>
      </c>
      <c r="D129" s="112" t="inlineStr">
        <is>
          <t>4200H/222A-B934</t>
        </is>
      </c>
      <c r="E129" s="112" t="inlineStr">
        <is>
          <t>Phone sales Middle East</t>
        </is>
      </c>
      <c r="F129" s="112" t="inlineStr">
        <is>
          <t>104137810</t>
        </is>
      </c>
      <c r="G129" s="112" t="inlineStr">
        <is>
          <t>Prospect</t>
        </is>
      </c>
      <c r="H129" s="112" t="inlineStr">
        <is>
          <t>OMARI Asma</t>
        </is>
      </c>
      <c r="I129" s="113" t="inlineStr">
        <is>
          <t xml:space="preserve">Mr. Humaid Shaikh
</t>
        </is>
      </c>
      <c r="J129" s="112" t="n"/>
    </row>
    <row r="130" ht="43.2" customHeight="1" s="287">
      <c r="A130" s="111" t="inlineStr">
        <is>
          <t>Request</t>
        </is>
      </c>
      <c r="B130" s="112" t="n"/>
      <c r="C130" s="112" t="inlineStr">
        <is>
          <t>18/2/2025</t>
        </is>
      </c>
      <c r="D130" s="112" t="inlineStr">
        <is>
          <t>4200H/222A-B934</t>
        </is>
      </c>
      <c r="E130" s="112" t="inlineStr">
        <is>
          <t>Phone sales Middle East</t>
        </is>
      </c>
      <c r="F130" s="112" t="inlineStr">
        <is>
          <t>104137864</t>
        </is>
      </c>
      <c r="G130" s="112" t="inlineStr">
        <is>
          <t>Prospect</t>
        </is>
      </c>
      <c r="H130" s="112" t="inlineStr">
        <is>
          <t>OMARI Asma</t>
        </is>
      </c>
      <c r="I130" s="113" t="inlineStr">
        <is>
          <t xml:space="preserve">Mr. Mohamed Alsuwaidi
</t>
        </is>
      </c>
      <c r="J130" s="112" t="n"/>
    </row>
    <row r="131" ht="43.2" customHeight="1" s="287">
      <c r="A131" s="111" t="inlineStr">
        <is>
          <t>Request</t>
        </is>
      </c>
      <c r="B131" s="112" t="n"/>
      <c r="C131" s="112" t="inlineStr">
        <is>
          <t>18/2/2025</t>
        </is>
      </c>
      <c r="D131" s="112" t="inlineStr">
        <is>
          <t>4200H/222A-B934</t>
        </is>
      </c>
      <c r="E131" s="112" t="inlineStr">
        <is>
          <t>Phone sales Middle East</t>
        </is>
      </c>
      <c r="F131" s="112" t="inlineStr">
        <is>
          <t>92402356</t>
        </is>
      </c>
      <c r="G131" s="112" t="inlineStr">
        <is>
          <t>Prospect</t>
        </is>
      </c>
      <c r="H131" s="112" t="inlineStr">
        <is>
          <t>OMARI Asma</t>
        </is>
      </c>
      <c r="I131" s="113" t="inlineStr">
        <is>
          <t xml:space="preserve">Hussain Mohamed
</t>
        </is>
      </c>
      <c r="J131" s="112" t="n"/>
    </row>
    <row r="132" ht="129.6" customHeight="1" s="287">
      <c r="A132" s="111" t="inlineStr">
        <is>
          <t>Request</t>
        </is>
      </c>
      <c r="B132" s="112" t="n"/>
      <c r="C132" s="112" t="inlineStr">
        <is>
          <t>15/2/2025</t>
        </is>
      </c>
      <c r="D132" s="112" t="inlineStr">
        <is>
          <t>5520V/210A-B148</t>
        </is>
      </c>
      <c r="E132" s="112" t="inlineStr">
        <is>
          <t>Phone sales Middle East</t>
        </is>
      </c>
      <c r="F132" s="112" t="inlineStr">
        <is>
          <t>104495233</t>
        </is>
      </c>
      <c r="G132" s="112" t="inlineStr">
        <is>
          <t>Prospect</t>
        </is>
      </c>
      <c r="H132" s="112" t="inlineStr">
        <is>
          <t>SHARIF Maaz</t>
        </is>
      </c>
      <c r="I132" s="113" t="inlineStr">
        <is>
          <t xml:space="preserve">the client is very interested in the Overseas chronograph
and willing to secure it via payment link 
</t>
        </is>
      </c>
      <c r="J132" s="112" t="n"/>
    </row>
    <row r="133">
      <c r="A133" s="111" t="inlineStr">
        <is>
          <t>Request</t>
        </is>
      </c>
      <c r="B133" s="112" t="n"/>
      <c r="C133" s="112" t="inlineStr">
        <is>
          <t>13/2/2025</t>
        </is>
      </c>
      <c r="D133" s="112" t="inlineStr">
        <is>
          <t>4200H/222A-B934</t>
        </is>
      </c>
      <c r="E133" s="112" t="inlineStr">
        <is>
          <t>Phone sales Middle East</t>
        </is>
      </c>
      <c r="F133" s="112" t="inlineStr">
        <is>
          <t>103985822</t>
        </is>
      </c>
      <c r="G133" s="112" t="inlineStr">
        <is>
          <t>Prospect</t>
        </is>
      </c>
      <c r="H133" s="112" t="inlineStr">
        <is>
          <t>TAHHAN Riham</t>
        </is>
      </c>
      <c r="I133" s="113" t="n"/>
      <c r="J133" s="112" t="n"/>
    </row>
    <row r="134" ht="28.95" customHeight="1" s="287">
      <c r="A134" s="111" t="inlineStr">
        <is>
          <t>Request</t>
        </is>
      </c>
      <c r="B134" s="112" t="n"/>
      <c r="C134" s="112" t="inlineStr">
        <is>
          <t>13/2/2025</t>
        </is>
      </c>
      <c r="D134" s="112" t="inlineStr">
        <is>
          <t>4200H/222A-B934</t>
        </is>
      </c>
      <c r="E134" s="112" t="inlineStr">
        <is>
          <t>Phone sales Middle East</t>
        </is>
      </c>
      <c r="F134" s="112" t="inlineStr">
        <is>
          <t>104069433</t>
        </is>
      </c>
      <c r="G134" s="112" t="inlineStr">
        <is>
          <t>Prospect</t>
        </is>
      </c>
      <c r="H134" s="112" t="inlineStr">
        <is>
          <t>OMARI Asma</t>
        </is>
      </c>
      <c r="I134" s="113" t="inlineStr">
        <is>
          <t xml:space="preserve">Roman Heinrichs
</t>
        </is>
      </c>
      <c r="J134" s="112" t="n"/>
    </row>
    <row r="135">
      <c r="A135" s="111" t="inlineStr">
        <is>
          <t>Request</t>
        </is>
      </c>
      <c r="B135" s="112" t="n"/>
      <c r="C135" s="112" t="inlineStr">
        <is>
          <t>12/2/2025</t>
        </is>
      </c>
      <c r="D135" s="112" t="inlineStr">
        <is>
          <t>4200H/222A-B934</t>
        </is>
      </c>
      <c r="E135" s="112" t="inlineStr">
        <is>
          <t>Phone sales Middle East</t>
        </is>
      </c>
      <c r="F135" s="112" t="inlineStr">
        <is>
          <t>103936120</t>
        </is>
      </c>
      <c r="G135" s="112" t="inlineStr">
        <is>
          <t>Prospect</t>
        </is>
      </c>
      <c r="H135" s="112" t="inlineStr">
        <is>
          <t>TAHHAN Riham</t>
        </is>
      </c>
      <c r="I135" s="113" t="n"/>
      <c r="J135" s="112" t="n"/>
    </row>
    <row r="136" ht="28.95" customHeight="1" s="287">
      <c r="A136" s="111" t="inlineStr">
        <is>
          <t>Request</t>
        </is>
      </c>
      <c r="B136" s="112" t="n"/>
      <c r="C136" s="112" t="inlineStr">
        <is>
          <t>12/2/2025</t>
        </is>
      </c>
      <c r="D136" s="112" t="inlineStr">
        <is>
          <t>4200H/222A-B934</t>
        </is>
      </c>
      <c r="E136" s="112" t="inlineStr">
        <is>
          <t>Phone sales Middle East</t>
        </is>
      </c>
      <c r="F136" s="112" t="inlineStr">
        <is>
          <t>104050167</t>
        </is>
      </c>
      <c r="G136" s="112" t="inlineStr">
        <is>
          <t>Prospect</t>
        </is>
      </c>
      <c r="H136" s="112" t="inlineStr">
        <is>
          <t>OMARI Asma</t>
        </is>
      </c>
      <c r="I136" s="113" t="inlineStr">
        <is>
          <t xml:space="preserve">Arthur Sarkisian
</t>
        </is>
      </c>
      <c r="J136" s="112" t="n"/>
    </row>
    <row r="137">
      <c r="A137" s="111" t="inlineStr">
        <is>
          <t>Request</t>
        </is>
      </c>
      <c r="B137" s="112" t="n"/>
      <c r="C137" s="112" t="inlineStr">
        <is>
          <t>11/2/2025</t>
        </is>
      </c>
      <c r="D137" s="112" t="inlineStr">
        <is>
          <t>4200H/222A-B934</t>
        </is>
      </c>
      <c r="E137" s="112" t="inlineStr">
        <is>
          <t>Phone sales Middle East</t>
        </is>
      </c>
      <c r="F137" s="112" t="inlineStr">
        <is>
          <t>104044650</t>
        </is>
      </c>
      <c r="G137" s="112" t="inlineStr">
        <is>
          <t>Prospect</t>
        </is>
      </c>
      <c r="H137" s="112" t="inlineStr">
        <is>
          <t>TAHHAN Riham</t>
        </is>
      </c>
      <c r="I137" s="113" t="n"/>
      <c r="J137" s="112" t="n"/>
    </row>
    <row r="138">
      <c r="A138" s="111" t="inlineStr">
        <is>
          <t>Cancelled</t>
        </is>
      </c>
      <c r="B138" s="112" t="inlineStr">
        <is>
          <t>Cancelled</t>
        </is>
      </c>
      <c r="C138" s="112" t="inlineStr">
        <is>
          <t>11/2/2025</t>
        </is>
      </c>
      <c r="D138" s="112" t="inlineStr">
        <is>
          <t>7920V/210A-B334</t>
        </is>
      </c>
      <c r="E138" s="112" t="inlineStr">
        <is>
          <t>Phone sales Middle East</t>
        </is>
      </c>
      <c r="F138" s="112" t="inlineStr">
        <is>
          <t>104044650</t>
        </is>
      </c>
      <c r="G138" s="112" t="inlineStr">
        <is>
          <t>Prospect</t>
        </is>
      </c>
      <c r="H138" s="112" t="inlineStr">
        <is>
          <t>TAHHAN Riham</t>
        </is>
      </c>
      <c r="I138" s="113" t="n"/>
      <c r="J138" s="112" t="n"/>
    </row>
    <row r="139" ht="43.2" customHeight="1" s="287">
      <c r="A139" s="111" t="inlineStr">
        <is>
          <t>Request</t>
        </is>
      </c>
      <c r="B139" s="112" t="n"/>
      <c r="C139" s="112" t="inlineStr">
        <is>
          <t>11/2/2025</t>
        </is>
      </c>
      <c r="D139" s="112" t="inlineStr">
        <is>
          <t>4200H/222A-B934</t>
        </is>
      </c>
      <c r="E139" s="112" t="inlineStr">
        <is>
          <t>Phone sales Middle East</t>
        </is>
      </c>
      <c r="F139" s="112" t="inlineStr">
        <is>
          <t>104044791</t>
        </is>
      </c>
      <c r="G139" s="112" t="inlineStr">
        <is>
          <t>Prospect</t>
        </is>
      </c>
      <c r="H139" s="112" t="inlineStr">
        <is>
          <t>OMARI Asma</t>
        </is>
      </c>
      <c r="I139" s="113" t="inlineStr">
        <is>
          <t xml:space="preserve">Mr. Mostafa Gheita
</t>
        </is>
      </c>
      <c r="J139" s="112" t="n"/>
    </row>
    <row r="140" ht="43.2" customHeight="1" s="287">
      <c r="A140" s="111" t="inlineStr">
        <is>
          <t>Request</t>
        </is>
      </c>
      <c r="B140" s="112" t="n"/>
      <c r="C140" s="112" t="inlineStr">
        <is>
          <t>11/2/2025</t>
        </is>
      </c>
      <c r="D140" s="112" t="inlineStr">
        <is>
          <t>5520V/210A-B148</t>
        </is>
      </c>
      <c r="E140" s="112" t="inlineStr">
        <is>
          <t>Phone sales Middle East</t>
        </is>
      </c>
      <c r="F140" s="112" t="inlineStr">
        <is>
          <t>104048409</t>
        </is>
      </c>
      <c r="G140" s="112" t="inlineStr">
        <is>
          <t>Prospect</t>
        </is>
      </c>
      <c r="H140" s="112" t="inlineStr">
        <is>
          <t>OMARI Asma</t>
        </is>
      </c>
      <c r="I140" s="113" t="inlineStr">
        <is>
          <t xml:space="preserve">Mr. Omar Alamoodi
</t>
        </is>
      </c>
      <c r="J140" s="112" t="n"/>
    </row>
    <row r="141">
      <c r="A141" s="111" t="inlineStr">
        <is>
          <t>Request</t>
        </is>
      </c>
      <c r="B141" s="112" t="n"/>
      <c r="C141" s="112" t="inlineStr">
        <is>
          <t>11/2/2025</t>
        </is>
      </c>
      <c r="D141" s="112" t="inlineStr">
        <is>
          <t>4200H/222A-B934</t>
        </is>
      </c>
      <c r="E141" s="112" t="inlineStr">
        <is>
          <t>Phone sales Middle East</t>
        </is>
      </c>
      <c r="F141" s="112" t="inlineStr">
        <is>
          <t>104044621</t>
        </is>
      </c>
      <c r="G141" s="112" t="inlineStr">
        <is>
          <t>Prospect</t>
        </is>
      </c>
      <c r="H141" s="112" t="inlineStr">
        <is>
          <t>TAHHAN Riham</t>
        </is>
      </c>
      <c r="I141" s="113" t="n"/>
      <c r="J141" s="112" t="n"/>
    </row>
    <row r="142">
      <c r="A142" s="111" t="inlineStr">
        <is>
          <t>Request</t>
        </is>
      </c>
      <c r="B142" s="112" t="n"/>
      <c r="C142" s="112" t="inlineStr">
        <is>
          <t>7/2/2025</t>
        </is>
      </c>
      <c r="D142" s="112" t="inlineStr">
        <is>
          <t>4200H/222A-B934</t>
        </is>
      </c>
      <c r="E142" s="112" t="inlineStr">
        <is>
          <t>Phone sales Middle East</t>
        </is>
      </c>
      <c r="F142" s="112" t="inlineStr">
        <is>
          <t>103976282</t>
        </is>
      </c>
      <c r="G142" s="112" t="inlineStr">
        <is>
          <t>Prospect</t>
        </is>
      </c>
      <c r="H142" s="112" t="inlineStr">
        <is>
          <t>TAHHAN Riham</t>
        </is>
      </c>
      <c r="I142" s="113" t="n"/>
      <c r="J142" s="112" t="n"/>
    </row>
    <row r="143">
      <c r="A143" s="111" t="inlineStr">
        <is>
          <t>Request</t>
        </is>
      </c>
      <c r="B143" s="112" t="n"/>
      <c r="C143" s="112" t="inlineStr">
        <is>
          <t>7/2/2025</t>
        </is>
      </c>
      <c r="D143" s="112" t="inlineStr">
        <is>
          <t>4200H/222A-B934</t>
        </is>
      </c>
      <c r="E143" s="112" t="inlineStr">
        <is>
          <t>Phone sales Middle East</t>
        </is>
      </c>
      <c r="F143" s="112" t="inlineStr">
        <is>
          <t>103985685</t>
        </is>
      </c>
      <c r="G143" s="112" t="inlineStr">
        <is>
          <t>Prospect</t>
        </is>
      </c>
      <c r="H143" s="112" t="inlineStr">
        <is>
          <t>TAHHAN Riham</t>
        </is>
      </c>
      <c r="I143" s="113" t="n"/>
      <c r="J143" s="112" t="n"/>
    </row>
    <row r="144">
      <c r="A144" s="111" t="inlineStr">
        <is>
          <t>Request</t>
        </is>
      </c>
      <c r="B144" s="112" t="n"/>
      <c r="C144" s="112" t="inlineStr">
        <is>
          <t>7/2/2025</t>
        </is>
      </c>
      <c r="D144" s="112" t="inlineStr">
        <is>
          <t>5520V/210A-B148</t>
        </is>
      </c>
      <c r="E144" s="112" t="inlineStr">
        <is>
          <t>Phone sales Middle East</t>
        </is>
      </c>
      <c r="F144" s="112" t="inlineStr">
        <is>
          <t>103471315</t>
        </is>
      </c>
      <c r="G144" s="112" t="inlineStr">
        <is>
          <t>Prospect</t>
        </is>
      </c>
      <c r="H144" s="112" t="inlineStr">
        <is>
          <t>SHARIF Maaz</t>
        </is>
      </c>
      <c r="I144" s="113" t="n"/>
      <c r="J144" s="112" t="n"/>
    </row>
    <row r="145" ht="43.2" customHeight="1" s="287">
      <c r="A145" s="111" t="inlineStr">
        <is>
          <t>Request</t>
        </is>
      </c>
      <c r="B145" s="112" t="n"/>
      <c r="C145" s="112" t="inlineStr">
        <is>
          <t>5/2/2025</t>
        </is>
      </c>
      <c r="D145" s="112" t="inlineStr">
        <is>
          <t>4520V/210A-B128</t>
        </is>
      </c>
      <c r="E145" s="112" t="inlineStr">
        <is>
          <t>Phone sales Middle East</t>
        </is>
      </c>
      <c r="F145" s="112" t="inlineStr">
        <is>
          <t>103937781</t>
        </is>
      </c>
      <c r="G145" s="112" t="inlineStr">
        <is>
          <t>Prospect</t>
        </is>
      </c>
      <c r="H145" s="112" t="inlineStr">
        <is>
          <t>OMARI Asma</t>
        </is>
      </c>
      <c r="I145" s="113" t="inlineStr">
        <is>
          <t xml:space="preserve">Mr. Benjamin Ping
</t>
        </is>
      </c>
      <c r="J145" s="112" t="n"/>
    </row>
    <row r="146">
      <c r="A146" s="111" t="inlineStr">
        <is>
          <t>Request</t>
        </is>
      </c>
      <c r="B146" s="112" t="n"/>
      <c r="C146" s="112" t="inlineStr">
        <is>
          <t>5/2/2025</t>
        </is>
      </c>
      <c r="D146" s="112" t="inlineStr">
        <is>
          <t>4200H/222A-B934</t>
        </is>
      </c>
      <c r="E146" s="112" t="inlineStr">
        <is>
          <t>Phone sales Middle East</t>
        </is>
      </c>
      <c r="F146" s="112" t="inlineStr">
        <is>
          <t>92425936</t>
        </is>
      </c>
      <c r="G146" s="112" t="inlineStr">
        <is>
          <t>Client</t>
        </is>
      </c>
      <c r="H146" s="112" t="inlineStr">
        <is>
          <t>TAHHAN Riham</t>
        </is>
      </c>
      <c r="I146" s="113" t="n"/>
      <c r="J146" s="112" t="n"/>
    </row>
    <row r="147" ht="28.95" customHeight="1" s="287">
      <c r="A147" s="111" t="inlineStr">
        <is>
          <t>Request</t>
        </is>
      </c>
      <c r="B147" s="112" t="n"/>
      <c r="C147" s="112" t="inlineStr">
        <is>
          <t>5/2/2025</t>
        </is>
      </c>
      <c r="D147" s="112" t="inlineStr">
        <is>
          <t>5520V/210R-B966</t>
        </is>
      </c>
      <c r="E147" s="112" t="inlineStr">
        <is>
          <t>Phone sales Middle East</t>
        </is>
      </c>
      <c r="F147" s="112" t="inlineStr">
        <is>
          <t>104459131</t>
        </is>
      </c>
      <c r="G147" s="112" t="inlineStr">
        <is>
          <t>Prospect</t>
        </is>
      </c>
      <c r="H147" s="112" t="inlineStr">
        <is>
          <t>SHARIF Maaz</t>
        </is>
      </c>
      <c r="I147" s="113" t="inlineStr">
        <is>
          <t xml:space="preserve">
</t>
        </is>
      </c>
      <c r="J147" s="112" t="n"/>
    </row>
    <row r="148" ht="43.2" customHeight="1" s="287">
      <c r="A148" s="111" t="inlineStr">
        <is>
          <t>Request</t>
        </is>
      </c>
      <c r="B148" s="112" t="n"/>
      <c r="C148" s="112" t="inlineStr">
        <is>
          <t>4/2/2025</t>
        </is>
      </c>
      <c r="D148" s="112" t="inlineStr">
        <is>
          <t>7920V/210A-B334</t>
        </is>
      </c>
      <c r="E148" s="112" t="inlineStr">
        <is>
          <t>Phone sales Middle East</t>
        </is>
      </c>
      <c r="F148" s="112" t="inlineStr">
        <is>
          <t>103879055</t>
        </is>
      </c>
      <c r="G148" s="112" t="inlineStr">
        <is>
          <t>Prospect</t>
        </is>
      </c>
      <c r="H148" s="112" t="inlineStr">
        <is>
          <t>OMARI Asma</t>
        </is>
      </c>
      <c r="I148" s="113" t="inlineStr">
        <is>
          <t xml:space="preserve">Ahmad Alsadhan (ksa)
</t>
        </is>
      </c>
      <c r="J148" s="112" t="n"/>
    </row>
    <row r="149" ht="72" customHeight="1" s="287">
      <c r="A149" s="111" t="inlineStr">
        <is>
          <t>Request</t>
        </is>
      </c>
      <c r="B149" s="112" t="n"/>
      <c r="C149" s="112" t="inlineStr">
        <is>
          <t>4/2/2025</t>
        </is>
      </c>
      <c r="D149" s="112" t="inlineStr">
        <is>
          <t>4600E/000A-B442</t>
        </is>
      </c>
      <c r="E149" s="112" t="inlineStr">
        <is>
          <t>Phone sales Middle East</t>
        </is>
      </c>
      <c r="F149" s="112" t="inlineStr">
        <is>
          <t>103936063</t>
        </is>
      </c>
      <c r="G149" s="112" t="inlineStr">
        <is>
          <t>Prospect</t>
        </is>
      </c>
      <c r="H149" s="112" t="inlineStr">
        <is>
          <t>OMARI Asma</t>
        </is>
      </c>
      <c r="I149" s="113" t="inlineStr">
        <is>
          <t xml:space="preserve">Mr. Rayan Mansouri / ksa/ contacted on whatsapp as well.
</t>
        </is>
      </c>
      <c r="J149" s="112" t="n"/>
    </row>
    <row r="150" ht="43.2" customHeight="1" s="287">
      <c r="A150" s="111" t="inlineStr">
        <is>
          <t>Request</t>
        </is>
      </c>
      <c r="B150" s="112" t="n"/>
      <c r="C150" s="112" t="inlineStr">
        <is>
          <t>4/2/2025</t>
        </is>
      </c>
      <c r="D150" s="112" t="inlineStr">
        <is>
          <t>4200H/222A-B934</t>
        </is>
      </c>
      <c r="E150" s="112" t="inlineStr">
        <is>
          <t>Phone sales Middle East</t>
        </is>
      </c>
      <c r="F150" s="112" t="inlineStr">
        <is>
          <t>103936063</t>
        </is>
      </c>
      <c r="G150" s="112" t="inlineStr">
        <is>
          <t>Prospect</t>
        </is>
      </c>
      <c r="H150" s="112" t="inlineStr">
        <is>
          <t>OMARI Asma</t>
        </is>
      </c>
      <c r="I150" s="113" t="inlineStr">
        <is>
          <t xml:space="preserve">Rayan Mansouri ksa
</t>
        </is>
      </c>
      <c r="J150" s="112" t="n"/>
    </row>
    <row r="151">
      <c r="A151" s="111" t="inlineStr">
        <is>
          <t>Request</t>
        </is>
      </c>
      <c r="B151" s="112" t="n"/>
      <c r="C151" s="112" t="inlineStr">
        <is>
          <t>4/2/2025</t>
        </is>
      </c>
      <c r="D151" s="112" t="inlineStr">
        <is>
          <t>4600E/000A-B442</t>
        </is>
      </c>
      <c r="E151" s="112" t="inlineStr">
        <is>
          <t>Phone sales Middle East</t>
        </is>
      </c>
      <c r="F151" s="112" t="inlineStr">
        <is>
          <t>103936120</t>
        </is>
      </c>
      <c r="G151" s="112" t="inlineStr">
        <is>
          <t>Prospect</t>
        </is>
      </c>
      <c r="H151" s="112" t="inlineStr">
        <is>
          <t>TAHHAN Riham</t>
        </is>
      </c>
      <c r="I151" s="113" t="n"/>
      <c r="J151" s="112" t="n"/>
    </row>
    <row r="152">
      <c r="A152" s="111" t="inlineStr">
        <is>
          <t>Request</t>
        </is>
      </c>
      <c r="B152" s="112" t="n"/>
      <c r="C152" s="112" t="inlineStr">
        <is>
          <t>4/2/2025</t>
        </is>
      </c>
      <c r="D152" s="112" t="inlineStr">
        <is>
          <t>4200H/222A-B934</t>
        </is>
      </c>
      <c r="E152" s="112" t="inlineStr">
        <is>
          <t>Phone sales Middle East</t>
        </is>
      </c>
      <c r="F152" s="112" t="inlineStr">
        <is>
          <t>103873184</t>
        </is>
      </c>
      <c r="G152" s="112" t="inlineStr">
        <is>
          <t>Prospect</t>
        </is>
      </c>
      <c r="H152" s="112" t="inlineStr">
        <is>
          <t>TAHHAN Riham</t>
        </is>
      </c>
      <c r="I152" s="113" t="n"/>
      <c r="J152" s="112" t="n"/>
    </row>
    <row r="153">
      <c r="A153" s="111" t="inlineStr">
        <is>
          <t>Request</t>
        </is>
      </c>
      <c r="B153" s="112" t="n"/>
      <c r="C153" s="112" t="inlineStr">
        <is>
          <t>4/2/2025</t>
        </is>
      </c>
      <c r="D153" s="112" t="inlineStr">
        <is>
          <t>4200H/222A-B934</t>
        </is>
      </c>
      <c r="E153" s="112" t="inlineStr">
        <is>
          <t>Phone sales Middle East</t>
        </is>
      </c>
      <c r="F153" s="112" t="inlineStr">
        <is>
          <t>103890141</t>
        </is>
      </c>
      <c r="G153" s="112" t="inlineStr">
        <is>
          <t>Prospect</t>
        </is>
      </c>
      <c r="H153" s="112" t="inlineStr">
        <is>
          <t>TAHHAN Riham</t>
        </is>
      </c>
      <c r="I153" s="113" t="n"/>
      <c r="J153" s="112" t="n"/>
    </row>
    <row r="154">
      <c r="A154" s="111" t="inlineStr">
        <is>
          <t>Request</t>
        </is>
      </c>
      <c r="B154" s="112" t="n"/>
      <c r="C154" s="112" t="inlineStr">
        <is>
          <t>4/2/2025</t>
        </is>
      </c>
      <c r="D154" s="112" t="inlineStr">
        <is>
          <t>4200H/222A-B934</t>
        </is>
      </c>
      <c r="E154" s="112" t="inlineStr">
        <is>
          <t>Phone sales Middle East</t>
        </is>
      </c>
      <c r="F154" s="112" t="inlineStr">
        <is>
          <t>103844198</t>
        </is>
      </c>
      <c r="G154" s="112" t="inlineStr">
        <is>
          <t>Prospect</t>
        </is>
      </c>
      <c r="H154" s="112" t="inlineStr">
        <is>
          <t>TAHHAN Riham</t>
        </is>
      </c>
      <c r="I154" s="113" t="n"/>
      <c r="J154" s="112" t="n"/>
    </row>
    <row r="155" ht="100.95" customHeight="1" s="287">
      <c r="A155" s="111" t="inlineStr">
        <is>
          <t>Request</t>
        </is>
      </c>
      <c r="B155" s="112" t="n"/>
      <c r="C155" s="112" t="inlineStr">
        <is>
          <t>4/2/2025</t>
        </is>
      </c>
      <c r="D155" s="112" t="inlineStr">
        <is>
          <t>4000U/000P-H003</t>
        </is>
      </c>
      <c r="E155" s="112" t="inlineStr">
        <is>
          <t>Phone sales Middle East</t>
        </is>
      </c>
      <c r="F155" s="112" t="inlineStr">
        <is>
          <t>103677618</t>
        </is>
      </c>
      <c r="G155" s="112" t="inlineStr">
        <is>
          <t>Prospect</t>
        </is>
      </c>
      <c r="H155" s="112" t="inlineStr">
        <is>
          <t>SHARIF Maaz</t>
        </is>
      </c>
      <c r="I155" s="113" t="inlineStr">
        <is>
          <t xml:space="preserve">The client interested in the 222 gold and steel as well the Patrimony and Historiques 
</t>
        </is>
      </c>
      <c r="J155" s="112" t="n"/>
    </row>
    <row r="156" ht="43.2" customHeight="1" s="287">
      <c r="A156" s="111" t="inlineStr">
        <is>
          <t>Request</t>
        </is>
      </c>
      <c r="B156" s="112" t="n"/>
      <c r="C156" s="112" t="inlineStr">
        <is>
          <t>4/2/2025</t>
        </is>
      </c>
      <c r="D156" s="112" t="inlineStr">
        <is>
          <t>4200H/222J-B935</t>
        </is>
      </c>
      <c r="E156" s="112" t="inlineStr">
        <is>
          <t>Phone sales Middle East</t>
        </is>
      </c>
      <c r="F156" s="112" t="inlineStr">
        <is>
          <t>103677618</t>
        </is>
      </c>
      <c r="G156" s="112" t="inlineStr">
        <is>
          <t>Prospect</t>
        </is>
      </c>
      <c r="H156" s="112" t="inlineStr">
        <is>
          <t>SHARIF Maaz</t>
        </is>
      </c>
      <c r="I156" s="113" t="inlineStr">
        <is>
          <t xml:space="preserve">Clinet is intrested in the 222 
</t>
        </is>
      </c>
      <c r="J156" s="112" t="n"/>
    </row>
    <row r="157" ht="72" customHeight="1" s="287">
      <c r="A157" s="111" t="inlineStr">
        <is>
          <t>Request</t>
        </is>
      </c>
      <c r="B157" s="112" t="n"/>
      <c r="C157" s="112" t="inlineStr">
        <is>
          <t>4/2/2025</t>
        </is>
      </c>
      <c r="D157" s="112" t="inlineStr">
        <is>
          <t>4000V/210A-B911</t>
        </is>
      </c>
      <c r="E157" s="112" t="inlineStr">
        <is>
          <t>Phone sales Middle East</t>
        </is>
      </c>
      <c r="F157" s="112" t="inlineStr">
        <is>
          <t>103658184</t>
        </is>
      </c>
      <c r="G157" s="112" t="inlineStr">
        <is>
          <t>Prospect</t>
        </is>
      </c>
      <c r="H157" s="112" t="inlineStr">
        <is>
          <t>SHARIF Maaz</t>
        </is>
      </c>
      <c r="I157" s="113" t="inlineStr">
        <is>
          <t xml:space="preserve">the client want to purchase this timepeice , to gift it to his father 
</t>
        </is>
      </c>
      <c r="J157" s="112" t="n"/>
    </row>
    <row r="158">
      <c r="A158" s="111" t="inlineStr">
        <is>
          <t>Request</t>
        </is>
      </c>
      <c r="B158" s="112" t="n"/>
      <c r="C158" s="112" t="inlineStr">
        <is>
          <t>31/1/2025</t>
        </is>
      </c>
      <c r="D158" s="112" t="inlineStr">
        <is>
          <t>4200H/222A-B934</t>
        </is>
      </c>
      <c r="E158" s="112" t="inlineStr">
        <is>
          <t>Phone sales Middle East</t>
        </is>
      </c>
      <c r="F158" s="112" t="inlineStr">
        <is>
          <t>103844750</t>
        </is>
      </c>
      <c r="G158" s="112" t="inlineStr">
        <is>
          <t>Prospect</t>
        </is>
      </c>
      <c r="H158" s="112" t="inlineStr">
        <is>
          <t>TAHHAN Riham</t>
        </is>
      </c>
      <c r="I158" s="113" t="n"/>
      <c r="J158" s="112" t="n"/>
    </row>
    <row r="159" ht="72" customHeight="1" s="287">
      <c r="A159" s="111" t="inlineStr">
        <is>
          <t>Request</t>
        </is>
      </c>
      <c r="B159" s="112" t="n"/>
      <c r="C159" s="112" t="inlineStr">
        <is>
          <t>31/1/2025</t>
        </is>
      </c>
      <c r="D159" s="112" t="inlineStr">
        <is>
          <t>4520V/210A-B483</t>
        </is>
      </c>
      <c r="E159" s="112" t="inlineStr">
        <is>
          <t>Phone sales Middle East</t>
        </is>
      </c>
      <c r="F159" s="112" t="inlineStr">
        <is>
          <t>101917600</t>
        </is>
      </c>
      <c r="G159" s="112" t="inlineStr">
        <is>
          <t>Prospect</t>
        </is>
      </c>
      <c r="H159" s="112" t="inlineStr">
        <is>
          <t>TAHHAN Riham</t>
        </is>
      </c>
      <c r="I159" s="113" t="inlineStr">
        <is>
          <t xml:space="preserve">The client will visit UAE in 2 years and would want to collect it
</t>
        </is>
      </c>
      <c r="J159" s="112" t="n"/>
    </row>
    <row r="160">
      <c r="A160" s="111" t="inlineStr">
        <is>
          <t>Request</t>
        </is>
      </c>
      <c r="B160" s="112" t="n"/>
      <c r="C160" s="112" t="inlineStr">
        <is>
          <t>30/1/2025</t>
        </is>
      </c>
      <c r="D160" s="112" t="inlineStr">
        <is>
          <t>4200H/222A-B934</t>
        </is>
      </c>
      <c r="E160" s="112" t="inlineStr">
        <is>
          <t>Phone sales Middle East</t>
        </is>
      </c>
      <c r="F160" s="112" t="inlineStr">
        <is>
          <t>103842376</t>
        </is>
      </c>
      <c r="G160" s="112" t="inlineStr">
        <is>
          <t>Prospect</t>
        </is>
      </c>
      <c r="H160" s="112" t="inlineStr">
        <is>
          <t>TAHHAN Riham</t>
        </is>
      </c>
      <c r="I160" s="113" t="n"/>
      <c r="J160" s="112" t="n"/>
    </row>
    <row r="161" ht="43.2" customHeight="1" s="287">
      <c r="A161" s="111" t="inlineStr">
        <is>
          <t>Sold</t>
        </is>
      </c>
      <c r="B161" s="112" t="inlineStr">
        <is>
          <t>Confirmed</t>
        </is>
      </c>
      <c r="C161" s="112" t="inlineStr">
        <is>
          <t>30/1/2025</t>
        </is>
      </c>
      <c r="D161" s="112" t="inlineStr">
        <is>
          <t>7920V/210A-B334</t>
        </is>
      </c>
      <c r="E161" s="112" t="inlineStr">
        <is>
          <t>Phone sales Middle East</t>
        </is>
      </c>
      <c r="F161" s="112" t="inlineStr">
        <is>
          <t>91001874</t>
        </is>
      </c>
      <c r="G161" s="112" t="inlineStr">
        <is>
          <t>Prospect</t>
        </is>
      </c>
      <c r="H161" s="112" t="inlineStr">
        <is>
          <t>OMARI Asma</t>
        </is>
      </c>
      <c r="I161" s="113" t="inlineStr">
        <is>
          <t xml:space="preserve">Ahmad Al Sadhan (KSA)
</t>
        </is>
      </c>
      <c r="J161" s="112" t="n"/>
    </row>
    <row r="162">
      <c r="A162" s="111" t="inlineStr">
        <is>
          <t>Request</t>
        </is>
      </c>
      <c r="B162" s="112" t="n"/>
      <c r="C162" s="112" t="inlineStr">
        <is>
          <t>30/1/2025</t>
        </is>
      </c>
      <c r="D162" s="112" t="inlineStr">
        <is>
          <t>4200H/222A-B934</t>
        </is>
      </c>
      <c r="E162" s="112" t="inlineStr">
        <is>
          <t>Phone sales Middle East</t>
        </is>
      </c>
      <c r="F162" s="112" t="inlineStr">
        <is>
          <t>103831073</t>
        </is>
      </c>
      <c r="G162" s="112" t="inlineStr">
        <is>
          <t>Prospect</t>
        </is>
      </c>
      <c r="H162" s="112" t="inlineStr">
        <is>
          <t>SHARIF Maaz</t>
        </is>
      </c>
      <c r="I162" s="113" t="n"/>
      <c r="J162" s="112" t="n"/>
    </row>
    <row r="163" ht="72" customHeight="1" s="287">
      <c r="A163" s="111" t="inlineStr">
        <is>
          <t>Cancelled</t>
        </is>
      </c>
      <c r="B163" s="112" t="inlineStr">
        <is>
          <t>Cancelled</t>
        </is>
      </c>
      <c r="C163" s="112" t="inlineStr">
        <is>
          <t>30/1/2025</t>
        </is>
      </c>
      <c r="D163" s="112" t="inlineStr">
        <is>
          <t>4200H/222J-B935</t>
        </is>
      </c>
      <c r="E163" s="112" t="inlineStr">
        <is>
          <t>Phone sales Middle East</t>
        </is>
      </c>
      <c r="F163" s="112" t="inlineStr">
        <is>
          <t>101584631</t>
        </is>
      </c>
      <c r="G163" s="112" t="inlineStr">
        <is>
          <t>Prospect</t>
        </is>
      </c>
      <c r="H163" s="112" t="inlineStr">
        <is>
          <t>OMARI Asma</t>
        </is>
      </c>
      <c r="I163" s="113" t="inlineStr">
        <is>
          <t xml:space="preserve">Mr. Ravi Borkar interested in the 222 gold and steel. by March.
</t>
        </is>
      </c>
      <c r="J163" s="112" t="n"/>
    </row>
    <row r="164" ht="86.40000000000001" customHeight="1" s="287">
      <c r="A164" s="111" t="inlineStr">
        <is>
          <t>Request</t>
        </is>
      </c>
      <c r="B164" s="112" t="n"/>
      <c r="C164" s="112" t="inlineStr">
        <is>
          <t>29/1/2025</t>
        </is>
      </c>
      <c r="D164" s="112" t="inlineStr">
        <is>
          <t>4300V/220G-B946</t>
        </is>
      </c>
      <c r="E164" s="112" t="inlineStr">
        <is>
          <t>Phone sales Middle East</t>
        </is>
      </c>
      <c r="F164" s="112" t="inlineStr">
        <is>
          <t>103845937</t>
        </is>
      </c>
      <c r="G164" s="112" t="inlineStr">
        <is>
          <t>Prospect</t>
        </is>
      </c>
      <c r="H164" s="112" t="inlineStr">
        <is>
          <t>SHARIF Maaz</t>
        </is>
      </c>
      <c r="I164" s="113" t="inlineStr">
        <is>
          <t xml:space="preserve">the client is interested Overseas perpetual calendar
</t>
        </is>
      </c>
      <c r="J164" s="112" t="n"/>
    </row>
    <row r="165" ht="244.95" customHeight="1" s="287">
      <c r="A165" s="111" t="inlineStr">
        <is>
          <t>Request</t>
        </is>
      </c>
      <c r="B165" s="112" t="n"/>
      <c r="C165" s="112" t="inlineStr">
        <is>
          <t>29/1/2025</t>
        </is>
      </c>
      <c r="D165" s="112" t="inlineStr">
        <is>
          <t>7920V/210A-B334</t>
        </is>
      </c>
      <c r="E165" s="112" t="inlineStr">
        <is>
          <t>Phone sales Middle East</t>
        </is>
      </c>
      <c r="F165" s="112" t="inlineStr">
        <is>
          <t>103848588</t>
        </is>
      </c>
      <c r="G165" s="112" t="inlineStr">
        <is>
          <t>Prospect</t>
        </is>
      </c>
      <c r="H165" s="112" t="inlineStr">
        <is>
          <t>SHARIF Maaz</t>
        </is>
      </c>
      <c r="I165" s="113" t="inlineStr">
        <is>
          <t xml:space="preserve">The client is very intrested in blue and black dual time , aslo he his availability for appointments at the Dubai Mall boutique on the evening of **February 9**, the m**orning of February 11,** **and February 13**, if the watch is available to purchase
</t>
        </is>
      </c>
      <c r="J165" s="112" t="n"/>
    </row>
    <row r="166" ht="201.6" customHeight="1" s="287">
      <c r="A166" s="111" t="inlineStr">
        <is>
          <t>Request</t>
        </is>
      </c>
      <c r="B166" s="112" t="n"/>
      <c r="C166" s="112" t="inlineStr">
        <is>
          <t>29/1/2025</t>
        </is>
      </c>
      <c r="D166" s="112" t="inlineStr">
        <is>
          <t>7920V/210A-B546</t>
        </is>
      </c>
      <c r="E166" s="112" t="inlineStr">
        <is>
          <t>Phone sales Middle East</t>
        </is>
      </c>
      <c r="F166" s="112" t="inlineStr">
        <is>
          <t>103848588</t>
        </is>
      </c>
      <c r="G166" s="112" t="inlineStr">
        <is>
          <t>Prospect</t>
        </is>
      </c>
      <c r="H166" s="112" t="inlineStr">
        <is>
          <t>SHARIF Maaz</t>
        </is>
      </c>
      <c r="I166" s="113" t="inlineStr">
        <is>
          <t xml:space="preserve">the client mentions his availability for appointments at the Dubai Mall boutique on the evening of February 9, the morning of February 11, and February 13, if the watch is available.
</t>
        </is>
      </c>
      <c r="J166" s="112" t="n"/>
    </row>
    <row r="167">
      <c r="A167" s="111" t="inlineStr">
        <is>
          <t>Request</t>
        </is>
      </c>
      <c r="B167" s="112" t="n"/>
      <c r="C167" s="112" t="inlineStr">
        <is>
          <t>29/1/2025</t>
        </is>
      </c>
      <c r="D167" s="112" t="inlineStr">
        <is>
          <t>4200H/222A-B934</t>
        </is>
      </c>
      <c r="E167" s="112" t="inlineStr">
        <is>
          <t>Phone sales Middle East</t>
        </is>
      </c>
      <c r="F167" s="112" t="inlineStr">
        <is>
          <t>103848588</t>
        </is>
      </c>
      <c r="G167" s="112" t="inlineStr">
        <is>
          <t>Prospect</t>
        </is>
      </c>
      <c r="H167" s="112" t="inlineStr">
        <is>
          <t>SHARIF Maaz</t>
        </is>
      </c>
      <c r="I167" s="113" t="n"/>
      <c r="J167" s="112" t="n"/>
    </row>
    <row r="168">
      <c r="A168" s="111" t="inlineStr">
        <is>
          <t>Request</t>
        </is>
      </c>
      <c r="B168" s="112" t="n"/>
      <c r="C168" s="112" t="inlineStr">
        <is>
          <t>28/1/2025</t>
        </is>
      </c>
      <c r="D168" s="112" t="inlineStr">
        <is>
          <t>4200H/222A-B934</t>
        </is>
      </c>
      <c r="E168" s="112" t="inlineStr">
        <is>
          <t>Phone sales Middle East</t>
        </is>
      </c>
      <c r="F168" s="112" t="inlineStr">
        <is>
          <t>103830768</t>
        </is>
      </c>
      <c r="G168" s="112" t="inlineStr">
        <is>
          <t>Prospect</t>
        </is>
      </c>
      <c r="H168" s="112" t="inlineStr">
        <is>
          <t>TAHHAN Riham</t>
        </is>
      </c>
      <c r="I168" s="113" t="n"/>
      <c r="J168" s="112" t="n"/>
    </row>
    <row r="169">
      <c r="A169" s="111" t="inlineStr">
        <is>
          <t>Request</t>
        </is>
      </c>
      <c r="B169" s="112" t="n"/>
      <c r="C169" s="112" t="inlineStr">
        <is>
          <t>28/1/2025</t>
        </is>
      </c>
      <c r="D169" s="112" t="inlineStr">
        <is>
          <t>4520V/210A-B128</t>
        </is>
      </c>
      <c r="E169" s="112" t="inlineStr">
        <is>
          <t>Phone sales Middle East</t>
        </is>
      </c>
      <c r="F169" s="112" t="inlineStr">
        <is>
          <t>103415632</t>
        </is>
      </c>
      <c r="G169" s="112" t="inlineStr">
        <is>
          <t>Prospect</t>
        </is>
      </c>
      <c r="H169" s="112" t="inlineStr">
        <is>
          <t>TAHHAN Riham</t>
        </is>
      </c>
      <c r="I169" s="113" t="n"/>
      <c r="J169" s="112" t="n"/>
    </row>
    <row r="170">
      <c r="A170" s="111" t="inlineStr">
        <is>
          <t>Request</t>
        </is>
      </c>
      <c r="B170" s="112" t="n"/>
      <c r="C170" s="112" t="inlineStr">
        <is>
          <t>28/1/2025</t>
        </is>
      </c>
      <c r="D170" s="112" t="inlineStr">
        <is>
          <t>4200H/222A-B934</t>
        </is>
      </c>
      <c r="E170" s="112" t="inlineStr">
        <is>
          <t>Phone sales Middle East</t>
        </is>
      </c>
      <c r="F170" s="112" t="inlineStr">
        <is>
          <t>103832238</t>
        </is>
      </c>
      <c r="G170" s="112" t="inlineStr">
        <is>
          <t>Prospect</t>
        </is>
      </c>
      <c r="H170" s="112" t="inlineStr">
        <is>
          <t>TAHHAN Riham</t>
        </is>
      </c>
      <c r="I170" s="113" t="n"/>
      <c r="J170" s="112" t="n"/>
    </row>
    <row r="171">
      <c r="A171" s="111" t="inlineStr">
        <is>
          <t>Request</t>
        </is>
      </c>
      <c r="B171" s="112" t="n"/>
      <c r="C171" s="112" t="inlineStr">
        <is>
          <t>28/1/2025</t>
        </is>
      </c>
      <c r="D171" s="112" t="inlineStr">
        <is>
          <t>7920V/210A-B334</t>
        </is>
      </c>
      <c r="E171" s="112" t="inlineStr">
        <is>
          <t>Phone sales Middle East</t>
        </is>
      </c>
      <c r="F171" s="112" t="inlineStr">
        <is>
          <t>103647896</t>
        </is>
      </c>
      <c r="G171" s="112" t="inlineStr">
        <is>
          <t>Prospect</t>
        </is>
      </c>
      <c r="H171" s="112" t="inlineStr">
        <is>
          <t>TAHHAN Riham</t>
        </is>
      </c>
      <c r="I171" s="113" t="n"/>
      <c r="J171" s="112" t="n"/>
    </row>
    <row r="172">
      <c r="A172" s="111" t="inlineStr">
        <is>
          <t>Request</t>
        </is>
      </c>
      <c r="B172" s="112" t="n"/>
      <c r="C172" s="112" t="inlineStr">
        <is>
          <t>28/1/2025</t>
        </is>
      </c>
      <c r="D172" s="112" t="inlineStr">
        <is>
          <t>4200H/222A-B934</t>
        </is>
      </c>
      <c r="E172" s="112" t="inlineStr">
        <is>
          <t>Phone sales Middle East</t>
        </is>
      </c>
      <c r="F172" s="112" t="inlineStr">
        <is>
          <t>103671258</t>
        </is>
      </c>
      <c r="G172" s="112" t="inlineStr">
        <is>
          <t>Prospect</t>
        </is>
      </c>
      <c r="H172" s="112" t="inlineStr">
        <is>
          <t>TAHHAN Riham</t>
        </is>
      </c>
      <c r="I172" s="113" t="n"/>
      <c r="J172" s="112" t="n"/>
    </row>
    <row r="173">
      <c r="A173" s="111" t="inlineStr">
        <is>
          <t>Request</t>
        </is>
      </c>
      <c r="B173" s="112" t="n"/>
      <c r="C173" s="112" t="inlineStr">
        <is>
          <t>27/1/2025</t>
        </is>
      </c>
      <c r="D173" s="112" t="inlineStr">
        <is>
          <t>7920V/210A-B333</t>
        </is>
      </c>
      <c r="E173" s="112" t="inlineStr">
        <is>
          <t>Phone sales Middle East</t>
        </is>
      </c>
      <c r="F173" s="112" t="inlineStr">
        <is>
          <t>102442135</t>
        </is>
      </c>
      <c r="G173" s="112" t="inlineStr">
        <is>
          <t>Prospect</t>
        </is>
      </c>
      <c r="H173" s="112" t="inlineStr">
        <is>
          <t>TAHHAN Riham</t>
        </is>
      </c>
      <c r="I173" s="113" t="n"/>
      <c r="J173" s="112" t="n"/>
    </row>
    <row r="174">
      <c r="A174" s="111" t="inlineStr">
        <is>
          <t>Request</t>
        </is>
      </c>
      <c r="B174" s="112" t="n"/>
      <c r="C174" s="112" t="inlineStr">
        <is>
          <t>27/1/2025</t>
        </is>
      </c>
      <c r="D174" s="112" t="inlineStr">
        <is>
          <t>4200H/222A-B934</t>
        </is>
      </c>
      <c r="E174" s="112" t="inlineStr">
        <is>
          <t>Phone sales Middle East</t>
        </is>
      </c>
      <c r="F174" s="112" t="inlineStr">
        <is>
          <t>103670555</t>
        </is>
      </c>
      <c r="G174" s="112" t="inlineStr">
        <is>
          <t>Prospect</t>
        </is>
      </c>
      <c r="H174" s="112" t="inlineStr">
        <is>
          <t>SHARIF Maaz</t>
        </is>
      </c>
      <c r="I174" s="113" t="n"/>
      <c r="J174" s="112" t="n"/>
    </row>
    <row r="175">
      <c r="A175" s="111" t="inlineStr">
        <is>
          <t>Request</t>
        </is>
      </c>
      <c r="B175" s="112" t="n"/>
      <c r="C175" s="112" t="inlineStr">
        <is>
          <t>27/1/2025</t>
        </is>
      </c>
      <c r="D175" s="112" t="inlineStr">
        <is>
          <t>4200H/222A-B934</t>
        </is>
      </c>
      <c r="E175" s="112" t="inlineStr">
        <is>
          <t>Phone sales Middle East</t>
        </is>
      </c>
      <c r="F175" s="112" t="inlineStr">
        <is>
          <t>103834361</t>
        </is>
      </c>
      <c r="G175" s="112" t="inlineStr">
        <is>
          <t>Prospect</t>
        </is>
      </c>
      <c r="H175" s="112" t="inlineStr">
        <is>
          <t>SHARIF Maaz</t>
        </is>
      </c>
      <c r="I175" s="113" t="n"/>
      <c r="J175" s="112" t="n"/>
    </row>
    <row r="176">
      <c r="A176" s="111" t="inlineStr">
        <is>
          <t>Request</t>
        </is>
      </c>
      <c r="B176" s="112" t="n"/>
      <c r="C176" s="112" t="inlineStr">
        <is>
          <t>25/1/2025</t>
        </is>
      </c>
      <c r="D176" s="112" t="inlineStr">
        <is>
          <t>4200H/222A-B934</t>
        </is>
      </c>
      <c r="E176" s="112" t="inlineStr">
        <is>
          <t>Phone sales Middle East</t>
        </is>
      </c>
      <c r="F176" s="112" t="inlineStr">
        <is>
          <t>103648743</t>
        </is>
      </c>
      <c r="G176" s="112" t="inlineStr">
        <is>
          <t>Prospect</t>
        </is>
      </c>
      <c r="H176" s="112" t="inlineStr">
        <is>
          <t>TAHHAN Riham</t>
        </is>
      </c>
      <c r="I176" s="113" t="n"/>
      <c r="J176" s="112" t="n"/>
    </row>
    <row r="177">
      <c r="A177" s="111" t="inlineStr">
        <is>
          <t>Request</t>
        </is>
      </c>
      <c r="B177" s="112" t="n"/>
      <c r="C177" s="112" t="inlineStr">
        <is>
          <t>25/1/2025</t>
        </is>
      </c>
      <c r="D177" s="112" t="inlineStr">
        <is>
          <t>4200H/222A-B934</t>
        </is>
      </c>
      <c r="E177" s="112" t="inlineStr">
        <is>
          <t>Phone sales Middle East</t>
        </is>
      </c>
      <c r="F177" s="112" t="inlineStr">
        <is>
          <t>103775089</t>
        </is>
      </c>
      <c r="G177" s="112" t="inlineStr">
        <is>
          <t>Prospect</t>
        </is>
      </c>
      <c r="H177" s="112" t="inlineStr">
        <is>
          <t>SHARIF Maaz</t>
        </is>
      </c>
      <c r="I177" s="113" t="n"/>
      <c r="J177" s="112" t="n"/>
    </row>
    <row r="178" ht="43.2" customHeight="1" s="287">
      <c r="A178" s="111" t="inlineStr">
        <is>
          <t>Request</t>
        </is>
      </c>
      <c r="B178" s="112" t="n"/>
      <c r="C178" s="112" t="inlineStr">
        <is>
          <t>25/1/2025</t>
        </is>
      </c>
      <c r="D178" s="112" t="inlineStr">
        <is>
          <t>4200H/222A-B934</t>
        </is>
      </c>
      <c r="E178" s="112" t="inlineStr">
        <is>
          <t>Phone sales Middle East</t>
        </is>
      </c>
      <c r="F178" s="112" t="inlineStr">
        <is>
          <t>103756750</t>
        </is>
      </c>
      <c r="G178" s="112" t="inlineStr">
        <is>
          <t>Prospect</t>
        </is>
      </c>
      <c r="H178" s="112" t="inlineStr">
        <is>
          <t>OMARI Asma</t>
        </is>
      </c>
      <c r="I178" s="113" t="inlineStr">
        <is>
          <t xml:space="preserve">Mr. Abdullah Alomari (ksa)
</t>
        </is>
      </c>
      <c r="J178" s="112" t="n"/>
    </row>
    <row r="179" ht="43.2" customHeight="1" s="287">
      <c r="A179" s="111" t="inlineStr">
        <is>
          <t>Request</t>
        </is>
      </c>
      <c r="B179" s="112" t="n"/>
      <c r="C179" s="112" t="inlineStr">
        <is>
          <t>25/1/2025</t>
        </is>
      </c>
      <c r="D179" s="112" t="inlineStr">
        <is>
          <t>4200H/222A-B934</t>
        </is>
      </c>
      <c r="E179" s="112" t="inlineStr">
        <is>
          <t>Phone sales Middle East</t>
        </is>
      </c>
      <c r="F179" s="112" t="inlineStr">
        <is>
          <t>103784220</t>
        </is>
      </c>
      <c r="G179" s="112" t="inlineStr">
        <is>
          <t>Prospect</t>
        </is>
      </c>
      <c r="H179" s="112" t="inlineStr">
        <is>
          <t>OMARI Asma</t>
        </is>
      </c>
      <c r="I179" s="113" t="inlineStr">
        <is>
          <t xml:space="preserve">Mr. Fawaz Aljaseer (ksa)
</t>
        </is>
      </c>
      <c r="J179" s="112" t="n"/>
    </row>
    <row r="180">
      <c r="A180" s="111" t="inlineStr">
        <is>
          <t>Request</t>
        </is>
      </c>
      <c r="B180" s="112" t="n"/>
      <c r="C180" s="112" t="inlineStr">
        <is>
          <t>24/1/2025</t>
        </is>
      </c>
      <c r="D180" s="112" t="inlineStr">
        <is>
          <t>7920V/210A-B334</t>
        </is>
      </c>
      <c r="E180" s="112" t="inlineStr">
        <is>
          <t>Phone sales Middle East</t>
        </is>
      </c>
      <c r="F180" s="112" t="inlineStr">
        <is>
          <t>103744983</t>
        </is>
      </c>
      <c r="G180" s="112" t="inlineStr">
        <is>
          <t>Prospect</t>
        </is>
      </c>
      <c r="H180" s="112" t="inlineStr">
        <is>
          <t>SHARIF Maaz</t>
        </is>
      </c>
      <c r="I180" s="113" t="n"/>
      <c r="J180" s="112" t="n"/>
    </row>
    <row r="181">
      <c r="A181" s="111" t="inlineStr">
        <is>
          <t>Request</t>
        </is>
      </c>
      <c r="B181" s="112" t="n"/>
      <c r="C181" s="112" t="inlineStr">
        <is>
          <t>22/1/2025</t>
        </is>
      </c>
      <c r="D181" s="112" t="inlineStr">
        <is>
          <t>4200H/222A-B934</t>
        </is>
      </c>
      <c r="E181" s="112" t="inlineStr">
        <is>
          <t>Phone sales Middle East</t>
        </is>
      </c>
      <c r="F181" s="112" t="inlineStr">
        <is>
          <t>103633388</t>
        </is>
      </c>
      <c r="G181" s="112" t="inlineStr">
        <is>
          <t>Prospect</t>
        </is>
      </c>
      <c r="H181" s="112" t="inlineStr">
        <is>
          <t>TAHHAN Riham</t>
        </is>
      </c>
      <c r="I181" s="113" t="n"/>
      <c r="J181" s="112" t="n"/>
    </row>
    <row r="182" ht="43.2" customHeight="1" s="287">
      <c r="A182" s="111" t="inlineStr">
        <is>
          <t>Request</t>
        </is>
      </c>
      <c r="B182" s="112" t="n"/>
      <c r="C182" s="112" t="inlineStr">
        <is>
          <t>22/1/2025</t>
        </is>
      </c>
      <c r="D182" s="112" t="inlineStr">
        <is>
          <t>4200H/222A-B934</t>
        </is>
      </c>
      <c r="E182" s="112" t="inlineStr">
        <is>
          <t>Phone sales Middle East</t>
        </is>
      </c>
      <c r="F182" s="112" t="inlineStr">
        <is>
          <t>103721541</t>
        </is>
      </c>
      <c r="G182" s="112" t="inlineStr">
        <is>
          <t>Prospect</t>
        </is>
      </c>
      <c r="H182" s="112" t="inlineStr">
        <is>
          <t>OMARI Asma</t>
        </is>
      </c>
      <c r="I182" s="113" t="inlineStr">
        <is>
          <t xml:space="preserve">Sheikh Sultan Althani (KSA)
</t>
        </is>
      </c>
      <c r="J182" s="112" t="n"/>
    </row>
    <row r="183" ht="86.40000000000001" customHeight="1" s="287">
      <c r="A183" s="111" t="inlineStr">
        <is>
          <t>Request</t>
        </is>
      </c>
      <c r="B183" s="112" t="n"/>
      <c r="C183" s="112" t="inlineStr">
        <is>
          <t>22/1/2025</t>
        </is>
      </c>
      <c r="D183" s="112" t="inlineStr">
        <is>
          <t>4200H/222J-B935</t>
        </is>
      </c>
      <c r="E183" s="112" t="inlineStr">
        <is>
          <t>Phone sales Middle East</t>
        </is>
      </c>
      <c r="F183" s="112" t="inlineStr">
        <is>
          <t>103729472</t>
        </is>
      </c>
      <c r="G183" s="112" t="inlineStr">
        <is>
          <t>Prospect</t>
        </is>
      </c>
      <c r="H183" s="112" t="inlineStr">
        <is>
          <t>SHARIF Maaz</t>
        </is>
      </c>
      <c r="I183" s="113" t="inlineStr">
        <is>
          <t xml:space="preserve">The client was referred by my client and he's interested in the Gold 222
</t>
        </is>
      </c>
      <c r="J183" s="112" t="n"/>
    </row>
    <row r="184" ht="43.2" customHeight="1" s="287">
      <c r="A184" s="111" t="inlineStr">
        <is>
          <t>Request</t>
        </is>
      </c>
      <c r="B184" s="112" t="n"/>
      <c r="C184" s="112" t="inlineStr">
        <is>
          <t>22/1/2025</t>
        </is>
      </c>
      <c r="D184" s="112" t="inlineStr">
        <is>
          <t>4200H/222A-B934</t>
        </is>
      </c>
      <c r="E184" s="112" t="inlineStr">
        <is>
          <t>Phone sales Middle East</t>
        </is>
      </c>
      <c r="F184" s="112" t="inlineStr">
        <is>
          <t>103719727</t>
        </is>
      </c>
      <c r="G184" s="112" t="inlineStr">
        <is>
          <t>Prospect</t>
        </is>
      </c>
      <c r="H184" s="112" t="inlineStr">
        <is>
          <t>OMARI Asma</t>
        </is>
      </c>
      <c r="I184" s="113" t="inlineStr">
        <is>
          <t xml:space="preserve">Mr. Abdulrhman Bajaber (KSA)
</t>
        </is>
      </c>
      <c r="J184" s="112" t="n"/>
    </row>
    <row r="185">
      <c r="A185" s="111" t="inlineStr">
        <is>
          <t>Request</t>
        </is>
      </c>
      <c r="B185" s="112" t="n"/>
      <c r="C185" s="112" t="inlineStr">
        <is>
          <t>21/1/2025</t>
        </is>
      </c>
      <c r="D185" s="112" t="inlineStr">
        <is>
          <t>4200H/222A-B934</t>
        </is>
      </c>
      <c r="E185" s="112" t="inlineStr">
        <is>
          <t>Phone sales Middle East</t>
        </is>
      </c>
      <c r="F185" s="112" t="inlineStr">
        <is>
          <t>92406537</t>
        </is>
      </c>
      <c r="G185" s="112" t="inlineStr">
        <is>
          <t>Prospect</t>
        </is>
      </c>
      <c r="H185" s="112" t="inlineStr">
        <is>
          <t>TAHHAN Riham</t>
        </is>
      </c>
      <c r="I185" s="113" t="n"/>
      <c r="J185" s="112" t="n"/>
    </row>
    <row r="186" ht="86.40000000000001" customHeight="1" s="287">
      <c r="A186" s="111" t="inlineStr">
        <is>
          <t>Request</t>
        </is>
      </c>
      <c r="B186" s="112" t="n"/>
      <c r="C186" s="112" t="inlineStr">
        <is>
          <t>21/1/2025</t>
        </is>
      </c>
      <c r="D186" s="112" t="inlineStr">
        <is>
          <t>82035/000P-H063</t>
        </is>
      </c>
      <c r="E186" s="112" t="inlineStr">
        <is>
          <t>Phone sales Middle East</t>
        </is>
      </c>
      <c r="F186" s="112" t="inlineStr">
        <is>
          <t>103531883</t>
        </is>
      </c>
      <c r="G186" s="112" t="inlineStr">
        <is>
          <t>Client</t>
        </is>
      </c>
      <c r="H186" s="112" t="inlineStr">
        <is>
          <t>SHARIF Maaz</t>
        </is>
      </c>
      <c r="I186" s="113" t="inlineStr">
        <is>
          <t xml:space="preserve">the client is intrested in this timepeice and aiming as well for the 222
</t>
        </is>
      </c>
      <c r="J186" s="112" t="n"/>
    </row>
    <row r="187">
      <c r="A187" s="111" t="inlineStr">
        <is>
          <t>Request</t>
        </is>
      </c>
      <c r="B187" s="112" t="n"/>
      <c r="C187" s="112" t="inlineStr">
        <is>
          <t>21/1/2025</t>
        </is>
      </c>
      <c r="D187" s="112" t="inlineStr">
        <is>
          <t>4200H/222A-B934</t>
        </is>
      </c>
      <c r="E187" s="112" t="inlineStr">
        <is>
          <t>Phone sales Middle East</t>
        </is>
      </c>
      <c r="F187" s="112" t="inlineStr">
        <is>
          <t>100511411</t>
        </is>
      </c>
      <c r="G187" s="112" t="inlineStr">
        <is>
          <t>Prospect</t>
        </is>
      </c>
      <c r="H187" s="112" t="inlineStr">
        <is>
          <t>TAHHAN Riham</t>
        </is>
      </c>
      <c r="I187" s="113" t="n"/>
      <c r="J187" s="112" t="n"/>
    </row>
    <row r="188" ht="43.2" customHeight="1" s="287">
      <c r="A188" s="111" t="inlineStr">
        <is>
          <t>Request</t>
        </is>
      </c>
      <c r="B188" s="112" t="n"/>
      <c r="C188" s="112" t="inlineStr">
        <is>
          <t>21/1/2025</t>
        </is>
      </c>
      <c r="D188" s="112" t="inlineStr">
        <is>
          <t>4200H/222A-B934</t>
        </is>
      </c>
      <c r="E188" s="112" t="inlineStr">
        <is>
          <t>Phone sales Middle East</t>
        </is>
      </c>
      <c r="F188" s="112" t="inlineStr">
        <is>
          <t>92399706</t>
        </is>
      </c>
      <c r="G188" s="112" t="inlineStr">
        <is>
          <t>Prospect</t>
        </is>
      </c>
      <c r="H188" s="112" t="inlineStr">
        <is>
          <t>OMARI Asma</t>
        </is>
      </c>
      <c r="I188" s="113" t="inlineStr">
        <is>
          <t xml:space="preserve">Mr Ragheb Alshakhshir
</t>
        </is>
      </c>
      <c r="J188" s="112" t="n"/>
    </row>
    <row r="189" ht="43.2" customHeight="1" s="287">
      <c r="A189" s="111" t="inlineStr">
        <is>
          <t>Request</t>
        </is>
      </c>
      <c r="B189" s="112" t="n"/>
      <c r="C189" s="112" t="inlineStr">
        <is>
          <t>21/1/2025</t>
        </is>
      </c>
      <c r="D189" s="112" t="inlineStr">
        <is>
          <t>4200H/222A-B934</t>
        </is>
      </c>
      <c r="E189" s="112" t="inlineStr">
        <is>
          <t>Phone sales Middle East</t>
        </is>
      </c>
      <c r="F189" s="112" t="inlineStr">
        <is>
          <t>103714062</t>
        </is>
      </c>
      <c r="G189" s="112" t="inlineStr">
        <is>
          <t>Prospect</t>
        </is>
      </c>
      <c r="H189" s="112" t="inlineStr">
        <is>
          <t>OMARI Asma</t>
        </is>
      </c>
      <c r="I189" s="113" t="inlineStr">
        <is>
          <t xml:space="preserve">Mr. Mohammed Bafail (Ksa)
</t>
        </is>
      </c>
      <c r="J189" s="112" t="n"/>
    </row>
    <row r="190">
      <c r="A190" s="111" t="inlineStr">
        <is>
          <t>Request</t>
        </is>
      </c>
      <c r="B190" s="112" t="n"/>
      <c r="C190" s="112" t="inlineStr">
        <is>
          <t>20/1/2025</t>
        </is>
      </c>
      <c r="D190" s="112" t="inlineStr">
        <is>
          <t>4200H/222A-B934</t>
        </is>
      </c>
      <c r="E190" s="112" t="inlineStr">
        <is>
          <t>Phone sales Middle East</t>
        </is>
      </c>
      <c r="F190" s="112" t="inlineStr">
        <is>
          <t>92408008</t>
        </is>
      </c>
      <c r="G190" s="112" t="inlineStr">
        <is>
          <t>Prospect</t>
        </is>
      </c>
      <c r="H190" s="112" t="inlineStr">
        <is>
          <t>SHARIF Maaz</t>
        </is>
      </c>
      <c r="I190" s="113" t="n"/>
      <c r="J190" s="112" t="n"/>
    </row>
    <row r="191">
      <c r="A191" s="111" t="inlineStr">
        <is>
          <t>Request</t>
        </is>
      </c>
      <c r="B191" s="112" t="n"/>
      <c r="C191" s="112" t="inlineStr">
        <is>
          <t>20/1/2025</t>
        </is>
      </c>
      <c r="D191" s="112" t="inlineStr">
        <is>
          <t>4200H/222A-B934</t>
        </is>
      </c>
      <c r="E191" s="112" t="inlineStr">
        <is>
          <t>Phone sales Middle East</t>
        </is>
      </c>
      <c r="F191" s="112" t="inlineStr">
        <is>
          <t>103713756</t>
        </is>
      </c>
      <c r="G191" s="112" t="inlineStr">
        <is>
          <t>Prospect</t>
        </is>
      </c>
      <c r="H191" s="112" t="inlineStr">
        <is>
          <t>SHARIF Maaz</t>
        </is>
      </c>
      <c r="I191" s="113" t="n"/>
      <c r="J191" s="112" t="n"/>
    </row>
    <row r="192" ht="43.2" customHeight="1" s="287">
      <c r="A192" s="111" t="inlineStr">
        <is>
          <t>Request</t>
        </is>
      </c>
      <c r="B192" s="112" t="n"/>
      <c r="C192" s="112" t="inlineStr">
        <is>
          <t>20/1/2025</t>
        </is>
      </c>
      <c r="D192" s="112" t="inlineStr">
        <is>
          <t>4200H/222A-B934</t>
        </is>
      </c>
      <c r="E192" s="112" t="inlineStr">
        <is>
          <t>Phone sales Middle East</t>
        </is>
      </c>
      <c r="F192" s="112" t="inlineStr">
        <is>
          <t>103742903</t>
        </is>
      </c>
      <c r="G192" s="112" t="inlineStr">
        <is>
          <t>Prospect</t>
        </is>
      </c>
      <c r="H192" s="112" t="inlineStr">
        <is>
          <t>SHARIF Maaz</t>
        </is>
      </c>
      <c r="I192" s="113" t="inlineStr">
        <is>
          <t xml:space="preserve">Very interested client 
</t>
        </is>
      </c>
      <c r="J192" s="112" t="n"/>
    </row>
    <row r="193">
      <c r="A193" s="111" t="inlineStr">
        <is>
          <t>Request</t>
        </is>
      </c>
      <c r="B193" s="112" t="n"/>
      <c r="C193" s="112" t="inlineStr">
        <is>
          <t>18/1/2025</t>
        </is>
      </c>
      <c r="D193" s="112" t="inlineStr">
        <is>
          <t>4200H/222A-B934</t>
        </is>
      </c>
      <c r="E193" s="112" t="inlineStr">
        <is>
          <t>Phone sales Middle East</t>
        </is>
      </c>
      <c r="F193" s="112" t="inlineStr">
        <is>
          <t>103671342</t>
        </is>
      </c>
      <c r="G193" s="112" t="inlineStr">
        <is>
          <t>Prospect</t>
        </is>
      </c>
      <c r="H193" s="112" t="inlineStr">
        <is>
          <t>TAHHAN Riham</t>
        </is>
      </c>
      <c r="I193" s="113" t="n"/>
      <c r="J193" s="112" t="n"/>
    </row>
    <row r="194" ht="43.2" customHeight="1" s="287">
      <c r="A194" s="111" t="inlineStr">
        <is>
          <t>Request</t>
        </is>
      </c>
      <c r="B194" s="112" t="n"/>
      <c r="C194" s="112" t="inlineStr">
        <is>
          <t>18/1/2025</t>
        </is>
      </c>
      <c r="D194" s="112" t="inlineStr">
        <is>
          <t>4200H/222A-B934</t>
        </is>
      </c>
      <c r="E194" s="112" t="inlineStr">
        <is>
          <t>Phone sales Middle East</t>
        </is>
      </c>
      <c r="F194" s="112" t="inlineStr">
        <is>
          <t>103661537</t>
        </is>
      </c>
      <c r="G194" s="112" t="inlineStr">
        <is>
          <t>Prospect</t>
        </is>
      </c>
      <c r="H194" s="112" t="inlineStr">
        <is>
          <t>OMARI Asma</t>
        </is>
      </c>
      <c r="I194" s="113" t="inlineStr">
        <is>
          <t xml:space="preserve">Rakan Alrashed (ksa)
</t>
        </is>
      </c>
      <c r="J194" s="112" t="n"/>
    </row>
    <row r="195">
      <c r="A195" s="111" t="inlineStr">
        <is>
          <t>Request</t>
        </is>
      </c>
      <c r="B195" s="112" t="n"/>
      <c r="C195" s="112" t="inlineStr">
        <is>
          <t>18/1/2025</t>
        </is>
      </c>
      <c r="D195" s="112" t="inlineStr">
        <is>
          <t>4200H/222A-B934</t>
        </is>
      </c>
      <c r="E195" s="112" t="inlineStr">
        <is>
          <t>Phone sales Middle East</t>
        </is>
      </c>
      <c r="F195" s="112" t="inlineStr">
        <is>
          <t>98874827</t>
        </is>
      </c>
      <c r="G195" s="112" t="inlineStr">
        <is>
          <t>Prospect</t>
        </is>
      </c>
      <c r="H195" s="112" t="inlineStr">
        <is>
          <t>SHARIF Maaz</t>
        </is>
      </c>
      <c r="I195" s="113" t="n"/>
      <c r="J195" s="112" t="n"/>
    </row>
    <row r="196">
      <c r="A196" s="111" t="inlineStr">
        <is>
          <t>Request</t>
        </is>
      </c>
      <c r="B196" s="112" t="n"/>
      <c r="C196" s="112" t="inlineStr">
        <is>
          <t>18/1/2025</t>
        </is>
      </c>
      <c r="D196" s="112" t="inlineStr">
        <is>
          <t>4200H/222A-B934</t>
        </is>
      </c>
      <c r="E196" s="112" t="inlineStr">
        <is>
          <t>Phone sales Middle East</t>
        </is>
      </c>
      <c r="F196" s="112" t="inlineStr">
        <is>
          <t>92408008</t>
        </is>
      </c>
      <c r="G196" s="112" t="inlineStr">
        <is>
          <t>Prospect</t>
        </is>
      </c>
      <c r="H196" s="112" t="inlineStr">
        <is>
          <t>SHARIF Maaz</t>
        </is>
      </c>
      <c r="I196" s="113" t="n"/>
      <c r="J196" s="112" t="n"/>
    </row>
    <row r="197" ht="28.95" customHeight="1" s="287">
      <c r="A197" s="111" t="inlineStr">
        <is>
          <t>Request</t>
        </is>
      </c>
      <c r="B197" s="112" t="n"/>
      <c r="C197" s="112" t="inlineStr">
        <is>
          <t>18/1/2025</t>
        </is>
      </c>
      <c r="D197" s="112" t="inlineStr">
        <is>
          <t>4200H/222A-B934</t>
        </is>
      </c>
      <c r="E197" s="112" t="inlineStr">
        <is>
          <t>Phone sales Middle East</t>
        </is>
      </c>
      <c r="F197" s="112" t="inlineStr">
        <is>
          <t>103675481</t>
        </is>
      </c>
      <c r="G197" s="112" t="inlineStr">
        <is>
          <t>Prospect</t>
        </is>
      </c>
      <c r="H197" s="112" t="inlineStr">
        <is>
          <t>SHARIF Maaz</t>
        </is>
      </c>
      <c r="I197" s="113" t="inlineStr">
        <is>
          <t xml:space="preserve">Leo Dogan
</t>
        </is>
      </c>
      <c r="J197" s="112" t="n"/>
    </row>
    <row r="198">
      <c r="A198" s="111" t="inlineStr">
        <is>
          <t>Request</t>
        </is>
      </c>
      <c r="B198" s="112" t="n"/>
      <c r="C198" s="112" t="inlineStr">
        <is>
          <t>18/1/2025</t>
        </is>
      </c>
      <c r="D198" s="112" t="inlineStr">
        <is>
          <t>4520V/210A-B128</t>
        </is>
      </c>
      <c r="E198" s="112" t="inlineStr">
        <is>
          <t>Phone sales Middle East</t>
        </is>
      </c>
      <c r="F198" s="112" t="inlineStr">
        <is>
          <t>100330605</t>
        </is>
      </c>
      <c r="G198" s="112" t="inlineStr">
        <is>
          <t>Prospect</t>
        </is>
      </c>
      <c r="H198" s="112" t="inlineStr">
        <is>
          <t>TAHHAN Riham</t>
        </is>
      </c>
      <c r="I198" s="113" t="n"/>
      <c r="J198" s="112" t="n"/>
    </row>
    <row r="199">
      <c r="A199" s="111" t="inlineStr">
        <is>
          <t>Request</t>
        </is>
      </c>
      <c r="B199" s="112" t="n"/>
      <c r="C199" s="112" t="inlineStr">
        <is>
          <t>18/1/2025</t>
        </is>
      </c>
      <c r="D199" s="112" t="inlineStr">
        <is>
          <t>4200H/222A-B934</t>
        </is>
      </c>
      <c r="E199" s="112" t="inlineStr">
        <is>
          <t>Phone sales Middle East</t>
        </is>
      </c>
      <c r="F199" s="112" t="inlineStr">
        <is>
          <t>92428108</t>
        </is>
      </c>
      <c r="G199" s="112" t="inlineStr">
        <is>
          <t>Client</t>
        </is>
      </c>
      <c r="H199" s="112" t="inlineStr">
        <is>
          <t>SHARIF Maaz</t>
        </is>
      </c>
      <c r="I199" s="113" t="n"/>
      <c r="J199" s="112" t="n"/>
    </row>
    <row r="200">
      <c r="A200" s="111" t="inlineStr">
        <is>
          <t>Request</t>
        </is>
      </c>
      <c r="B200" s="112" t="n"/>
      <c r="C200" s="112" t="inlineStr">
        <is>
          <t>18/1/2025</t>
        </is>
      </c>
      <c r="D200" s="112" t="inlineStr">
        <is>
          <t>4200H/222A-B934</t>
        </is>
      </c>
      <c r="E200" s="112" t="inlineStr">
        <is>
          <t>Phone sales Middle East</t>
        </is>
      </c>
      <c r="F200" s="112" t="inlineStr">
        <is>
          <t>100330605</t>
        </is>
      </c>
      <c r="G200" s="112" t="inlineStr">
        <is>
          <t>Prospect</t>
        </is>
      </c>
      <c r="H200" s="112" t="inlineStr">
        <is>
          <t>TAHHAN Riham</t>
        </is>
      </c>
      <c r="I200" s="113" t="n"/>
      <c r="J200" s="112" t="n"/>
    </row>
    <row r="201">
      <c r="A201" s="111" t="inlineStr">
        <is>
          <t>Request</t>
        </is>
      </c>
      <c r="B201" s="112" t="n"/>
      <c r="C201" s="112" t="inlineStr">
        <is>
          <t>18/1/2025</t>
        </is>
      </c>
      <c r="D201" s="112" t="inlineStr">
        <is>
          <t>5520V/210A-B148</t>
        </is>
      </c>
      <c r="E201" s="112" t="inlineStr">
        <is>
          <t>Phone sales Middle East</t>
        </is>
      </c>
      <c r="F201" s="112" t="inlineStr">
        <is>
          <t>100330605</t>
        </is>
      </c>
      <c r="G201" s="112" t="inlineStr">
        <is>
          <t>Prospect</t>
        </is>
      </c>
      <c r="H201" s="112" t="inlineStr">
        <is>
          <t>TAHHAN Riham</t>
        </is>
      </c>
      <c r="I201" s="113" t="n"/>
      <c r="J201" s="112" t="n"/>
    </row>
    <row r="202">
      <c r="A202" s="111" t="inlineStr">
        <is>
          <t>Request</t>
        </is>
      </c>
      <c r="B202" s="112" t="n"/>
      <c r="C202" s="112" t="inlineStr">
        <is>
          <t>18/1/2025</t>
        </is>
      </c>
      <c r="D202" s="112" t="inlineStr">
        <is>
          <t>4200H/222A-B934</t>
        </is>
      </c>
      <c r="E202" s="112" t="inlineStr">
        <is>
          <t>Phone sales Middle East</t>
        </is>
      </c>
      <c r="F202" s="112" t="inlineStr">
        <is>
          <t>92403555</t>
        </is>
      </c>
      <c r="G202" s="112" t="inlineStr">
        <is>
          <t>Prospect</t>
        </is>
      </c>
      <c r="H202" s="112" t="inlineStr">
        <is>
          <t>SHARIF Maaz</t>
        </is>
      </c>
      <c r="I202" s="113" t="n"/>
      <c r="J202" s="112" t="n"/>
    </row>
    <row r="203">
      <c r="A203" s="111" t="inlineStr">
        <is>
          <t>Request</t>
        </is>
      </c>
      <c r="B203" s="112" t="n"/>
      <c r="C203" s="112" t="inlineStr">
        <is>
          <t>18/1/2025</t>
        </is>
      </c>
      <c r="D203" s="112" t="inlineStr">
        <is>
          <t>4200H/222A-B934</t>
        </is>
      </c>
      <c r="E203" s="112" t="inlineStr">
        <is>
          <t>Phone sales Middle East</t>
        </is>
      </c>
      <c r="F203" s="112" t="inlineStr">
        <is>
          <t>103673092</t>
        </is>
      </c>
      <c r="G203" s="112" t="inlineStr">
        <is>
          <t>Prospect</t>
        </is>
      </c>
      <c r="H203" s="112" t="inlineStr">
        <is>
          <t>SHARIF Maaz</t>
        </is>
      </c>
      <c r="I203" s="113" t="n"/>
      <c r="J203" s="112" t="n"/>
    </row>
    <row r="204">
      <c r="A204" s="111" t="inlineStr">
        <is>
          <t>Request</t>
        </is>
      </c>
      <c r="B204" s="112" t="n"/>
      <c r="C204" s="112" t="inlineStr">
        <is>
          <t>18/1/2025</t>
        </is>
      </c>
      <c r="D204" s="112" t="inlineStr">
        <is>
          <t>4200H/222A-B934</t>
        </is>
      </c>
      <c r="E204" s="112" t="inlineStr">
        <is>
          <t>Phone sales Middle East</t>
        </is>
      </c>
      <c r="F204" s="112" t="inlineStr">
        <is>
          <t>98874827</t>
        </is>
      </c>
      <c r="G204" s="112" t="inlineStr">
        <is>
          <t>Prospect</t>
        </is>
      </c>
      <c r="H204" s="112" t="inlineStr">
        <is>
          <t>SHARIF Maaz</t>
        </is>
      </c>
      <c r="I204" s="113" t="n"/>
      <c r="J204" s="112" t="n"/>
    </row>
    <row r="205">
      <c r="A205" s="111" t="inlineStr">
        <is>
          <t>Request</t>
        </is>
      </c>
      <c r="B205" s="112" t="n"/>
      <c r="C205" s="112" t="inlineStr">
        <is>
          <t>18/1/2025</t>
        </is>
      </c>
      <c r="D205" s="112" t="inlineStr">
        <is>
          <t>4200H/222A-B934</t>
        </is>
      </c>
      <c r="E205" s="112" t="inlineStr">
        <is>
          <t>Phone sales Middle East</t>
        </is>
      </c>
      <c r="F205" s="112" t="inlineStr">
        <is>
          <t>103671613</t>
        </is>
      </c>
      <c r="G205" s="112" t="inlineStr">
        <is>
          <t>Prospect</t>
        </is>
      </c>
      <c r="H205" s="112" t="inlineStr">
        <is>
          <t>SHARIF Maaz</t>
        </is>
      </c>
      <c r="I205" s="113" t="n"/>
      <c r="J205" s="112" t="n"/>
    </row>
    <row r="206">
      <c r="A206" s="111" t="inlineStr">
        <is>
          <t>Request</t>
        </is>
      </c>
      <c r="B206" s="112" t="n"/>
      <c r="C206" s="112" t="inlineStr">
        <is>
          <t>18/1/2025</t>
        </is>
      </c>
      <c r="D206" s="112" t="inlineStr">
        <is>
          <t>4200H/222A-B934</t>
        </is>
      </c>
      <c r="E206" s="112" t="inlineStr">
        <is>
          <t>Phone sales Middle East</t>
        </is>
      </c>
      <c r="F206" s="112" t="inlineStr">
        <is>
          <t>92406996</t>
        </is>
      </c>
      <c r="G206" s="112" t="inlineStr">
        <is>
          <t>Prospect</t>
        </is>
      </c>
      <c r="H206" s="112" t="inlineStr">
        <is>
          <t>SHARIF Maaz</t>
        </is>
      </c>
      <c r="I206" s="113" t="n"/>
      <c r="J206" s="112" t="n"/>
    </row>
    <row r="207">
      <c r="A207" s="111" t="inlineStr">
        <is>
          <t>Request</t>
        </is>
      </c>
      <c r="B207" s="112" t="n"/>
      <c r="C207" s="112" t="inlineStr">
        <is>
          <t>18/1/2025</t>
        </is>
      </c>
      <c r="D207" s="112" t="inlineStr">
        <is>
          <t>4200H/222A-B934</t>
        </is>
      </c>
      <c r="E207" s="112" t="inlineStr">
        <is>
          <t>Phone sales Middle East</t>
        </is>
      </c>
      <c r="F207" s="112" t="inlineStr">
        <is>
          <t>103673291</t>
        </is>
      </c>
      <c r="G207" s="112" t="inlineStr">
        <is>
          <t>Prospect</t>
        </is>
      </c>
      <c r="H207" s="112" t="inlineStr">
        <is>
          <t>SHARIF Maaz</t>
        </is>
      </c>
      <c r="I207" s="113" t="n"/>
      <c r="J207" s="112" t="n"/>
    </row>
    <row r="208">
      <c r="A208" s="111" t="inlineStr">
        <is>
          <t>Request</t>
        </is>
      </c>
      <c r="B208" s="112" t="n"/>
      <c r="C208" s="112" t="inlineStr">
        <is>
          <t>18/1/2025</t>
        </is>
      </c>
      <c r="D208" s="112" t="inlineStr">
        <is>
          <t>4200H/222A-B934</t>
        </is>
      </c>
      <c r="E208" s="112" t="inlineStr">
        <is>
          <t>Phone sales Middle East</t>
        </is>
      </c>
      <c r="F208" s="112" t="inlineStr">
        <is>
          <t>103645978</t>
        </is>
      </c>
      <c r="G208" s="112" t="inlineStr">
        <is>
          <t>Prospect</t>
        </is>
      </c>
      <c r="H208" s="112" t="inlineStr">
        <is>
          <t>TAHHAN Riham</t>
        </is>
      </c>
      <c r="I208" s="113" t="n"/>
      <c r="J208" s="112" t="n"/>
    </row>
    <row r="209">
      <c r="A209" s="111" t="inlineStr">
        <is>
          <t>Cancelled</t>
        </is>
      </c>
      <c r="B209" s="112" t="inlineStr">
        <is>
          <t>Cancelled</t>
        </is>
      </c>
      <c r="C209" s="112" t="inlineStr">
        <is>
          <t>17/1/2025</t>
        </is>
      </c>
      <c r="D209" s="112" t="inlineStr">
        <is>
          <t>4200H/222A-B934</t>
        </is>
      </c>
      <c r="E209" s="112" t="inlineStr">
        <is>
          <t>Phone sales Middle East</t>
        </is>
      </c>
      <c r="F209" s="112" t="inlineStr">
        <is>
          <t>103633978</t>
        </is>
      </c>
      <c r="G209" s="112" t="inlineStr">
        <is>
          <t>Prospect</t>
        </is>
      </c>
      <c r="H209" s="112" t="inlineStr">
        <is>
          <t>TAHHAN Riham</t>
        </is>
      </c>
      <c r="I209" s="113" t="n"/>
      <c r="J209" s="112" t="n"/>
    </row>
    <row r="210">
      <c r="A210" s="111" t="inlineStr">
        <is>
          <t>Request</t>
        </is>
      </c>
      <c r="B210" s="112" t="n"/>
      <c r="C210" s="112" t="inlineStr">
        <is>
          <t>17/1/2025</t>
        </is>
      </c>
      <c r="D210" s="112" t="inlineStr">
        <is>
          <t>4200H/222A-B934</t>
        </is>
      </c>
      <c r="E210" s="112" t="inlineStr">
        <is>
          <t>Phone sales Middle East</t>
        </is>
      </c>
      <c r="F210" s="112" t="inlineStr">
        <is>
          <t>92398060</t>
        </is>
      </c>
      <c r="G210" s="112" t="inlineStr">
        <is>
          <t>Prospect</t>
        </is>
      </c>
      <c r="H210" s="112" t="inlineStr">
        <is>
          <t>TAHHAN Riham</t>
        </is>
      </c>
      <c r="I210" s="113" t="n"/>
      <c r="J210" s="112" t="n"/>
    </row>
    <row r="211">
      <c r="A211" s="111" t="inlineStr">
        <is>
          <t>Request</t>
        </is>
      </c>
      <c r="B211" s="112" t="n"/>
      <c r="C211" s="112" t="inlineStr">
        <is>
          <t>17/1/2025</t>
        </is>
      </c>
      <c r="D211" s="112" t="inlineStr">
        <is>
          <t>4200H/222A-B934</t>
        </is>
      </c>
      <c r="E211" s="112" t="inlineStr">
        <is>
          <t>Phone sales Middle East</t>
        </is>
      </c>
      <c r="F211" s="112" t="inlineStr">
        <is>
          <t>93597721</t>
        </is>
      </c>
      <c r="G211" s="112" t="inlineStr">
        <is>
          <t>Prospect</t>
        </is>
      </c>
      <c r="H211" s="112" t="inlineStr">
        <is>
          <t>TAHHAN Riham</t>
        </is>
      </c>
      <c r="I211" s="113" t="n"/>
      <c r="J211" s="112" t="n"/>
    </row>
    <row r="212">
      <c r="A212" s="111" t="inlineStr">
        <is>
          <t>Request</t>
        </is>
      </c>
      <c r="B212" s="112" t="n"/>
      <c r="C212" s="112" t="inlineStr">
        <is>
          <t>17/1/2025</t>
        </is>
      </c>
      <c r="D212" s="112" t="inlineStr">
        <is>
          <t>4520V/210A-B128</t>
        </is>
      </c>
      <c r="E212" s="112" t="inlineStr">
        <is>
          <t>Phone sales Middle East</t>
        </is>
      </c>
      <c r="F212" s="112" t="inlineStr">
        <is>
          <t>103647896</t>
        </is>
      </c>
      <c r="G212" s="112" t="inlineStr">
        <is>
          <t>Prospect</t>
        </is>
      </c>
      <c r="H212" s="112" t="inlineStr">
        <is>
          <t>TAHHAN Riham</t>
        </is>
      </c>
      <c r="I212" s="113" t="n"/>
      <c r="J212" s="112" t="n"/>
    </row>
    <row r="213">
      <c r="A213" s="111" t="inlineStr">
        <is>
          <t>Request</t>
        </is>
      </c>
      <c r="B213" s="112" t="n"/>
      <c r="C213" s="112" t="inlineStr">
        <is>
          <t>17/1/2025</t>
        </is>
      </c>
      <c r="D213" s="112" t="inlineStr">
        <is>
          <t>4200H/222A-B934</t>
        </is>
      </c>
      <c r="E213" s="112" t="inlineStr">
        <is>
          <t>Phone sales Middle East</t>
        </is>
      </c>
      <c r="F213" s="112" t="inlineStr">
        <is>
          <t>103656438</t>
        </is>
      </c>
      <c r="G213" s="112" t="inlineStr">
        <is>
          <t>Prospect</t>
        </is>
      </c>
      <c r="H213" s="112" t="inlineStr">
        <is>
          <t>TAHHAN Riham</t>
        </is>
      </c>
      <c r="I213" s="113" t="n"/>
      <c r="J213" s="112" t="n"/>
    </row>
    <row r="214" ht="28.95" customHeight="1" s="287">
      <c r="A214" s="111" t="inlineStr">
        <is>
          <t>Request</t>
        </is>
      </c>
      <c r="B214" s="112" t="n"/>
      <c r="C214" s="112" t="inlineStr">
        <is>
          <t>17/1/2025</t>
        </is>
      </c>
      <c r="D214" s="112" t="inlineStr">
        <is>
          <t>4200H/222A-B934</t>
        </is>
      </c>
      <c r="E214" s="112" t="inlineStr">
        <is>
          <t>Phone sales Middle East</t>
        </is>
      </c>
      <c r="F214" s="112" t="inlineStr">
        <is>
          <t>103642399</t>
        </is>
      </c>
      <c r="G214" s="112" t="inlineStr">
        <is>
          <t>Prospect</t>
        </is>
      </c>
      <c r="H214" s="112" t="inlineStr">
        <is>
          <t>OMARI Asma</t>
        </is>
      </c>
      <c r="I214" s="113" t="inlineStr">
        <is>
          <t xml:space="preserve">Kayed Hamad
</t>
        </is>
      </c>
      <c r="J214" s="112" t="n"/>
    </row>
    <row r="215" ht="43.2" customHeight="1" s="287">
      <c r="A215" s="111" t="inlineStr">
        <is>
          <t>Request</t>
        </is>
      </c>
      <c r="B215" s="112" t="n"/>
      <c r="C215" s="112" t="inlineStr">
        <is>
          <t>17/1/2025</t>
        </is>
      </c>
      <c r="D215" s="112" t="inlineStr">
        <is>
          <t>4200H/222A-B934</t>
        </is>
      </c>
      <c r="E215" s="112" t="inlineStr">
        <is>
          <t>Phone sales Middle East</t>
        </is>
      </c>
      <c r="F215" s="112" t="inlineStr">
        <is>
          <t>103646927</t>
        </is>
      </c>
      <c r="G215" s="112" t="inlineStr">
        <is>
          <t>Prospect</t>
        </is>
      </c>
      <c r="H215" s="112" t="inlineStr">
        <is>
          <t>OMARI Asma</t>
        </is>
      </c>
      <c r="I215" s="113" t="inlineStr">
        <is>
          <t xml:space="preserve">Mr. Joshua Armstrong
</t>
        </is>
      </c>
      <c r="J215" s="112" t="n"/>
    </row>
    <row r="216" ht="43.2" customHeight="1" s="287">
      <c r="A216" s="111" t="inlineStr">
        <is>
          <t>Request</t>
        </is>
      </c>
      <c r="B216" s="112" t="n"/>
      <c r="C216" s="112" t="inlineStr">
        <is>
          <t>17/1/2025</t>
        </is>
      </c>
      <c r="D216" s="112" t="inlineStr">
        <is>
          <t>4200H/222A-B934</t>
        </is>
      </c>
      <c r="E216" s="112" t="inlineStr">
        <is>
          <t>Phone sales Middle East</t>
        </is>
      </c>
      <c r="F216" s="112" t="inlineStr">
        <is>
          <t>103642513</t>
        </is>
      </c>
      <c r="G216" s="112" t="inlineStr">
        <is>
          <t>Prospect</t>
        </is>
      </c>
      <c r="H216" s="112" t="inlineStr">
        <is>
          <t>OMARI Asma</t>
        </is>
      </c>
      <c r="I216" s="113" t="inlineStr">
        <is>
          <t xml:space="preserve">Muhannad Al Shami
</t>
        </is>
      </c>
      <c r="J216" s="112" t="n"/>
    </row>
    <row r="217" ht="28.95" customHeight="1" s="287">
      <c r="A217" s="111" t="inlineStr">
        <is>
          <t>Request</t>
        </is>
      </c>
      <c r="B217" s="112" t="n"/>
      <c r="C217" s="112" t="inlineStr">
        <is>
          <t>17/1/2025</t>
        </is>
      </c>
      <c r="D217" s="112" t="inlineStr">
        <is>
          <t>4200H/222A-B934</t>
        </is>
      </c>
      <c r="E217" s="112" t="inlineStr">
        <is>
          <t>Phone sales Middle East</t>
        </is>
      </c>
      <c r="F217" s="112" t="inlineStr">
        <is>
          <t>91001822</t>
        </is>
      </c>
      <c r="G217" s="112" t="inlineStr">
        <is>
          <t>Prospect</t>
        </is>
      </c>
      <c r="H217" s="112" t="inlineStr">
        <is>
          <t>OMARI Asma</t>
        </is>
      </c>
      <c r="I217" s="113" t="inlineStr">
        <is>
          <t xml:space="preserve">Abdullatif alharthi
</t>
        </is>
      </c>
      <c r="J217" s="112" t="n"/>
    </row>
    <row r="218" ht="28.95" customHeight="1" s="287">
      <c r="A218" s="111" t="inlineStr">
        <is>
          <t>Request</t>
        </is>
      </c>
      <c r="B218" s="112" t="n"/>
      <c r="C218" s="112" t="inlineStr">
        <is>
          <t>17/1/2025</t>
        </is>
      </c>
      <c r="D218" s="112" t="inlineStr">
        <is>
          <t>4200H/222A-B934</t>
        </is>
      </c>
      <c r="E218" s="112" t="inlineStr">
        <is>
          <t>Phone sales Middle East</t>
        </is>
      </c>
      <c r="F218" s="112" t="inlineStr">
        <is>
          <t>92399337</t>
        </is>
      </c>
      <c r="G218" s="112" t="inlineStr">
        <is>
          <t>Prospect</t>
        </is>
      </c>
      <c r="H218" s="112" t="inlineStr">
        <is>
          <t>OMARI Asma</t>
        </is>
      </c>
      <c r="I218" s="113" t="inlineStr">
        <is>
          <t xml:space="preserve">Mr. Venu Madhav
</t>
        </is>
      </c>
      <c r="J218" s="112" t="n"/>
    </row>
    <row r="219" ht="28.95" customHeight="1" s="287">
      <c r="A219" s="111" t="inlineStr">
        <is>
          <t>Request</t>
        </is>
      </c>
      <c r="B219" s="112" t="n"/>
      <c r="C219" s="112" t="inlineStr">
        <is>
          <t>17/1/2025</t>
        </is>
      </c>
      <c r="D219" s="112" t="inlineStr">
        <is>
          <t>4200H/222A-B934</t>
        </is>
      </c>
      <c r="E219" s="112" t="inlineStr">
        <is>
          <t>Phone sales Middle East</t>
        </is>
      </c>
      <c r="F219" s="112" t="inlineStr">
        <is>
          <t>103657666</t>
        </is>
      </c>
      <c r="G219" s="112" t="inlineStr">
        <is>
          <t>Prospect</t>
        </is>
      </c>
      <c r="H219" s="112" t="inlineStr">
        <is>
          <t>OMARI Asma</t>
        </is>
      </c>
      <c r="I219" s="113" t="inlineStr">
        <is>
          <t xml:space="preserve">Mr. Tim Renat
</t>
        </is>
      </c>
      <c r="J219" s="112" t="n"/>
    </row>
    <row r="220">
      <c r="A220" s="111" t="inlineStr">
        <is>
          <t>Request</t>
        </is>
      </c>
      <c r="B220" s="112" t="n"/>
      <c r="C220" s="112" t="inlineStr">
        <is>
          <t>17/1/2025</t>
        </is>
      </c>
      <c r="D220" s="112" t="inlineStr">
        <is>
          <t>82035/000P-H063</t>
        </is>
      </c>
      <c r="E220" s="112" t="inlineStr">
        <is>
          <t>Phone sales Middle East</t>
        </is>
      </c>
      <c r="F220" s="112" t="inlineStr">
        <is>
          <t>103660737</t>
        </is>
      </c>
      <c r="G220" s="112" t="inlineStr">
        <is>
          <t>Prospect</t>
        </is>
      </c>
      <c r="H220" s="112" t="inlineStr">
        <is>
          <t>TAHHAN Riham</t>
        </is>
      </c>
      <c r="I220" s="113" t="n"/>
      <c r="J220" s="112" t="n"/>
    </row>
    <row r="221">
      <c r="A221" s="111" t="inlineStr">
        <is>
          <t>Request</t>
        </is>
      </c>
      <c r="B221" s="112" t="n"/>
      <c r="C221" s="112" t="inlineStr">
        <is>
          <t>17/1/2025</t>
        </is>
      </c>
      <c r="D221" s="112" t="inlineStr">
        <is>
          <t>4200H/222A-B934</t>
        </is>
      </c>
      <c r="E221" s="112" t="inlineStr">
        <is>
          <t>Phone sales Middle East</t>
        </is>
      </c>
      <c r="F221" s="112" t="inlineStr">
        <is>
          <t>103660737</t>
        </is>
      </c>
      <c r="G221" s="112" t="inlineStr">
        <is>
          <t>Prospect</t>
        </is>
      </c>
      <c r="H221" s="112" t="inlineStr">
        <is>
          <t>TAHHAN Riham</t>
        </is>
      </c>
      <c r="I221" s="113" t="n"/>
      <c r="J221" s="112" t="n"/>
    </row>
    <row r="222">
      <c r="A222" s="111" t="inlineStr">
        <is>
          <t>Request</t>
        </is>
      </c>
      <c r="B222" s="112" t="n"/>
      <c r="C222" s="112" t="inlineStr">
        <is>
          <t>17/1/2025</t>
        </is>
      </c>
      <c r="D222" s="112" t="inlineStr">
        <is>
          <t>4200H/222A-B934</t>
        </is>
      </c>
      <c r="E222" s="112" t="inlineStr">
        <is>
          <t>Phone sales Middle East</t>
        </is>
      </c>
      <c r="F222" s="112" t="inlineStr">
        <is>
          <t>103648068</t>
        </is>
      </c>
      <c r="G222" s="112" t="inlineStr">
        <is>
          <t>Prospect</t>
        </is>
      </c>
      <c r="H222" s="112" t="inlineStr">
        <is>
          <t>TAHHAN Riham</t>
        </is>
      </c>
      <c r="I222" s="113" t="n"/>
      <c r="J222" s="112" t="n"/>
    </row>
    <row r="223">
      <c r="A223" s="111" t="inlineStr">
        <is>
          <t>Request</t>
        </is>
      </c>
      <c r="B223" s="112" t="n"/>
      <c r="C223" s="112" t="inlineStr">
        <is>
          <t>17/1/2025</t>
        </is>
      </c>
      <c r="D223" s="112" t="inlineStr">
        <is>
          <t>4200H/222A-B934</t>
        </is>
      </c>
      <c r="E223" s="112" t="inlineStr">
        <is>
          <t>Phone sales Middle East</t>
        </is>
      </c>
      <c r="F223" s="112" t="inlineStr">
        <is>
          <t>103631693</t>
        </is>
      </c>
      <c r="G223" s="112" t="inlineStr">
        <is>
          <t>Prospect</t>
        </is>
      </c>
      <c r="H223" s="112" t="inlineStr">
        <is>
          <t>TAHHAN Riham</t>
        </is>
      </c>
      <c r="I223" s="113" t="n"/>
      <c r="J223" s="112" t="n"/>
    </row>
    <row r="224">
      <c r="A224" s="111" t="inlineStr">
        <is>
          <t>Request</t>
        </is>
      </c>
      <c r="B224" s="112" t="n"/>
      <c r="C224" s="112" t="inlineStr">
        <is>
          <t>17/1/2025</t>
        </is>
      </c>
      <c r="D224" s="112" t="inlineStr">
        <is>
          <t>4200H/222A-B934</t>
        </is>
      </c>
      <c r="E224" s="112" t="inlineStr">
        <is>
          <t>Phone sales Middle East</t>
        </is>
      </c>
      <c r="F224" s="112" t="inlineStr">
        <is>
          <t>103616253</t>
        </is>
      </c>
      <c r="G224" s="112" t="inlineStr">
        <is>
          <t>Prospect</t>
        </is>
      </c>
      <c r="H224" s="112" t="inlineStr">
        <is>
          <t>SHARIF Maaz</t>
        </is>
      </c>
      <c r="I224" s="113" t="n"/>
      <c r="J224" s="112" t="n"/>
    </row>
    <row r="225">
      <c r="A225" s="111" t="inlineStr">
        <is>
          <t>Request</t>
        </is>
      </c>
      <c r="B225" s="112" t="n"/>
      <c r="C225" s="112" t="inlineStr">
        <is>
          <t>17/1/2025</t>
        </is>
      </c>
      <c r="D225" s="112" t="inlineStr">
        <is>
          <t>4200H/222A-B934</t>
        </is>
      </c>
      <c r="E225" s="112" t="inlineStr">
        <is>
          <t>Phone sales Middle East</t>
        </is>
      </c>
      <c r="F225" s="112" t="inlineStr">
        <is>
          <t>92404856</t>
        </is>
      </c>
      <c r="G225" s="112" t="inlineStr">
        <is>
          <t>Prospect</t>
        </is>
      </c>
      <c r="H225" s="112" t="inlineStr">
        <is>
          <t>SHARIF Maaz</t>
        </is>
      </c>
      <c r="I225" s="113" t="n"/>
      <c r="J225" s="112" t="n"/>
    </row>
    <row r="226">
      <c r="A226" s="111" t="inlineStr">
        <is>
          <t>Request</t>
        </is>
      </c>
      <c r="B226" s="112" t="n"/>
      <c r="C226" s="112" t="inlineStr">
        <is>
          <t>17/1/2025</t>
        </is>
      </c>
      <c r="D226" s="112" t="inlineStr">
        <is>
          <t>4200H/222A-B934</t>
        </is>
      </c>
      <c r="E226" s="112" t="inlineStr">
        <is>
          <t>Phone sales Middle East</t>
        </is>
      </c>
      <c r="F226" s="112" t="inlineStr">
        <is>
          <t>103658184</t>
        </is>
      </c>
      <c r="G226" s="112" t="inlineStr">
        <is>
          <t>Prospect</t>
        </is>
      </c>
      <c r="H226" s="112" t="inlineStr">
        <is>
          <t>SHARIF Maaz</t>
        </is>
      </c>
      <c r="I226" s="113" t="n"/>
      <c r="J226" s="112" t="n"/>
    </row>
    <row r="227" ht="28.95" customHeight="1" s="287">
      <c r="A227" s="111" t="inlineStr">
        <is>
          <t>Request</t>
        </is>
      </c>
      <c r="B227" s="112" t="n"/>
      <c r="C227" s="112" t="inlineStr">
        <is>
          <t>17/1/2025</t>
        </is>
      </c>
      <c r="D227" s="112" t="inlineStr">
        <is>
          <t>4200H/222A-B934</t>
        </is>
      </c>
      <c r="E227" s="112" t="inlineStr">
        <is>
          <t>Phone sales Middle East</t>
        </is>
      </c>
      <c r="F227" s="112" t="inlineStr">
        <is>
          <t>100481133</t>
        </is>
      </c>
      <c r="G227" s="112" t="inlineStr">
        <is>
          <t>VIC</t>
        </is>
      </c>
      <c r="H227" s="112" t="inlineStr">
        <is>
          <t>SHARIF Maaz</t>
        </is>
      </c>
      <c r="I227" s="113" t="inlineStr">
        <is>
          <t xml:space="preserve">
</t>
        </is>
      </c>
      <c r="J227" s="112" t="n"/>
    </row>
    <row r="228">
      <c r="A228" s="111" t="inlineStr">
        <is>
          <t>Request</t>
        </is>
      </c>
      <c r="B228" s="112" t="n"/>
      <c r="C228" s="112" t="inlineStr">
        <is>
          <t>16/1/2025</t>
        </is>
      </c>
      <c r="D228" s="112" t="inlineStr">
        <is>
          <t>4200H/222A-B934</t>
        </is>
      </c>
      <c r="E228" s="112" t="inlineStr">
        <is>
          <t>Phone sales Middle East</t>
        </is>
      </c>
      <c r="F228" s="112" t="inlineStr">
        <is>
          <t>103633978</t>
        </is>
      </c>
      <c r="G228" s="112" t="inlineStr">
        <is>
          <t>Prospect</t>
        </is>
      </c>
      <c r="H228" s="112" t="inlineStr">
        <is>
          <t>TAHHAN Riham</t>
        </is>
      </c>
      <c r="I228" s="113" t="n"/>
      <c r="J228" s="112" t="n"/>
    </row>
    <row r="229">
      <c r="A229" s="111" t="inlineStr">
        <is>
          <t>Request</t>
        </is>
      </c>
      <c r="B229" s="112" t="n"/>
      <c r="C229" s="112" t="inlineStr">
        <is>
          <t>16/1/2025</t>
        </is>
      </c>
      <c r="D229" s="112" t="inlineStr">
        <is>
          <t>4200H/222A-B934</t>
        </is>
      </c>
      <c r="E229" s="112" t="inlineStr">
        <is>
          <t>Phone sales Middle East</t>
        </is>
      </c>
      <c r="F229" s="112" t="inlineStr">
        <is>
          <t>103632517</t>
        </is>
      </c>
      <c r="G229" s="112" t="inlineStr">
        <is>
          <t>Prospect</t>
        </is>
      </c>
      <c r="H229" s="112" t="inlineStr">
        <is>
          <t>TAHHAN Riham</t>
        </is>
      </c>
      <c r="I229" s="113" t="n"/>
      <c r="J229" s="112" t="n"/>
    </row>
    <row r="230" ht="57.6" customHeight="1" s="287">
      <c r="A230" s="111" t="inlineStr">
        <is>
          <t>Request</t>
        </is>
      </c>
      <c r="B230" s="112" t="n"/>
      <c r="C230" s="112" t="inlineStr">
        <is>
          <t>16/1/2025</t>
        </is>
      </c>
      <c r="D230" s="112" t="inlineStr">
        <is>
          <t>4200H/222A-B934</t>
        </is>
      </c>
      <c r="E230" s="112" t="inlineStr">
        <is>
          <t>Phone sales Middle East</t>
        </is>
      </c>
      <c r="F230" s="112" t="inlineStr">
        <is>
          <t>100432455</t>
        </is>
      </c>
      <c r="G230" s="112" t="inlineStr">
        <is>
          <t>Prospect</t>
        </is>
      </c>
      <c r="H230" s="112" t="inlineStr">
        <is>
          <t>OMARI Asma</t>
        </is>
      </c>
      <c r="I230" s="113" t="inlineStr">
        <is>
          <t xml:space="preserve">Mr. Siddhant Sabbarwal (uae located in India)
</t>
        </is>
      </c>
      <c r="J230" s="112" t="n"/>
    </row>
    <row r="231">
      <c r="A231" s="111" t="inlineStr">
        <is>
          <t>Request</t>
        </is>
      </c>
      <c r="B231" s="112" t="n"/>
      <c r="C231" s="112" t="inlineStr">
        <is>
          <t>16/1/2025</t>
        </is>
      </c>
      <c r="D231" s="112" t="inlineStr">
        <is>
          <t>4200H/222A-B934</t>
        </is>
      </c>
      <c r="E231" s="112" t="inlineStr">
        <is>
          <t>Phone sales Middle East</t>
        </is>
      </c>
      <c r="F231" s="112" t="inlineStr">
        <is>
          <t>103634169</t>
        </is>
      </c>
      <c r="G231" s="112" t="inlineStr">
        <is>
          <t>Prospect</t>
        </is>
      </c>
      <c r="H231" s="112" t="inlineStr">
        <is>
          <t>TAHHAN Riham</t>
        </is>
      </c>
      <c r="I231" s="113" t="n"/>
      <c r="J231" s="112" t="n"/>
    </row>
    <row r="232">
      <c r="A232" s="111" t="inlineStr">
        <is>
          <t>Request</t>
        </is>
      </c>
      <c r="B232" s="112" t="n"/>
      <c r="C232" s="112" t="inlineStr">
        <is>
          <t>16/1/2025</t>
        </is>
      </c>
      <c r="D232" s="112" t="inlineStr">
        <is>
          <t>4200H/222A-B934</t>
        </is>
      </c>
      <c r="E232" s="112" t="inlineStr">
        <is>
          <t>Phone sales Middle East</t>
        </is>
      </c>
      <c r="F232" s="112" t="inlineStr">
        <is>
          <t>103634472</t>
        </is>
      </c>
      <c r="G232" s="112" t="inlineStr">
        <is>
          <t>Prospect</t>
        </is>
      </c>
      <c r="H232" s="112" t="inlineStr">
        <is>
          <t>TAHHAN Riham</t>
        </is>
      </c>
      <c r="I232" s="113" t="n"/>
      <c r="J232" s="112" t="n"/>
    </row>
    <row r="233">
      <c r="A233" s="111" t="inlineStr">
        <is>
          <t>Request</t>
        </is>
      </c>
      <c r="B233" s="112" t="n"/>
      <c r="C233" s="112" t="inlineStr">
        <is>
          <t>16/1/2025</t>
        </is>
      </c>
      <c r="D233" s="112" t="inlineStr">
        <is>
          <t>4200H/222A-B934</t>
        </is>
      </c>
      <c r="E233" s="112" t="inlineStr">
        <is>
          <t>Phone sales Middle East</t>
        </is>
      </c>
      <c r="F233" s="112" t="inlineStr">
        <is>
          <t>103634611</t>
        </is>
      </c>
      <c r="G233" s="112" t="inlineStr">
        <is>
          <t>Prospect</t>
        </is>
      </c>
      <c r="H233" s="112" t="inlineStr">
        <is>
          <t>TAHHAN Riham</t>
        </is>
      </c>
      <c r="I233" s="113" t="n"/>
      <c r="J233" s="112" t="n"/>
    </row>
    <row r="234">
      <c r="A234" s="111" t="inlineStr">
        <is>
          <t>Request</t>
        </is>
      </c>
      <c r="B234" s="112" t="n"/>
      <c r="C234" s="112" t="inlineStr">
        <is>
          <t>16/1/2025</t>
        </is>
      </c>
      <c r="D234" s="112" t="inlineStr">
        <is>
          <t>4200H/222A-B934</t>
        </is>
      </c>
      <c r="E234" s="112" t="inlineStr">
        <is>
          <t>Phone sales Middle East</t>
        </is>
      </c>
      <c r="F234" s="112" t="inlineStr">
        <is>
          <t>103632652</t>
        </is>
      </c>
      <c r="G234" s="112" t="inlineStr">
        <is>
          <t>Prospect</t>
        </is>
      </c>
      <c r="H234" s="112" t="inlineStr">
        <is>
          <t>TAHHAN Riham</t>
        </is>
      </c>
      <c r="I234" s="113" t="n"/>
      <c r="J234" s="112" t="n"/>
    </row>
    <row r="235" ht="43.2" customHeight="1" s="287">
      <c r="A235" s="111" t="inlineStr">
        <is>
          <t>Request</t>
        </is>
      </c>
      <c r="B235" s="112" t="n"/>
      <c r="C235" s="112" t="inlineStr">
        <is>
          <t>16/1/2025</t>
        </is>
      </c>
      <c r="D235" s="112" t="inlineStr">
        <is>
          <t>4200H/222A-B934</t>
        </is>
      </c>
      <c r="E235" s="112" t="inlineStr">
        <is>
          <t>Phone sales Middle East</t>
        </is>
      </c>
      <c r="F235" s="112" t="inlineStr">
        <is>
          <t>103642113</t>
        </is>
      </c>
      <c r="G235" s="112" t="inlineStr">
        <is>
          <t>Prospect</t>
        </is>
      </c>
      <c r="H235" s="112" t="inlineStr">
        <is>
          <t>SHARIF Maaz</t>
        </is>
      </c>
      <c r="I235" s="113" t="inlineStr">
        <is>
          <t xml:space="preserve">the client is very interested 
</t>
        </is>
      </c>
      <c r="J235" s="112" t="n"/>
    </row>
    <row r="236" ht="57.6" customHeight="1" s="287">
      <c r="A236" s="111" t="inlineStr">
        <is>
          <t>Request</t>
        </is>
      </c>
      <c r="B236" s="112" t="n"/>
      <c r="C236" s="112" t="inlineStr">
        <is>
          <t>16/1/2025</t>
        </is>
      </c>
      <c r="D236" s="112" t="inlineStr">
        <is>
          <t>4200H/222A-B934</t>
        </is>
      </c>
      <c r="E236" s="112" t="inlineStr">
        <is>
          <t>Phone sales Middle East</t>
        </is>
      </c>
      <c r="F236" s="112" t="inlineStr">
        <is>
          <t>98199321</t>
        </is>
      </c>
      <c r="G236" s="112" t="inlineStr">
        <is>
          <t>VVIC</t>
        </is>
      </c>
      <c r="H236" s="112" t="inlineStr">
        <is>
          <t>SHARIF Maaz</t>
        </is>
      </c>
      <c r="I236" s="113" t="inlineStr">
        <is>
          <t xml:space="preserve">the client already purchased the b128 
</t>
        </is>
      </c>
      <c r="J236" s="112" t="n"/>
    </row>
    <row r="237" ht="28.95" customHeight="1" s="287">
      <c r="A237" s="111" t="inlineStr">
        <is>
          <t>Request</t>
        </is>
      </c>
      <c r="B237" s="112" t="n"/>
      <c r="C237" s="112" t="inlineStr">
        <is>
          <t>16/1/2025</t>
        </is>
      </c>
      <c r="D237" s="112" t="inlineStr">
        <is>
          <t>4200H/222A-B934</t>
        </is>
      </c>
      <c r="E237" s="112" t="inlineStr">
        <is>
          <t>Phone sales Middle East</t>
        </is>
      </c>
      <c r="F237" s="112" t="inlineStr">
        <is>
          <t>92397711</t>
        </is>
      </c>
      <c r="G237" s="112" t="inlineStr">
        <is>
          <t>VIC</t>
        </is>
      </c>
      <c r="H237" s="112" t="inlineStr">
        <is>
          <t>SHARIF Maaz</t>
        </is>
      </c>
      <c r="I237" s="113" t="inlineStr">
        <is>
          <t xml:space="preserve">
</t>
        </is>
      </c>
      <c r="J237" s="112" t="n"/>
    </row>
    <row r="238">
      <c r="A238" s="111" t="inlineStr">
        <is>
          <t>Request</t>
        </is>
      </c>
      <c r="B238" s="112" t="n"/>
      <c r="C238" s="112" t="inlineStr">
        <is>
          <t>16/1/2025</t>
        </is>
      </c>
      <c r="D238" s="112" t="inlineStr">
        <is>
          <t>4200H/222A-B934</t>
        </is>
      </c>
      <c r="E238" s="112" t="inlineStr">
        <is>
          <t>Phone sales Middle East</t>
        </is>
      </c>
      <c r="F238" s="112" t="inlineStr">
        <is>
          <t>103645755</t>
        </is>
      </c>
      <c r="G238" s="112" t="inlineStr">
        <is>
          <t>Prospect</t>
        </is>
      </c>
      <c r="H238" s="112" t="inlineStr">
        <is>
          <t>TAHHAN Riham</t>
        </is>
      </c>
      <c r="I238" s="113" t="n"/>
      <c r="J238" s="112" t="n"/>
    </row>
    <row r="239">
      <c r="A239" s="111" t="inlineStr">
        <is>
          <t>Request</t>
        </is>
      </c>
      <c r="B239" s="112" t="n"/>
      <c r="C239" s="112" t="inlineStr">
        <is>
          <t>16/1/2025</t>
        </is>
      </c>
      <c r="D239" s="112" t="inlineStr">
        <is>
          <t>4200H/222A-B934</t>
        </is>
      </c>
      <c r="E239" s="112" t="inlineStr">
        <is>
          <t>Phone sales Middle East</t>
        </is>
      </c>
      <c r="F239" s="112" t="inlineStr">
        <is>
          <t>92410153</t>
        </is>
      </c>
      <c r="G239" s="112" t="inlineStr">
        <is>
          <t>Prospect</t>
        </is>
      </c>
      <c r="H239" s="112" t="inlineStr">
        <is>
          <t>TAHHAN Riham</t>
        </is>
      </c>
      <c r="I239" s="113" t="n"/>
      <c r="J239" s="112" t="n"/>
    </row>
    <row r="240">
      <c r="A240" s="111" t="inlineStr">
        <is>
          <t>Request</t>
        </is>
      </c>
      <c r="B240" s="112" t="n"/>
      <c r="C240" s="112" t="inlineStr">
        <is>
          <t>16/1/2025</t>
        </is>
      </c>
      <c r="D240" s="112" t="inlineStr">
        <is>
          <t>4200H/222A-B934</t>
        </is>
      </c>
      <c r="E240" s="112" t="inlineStr">
        <is>
          <t>Phone sales Middle East</t>
        </is>
      </c>
      <c r="F240" s="112" t="inlineStr">
        <is>
          <t>92406326</t>
        </is>
      </c>
      <c r="G240" s="112" t="inlineStr">
        <is>
          <t>Prospect</t>
        </is>
      </c>
      <c r="H240" s="112" t="inlineStr">
        <is>
          <t>TAHHAN Riham</t>
        </is>
      </c>
      <c r="I240" s="113" t="n"/>
      <c r="J240" s="112" t="n"/>
    </row>
    <row r="241">
      <c r="A241" s="111" t="inlineStr">
        <is>
          <t>Request</t>
        </is>
      </c>
      <c r="B241" s="112" t="n"/>
      <c r="C241" s="112" t="inlineStr">
        <is>
          <t>16/1/2025</t>
        </is>
      </c>
      <c r="D241" s="112" t="inlineStr">
        <is>
          <t>4200H/222A-B934</t>
        </is>
      </c>
      <c r="E241" s="112" t="inlineStr">
        <is>
          <t>Phone sales Middle East</t>
        </is>
      </c>
      <c r="F241" s="112" t="inlineStr">
        <is>
          <t>100217721</t>
        </is>
      </c>
      <c r="G241" s="112" t="inlineStr">
        <is>
          <t>Prospect</t>
        </is>
      </c>
      <c r="H241" s="112" t="inlineStr">
        <is>
          <t>TAHHAN Riham</t>
        </is>
      </c>
      <c r="I241" s="113" t="n"/>
      <c r="J241" s="112" t="n"/>
    </row>
    <row r="242">
      <c r="A242" s="111" t="inlineStr">
        <is>
          <t>Request</t>
        </is>
      </c>
      <c r="B242" s="112" t="n"/>
      <c r="C242" s="112" t="inlineStr">
        <is>
          <t>16/1/2025</t>
        </is>
      </c>
      <c r="D242" s="112" t="inlineStr">
        <is>
          <t>4200H/222A-B934</t>
        </is>
      </c>
      <c r="E242" s="112" t="inlineStr">
        <is>
          <t>Phone sales Middle East</t>
        </is>
      </c>
      <c r="F242" s="112" t="inlineStr">
        <is>
          <t>103646324</t>
        </is>
      </c>
      <c r="G242" s="112" t="inlineStr">
        <is>
          <t>Prospect</t>
        </is>
      </c>
      <c r="H242" s="112" t="inlineStr">
        <is>
          <t>TAHHAN Riham</t>
        </is>
      </c>
      <c r="I242" s="113" t="n"/>
      <c r="J242" s="112" t="n"/>
    </row>
    <row r="243">
      <c r="A243" s="111" t="inlineStr">
        <is>
          <t>Request</t>
        </is>
      </c>
      <c r="B243" s="112" t="n"/>
      <c r="C243" s="112" t="inlineStr">
        <is>
          <t>16/1/2025</t>
        </is>
      </c>
      <c r="D243" s="112" t="inlineStr">
        <is>
          <t>4200H/222A-B934</t>
        </is>
      </c>
      <c r="E243" s="112" t="inlineStr">
        <is>
          <t>Phone sales Middle East</t>
        </is>
      </c>
      <c r="F243" s="112" t="inlineStr">
        <is>
          <t>103646387</t>
        </is>
      </c>
      <c r="G243" s="112" t="inlineStr">
        <is>
          <t>Prospect</t>
        </is>
      </c>
      <c r="H243" s="112" t="inlineStr">
        <is>
          <t>TAHHAN Riham</t>
        </is>
      </c>
      <c r="I243" s="113" t="n"/>
      <c r="J243" s="112" t="n"/>
    </row>
    <row r="244">
      <c r="A244" s="111" t="inlineStr">
        <is>
          <t>Request</t>
        </is>
      </c>
      <c r="B244" s="112" t="n"/>
      <c r="C244" s="112" t="inlineStr">
        <is>
          <t>16/1/2025</t>
        </is>
      </c>
      <c r="D244" s="112" t="inlineStr">
        <is>
          <t>4200H/222A-B934</t>
        </is>
      </c>
      <c r="E244" s="112" t="inlineStr">
        <is>
          <t>Phone sales Middle East</t>
        </is>
      </c>
      <c r="F244" s="112" t="inlineStr">
        <is>
          <t>101009517</t>
        </is>
      </c>
      <c r="G244" s="112" t="inlineStr">
        <is>
          <t>Prospect</t>
        </is>
      </c>
      <c r="H244" s="112" t="inlineStr">
        <is>
          <t>TAHHAN Riham</t>
        </is>
      </c>
      <c r="I244" s="113" t="n"/>
      <c r="J244" s="112" t="n"/>
    </row>
    <row r="245">
      <c r="A245" s="111" t="inlineStr">
        <is>
          <t>Request</t>
        </is>
      </c>
      <c r="B245" s="112" t="n"/>
      <c r="C245" s="112" t="inlineStr">
        <is>
          <t>16/1/2025</t>
        </is>
      </c>
      <c r="D245" s="112" t="inlineStr">
        <is>
          <t>4200H/222A-B934</t>
        </is>
      </c>
      <c r="E245" s="112" t="inlineStr">
        <is>
          <t>Phone sales Middle East</t>
        </is>
      </c>
      <c r="F245" s="112" t="inlineStr">
        <is>
          <t>101623615</t>
        </is>
      </c>
      <c r="G245" s="112" t="inlineStr">
        <is>
          <t>Prospect</t>
        </is>
      </c>
      <c r="H245" s="112" t="inlineStr">
        <is>
          <t>TAHHAN Riham</t>
        </is>
      </c>
      <c r="I245" s="113" t="n"/>
      <c r="J245" s="112" t="n"/>
    </row>
    <row r="246">
      <c r="A246" s="111" t="inlineStr">
        <is>
          <t>Request</t>
        </is>
      </c>
      <c r="B246" s="112" t="n"/>
      <c r="C246" s="112" t="inlineStr">
        <is>
          <t>16/1/2025</t>
        </is>
      </c>
      <c r="D246" s="112" t="inlineStr">
        <is>
          <t>4200H/222A-B934</t>
        </is>
      </c>
      <c r="E246" s="112" t="inlineStr">
        <is>
          <t>Phone sales Middle East</t>
        </is>
      </c>
      <c r="F246" s="112" t="inlineStr">
        <is>
          <t>101346110</t>
        </is>
      </c>
      <c r="G246" s="112" t="inlineStr">
        <is>
          <t>Prospect</t>
        </is>
      </c>
      <c r="H246" s="112" t="inlineStr">
        <is>
          <t>SHARIF Maaz</t>
        </is>
      </c>
      <c r="I246" s="113" t="n"/>
      <c r="J246" s="112" t="n"/>
    </row>
    <row r="247">
      <c r="A247" s="111" t="inlineStr">
        <is>
          <t>Request</t>
        </is>
      </c>
      <c r="B247" s="112" t="n"/>
      <c r="C247" s="112" t="inlineStr">
        <is>
          <t>16/1/2025</t>
        </is>
      </c>
      <c r="D247" s="112" t="inlineStr">
        <is>
          <t>4200H/222A-B934</t>
        </is>
      </c>
      <c r="E247" s="112" t="inlineStr">
        <is>
          <t>Phone sales Middle East</t>
        </is>
      </c>
      <c r="F247" s="112" t="inlineStr">
        <is>
          <t>102180966</t>
        </is>
      </c>
      <c r="G247" s="112" t="inlineStr">
        <is>
          <t>Prospect</t>
        </is>
      </c>
      <c r="H247" s="112" t="inlineStr">
        <is>
          <t>TAHHAN Riham</t>
        </is>
      </c>
      <c r="I247" s="113" t="n"/>
      <c r="J247" s="112" t="n"/>
    </row>
    <row r="248">
      <c r="A248" s="111" t="inlineStr">
        <is>
          <t>Request</t>
        </is>
      </c>
      <c r="B248" s="112" t="n"/>
      <c r="C248" s="112" t="inlineStr">
        <is>
          <t>16/1/2025</t>
        </is>
      </c>
      <c r="D248" s="112" t="inlineStr">
        <is>
          <t>4200H/222A-B934</t>
        </is>
      </c>
      <c r="E248" s="112" t="inlineStr">
        <is>
          <t>Phone sales Middle East</t>
        </is>
      </c>
      <c r="F248" s="112" t="inlineStr">
        <is>
          <t>103656728</t>
        </is>
      </c>
      <c r="G248" s="112" t="inlineStr">
        <is>
          <t>Prospect</t>
        </is>
      </c>
      <c r="H248" s="112" t="inlineStr">
        <is>
          <t>SHARIF Maaz</t>
        </is>
      </c>
      <c r="I248" s="113" t="n"/>
      <c r="J248" s="112" t="n"/>
    </row>
    <row r="249">
      <c r="A249" s="111" t="inlineStr">
        <is>
          <t>Request</t>
        </is>
      </c>
      <c r="B249" s="112" t="n"/>
      <c r="C249" s="112" t="inlineStr">
        <is>
          <t>16/1/2025</t>
        </is>
      </c>
      <c r="D249" s="112" t="inlineStr">
        <is>
          <t>4200H/222A-B934</t>
        </is>
      </c>
      <c r="E249" s="112" t="inlineStr">
        <is>
          <t>Phone sales Middle East</t>
        </is>
      </c>
      <c r="F249" s="112" t="inlineStr">
        <is>
          <t>92403591</t>
        </is>
      </c>
      <c r="G249" s="112" t="inlineStr">
        <is>
          <t>Prospect</t>
        </is>
      </c>
      <c r="H249" s="112" t="inlineStr">
        <is>
          <t>SHARIF Maaz</t>
        </is>
      </c>
      <c r="I249" s="113" t="n"/>
      <c r="J249" s="112" t="n"/>
    </row>
    <row r="250">
      <c r="A250" s="111" t="inlineStr">
        <is>
          <t>Request</t>
        </is>
      </c>
      <c r="B250" s="112" t="n"/>
      <c r="C250" s="112" t="inlineStr">
        <is>
          <t>16/1/2025</t>
        </is>
      </c>
      <c r="D250" s="112" t="inlineStr">
        <is>
          <t>4200H/222A-B934</t>
        </is>
      </c>
      <c r="E250" s="112" t="inlineStr">
        <is>
          <t>Phone sales Middle East</t>
        </is>
      </c>
      <c r="F250" s="112" t="inlineStr">
        <is>
          <t>92400865</t>
        </is>
      </c>
      <c r="G250" s="112" t="inlineStr">
        <is>
          <t>Prospect</t>
        </is>
      </c>
      <c r="H250" s="112" t="inlineStr">
        <is>
          <t>SHARIF Maaz</t>
        </is>
      </c>
      <c r="I250" s="113" t="n"/>
      <c r="J250" s="112" t="n"/>
    </row>
    <row r="251">
      <c r="A251" s="111" t="inlineStr">
        <is>
          <t>Request</t>
        </is>
      </c>
      <c r="B251" s="112" t="n"/>
      <c r="C251" s="112" t="inlineStr">
        <is>
          <t>15/1/2025</t>
        </is>
      </c>
      <c r="D251" s="112" t="inlineStr">
        <is>
          <t>4200H/222A-B934</t>
        </is>
      </c>
      <c r="E251" s="112" t="inlineStr">
        <is>
          <t>Phone sales Middle East</t>
        </is>
      </c>
      <c r="F251" s="112" t="inlineStr">
        <is>
          <t>103617461</t>
        </is>
      </c>
      <c r="G251" s="112" t="inlineStr">
        <is>
          <t>Prospect</t>
        </is>
      </c>
      <c r="H251" s="112" t="inlineStr">
        <is>
          <t>TAHHAN Riham</t>
        </is>
      </c>
      <c r="I251" s="113" t="n"/>
      <c r="J251" s="112" t="n"/>
    </row>
    <row r="252" ht="43.2" customHeight="1" s="287">
      <c r="A252" s="111" t="inlineStr">
        <is>
          <t>Request</t>
        </is>
      </c>
      <c r="B252" s="112" t="n"/>
      <c r="C252" s="112" t="inlineStr">
        <is>
          <t>15/1/2025</t>
        </is>
      </c>
      <c r="D252" s="112" t="inlineStr">
        <is>
          <t>4200H/222A-B934</t>
        </is>
      </c>
      <c r="E252" s="112" t="inlineStr">
        <is>
          <t>Phone sales Middle East</t>
        </is>
      </c>
      <c r="F252" s="112" t="inlineStr">
        <is>
          <t>103630373</t>
        </is>
      </c>
      <c r="G252" s="112" t="inlineStr">
        <is>
          <t>Prospect</t>
        </is>
      </c>
      <c r="H252" s="112" t="inlineStr">
        <is>
          <t>OMARI Asma</t>
        </is>
      </c>
      <c r="I252" s="113" t="inlineStr">
        <is>
          <t xml:space="preserve">Only calls (Mr. Eujin Lajuenko)
</t>
        </is>
      </c>
      <c r="J252" s="112" t="n"/>
    </row>
    <row r="253" ht="57.6" customHeight="1" s="287">
      <c r="A253" s="111" t="inlineStr">
        <is>
          <t>Request</t>
        </is>
      </c>
      <c r="B253" s="112" t="n"/>
      <c r="C253" s="112" t="inlineStr">
        <is>
          <t>15/1/2025</t>
        </is>
      </c>
      <c r="D253" s="112" t="inlineStr">
        <is>
          <t>4200H/222A-B934</t>
        </is>
      </c>
      <c r="E253" s="112" t="inlineStr">
        <is>
          <t>Phone sales Middle East</t>
        </is>
      </c>
      <c r="F253" s="112" t="inlineStr">
        <is>
          <t>103620891</t>
        </is>
      </c>
      <c r="G253" s="112" t="inlineStr">
        <is>
          <t>Prospect</t>
        </is>
      </c>
      <c r="H253" s="112" t="inlineStr">
        <is>
          <t>TAHHAN Riham</t>
        </is>
      </c>
      <c r="I253" s="113" t="inlineStr">
        <is>
          <t xml:space="preserve">Owner of OVS and fifty six blue dial
</t>
        </is>
      </c>
      <c r="J253" s="112" t="n"/>
    </row>
    <row r="254" ht="28.95" customHeight="1" s="287">
      <c r="A254" s="111" t="inlineStr">
        <is>
          <t>Request</t>
        </is>
      </c>
      <c r="B254" s="112" t="n"/>
      <c r="C254" s="112" t="inlineStr">
        <is>
          <t>15/1/2025</t>
        </is>
      </c>
      <c r="D254" s="112" t="inlineStr">
        <is>
          <t>4200H/222A-B934</t>
        </is>
      </c>
      <c r="E254" s="112" t="inlineStr">
        <is>
          <t>Phone sales Middle East</t>
        </is>
      </c>
      <c r="F254" s="112" t="inlineStr">
        <is>
          <t>103622461</t>
        </is>
      </c>
      <c r="G254" s="112" t="inlineStr">
        <is>
          <t>Prospect</t>
        </is>
      </c>
      <c r="H254" s="112" t="inlineStr">
        <is>
          <t>OMARI Asma</t>
        </is>
      </c>
      <c r="I254" s="113" t="inlineStr">
        <is>
          <t xml:space="preserve">Mr. Shadi Hassan
</t>
        </is>
      </c>
      <c r="J254" s="112" t="n"/>
    </row>
    <row r="255" ht="57.6" customHeight="1" s="287">
      <c r="A255" s="111" t="inlineStr">
        <is>
          <t>Request</t>
        </is>
      </c>
      <c r="B255" s="112" t="n"/>
      <c r="C255" s="112" t="inlineStr">
        <is>
          <t>15/1/2025</t>
        </is>
      </c>
      <c r="D255" s="112" t="inlineStr">
        <is>
          <t>4200H/222A-B934</t>
        </is>
      </c>
      <c r="E255" s="112" t="inlineStr">
        <is>
          <t>Phone sales Middle East</t>
        </is>
      </c>
      <c r="F255" s="112" t="inlineStr">
        <is>
          <t>103616594</t>
        </is>
      </c>
      <c r="G255" s="112" t="inlineStr">
        <is>
          <t>Prospect</t>
        </is>
      </c>
      <c r="H255" s="112" t="inlineStr">
        <is>
          <t>SHARIF Maaz</t>
        </is>
      </c>
      <c r="I255" s="113" t="inlineStr">
        <is>
          <t xml:space="preserve">the client is intrested in the Timepeice 
</t>
        </is>
      </c>
      <c r="J255" s="112" t="n"/>
    </row>
    <row r="256" ht="57.6" customHeight="1" s="287">
      <c r="A256" s="111" t="inlineStr">
        <is>
          <t>Request</t>
        </is>
      </c>
      <c r="B256" s="112" t="n"/>
      <c r="C256" s="112" t="inlineStr">
        <is>
          <t>15/1/2025</t>
        </is>
      </c>
      <c r="D256" s="112" t="inlineStr">
        <is>
          <t>4200H/222A-B934</t>
        </is>
      </c>
      <c r="E256" s="112" t="inlineStr">
        <is>
          <t>Phone sales Middle East</t>
        </is>
      </c>
      <c r="F256" s="112" t="inlineStr">
        <is>
          <t>103610315</t>
        </is>
      </c>
      <c r="G256" s="112" t="inlineStr">
        <is>
          <t>Prospect</t>
        </is>
      </c>
      <c r="H256" s="112" t="inlineStr">
        <is>
          <t>SHARIF Maaz</t>
        </is>
      </c>
      <c r="I256" s="113" t="inlineStr">
        <is>
          <t xml:space="preserve">The client is interested in the 222
</t>
        </is>
      </c>
      <c r="J256" s="112" t="n"/>
    </row>
    <row r="257" ht="43.2" customHeight="1" s="287">
      <c r="A257" s="111" t="inlineStr">
        <is>
          <t>Request</t>
        </is>
      </c>
      <c r="B257" s="112" t="n"/>
      <c r="C257" s="112" t="inlineStr">
        <is>
          <t>15/1/2025</t>
        </is>
      </c>
      <c r="D257" s="112" t="inlineStr">
        <is>
          <t>4200H/222A-B934</t>
        </is>
      </c>
      <c r="E257" s="112" t="inlineStr">
        <is>
          <t>Phone sales Middle East</t>
        </is>
      </c>
      <c r="F257" s="112" t="inlineStr">
        <is>
          <t>92400627</t>
        </is>
      </c>
      <c r="G257" s="112" t="inlineStr">
        <is>
          <t>Prospect</t>
        </is>
      </c>
      <c r="H257" s="112" t="inlineStr">
        <is>
          <t>TAHHAN Riham</t>
        </is>
      </c>
      <c r="I257" s="113" t="inlineStr">
        <is>
          <t xml:space="preserve">Requested UAE market
</t>
        </is>
      </c>
      <c r="J257" s="112" t="n"/>
    </row>
    <row r="258">
      <c r="A258" s="111" t="inlineStr">
        <is>
          <t>Request</t>
        </is>
      </c>
      <c r="B258" s="112" t="n"/>
      <c r="C258" s="112" t="inlineStr">
        <is>
          <t>15/1/2025</t>
        </is>
      </c>
      <c r="D258" s="112" t="inlineStr">
        <is>
          <t>4200H/222A-B934</t>
        </is>
      </c>
      <c r="E258" s="112" t="inlineStr">
        <is>
          <t>Phone sales Middle East</t>
        </is>
      </c>
      <c r="F258" s="112" t="inlineStr">
        <is>
          <t>103630617</t>
        </is>
      </c>
      <c r="G258" s="112" t="inlineStr">
        <is>
          <t>Prospect</t>
        </is>
      </c>
      <c r="H258" s="112" t="inlineStr">
        <is>
          <t>TAHHAN Riham</t>
        </is>
      </c>
      <c r="I258" s="113" t="n"/>
      <c r="J258" s="112" t="n"/>
    </row>
    <row r="259">
      <c r="A259" s="111" t="inlineStr">
        <is>
          <t>Request</t>
        </is>
      </c>
      <c r="B259" s="112" t="n"/>
      <c r="C259" s="112" t="inlineStr">
        <is>
          <t>15/1/2025</t>
        </is>
      </c>
      <c r="D259" s="112" t="inlineStr">
        <is>
          <t>4200H/222A-B934</t>
        </is>
      </c>
      <c r="E259" s="112" t="inlineStr">
        <is>
          <t>Phone sales Middle East</t>
        </is>
      </c>
      <c r="F259" s="112" t="inlineStr">
        <is>
          <t>92407337</t>
        </is>
      </c>
      <c r="G259" s="112" t="inlineStr">
        <is>
          <t>Prospect</t>
        </is>
      </c>
      <c r="H259" s="112" t="inlineStr">
        <is>
          <t>TAHHAN Riham</t>
        </is>
      </c>
      <c r="I259" s="113" t="n"/>
      <c r="J259" s="112" t="n"/>
    </row>
    <row r="260">
      <c r="A260" s="111" t="inlineStr">
        <is>
          <t>Request</t>
        </is>
      </c>
      <c r="B260" s="112" t="n"/>
      <c r="C260" s="112" t="inlineStr">
        <is>
          <t>15/1/2025</t>
        </is>
      </c>
      <c r="D260" s="112" t="inlineStr">
        <is>
          <t>4200H/222A-B934</t>
        </is>
      </c>
      <c r="E260" s="112" t="inlineStr">
        <is>
          <t>Phone sales Middle East</t>
        </is>
      </c>
      <c r="F260" s="112" t="inlineStr">
        <is>
          <t>92422856</t>
        </is>
      </c>
      <c r="G260" s="112" t="inlineStr">
        <is>
          <t>Prospect</t>
        </is>
      </c>
      <c r="H260" s="112" t="inlineStr">
        <is>
          <t>TAHHAN Riham</t>
        </is>
      </c>
      <c r="I260" s="113" t="n"/>
      <c r="J260" s="112" t="n"/>
    </row>
    <row r="261">
      <c r="A261" s="111" t="inlineStr">
        <is>
          <t>Request</t>
        </is>
      </c>
      <c r="B261" s="112" t="n"/>
      <c r="C261" s="112" t="inlineStr">
        <is>
          <t>15/1/2025</t>
        </is>
      </c>
      <c r="D261" s="112" t="inlineStr">
        <is>
          <t>4200H/222A-B934</t>
        </is>
      </c>
      <c r="E261" s="112" t="inlineStr">
        <is>
          <t>Phone sales Middle East</t>
        </is>
      </c>
      <c r="F261" s="112" t="inlineStr">
        <is>
          <t>93832355</t>
        </is>
      </c>
      <c r="G261" s="112" t="inlineStr">
        <is>
          <t>Prospect</t>
        </is>
      </c>
      <c r="H261" s="112" t="inlineStr">
        <is>
          <t>SHARIF Maaz</t>
        </is>
      </c>
      <c r="I261" s="113" t="n"/>
      <c r="J261" s="112" t="n"/>
    </row>
    <row r="262">
      <c r="A262" s="111" t="inlineStr">
        <is>
          <t>Request</t>
        </is>
      </c>
      <c r="B262" s="112" t="n"/>
      <c r="C262" s="112" t="inlineStr">
        <is>
          <t>15/1/2025</t>
        </is>
      </c>
      <c r="D262" s="112" t="inlineStr">
        <is>
          <t>4200H/222A-B934</t>
        </is>
      </c>
      <c r="E262" s="112" t="inlineStr">
        <is>
          <t>Phone sales Middle East</t>
        </is>
      </c>
      <c r="F262" s="112" t="inlineStr">
        <is>
          <t>103632699</t>
        </is>
      </c>
      <c r="G262" s="112" t="inlineStr">
        <is>
          <t>Prospect</t>
        </is>
      </c>
      <c r="H262" s="112" t="inlineStr">
        <is>
          <t>TAHHAN Riham</t>
        </is>
      </c>
      <c r="I262" s="113" t="n"/>
      <c r="J262" s="112" t="n"/>
    </row>
    <row r="263" ht="43.2" customHeight="1" s="287">
      <c r="A263" s="111" t="inlineStr">
        <is>
          <t>Request</t>
        </is>
      </c>
      <c r="B263" s="112" t="n"/>
      <c r="C263" s="112" t="inlineStr">
        <is>
          <t>15/1/2025</t>
        </is>
      </c>
      <c r="D263" s="112" t="inlineStr">
        <is>
          <t>4200H/222A-B934</t>
        </is>
      </c>
      <c r="E263" s="112" t="inlineStr">
        <is>
          <t>Phone sales Middle East</t>
        </is>
      </c>
      <c r="F263" s="112" t="inlineStr">
        <is>
          <t>103631041</t>
        </is>
      </c>
      <c r="G263" s="112" t="inlineStr">
        <is>
          <t>Prospect</t>
        </is>
      </c>
      <c r="H263" s="112" t="inlineStr">
        <is>
          <t>OMARI Asma</t>
        </is>
      </c>
      <c r="I263" s="113" t="inlineStr">
        <is>
          <t xml:space="preserve">Mr. Mohammed Alhashimi (KSA)
</t>
        </is>
      </c>
      <c r="J263" s="112" t="n"/>
    </row>
    <row r="264">
      <c r="A264" s="111" t="inlineStr">
        <is>
          <t>Cancelled</t>
        </is>
      </c>
      <c r="B264" s="112" t="inlineStr">
        <is>
          <t>Cancelled</t>
        </is>
      </c>
      <c r="C264" s="112" t="inlineStr">
        <is>
          <t>15/1/2025</t>
        </is>
      </c>
      <c r="D264" s="112" t="inlineStr">
        <is>
          <t>4520V/210A-B126</t>
        </is>
      </c>
      <c r="E264" s="112" t="inlineStr">
        <is>
          <t>Phone sales Middle East</t>
        </is>
      </c>
      <c r="F264" s="112" t="inlineStr">
        <is>
          <t>103633773</t>
        </is>
      </c>
      <c r="G264" s="112" t="inlineStr">
        <is>
          <t>Prospect</t>
        </is>
      </c>
      <c r="H264" s="112" t="inlineStr">
        <is>
          <t>TAHHAN Riham</t>
        </is>
      </c>
      <c r="I264" s="113" t="n"/>
      <c r="J264" s="112" t="n"/>
    </row>
    <row r="265">
      <c r="A265" s="111" t="inlineStr">
        <is>
          <t>Request</t>
        </is>
      </c>
      <c r="B265" s="112" t="n"/>
      <c r="C265" s="112" t="inlineStr">
        <is>
          <t>15/1/2025</t>
        </is>
      </c>
      <c r="D265" s="112" t="inlineStr">
        <is>
          <t>4200H/222A-B934</t>
        </is>
      </c>
      <c r="E265" s="112" t="inlineStr">
        <is>
          <t>Phone sales Middle East</t>
        </is>
      </c>
      <c r="F265" s="112" t="inlineStr">
        <is>
          <t>92398362</t>
        </is>
      </c>
      <c r="G265" s="112" t="inlineStr">
        <is>
          <t>Prospect</t>
        </is>
      </c>
      <c r="H265" s="112" t="inlineStr">
        <is>
          <t>TAHHAN Riham</t>
        </is>
      </c>
      <c r="I265" s="113" t="n"/>
      <c r="J265" s="112" t="n"/>
    </row>
    <row r="266">
      <c r="A266" s="111" t="inlineStr">
        <is>
          <t>Request</t>
        </is>
      </c>
      <c r="B266" s="112" t="n"/>
      <c r="C266" s="112" t="inlineStr">
        <is>
          <t>15/1/2025</t>
        </is>
      </c>
      <c r="D266" s="112" t="inlineStr">
        <is>
          <t>4200H/222A-B934</t>
        </is>
      </c>
      <c r="E266" s="112" t="inlineStr">
        <is>
          <t>Phone sales Middle East</t>
        </is>
      </c>
      <c r="F266" s="112" t="inlineStr">
        <is>
          <t>103616758</t>
        </is>
      </c>
      <c r="G266" s="112" t="inlineStr">
        <is>
          <t>Prospect</t>
        </is>
      </c>
      <c r="H266" s="112" t="inlineStr">
        <is>
          <t>TAHHAN Riham</t>
        </is>
      </c>
      <c r="I266" s="113" t="n"/>
      <c r="J266" s="112" t="n"/>
    </row>
    <row r="267">
      <c r="A267" s="111" t="inlineStr">
        <is>
          <t>Request</t>
        </is>
      </c>
      <c r="B267" s="112" t="n"/>
      <c r="C267" s="112" t="inlineStr">
        <is>
          <t>15/1/2025</t>
        </is>
      </c>
      <c r="D267" s="112" t="inlineStr">
        <is>
          <t>4200H/222A-B934</t>
        </is>
      </c>
      <c r="E267" s="112" t="inlineStr">
        <is>
          <t>Phone sales Middle East</t>
        </is>
      </c>
      <c r="F267" s="112" t="inlineStr">
        <is>
          <t>98742444</t>
        </is>
      </c>
      <c r="G267" s="112" t="inlineStr">
        <is>
          <t>Prospect</t>
        </is>
      </c>
      <c r="H267" s="112" t="inlineStr">
        <is>
          <t>SHARIF Maaz</t>
        </is>
      </c>
      <c r="I267" s="113" t="n"/>
      <c r="J267" s="112" t="n"/>
    </row>
    <row r="268" ht="43.2" customHeight="1" s="287">
      <c r="A268" s="111" t="inlineStr">
        <is>
          <t>Request</t>
        </is>
      </c>
      <c r="B268" s="112" t="n"/>
      <c r="C268" s="112" t="inlineStr">
        <is>
          <t>15/1/2025</t>
        </is>
      </c>
      <c r="D268" s="112" t="inlineStr">
        <is>
          <t>4200H/222A-B934</t>
        </is>
      </c>
      <c r="E268" s="112" t="inlineStr">
        <is>
          <t>Phone sales Middle East</t>
        </is>
      </c>
      <c r="F268" s="112" t="inlineStr">
        <is>
          <t>103629013</t>
        </is>
      </c>
      <c r="G268" s="112" t="inlineStr">
        <is>
          <t>Prospect</t>
        </is>
      </c>
      <c r="H268" s="112" t="inlineStr">
        <is>
          <t>OMARI Asma</t>
        </is>
      </c>
      <c r="I268" s="113" t="inlineStr">
        <is>
          <t xml:space="preserve">ksa : Yousef Alibrahim
</t>
        </is>
      </c>
      <c r="J268" s="112" t="n"/>
    </row>
    <row r="269">
      <c r="A269" s="111" t="inlineStr">
        <is>
          <t>Request</t>
        </is>
      </c>
      <c r="B269" s="112" t="n"/>
      <c r="C269" s="112" t="inlineStr">
        <is>
          <t>15/1/2025</t>
        </is>
      </c>
      <c r="D269" s="112" t="inlineStr">
        <is>
          <t>4200H/222A-B934</t>
        </is>
      </c>
      <c r="E269" s="112" t="inlineStr">
        <is>
          <t>Phone sales Middle East</t>
        </is>
      </c>
      <c r="F269" s="112" t="inlineStr">
        <is>
          <t>92408025</t>
        </is>
      </c>
      <c r="G269" s="112" t="inlineStr">
        <is>
          <t>Prospect</t>
        </is>
      </c>
      <c r="H269" s="112" t="inlineStr">
        <is>
          <t>SHARIF Maaz</t>
        </is>
      </c>
      <c r="I269" s="113" t="n"/>
      <c r="J269" s="112" t="n"/>
    </row>
    <row r="270">
      <c r="A270" s="111" t="inlineStr">
        <is>
          <t>Request</t>
        </is>
      </c>
      <c r="B270" s="112" t="n"/>
      <c r="C270" s="112" t="inlineStr">
        <is>
          <t>15/1/2025</t>
        </is>
      </c>
      <c r="D270" s="112" t="inlineStr">
        <is>
          <t>4200H/222A-B934</t>
        </is>
      </c>
      <c r="E270" s="112" t="inlineStr">
        <is>
          <t>Phone sales Middle East</t>
        </is>
      </c>
      <c r="F270" s="112" t="inlineStr">
        <is>
          <t>103616558</t>
        </is>
      </c>
      <c r="G270" s="112" t="inlineStr">
        <is>
          <t>Prospect</t>
        </is>
      </c>
      <c r="H270" s="112" t="inlineStr">
        <is>
          <t>SHARIF Maaz</t>
        </is>
      </c>
      <c r="I270" s="113" t="n"/>
      <c r="J270" s="112" t="n"/>
    </row>
    <row r="271">
      <c r="A271" s="111" t="inlineStr">
        <is>
          <t>Request</t>
        </is>
      </c>
      <c r="B271" s="112" t="n"/>
      <c r="C271" s="112" t="inlineStr">
        <is>
          <t>15/1/2025</t>
        </is>
      </c>
      <c r="D271" s="112" t="inlineStr">
        <is>
          <t>4200H/222A-B934</t>
        </is>
      </c>
      <c r="E271" s="112" t="inlineStr">
        <is>
          <t>Phone sales Middle East</t>
        </is>
      </c>
      <c r="F271" s="112" t="inlineStr">
        <is>
          <t>92397362</t>
        </is>
      </c>
      <c r="G271" s="112" t="inlineStr">
        <is>
          <t>Prospect</t>
        </is>
      </c>
      <c r="H271" s="112" t="inlineStr">
        <is>
          <t>SHARIF Maaz</t>
        </is>
      </c>
      <c r="I271" s="113" t="n"/>
      <c r="J271" s="112" t="n"/>
    </row>
    <row r="272">
      <c r="A272" s="111" t="inlineStr">
        <is>
          <t>Request</t>
        </is>
      </c>
      <c r="B272" s="112" t="n"/>
      <c r="C272" s="112" t="inlineStr">
        <is>
          <t>15/1/2025</t>
        </is>
      </c>
      <c r="D272" s="112" t="inlineStr">
        <is>
          <t>4200H/222A-B934</t>
        </is>
      </c>
      <c r="E272" s="112" t="inlineStr">
        <is>
          <t>Phone sales Middle East</t>
        </is>
      </c>
      <c r="F272" s="112" t="inlineStr">
        <is>
          <t>103591723</t>
        </is>
      </c>
      <c r="G272" s="112" t="inlineStr">
        <is>
          <t>Prospect</t>
        </is>
      </c>
      <c r="H272" s="112" t="inlineStr">
        <is>
          <t>SHARIF Maaz</t>
        </is>
      </c>
      <c r="I272" s="113" t="n"/>
      <c r="J272" s="112" t="n"/>
    </row>
    <row r="273">
      <c r="A273" s="111" t="inlineStr">
        <is>
          <t>Request</t>
        </is>
      </c>
      <c r="B273" s="112" t="n"/>
      <c r="C273" s="112" t="inlineStr">
        <is>
          <t>15/1/2025</t>
        </is>
      </c>
      <c r="D273" s="112" t="inlineStr">
        <is>
          <t>4200H/222A-B934</t>
        </is>
      </c>
      <c r="E273" s="112" t="inlineStr">
        <is>
          <t>Phone sales Middle East</t>
        </is>
      </c>
      <c r="F273" s="112" t="inlineStr">
        <is>
          <t>92401316</t>
        </is>
      </c>
      <c r="G273" s="112" t="inlineStr">
        <is>
          <t>Prospect</t>
        </is>
      </c>
      <c r="H273" s="112" t="inlineStr">
        <is>
          <t>SHARIF Maaz</t>
        </is>
      </c>
      <c r="I273" s="113" t="n"/>
      <c r="J273" s="112" t="n"/>
    </row>
    <row r="274">
      <c r="A274" s="111" t="inlineStr">
        <is>
          <t>Request</t>
        </is>
      </c>
      <c r="B274" s="112" t="n"/>
      <c r="C274" s="112" t="inlineStr">
        <is>
          <t>15/1/2025</t>
        </is>
      </c>
      <c r="D274" s="112" t="inlineStr">
        <is>
          <t>4200H/222A-B934</t>
        </is>
      </c>
      <c r="E274" s="112" t="inlineStr">
        <is>
          <t>Phone sales Middle East</t>
        </is>
      </c>
      <c r="F274" s="112" t="inlineStr">
        <is>
          <t>103617256</t>
        </is>
      </c>
      <c r="G274" s="112" t="inlineStr">
        <is>
          <t>Prospect</t>
        </is>
      </c>
      <c r="H274" s="112" t="inlineStr">
        <is>
          <t>SHARIF Maaz</t>
        </is>
      </c>
      <c r="I274" s="113" t="n"/>
      <c r="J274" s="112" t="n"/>
    </row>
    <row r="275">
      <c r="A275" s="111" t="inlineStr">
        <is>
          <t>Request</t>
        </is>
      </c>
      <c r="B275" s="112" t="n"/>
      <c r="C275" s="112" t="inlineStr">
        <is>
          <t>15/1/2025</t>
        </is>
      </c>
      <c r="D275" s="112" t="inlineStr">
        <is>
          <t>4200H/222A-B934</t>
        </is>
      </c>
      <c r="E275" s="112" t="inlineStr">
        <is>
          <t>Phone sales Middle East</t>
        </is>
      </c>
      <c r="F275" s="112" t="inlineStr">
        <is>
          <t>103616653</t>
        </is>
      </c>
      <c r="G275" s="112" t="inlineStr">
        <is>
          <t>Prospect</t>
        </is>
      </c>
      <c r="H275" s="112" t="inlineStr">
        <is>
          <t>SHARIF Maaz</t>
        </is>
      </c>
      <c r="I275" s="113" t="n"/>
      <c r="J275" s="112" t="n"/>
    </row>
    <row r="276">
      <c r="A276" s="111" t="inlineStr">
        <is>
          <t>Request</t>
        </is>
      </c>
      <c r="B276" s="112" t="n"/>
      <c r="C276" s="112" t="inlineStr">
        <is>
          <t>15/1/2025</t>
        </is>
      </c>
      <c r="D276" s="112" t="inlineStr">
        <is>
          <t>4200H/222A-B934</t>
        </is>
      </c>
      <c r="E276" s="112" t="inlineStr">
        <is>
          <t>Phone sales Middle East</t>
        </is>
      </c>
      <c r="F276" s="112" t="inlineStr">
        <is>
          <t>103620663</t>
        </is>
      </c>
      <c r="G276" s="112" t="inlineStr">
        <is>
          <t>Prospect</t>
        </is>
      </c>
      <c r="H276" s="112" t="inlineStr">
        <is>
          <t>SHARIF Maaz</t>
        </is>
      </c>
      <c r="I276" s="113" t="n"/>
      <c r="J276" s="112" t="n"/>
    </row>
    <row r="277">
      <c r="A277" s="111" t="inlineStr">
        <is>
          <t>Request</t>
        </is>
      </c>
      <c r="B277" s="112" t="n"/>
      <c r="C277" s="112" t="inlineStr">
        <is>
          <t>15/1/2025</t>
        </is>
      </c>
      <c r="D277" s="112" t="inlineStr">
        <is>
          <t>4200H/222A-B934</t>
        </is>
      </c>
      <c r="E277" s="112" t="inlineStr">
        <is>
          <t>Phone sales Middle East</t>
        </is>
      </c>
      <c r="F277" s="112" t="inlineStr">
        <is>
          <t>103621182</t>
        </is>
      </c>
      <c r="G277" s="112" t="inlineStr">
        <is>
          <t>Prospect</t>
        </is>
      </c>
      <c r="H277" s="112" t="inlineStr">
        <is>
          <t>SHARIF Maaz</t>
        </is>
      </c>
      <c r="I277" s="113" t="n"/>
      <c r="J277" s="112" t="n"/>
    </row>
    <row r="278">
      <c r="A278" s="111" t="inlineStr">
        <is>
          <t>Request</t>
        </is>
      </c>
      <c r="B278" s="112" t="n"/>
      <c r="C278" s="112" t="inlineStr">
        <is>
          <t>15/1/2025</t>
        </is>
      </c>
      <c r="D278" s="112" t="inlineStr">
        <is>
          <t>4200H/222A-B934</t>
        </is>
      </c>
      <c r="E278" s="112" t="inlineStr">
        <is>
          <t>Phone sales Middle East</t>
        </is>
      </c>
      <c r="F278" s="112" t="inlineStr">
        <is>
          <t>103620632</t>
        </is>
      </c>
      <c r="G278" s="112" t="inlineStr">
        <is>
          <t>Prospect</t>
        </is>
      </c>
      <c r="H278" s="112" t="inlineStr">
        <is>
          <t>SHARIF Maaz</t>
        </is>
      </c>
      <c r="I278" s="113" t="n"/>
      <c r="J278" s="112" t="n"/>
    </row>
    <row r="279">
      <c r="A279" s="111" t="inlineStr">
        <is>
          <t>Request</t>
        </is>
      </c>
      <c r="B279" s="112" t="n"/>
      <c r="C279" s="112" t="inlineStr">
        <is>
          <t>15/1/2025</t>
        </is>
      </c>
      <c r="D279" s="112" t="inlineStr">
        <is>
          <t>4200H/222A-B934</t>
        </is>
      </c>
      <c r="E279" s="112" t="inlineStr">
        <is>
          <t>Phone sales Middle East</t>
        </is>
      </c>
      <c r="F279" s="112" t="inlineStr">
        <is>
          <t>92397707</t>
        </is>
      </c>
      <c r="G279" s="112" t="inlineStr">
        <is>
          <t>Prospect</t>
        </is>
      </c>
      <c r="H279" s="112" t="inlineStr">
        <is>
          <t>SHARIF Maaz</t>
        </is>
      </c>
      <c r="I279" s="113" t="n"/>
      <c r="J279" s="112" t="n"/>
    </row>
    <row r="280">
      <c r="A280" s="111" t="inlineStr">
        <is>
          <t>Request</t>
        </is>
      </c>
      <c r="B280" s="112" t="n"/>
      <c r="C280" s="112" t="inlineStr">
        <is>
          <t>15/1/2025</t>
        </is>
      </c>
      <c r="D280" s="112" t="inlineStr">
        <is>
          <t>4200H/222A-B934</t>
        </is>
      </c>
      <c r="E280" s="112" t="inlineStr">
        <is>
          <t>Phone sales Middle East</t>
        </is>
      </c>
      <c r="F280" s="112" t="inlineStr">
        <is>
          <t>92404856</t>
        </is>
      </c>
      <c r="G280" s="112" t="inlineStr">
        <is>
          <t>Prospect</t>
        </is>
      </c>
      <c r="H280" s="112" t="inlineStr">
        <is>
          <t>SHARIF Maaz</t>
        </is>
      </c>
      <c r="I280" s="113" t="n"/>
      <c r="J280" s="112" t="n"/>
    </row>
    <row r="281" ht="43.2" customHeight="1" s="287">
      <c r="A281" s="111" t="inlineStr">
        <is>
          <t>Request</t>
        </is>
      </c>
      <c r="B281" s="112" t="n"/>
      <c r="C281" s="112" t="inlineStr">
        <is>
          <t>14/1/2025</t>
        </is>
      </c>
      <c r="D281" s="112" t="inlineStr">
        <is>
          <t>4200H/222A-B934</t>
        </is>
      </c>
      <c r="E281" s="112" t="inlineStr">
        <is>
          <t>Phone sales Middle East</t>
        </is>
      </c>
      <c r="F281" s="112" t="inlineStr">
        <is>
          <t>103615698</t>
        </is>
      </c>
      <c r="G281" s="112" t="inlineStr">
        <is>
          <t>Prospect</t>
        </is>
      </c>
      <c r="H281" s="112" t="inlineStr">
        <is>
          <t>TAHHAN Riham</t>
        </is>
      </c>
      <c r="I281" s="113" t="inlineStr">
        <is>
          <t xml:space="preserve">The client is a watch collector
</t>
        </is>
      </c>
      <c r="J281" s="112" t="n"/>
    </row>
    <row r="282" ht="57.6" customHeight="1" s="287">
      <c r="A282" s="111" t="inlineStr">
        <is>
          <t>Request</t>
        </is>
      </c>
      <c r="B282" s="112" t="n"/>
      <c r="C282" s="112" t="inlineStr">
        <is>
          <t>14/1/2025</t>
        </is>
      </c>
      <c r="D282" s="112" t="inlineStr">
        <is>
          <t>4200H/222A-B934</t>
        </is>
      </c>
      <c r="E282" s="112" t="inlineStr">
        <is>
          <t>Phone sales Middle East</t>
        </is>
      </c>
      <c r="F282" s="112" t="inlineStr">
        <is>
          <t>90999799</t>
        </is>
      </c>
      <c r="G282" s="112" t="inlineStr">
        <is>
          <t>Client</t>
        </is>
      </c>
      <c r="H282" s="112" t="inlineStr">
        <is>
          <t>OMARI Asma</t>
        </is>
      </c>
      <c r="I282" s="113" t="inlineStr">
        <is>
          <t xml:space="preserve">Mr. Faihan Al Raqas ( 966598444066)
</t>
        </is>
      </c>
      <c r="J282" s="112" t="n"/>
    </row>
    <row r="283" ht="86.40000000000001" customHeight="1" s="287">
      <c r="A283" s="111" t="inlineStr">
        <is>
          <t>Request</t>
        </is>
      </c>
      <c r="B283" s="112" t="n"/>
      <c r="C283" s="112" t="inlineStr">
        <is>
          <t>14/1/2025</t>
        </is>
      </c>
      <c r="D283" s="112" t="inlineStr">
        <is>
          <t>4200H/222A-B934</t>
        </is>
      </c>
      <c r="E283" s="112" t="inlineStr">
        <is>
          <t>Phone sales Middle East</t>
        </is>
      </c>
      <c r="F283" s="112" t="inlineStr">
        <is>
          <t>103437674</t>
        </is>
      </c>
      <c r="G283" s="112" t="inlineStr">
        <is>
          <t>Prospect</t>
        </is>
      </c>
      <c r="H283" s="112" t="inlineStr">
        <is>
          <t>SHARIF Maaz</t>
        </is>
      </c>
      <c r="I283" s="113" t="inlineStr">
        <is>
          <t xml:space="preserve">The client is already interested in the 222 and willing to pay in advance 
</t>
        </is>
      </c>
      <c r="J283" s="112" t="n"/>
    </row>
    <row r="284" ht="43.2" customHeight="1" s="287">
      <c r="A284" s="111" t="inlineStr">
        <is>
          <t>Request</t>
        </is>
      </c>
      <c r="B284" s="112" t="n"/>
      <c r="C284" s="112" t="inlineStr">
        <is>
          <t>14/1/2025</t>
        </is>
      </c>
      <c r="D284" s="112" t="inlineStr">
        <is>
          <t>4200H/222A-B934</t>
        </is>
      </c>
      <c r="E284" s="112" t="inlineStr">
        <is>
          <t>Phone sales Middle East</t>
        </is>
      </c>
      <c r="F284" s="112" t="inlineStr">
        <is>
          <t>103531883</t>
        </is>
      </c>
      <c r="G284" s="112" t="inlineStr">
        <is>
          <t>Prospect</t>
        </is>
      </c>
      <c r="H284" s="112" t="inlineStr">
        <is>
          <t>SHARIF Maaz</t>
        </is>
      </c>
      <c r="I284" s="113" t="inlineStr">
        <is>
          <t xml:space="preserve">the client is very intrested 
</t>
        </is>
      </c>
      <c r="J284" s="112" t="n"/>
    </row>
    <row r="285">
      <c r="A285" s="111" t="inlineStr">
        <is>
          <t>Request</t>
        </is>
      </c>
      <c r="B285" s="112" t="n"/>
      <c r="C285" s="112" t="inlineStr">
        <is>
          <t>14/1/2025</t>
        </is>
      </c>
      <c r="D285" s="112" t="inlineStr">
        <is>
          <t>4200H/222A-B934</t>
        </is>
      </c>
      <c r="E285" s="112" t="inlineStr">
        <is>
          <t>Phone sales Middle East</t>
        </is>
      </c>
      <c r="F285" s="112" t="inlineStr">
        <is>
          <t>101466987</t>
        </is>
      </c>
      <c r="G285" s="112" t="inlineStr">
        <is>
          <t>Prospect</t>
        </is>
      </c>
      <c r="H285" s="112" t="inlineStr">
        <is>
          <t>TAHHAN Riham</t>
        </is>
      </c>
      <c r="I285" s="113" t="n"/>
      <c r="J285" s="112" t="n"/>
    </row>
    <row r="286" ht="28.95" customHeight="1" s="287">
      <c r="A286" s="111" t="inlineStr">
        <is>
          <t>Request</t>
        </is>
      </c>
      <c r="B286" s="112" t="n"/>
      <c r="C286" s="112" t="inlineStr">
        <is>
          <t>14/1/2025</t>
        </is>
      </c>
      <c r="D286" s="112" t="inlineStr">
        <is>
          <t>4200H/222A-B934</t>
        </is>
      </c>
      <c r="E286" s="112" t="inlineStr">
        <is>
          <t>Phone sales Middle East</t>
        </is>
      </c>
      <c r="F286" s="112" t="inlineStr">
        <is>
          <t>103615908</t>
        </is>
      </c>
      <c r="G286" s="112" t="inlineStr">
        <is>
          <t>Prospect</t>
        </is>
      </c>
      <c r="H286" s="112" t="inlineStr">
        <is>
          <t>OMARI Asma</t>
        </is>
      </c>
      <c r="I286" s="113" t="inlineStr">
        <is>
          <t xml:space="preserve">Mr. Eddy Hourani
</t>
        </is>
      </c>
      <c r="J286" s="112" t="n"/>
    </row>
    <row r="287">
      <c r="A287" s="111" t="inlineStr">
        <is>
          <t>Request</t>
        </is>
      </c>
      <c r="B287" s="112" t="n"/>
      <c r="C287" s="112" t="inlineStr">
        <is>
          <t>14/1/2025</t>
        </is>
      </c>
      <c r="D287" s="112" t="inlineStr">
        <is>
          <t>4200H/222A-B934</t>
        </is>
      </c>
      <c r="E287" s="112" t="inlineStr">
        <is>
          <t>Phone sales Middle East</t>
        </is>
      </c>
      <c r="F287" s="112" t="inlineStr">
        <is>
          <t>103617827</t>
        </is>
      </c>
      <c r="G287" s="112" t="inlineStr">
        <is>
          <t>Prospect</t>
        </is>
      </c>
      <c r="H287" s="112" t="inlineStr">
        <is>
          <t>TAHHAN Riham</t>
        </is>
      </c>
      <c r="I287" s="113" t="n"/>
      <c r="J287" s="112" t="n"/>
    </row>
    <row r="288" ht="43.2" customHeight="1" s="287">
      <c r="A288" s="111" t="inlineStr">
        <is>
          <t>Request</t>
        </is>
      </c>
      <c r="B288" s="112" t="n"/>
      <c r="C288" s="112" t="inlineStr">
        <is>
          <t>14/1/2025</t>
        </is>
      </c>
      <c r="D288" s="112" t="inlineStr">
        <is>
          <t>4200H/222A-B934</t>
        </is>
      </c>
      <c r="E288" s="112" t="inlineStr">
        <is>
          <t>Phone sales Middle East</t>
        </is>
      </c>
      <c r="F288" s="112" t="inlineStr">
        <is>
          <t>103616136</t>
        </is>
      </c>
      <c r="G288" s="112" t="inlineStr">
        <is>
          <t>Prospect</t>
        </is>
      </c>
      <c r="H288" s="112" t="inlineStr">
        <is>
          <t>OMARI Asma</t>
        </is>
      </c>
      <c r="I288" s="113" t="inlineStr">
        <is>
          <t xml:space="preserve">Mr. Basil Bostami (Client for ksa)
</t>
        </is>
      </c>
      <c r="J288" s="112" t="n"/>
    </row>
    <row r="289" ht="28.95" customHeight="1" s="287">
      <c r="A289" s="111" t="inlineStr">
        <is>
          <t>Request</t>
        </is>
      </c>
      <c r="B289" s="112" t="n"/>
      <c r="C289" s="112" t="inlineStr">
        <is>
          <t>14/1/2025</t>
        </is>
      </c>
      <c r="D289" s="112" t="inlineStr">
        <is>
          <t>4200H/222A-B934</t>
        </is>
      </c>
      <c r="E289" s="112" t="inlineStr">
        <is>
          <t>Phone sales Middle East</t>
        </is>
      </c>
      <c r="F289" s="112" t="inlineStr">
        <is>
          <t>103616580</t>
        </is>
      </c>
      <c r="G289" s="112" t="inlineStr">
        <is>
          <t>Prospect</t>
        </is>
      </c>
      <c r="H289" s="112" t="inlineStr">
        <is>
          <t>OMARI Asma</t>
        </is>
      </c>
      <c r="I289" s="113" t="inlineStr">
        <is>
          <t xml:space="preserve">Mr. Amir Farag
</t>
        </is>
      </c>
      <c r="J289" s="112" t="n"/>
    </row>
    <row r="290" ht="43.2" customHeight="1" s="287">
      <c r="A290" s="111" t="inlineStr">
        <is>
          <t>Request</t>
        </is>
      </c>
      <c r="B290" s="112" t="n"/>
      <c r="C290" s="112" t="inlineStr">
        <is>
          <t>14/1/2025</t>
        </is>
      </c>
      <c r="D290" s="112" t="inlineStr">
        <is>
          <t>4200H/222A-B934</t>
        </is>
      </c>
      <c r="E290" s="112" t="inlineStr">
        <is>
          <t>Phone sales Middle East</t>
        </is>
      </c>
      <c r="F290" s="112" t="inlineStr">
        <is>
          <t>103615205</t>
        </is>
      </c>
      <c r="G290" s="112" t="inlineStr">
        <is>
          <t>Prospect</t>
        </is>
      </c>
      <c r="H290" s="112" t="inlineStr">
        <is>
          <t>TAHHAN Riham</t>
        </is>
      </c>
      <c r="I290" s="113" t="inlineStr">
        <is>
          <t xml:space="preserve">A gift for his father 
</t>
        </is>
      </c>
      <c r="J290" s="112" t="n"/>
    </row>
    <row r="291">
      <c r="A291" s="111" t="inlineStr">
        <is>
          <t>Request</t>
        </is>
      </c>
      <c r="B291" s="112" t="n"/>
      <c r="C291" s="112" t="inlineStr">
        <is>
          <t>14/1/2025</t>
        </is>
      </c>
      <c r="D291" s="112" t="inlineStr">
        <is>
          <t>4200H/222A-B934</t>
        </is>
      </c>
      <c r="E291" s="112" t="inlineStr">
        <is>
          <t>Phone sales Middle East</t>
        </is>
      </c>
      <c r="F291" s="112" t="inlineStr">
        <is>
          <t>92409190</t>
        </is>
      </c>
      <c r="G291" s="112" t="inlineStr">
        <is>
          <t>Prospect</t>
        </is>
      </c>
      <c r="H291" s="112" t="inlineStr">
        <is>
          <t>TAHHAN Riham</t>
        </is>
      </c>
      <c r="I291" s="113" t="n"/>
      <c r="J291" s="112" t="n"/>
    </row>
    <row r="292">
      <c r="A292" s="111" t="inlineStr">
        <is>
          <t>Request</t>
        </is>
      </c>
      <c r="B292" s="112" t="n"/>
      <c r="C292" s="112" t="inlineStr">
        <is>
          <t>14/1/2025</t>
        </is>
      </c>
      <c r="D292" s="112" t="inlineStr">
        <is>
          <t>4200H/222A-B934</t>
        </is>
      </c>
      <c r="E292" s="112" t="inlineStr">
        <is>
          <t>Phone sales Middle East</t>
        </is>
      </c>
      <c r="F292" s="112" t="inlineStr">
        <is>
          <t>103616562</t>
        </is>
      </c>
      <c r="G292" s="112" t="inlineStr">
        <is>
          <t>Prospect</t>
        </is>
      </c>
      <c r="H292" s="112" t="inlineStr">
        <is>
          <t>TAHHAN Riham</t>
        </is>
      </c>
      <c r="I292" s="113" t="n"/>
      <c r="J292" s="112" t="n"/>
    </row>
    <row r="293">
      <c r="A293" s="111" t="inlineStr">
        <is>
          <t>Request</t>
        </is>
      </c>
      <c r="B293" s="112" t="n"/>
      <c r="C293" s="112" t="inlineStr">
        <is>
          <t>14/1/2025</t>
        </is>
      </c>
      <c r="D293" s="112" t="inlineStr">
        <is>
          <t>4200H/222A-B934</t>
        </is>
      </c>
      <c r="E293" s="112" t="inlineStr">
        <is>
          <t>Phone sales Middle East</t>
        </is>
      </c>
      <c r="F293" s="112" t="inlineStr">
        <is>
          <t>103616432</t>
        </is>
      </c>
      <c r="G293" s="112" t="inlineStr">
        <is>
          <t>Prospect</t>
        </is>
      </c>
      <c r="H293" s="112" t="inlineStr">
        <is>
          <t>TAHHAN Riham</t>
        </is>
      </c>
      <c r="I293" s="113" t="n"/>
      <c r="J293" s="112" t="n"/>
    </row>
    <row r="294">
      <c r="A294" s="111" t="inlineStr">
        <is>
          <t>Request</t>
        </is>
      </c>
      <c r="B294" s="112" t="n"/>
      <c r="C294" s="112" t="inlineStr">
        <is>
          <t>14/1/2025</t>
        </is>
      </c>
      <c r="D294" s="112" t="inlineStr">
        <is>
          <t>4200H/222A-B934</t>
        </is>
      </c>
      <c r="E294" s="112" t="inlineStr">
        <is>
          <t>Phone sales Middle East</t>
        </is>
      </c>
      <c r="F294" s="112" t="inlineStr">
        <is>
          <t>103620924</t>
        </is>
      </c>
      <c r="G294" s="112" t="inlineStr">
        <is>
          <t>Prospect</t>
        </is>
      </c>
      <c r="H294" s="112" t="inlineStr">
        <is>
          <t>TAHHAN Riham</t>
        </is>
      </c>
      <c r="I294" s="113" t="n"/>
      <c r="J294" s="112" t="n"/>
    </row>
    <row r="295">
      <c r="A295" s="111" t="inlineStr">
        <is>
          <t>Request</t>
        </is>
      </c>
      <c r="B295" s="112" t="n"/>
      <c r="C295" s="112" t="inlineStr">
        <is>
          <t>14/1/2025</t>
        </is>
      </c>
      <c r="D295" s="112" t="inlineStr">
        <is>
          <t>4200H/222A-B934</t>
        </is>
      </c>
      <c r="E295" s="112" t="inlineStr">
        <is>
          <t>Phone sales Middle East</t>
        </is>
      </c>
      <c r="F295" s="112" t="inlineStr">
        <is>
          <t>92404476</t>
        </is>
      </c>
      <c r="G295" s="112" t="inlineStr">
        <is>
          <t>Client</t>
        </is>
      </c>
      <c r="H295" s="112" t="inlineStr">
        <is>
          <t>TAHHAN Riham</t>
        </is>
      </c>
      <c r="I295" s="113" t="n"/>
      <c r="J295" s="112" t="n"/>
    </row>
    <row r="296" ht="43.2" customHeight="1" s="287">
      <c r="A296" s="111" t="inlineStr">
        <is>
          <t>Request</t>
        </is>
      </c>
      <c r="B296" s="112" t="n"/>
      <c r="C296" s="112" t="inlineStr">
        <is>
          <t>14/1/2025</t>
        </is>
      </c>
      <c r="D296" s="112" t="inlineStr">
        <is>
          <t>4200H/222A-B934</t>
        </is>
      </c>
      <c r="E296" s="112" t="inlineStr">
        <is>
          <t>Phone sales Middle East</t>
        </is>
      </c>
      <c r="F296" s="112" t="inlineStr">
        <is>
          <t>103531883</t>
        </is>
      </c>
      <c r="G296" s="112" t="inlineStr">
        <is>
          <t>Prospect</t>
        </is>
      </c>
      <c r="H296" s="112" t="inlineStr">
        <is>
          <t>SHARIF Maaz</t>
        </is>
      </c>
      <c r="I296" s="113" t="inlineStr">
        <is>
          <t xml:space="preserve">Cllient is very interested 
</t>
        </is>
      </c>
      <c r="J296" s="112" t="n"/>
    </row>
    <row r="297">
      <c r="A297" s="111" t="inlineStr">
        <is>
          <t>Request</t>
        </is>
      </c>
      <c r="B297" s="112" t="n"/>
      <c r="C297" s="112" t="inlineStr">
        <is>
          <t>14/1/2025</t>
        </is>
      </c>
      <c r="D297" s="112" t="inlineStr">
        <is>
          <t>4200H/222A-B934</t>
        </is>
      </c>
      <c r="E297" s="112" t="inlineStr">
        <is>
          <t>Phone sales Middle East</t>
        </is>
      </c>
      <c r="F297" s="112" t="inlineStr">
        <is>
          <t>92406536</t>
        </is>
      </c>
      <c r="G297" s="112" t="inlineStr">
        <is>
          <t>Prospect</t>
        </is>
      </c>
      <c r="H297" s="112" t="inlineStr">
        <is>
          <t>SHARIF Maaz</t>
        </is>
      </c>
      <c r="I297" s="113" t="n"/>
      <c r="J297" s="112" t="n"/>
    </row>
    <row r="298">
      <c r="A298" s="111" t="inlineStr">
        <is>
          <t>Request</t>
        </is>
      </c>
      <c r="B298" s="112" t="n"/>
      <c r="C298" s="112" t="inlineStr">
        <is>
          <t>14/1/2025</t>
        </is>
      </c>
      <c r="D298" s="112" t="inlineStr">
        <is>
          <t>4200H/222A-B934</t>
        </is>
      </c>
      <c r="E298" s="112" t="inlineStr">
        <is>
          <t>Phone sales Middle East</t>
        </is>
      </c>
      <c r="F298" s="112" t="inlineStr">
        <is>
          <t>103620484</t>
        </is>
      </c>
      <c r="G298" s="112" t="inlineStr">
        <is>
          <t>Prospect</t>
        </is>
      </c>
      <c r="H298" s="112" t="inlineStr">
        <is>
          <t>SHARIF Maaz</t>
        </is>
      </c>
      <c r="I298" s="113" t="n"/>
      <c r="J298" s="112" t="n"/>
    </row>
    <row r="299">
      <c r="A299" s="111" t="inlineStr">
        <is>
          <t>Request</t>
        </is>
      </c>
      <c r="B299" s="112" t="n"/>
      <c r="C299" s="112" t="inlineStr">
        <is>
          <t>14/1/2025</t>
        </is>
      </c>
      <c r="D299" s="112" t="inlineStr">
        <is>
          <t>4200H/222A-B934</t>
        </is>
      </c>
      <c r="E299" s="112" t="inlineStr">
        <is>
          <t>Phone sales Middle East</t>
        </is>
      </c>
      <c r="F299" s="112" t="inlineStr">
        <is>
          <t>103631902</t>
        </is>
      </c>
      <c r="G299" s="112" t="inlineStr">
        <is>
          <t>Prospect</t>
        </is>
      </c>
      <c r="H299" s="112" t="inlineStr">
        <is>
          <t>SHARIF Maaz</t>
        </is>
      </c>
      <c r="I299" s="113" t="n"/>
      <c r="J299" s="112" t="n"/>
    </row>
    <row r="300">
      <c r="A300" s="111" t="inlineStr">
        <is>
          <t>Request</t>
        </is>
      </c>
      <c r="B300" s="112" t="n"/>
      <c r="C300" s="112" t="inlineStr">
        <is>
          <t>14/1/2025</t>
        </is>
      </c>
      <c r="D300" s="112" t="inlineStr">
        <is>
          <t>4200H/222A-B934</t>
        </is>
      </c>
      <c r="E300" s="112" t="inlineStr">
        <is>
          <t>Phone sales Middle East</t>
        </is>
      </c>
      <c r="F300" s="112" t="inlineStr">
        <is>
          <t>93912121</t>
        </is>
      </c>
      <c r="G300" s="112" t="inlineStr">
        <is>
          <t>Prospect</t>
        </is>
      </c>
      <c r="H300" s="112" t="inlineStr">
        <is>
          <t>SHARIF Maaz</t>
        </is>
      </c>
      <c r="I300" s="113" t="n"/>
      <c r="J300" s="112" t="n"/>
    </row>
    <row r="301">
      <c r="A301" s="111" t="inlineStr">
        <is>
          <t>Request</t>
        </is>
      </c>
      <c r="B301" s="112" t="n"/>
      <c r="C301" s="112" t="inlineStr">
        <is>
          <t>14/1/2025</t>
        </is>
      </c>
      <c r="D301" s="112" t="inlineStr">
        <is>
          <t>4200H/222A-B934</t>
        </is>
      </c>
      <c r="E301" s="112" t="inlineStr">
        <is>
          <t>Phone sales Middle East</t>
        </is>
      </c>
      <c r="F301" s="112" t="inlineStr">
        <is>
          <t>103617256</t>
        </is>
      </c>
      <c r="G301" s="112" t="inlineStr">
        <is>
          <t>Prospect</t>
        </is>
      </c>
      <c r="H301" s="112" t="inlineStr">
        <is>
          <t>SHARIF Maaz</t>
        </is>
      </c>
      <c r="I301" s="113" t="n"/>
      <c r="J301" s="112" t="n"/>
    </row>
    <row r="302">
      <c r="A302" s="111" t="inlineStr">
        <is>
          <t>Request</t>
        </is>
      </c>
      <c r="B302" s="112" t="n"/>
      <c r="C302" s="112" t="inlineStr">
        <is>
          <t>14/1/2025</t>
        </is>
      </c>
      <c r="D302" s="112" t="inlineStr">
        <is>
          <t>4200H/222A-B934</t>
        </is>
      </c>
      <c r="E302" s="112" t="inlineStr">
        <is>
          <t>Phone sales Middle East</t>
        </is>
      </c>
      <c r="F302" s="112" t="inlineStr">
        <is>
          <t>103634777</t>
        </is>
      </c>
      <c r="G302" s="112" t="inlineStr">
        <is>
          <t>Prospect</t>
        </is>
      </c>
      <c r="H302" s="112" t="inlineStr">
        <is>
          <t>SHARIF Maaz</t>
        </is>
      </c>
      <c r="I302" s="113" t="n"/>
      <c r="J302" s="112" t="n"/>
    </row>
    <row r="303" ht="129.6" customHeight="1" s="287">
      <c r="A303" s="111" t="inlineStr">
        <is>
          <t>Request</t>
        </is>
      </c>
      <c r="B303" s="112" t="n"/>
      <c r="C303" s="112" t="inlineStr">
        <is>
          <t>11/1/2025</t>
        </is>
      </c>
      <c r="D303" s="112" t="inlineStr">
        <is>
          <t>7920V/210A-B334</t>
        </is>
      </c>
      <c r="E303" s="112" t="inlineStr">
        <is>
          <t>Phone sales Middle East</t>
        </is>
      </c>
      <c r="F303" s="112" t="inlineStr">
        <is>
          <t>103576190</t>
        </is>
      </c>
      <c r="G303" s="112" t="inlineStr">
        <is>
          <t>Prospect</t>
        </is>
      </c>
      <c r="H303" s="112" t="inlineStr">
        <is>
          <t>SHARIF Maaz</t>
        </is>
      </c>
      <c r="I303" s="113" t="inlineStr">
        <is>
          <t xml:space="preserve">The client showed interest in the Dual Time and he will be visiting Geneva from 5 of Feb until the 7th Feb 2025 
</t>
        </is>
      </c>
      <c r="J303" s="112" t="n"/>
    </row>
    <row r="304" ht="57.6" customHeight="1" s="287">
      <c r="A304" s="111" t="inlineStr">
        <is>
          <t>Request</t>
        </is>
      </c>
      <c r="B304" s="112" t="n"/>
      <c r="C304" s="112" t="inlineStr">
        <is>
          <t>10/1/2025</t>
        </is>
      </c>
      <c r="D304" s="112" t="inlineStr">
        <is>
          <t>4600E/000A-B442</t>
        </is>
      </c>
      <c r="E304" s="112" t="inlineStr">
        <is>
          <t>Phone sales Middle East</t>
        </is>
      </c>
      <c r="F304" s="112" t="inlineStr">
        <is>
          <t>103437674</t>
        </is>
      </c>
      <c r="G304" s="112" t="inlineStr">
        <is>
          <t>Prospect</t>
        </is>
      </c>
      <c r="H304" s="112" t="inlineStr">
        <is>
          <t>SHARIF Maaz</t>
        </is>
      </c>
      <c r="I304" s="113" t="inlineStr">
        <is>
          <t xml:space="preserve">The client stated that he will go and try it 
</t>
        </is>
      </c>
      <c r="J304" s="112" t="n"/>
    </row>
    <row r="305" ht="28.95" customHeight="1" s="287">
      <c r="A305" s="111" t="inlineStr">
        <is>
          <t>Cancelled</t>
        </is>
      </c>
      <c r="B305" s="112" t="inlineStr">
        <is>
          <t>Cancelled</t>
        </is>
      </c>
      <c r="C305" s="112" t="inlineStr">
        <is>
          <t>2/1/2025</t>
        </is>
      </c>
      <c r="D305" s="112" t="inlineStr">
        <is>
          <t>5520V/210A-B481</t>
        </is>
      </c>
      <c r="E305" s="112" t="inlineStr">
        <is>
          <t>Phone sales Middle East</t>
        </is>
      </c>
      <c r="F305" s="112" t="inlineStr">
        <is>
          <t>103437947</t>
        </is>
      </c>
      <c r="G305" s="112" t="inlineStr">
        <is>
          <t>Prospect</t>
        </is>
      </c>
      <c r="H305" s="112" t="inlineStr">
        <is>
          <t>OMARI Asma</t>
        </is>
      </c>
      <c r="I305" s="113" t="inlineStr">
        <is>
          <t xml:space="preserve">Mr. Taylan Sayin
</t>
        </is>
      </c>
      <c r="J305" s="112" t="n"/>
    </row>
    <row r="306" ht="345.6" customHeight="1" s="287">
      <c r="A306" s="111" t="inlineStr">
        <is>
          <t>Request</t>
        </is>
      </c>
      <c r="B306" s="112" t="n"/>
      <c r="C306" s="112" t="inlineStr">
        <is>
          <t>2/1/2025</t>
        </is>
      </c>
      <c r="D306" s="112" t="inlineStr">
        <is>
          <t>7920V/210A-B334</t>
        </is>
      </c>
      <c r="E306" s="112" t="inlineStr">
        <is>
          <t>Phone sales Middle East</t>
        </is>
      </c>
      <c r="F306" s="112" t="inlineStr">
        <is>
          <t>103437674</t>
        </is>
      </c>
      <c r="G306" s="112" t="inlineStr">
        <is>
          <t>Prospect</t>
        </is>
      </c>
      <c r="H306" s="112" t="inlineStr">
        <is>
          <t>SHARIF Maaz</t>
        </is>
      </c>
      <c r="I306" s="113" t="inlineStr">
        <is>
          <t xml:space="preserve">as per the client expressing interest in two models:
- **Overseas Dual Time (Steel)**
- **1921 (40mm and 36mm)**
Mr. Khan described his existing collection, which includes:
- **Omega**
- **Panerai**
- **Vintage Raymond Weil**
</t>
        </is>
      </c>
      <c r="J306" s="112" t="n"/>
    </row>
    <row r="307" ht="86.40000000000001" customHeight="1" s="287">
      <c r="A307" s="111" t="inlineStr">
        <is>
          <t>Request</t>
        </is>
      </c>
      <c r="B307" s="112" t="n"/>
      <c r="C307" s="112" t="inlineStr">
        <is>
          <t>1/1/2025</t>
        </is>
      </c>
      <c r="D307" s="112" t="inlineStr">
        <is>
          <t>7920V/210R-B965</t>
        </is>
      </c>
      <c r="E307" s="112" t="inlineStr">
        <is>
          <t>Phone sales Middle East</t>
        </is>
      </c>
      <c r="F307" s="112" t="inlineStr">
        <is>
          <t>103671316</t>
        </is>
      </c>
      <c r="G307" s="112" t="inlineStr">
        <is>
          <t>Prospect</t>
        </is>
      </c>
      <c r="H307" s="112" t="inlineStr">
        <is>
          <t>SHARIF Maaz</t>
        </is>
      </c>
      <c r="I307" s="113" t="inlineStr">
        <is>
          <t xml:space="preserve">The client is interested in the timepeice but still thinking of his budget 
</t>
        </is>
      </c>
      <c r="J307" s="112" t="n"/>
    </row>
    <row r="308" ht="115.2" customHeight="1" s="287">
      <c r="A308" s="111" t="inlineStr">
        <is>
          <t>Request</t>
        </is>
      </c>
      <c r="B308" s="112" t="n"/>
      <c r="C308" s="112" t="inlineStr">
        <is>
          <t>1/1/2025</t>
        </is>
      </c>
      <c r="D308" s="112" t="inlineStr">
        <is>
          <t>4000V/210A-B911</t>
        </is>
      </c>
      <c r="E308" s="112" t="inlineStr">
        <is>
          <t>Phone sales Middle East</t>
        </is>
      </c>
      <c r="F308" s="112" t="n"/>
      <c r="G308" s="112" t="inlineStr">
        <is>
          <t>Prospect</t>
        </is>
      </c>
      <c r="H308" s="112" t="inlineStr">
        <is>
          <t>SHARIF Maaz</t>
        </is>
      </c>
      <c r="I308" s="113" t="inlineStr">
        <is>
          <t xml:space="preserve">Watch collector: 3 Rolexes, 2 JLC, 1 AP (Royal Oak Offshore Diver), 1 IWC, 1 Chopard, 1 Ulysse Nardin, 2 Nomos. 
</t>
        </is>
      </c>
      <c r="J308" s="112" t="n"/>
    </row>
    <row r="309" ht="43.2" customHeight="1" s="287">
      <c r="A309" s="111" t="inlineStr">
        <is>
          <t>Sold</t>
        </is>
      </c>
      <c r="B309" s="112" t="inlineStr">
        <is>
          <t>Confirmed</t>
        </is>
      </c>
      <c r="C309" s="112" t="inlineStr">
        <is>
          <t>27/12/2024</t>
        </is>
      </c>
      <c r="D309" s="112" t="inlineStr">
        <is>
          <t>5520V/210A-B148</t>
        </is>
      </c>
      <c r="E309" s="112" t="inlineStr">
        <is>
          <t>Phone sales Middle East</t>
        </is>
      </c>
      <c r="F309" s="112" t="inlineStr">
        <is>
          <t>102277427</t>
        </is>
      </c>
      <c r="G309" s="112" t="inlineStr">
        <is>
          <t>Prospect</t>
        </is>
      </c>
      <c r="H309" s="112" t="inlineStr">
        <is>
          <t>OMARI Asma</t>
        </is>
      </c>
      <c r="I309" s="113" t="inlineStr">
        <is>
          <t xml:space="preserve">Fida Hussain junjua
</t>
        </is>
      </c>
      <c r="J309" s="112" t="n"/>
    </row>
    <row r="310">
      <c r="A310" s="111" t="inlineStr">
        <is>
          <t>Request</t>
        </is>
      </c>
      <c r="B310" s="112" t="n"/>
      <c r="C310" s="112" t="inlineStr">
        <is>
          <t>26/12/2024</t>
        </is>
      </c>
      <c r="D310" s="112" t="inlineStr">
        <is>
          <t>4520V/210A-B128</t>
        </is>
      </c>
      <c r="E310" s="112" t="inlineStr">
        <is>
          <t>Phone sales Middle East</t>
        </is>
      </c>
      <c r="F310" s="112" t="inlineStr">
        <is>
          <t>103100862</t>
        </is>
      </c>
      <c r="G310" s="112" t="inlineStr">
        <is>
          <t>Prospect</t>
        </is>
      </c>
      <c r="H310" s="112" t="inlineStr">
        <is>
          <t>TAHHAN Riham</t>
        </is>
      </c>
      <c r="I310" s="113" t="n"/>
      <c r="J310" s="112" t="n"/>
    </row>
    <row r="311" ht="144" customHeight="1" s="287">
      <c r="A311" s="111" t="inlineStr">
        <is>
          <t>Request</t>
        </is>
      </c>
      <c r="B311" s="112" t="inlineStr">
        <is>
          <t>Postponed</t>
        </is>
      </c>
      <c r="C311" s="112" t="inlineStr">
        <is>
          <t>26/12/2024</t>
        </is>
      </c>
      <c r="D311" s="112" t="inlineStr">
        <is>
          <t>4520V/210A-B483</t>
        </is>
      </c>
      <c r="E311" s="112" t="inlineStr">
        <is>
          <t>Phone sales Middle East</t>
        </is>
      </c>
      <c r="F311" s="112" t="inlineStr">
        <is>
          <t>99502446</t>
        </is>
      </c>
      <c r="G311" s="112" t="inlineStr">
        <is>
          <t>Prospect</t>
        </is>
      </c>
      <c r="H311" s="112" t="inlineStr">
        <is>
          <t>TAHHAN Riham</t>
        </is>
      </c>
      <c r="I311" s="113" t="inlineStr">
        <is>
          <t xml:space="preserve">The client added his interest in Lebanon two years ago but no one contacted him. He is interested in this timepiece and can come to UAE
</t>
        </is>
      </c>
      <c r="J311" s="112" t="n"/>
    </row>
    <row r="312" ht="244.95" customHeight="1" s="287">
      <c r="A312" s="111" t="inlineStr">
        <is>
          <t>Request</t>
        </is>
      </c>
      <c r="B312" s="112" t="inlineStr">
        <is>
          <t>Confirmed</t>
        </is>
      </c>
      <c r="C312" s="112" t="inlineStr">
        <is>
          <t>25/12/2024</t>
        </is>
      </c>
      <c r="D312" s="112" t="inlineStr">
        <is>
          <t>5520V/210A-B148</t>
        </is>
      </c>
      <c r="E312" s="112" t="inlineStr">
        <is>
          <t>Phone sales Middle East</t>
        </is>
      </c>
      <c r="F312" s="112" t="inlineStr">
        <is>
          <t>102505094</t>
        </is>
      </c>
      <c r="G312" s="112" t="inlineStr">
        <is>
          <t>Prospect</t>
        </is>
      </c>
      <c r="H312" s="112" t="inlineStr">
        <is>
          <t>SHARIF Maaz</t>
        </is>
      </c>
      <c r="I312" s="113" t="inlineStr">
        <is>
          <t xml:space="preserve">The client wants to purchase the Overseas chronograph 5520V/210A-B148
and has another request for the black one. He wants to try the blue one now and complete the payment
</t>
        </is>
      </c>
      <c r="J312" s="112" t="n"/>
    </row>
    <row r="313" ht="43.2" customHeight="1" s="287">
      <c r="A313" s="111" t="inlineStr">
        <is>
          <t>Request</t>
        </is>
      </c>
      <c r="B313" s="112" t="n"/>
      <c r="C313" s="112" t="inlineStr">
        <is>
          <t>21/12/2024</t>
        </is>
      </c>
      <c r="D313" s="112" t="inlineStr">
        <is>
          <t>7920V/210A-B334</t>
        </is>
      </c>
      <c r="E313" s="112" t="inlineStr">
        <is>
          <t>Phone sales Middle East</t>
        </is>
      </c>
      <c r="F313" s="112" t="inlineStr">
        <is>
          <t>102928395</t>
        </is>
      </c>
      <c r="G313" s="112" t="inlineStr">
        <is>
          <t>Prospect</t>
        </is>
      </c>
      <c r="H313" s="112" t="inlineStr">
        <is>
          <t>SHARIF Maaz</t>
        </is>
      </c>
      <c r="I313" s="113" t="inlineStr">
        <is>
          <t xml:space="preserve">The client is watch collecter 
</t>
        </is>
      </c>
      <c r="J313" s="112" t="n"/>
    </row>
    <row r="314">
      <c r="A314" s="111" t="inlineStr">
        <is>
          <t>Request</t>
        </is>
      </c>
      <c r="B314" s="112" t="n"/>
      <c r="C314" s="112" t="inlineStr">
        <is>
          <t>21/12/2024</t>
        </is>
      </c>
      <c r="D314" s="112" t="inlineStr">
        <is>
          <t>4520V/210A-B128</t>
        </is>
      </c>
      <c r="E314" s="112" t="inlineStr">
        <is>
          <t>Phone sales Middle East</t>
        </is>
      </c>
      <c r="F314" s="112" t="inlineStr">
        <is>
          <t>103124476</t>
        </is>
      </c>
      <c r="G314" s="112" t="inlineStr">
        <is>
          <t>Prospect</t>
        </is>
      </c>
      <c r="H314" s="112" t="inlineStr">
        <is>
          <t>TAHHAN Riham</t>
        </is>
      </c>
      <c r="I314" s="113" t="n"/>
      <c r="J314" s="112" t="n"/>
    </row>
    <row r="315">
      <c r="A315" s="111" t="inlineStr">
        <is>
          <t>Request</t>
        </is>
      </c>
      <c r="B315" s="112" t="n"/>
      <c r="C315" s="112" t="inlineStr">
        <is>
          <t>20/12/2024</t>
        </is>
      </c>
      <c r="D315" s="112" t="inlineStr">
        <is>
          <t>4520V/210A-B483</t>
        </is>
      </c>
      <c r="E315" s="112" t="inlineStr">
        <is>
          <t>Phone sales Middle East</t>
        </is>
      </c>
      <c r="F315" s="112" t="inlineStr">
        <is>
          <t>102945078</t>
        </is>
      </c>
      <c r="G315" s="112" t="inlineStr">
        <is>
          <t>Prospect</t>
        </is>
      </c>
      <c r="H315" s="112" t="inlineStr">
        <is>
          <t>TAHHAN Riham</t>
        </is>
      </c>
      <c r="I315" s="113" t="n"/>
      <c r="J315" s="112" t="n"/>
    </row>
    <row r="316" ht="72" customHeight="1" s="287">
      <c r="A316" s="111" t="inlineStr">
        <is>
          <t>Request</t>
        </is>
      </c>
      <c r="B316" s="112" t="inlineStr">
        <is>
          <t>Postponed</t>
        </is>
      </c>
      <c r="C316" s="112" t="inlineStr">
        <is>
          <t>19/12/2024</t>
        </is>
      </c>
      <c r="D316" s="112" t="inlineStr">
        <is>
          <t>5520V/210A-B481</t>
        </is>
      </c>
      <c r="E316" s="112" t="inlineStr">
        <is>
          <t>Phone sales Middle East</t>
        </is>
      </c>
      <c r="F316" s="112" t="inlineStr">
        <is>
          <t>102505094</t>
        </is>
      </c>
      <c r="G316" s="112" t="inlineStr">
        <is>
          <t>Prospect</t>
        </is>
      </c>
      <c r="H316" s="112" t="inlineStr">
        <is>
          <t>SHARIF Maaz</t>
        </is>
      </c>
      <c r="I316" s="113" t="inlineStr">
        <is>
          <t xml:space="preserve">The client would like to be listed for the chronograph
</t>
        </is>
      </c>
      <c r="J316" s="112" t="n"/>
    </row>
    <row r="317" ht="86.40000000000001" customHeight="1" s="287">
      <c r="A317" s="111" t="inlineStr">
        <is>
          <t>Request</t>
        </is>
      </c>
      <c r="B317" s="112" t="inlineStr">
        <is>
          <t>Confirmed</t>
        </is>
      </c>
      <c r="C317" s="112" t="inlineStr">
        <is>
          <t>19/12/2024</t>
        </is>
      </c>
      <c r="D317" s="112" t="inlineStr">
        <is>
          <t>7920V/210A-B546</t>
        </is>
      </c>
      <c r="E317" s="112" t="inlineStr">
        <is>
          <t>Phone sales Middle East</t>
        </is>
      </c>
      <c r="F317" s="112" t="inlineStr">
        <is>
          <t>102928395</t>
        </is>
      </c>
      <c r="G317" s="112" t="inlineStr">
        <is>
          <t>Prospect</t>
        </is>
      </c>
      <c r="H317" s="112" t="inlineStr">
        <is>
          <t>SHARIF Maaz</t>
        </is>
      </c>
      <c r="I317" s="113" t="inlineStr">
        <is>
          <t xml:space="preserve">The client is a collecter with big interest  on the overseas collection 
</t>
        </is>
      </c>
      <c r="J317" s="112" t="n"/>
    </row>
    <row r="318">
      <c r="A318" s="111" t="inlineStr">
        <is>
          <t>Sold</t>
        </is>
      </c>
      <c r="B318" s="112" t="inlineStr">
        <is>
          <t>Confirmed</t>
        </is>
      </c>
      <c r="C318" s="112" t="inlineStr">
        <is>
          <t>19/12/2024</t>
        </is>
      </c>
      <c r="D318" s="112" t="inlineStr">
        <is>
          <t>5520V/210A-B148</t>
        </is>
      </c>
      <c r="E318" s="112" t="inlineStr">
        <is>
          <t>Phone sales Middle East</t>
        </is>
      </c>
      <c r="F318" s="112" t="inlineStr">
        <is>
          <t>102965997</t>
        </is>
      </c>
      <c r="G318" s="112" t="inlineStr">
        <is>
          <t>Prospect</t>
        </is>
      </c>
      <c r="H318" s="112" t="inlineStr">
        <is>
          <t>TAHHAN Riham</t>
        </is>
      </c>
      <c r="I318" s="113" t="n"/>
      <c r="J318" s="112" t="n"/>
    </row>
    <row r="319" ht="86.40000000000001" customHeight="1" s="287">
      <c r="A319" s="111" t="inlineStr">
        <is>
          <t>Request</t>
        </is>
      </c>
      <c r="B319" s="112" t="n"/>
      <c r="C319" s="112" t="inlineStr">
        <is>
          <t>18/12/2024</t>
        </is>
      </c>
      <c r="D319" s="112" t="inlineStr">
        <is>
          <t>4520V/210A-B128</t>
        </is>
      </c>
      <c r="E319" s="112" t="inlineStr">
        <is>
          <t>Phone sales Middle East</t>
        </is>
      </c>
      <c r="F319" s="112" t="inlineStr">
        <is>
          <t>103081456</t>
        </is>
      </c>
      <c r="G319" s="112" t="inlineStr">
        <is>
          <t>Prospect</t>
        </is>
      </c>
      <c r="H319" s="112" t="inlineStr">
        <is>
          <t>TAHHAN Riham</t>
        </is>
      </c>
      <c r="I319" s="113" t="inlineStr">
        <is>
          <t xml:space="preserve">The client got promoted recently and would like to get this timepiece.
</t>
        </is>
      </c>
      <c r="J319" s="112" t="n"/>
    </row>
    <row r="320" ht="86.40000000000001" customHeight="1" s="287">
      <c r="A320" s="111" t="inlineStr">
        <is>
          <t>Cancelled</t>
        </is>
      </c>
      <c r="B320" s="112" t="inlineStr">
        <is>
          <t>Cancelled</t>
        </is>
      </c>
      <c r="C320" s="112" t="inlineStr">
        <is>
          <t>18/12/2024</t>
        </is>
      </c>
      <c r="D320" s="112" t="inlineStr">
        <is>
          <t>4520V/210R-B967</t>
        </is>
      </c>
      <c r="E320" s="112" t="inlineStr">
        <is>
          <t>Phone sales Middle East</t>
        </is>
      </c>
      <c r="F320" s="112" t="inlineStr">
        <is>
          <t>103058008</t>
        </is>
      </c>
      <c r="G320" s="112" t="inlineStr">
        <is>
          <t>Prospect</t>
        </is>
      </c>
      <c r="H320" s="112" t="inlineStr">
        <is>
          <t>TAHHAN Riham</t>
        </is>
      </c>
      <c r="I320" s="113" t="inlineStr">
        <is>
          <t xml:space="preserve">To gift it to his father as a replacement of the 222 steel that he has.
</t>
        </is>
      </c>
      <c r="J320" s="112" t="n"/>
    </row>
    <row r="321">
      <c r="A321" s="111" t="inlineStr">
        <is>
          <t>Cancelled</t>
        </is>
      </c>
      <c r="B321" s="112" t="inlineStr">
        <is>
          <t>Cancelled</t>
        </is>
      </c>
      <c r="C321" s="112" t="inlineStr">
        <is>
          <t>18/12/2024</t>
        </is>
      </c>
      <c r="D321" s="112" t="inlineStr">
        <is>
          <t>4200H/222J-B935</t>
        </is>
      </c>
      <c r="E321" s="112" t="inlineStr">
        <is>
          <t>Phone sales Middle East</t>
        </is>
      </c>
      <c r="F321" s="112" t="inlineStr">
        <is>
          <t>103058008</t>
        </is>
      </c>
      <c r="G321" s="112" t="inlineStr">
        <is>
          <t>Prospect</t>
        </is>
      </c>
      <c r="H321" s="112" t="inlineStr">
        <is>
          <t>TAHHAN Riham</t>
        </is>
      </c>
      <c r="I321" s="113" t="n"/>
      <c r="J321" s="112" t="n"/>
    </row>
    <row r="322">
      <c r="A322" s="111" t="inlineStr">
        <is>
          <t>Cancelled</t>
        </is>
      </c>
      <c r="B322" s="112" t="inlineStr">
        <is>
          <t>Cancelled</t>
        </is>
      </c>
      <c r="C322" s="112" t="inlineStr">
        <is>
          <t>17/12/2024</t>
        </is>
      </c>
      <c r="D322" s="112" t="inlineStr">
        <is>
          <t>4600E/000A-B442</t>
        </is>
      </c>
      <c r="E322" s="112" t="inlineStr">
        <is>
          <t>Phone sales Middle East</t>
        </is>
      </c>
      <c r="F322" s="112" t="inlineStr">
        <is>
          <t>103057654</t>
        </is>
      </c>
      <c r="G322" s="112" t="inlineStr">
        <is>
          <t>Prospect</t>
        </is>
      </c>
      <c r="H322" s="112" t="inlineStr">
        <is>
          <t>TAHHAN Riham</t>
        </is>
      </c>
      <c r="I322" s="113" t="n"/>
      <c r="J322" s="112" t="n"/>
    </row>
    <row r="323" ht="259.2" customHeight="1" s="287">
      <c r="A323" s="111" t="inlineStr">
        <is>
          <t>Request</t>
        </is>
      </c>
      <c r="B323" s="112" t="inlineStr">
        <is>
          <t>Confirmed</t>
        </is>
      </c>
      <c r="C323" s="112" t="inlineStr">
        <is>
          <t>17/12/2024</t>
        </is>
      </c>
      <c r="D323" s="112" t="inlineStr">
        <is>
          <t>4300V/220G-B946</t>
        </is>
      </c>
      <c r="E323" s="112" t="inlineStr">
        <is>
          <t>Phone sales Middle East</t>
        </is>
      </c>
      <c r="F323" s="112" t="inlineStr">
        <is>
          <t>103058741</t>
        </is>
      </c>
      <c r="G323" s="112" t="inlineStr">
        <is>
          <t>Prospect</t>
        </is>
      </c>
      <c r="H323" s="112" t="inlineStr">
        <is>
          <t>SHARIF Maaz</t>
        </is>
      </c>
      <c r="I323" s="113" t="inlineStr">
        <is>
          <t xml:space="preserve">The client is of exceptional stature, with deep-rooted connections to family-operated holding companies and a distinguished legacy in multi-generational wealth management, reflecting both influence and enduring financial sophistication. 
</t>
        </is>
      </c>
      <c r="J323" s="112" t="n"/>
    </row>
    <row r="324" ht="100.95" customHeight="1" s="287">
      <c r="A324" s="111" t="inlineStr">
        <is>
          <t>Cancelled</t>
        </is>
      </c>
      <c r="B324" s="112" t="inlineStr">
        <is>
          <t>Cancelled</t>
        </is>
      </c>
      <c r="C324" s="112" t="inlineStr">
        <is>
          <t>14/12/2024</t>
        </is>
      </c>
      <c r="D324" s="112" t="inlineStr">
        <is>
          <t>7920V/210A-B334</t>
        </is>
      </c>
      <c r="E324" s="112" t="inlineStr">
        <is>
          <t>Phone sales Middle East</t>
        </is>
      </c>
      <c r="F324" s="112" t="inlineStr">
        <is>
          <t>102965997</t>
        </is>
      </c>
      <c r="G324" s="112" t="inlineStr">
        <is>
          <t>Prospect</t>
        </is>
      </c>
      <c r="H324" s="112" t="inlineStr">
        <is>
          <t>TAHHAN Riham</t>
        </is>
      </c>
      <c r="I324" s="113" t="inlineStr">
        <is>
          <t xml:space="preserve">The client would like to buy this timepiece a gift for his brother - His birthday is on August 11
</t>
        </is>
      </c>
      <c r="J324" s="112" t="n"/>
    </row>
    <row r="325" ht="158.4" customHeight="1" s="287">
      <c r="A325" s="111" t="inlineStr">
        <is>
          <t>Request</t>
        </is>
      </c>
      <c r="B325" s="112" t="n"/>
      <c r="C325" s="112" t="inlineStr">
        <is>
          <t>14/12/2024</t>
        </is>
      </c>
      <c r="D325" s="112" t="inlineStr">
        <is>
          <t>4520V/210A-B128</t>
        </is>
      </c>
      <c r="E325" s="112" t="inlineStr">
        <is>
          <t>Phone sales Middle East</t>
        </is>
      </c>
      <c r="F325" s="112" t="inlineStr">
        <is>
          <t>102991728</t>
        </is>
      </c>
      <c r="G325" s="112" t="inlineStr">
        <is>
          <t>Prospect</t>
        </is>
      </c>
      <c r="H325" s="112" t="inlineStr">
        <is>
          <t>TAHHAN Riham</t>
        </is>
      </c>
      <c r="I325" s="113" t="inlineStr">
        <is>
          <t xml:space="preserve">The client is a watch collcter, appreciative of the brand history and heritage and considers having this timepiece will make him a successful watch collector.
</t>
        </is>
      </c>
      <c r="J325" s="112" t="n"/>
    </row>
    <row r="326" ht="172.95" customHeight="1" s="287">
      <c r="A326" s="111" t="inlineStr">
        <is>
          <t>Cancelled</t>
        </is>
      </c>
      <c r="B326" s="112" t="inlineStr">
        <is>
          <t>Cancelled</t>
        </is>
      </c>
      <c r="C326" s="112" t="inlineStr">
        <is>
          <t>13/12/2024</t>
        </is>
      </c>
      <c r="D326" s="112" t="inlineStr">
        <is>
          <t>4520V/210A-B126</t>
        </is>
      </c>
      <c r="E326" s="112" t="inlineStr">
        <is>
          <t>Phone sales Middle East</t>
        </is>
      </c>
      <c r="F326" s="112" t="inlineStr">
        <is>
          <t>102951000</t>
        </is>
      </c>
      <c r="G326" s="112" t="inlineStr">
        <is>
          <t>Prospect</t>
        </is>
      </c>
      <c r="H326" s="112" t="inlineStr">
        <is>
          <t>TAHHAN Riham</t>
        </is>
      </c>
      <c r="I326" s="113" t="inlineStr">
        <is>
          <t xml:space="preserve">The client is interested in getting the Overseas for special occasion and will also purchase the fiftysix 4600E/110A-B487 for day to day use.
</t>
        </is>
      </c>
      <c r="J326" s="112" t="n"/>
    </row>
    <row r="327">
      <c r="A327" s="111" t="inlineStr">
        <is>
          <t>Request</t>
        </is>
      </c>
      <c r="B327" s="112" t="n"/>
      <c r="C327" s="112" t="inlineStr">
        <is>
          <t>10/12/2024</t>
        </is>
      </c>
      <c r="D327" s="112" t="inlineStr">
        <is>
          <t>4520V/210A-B128</t>
        </is>
      </c>
      <c r="E327" s="112" t="inlineStr">
        <is>
          <t>Phone sales Middle East</t>
        </is>
      </c>
      <c r="F327" s="112" t="inlineStr">
        <is>
          <t>102904196</t>
        </is>
      </c>
      <c r="G327" s="112" t="inlineStr">
        <is>
          <t>Prospect</t>
        </is>
      </c>
      <c r="H327" s="112" t="inlineStr">
        <is>
          <t>TAHHAN Riham</t>
        </is>
      </c>
      <c r="I327" s="113" t="n"/>
      <c r="J327" s="112" t="n"/>
    </row>
    <row r="328">
      <c r="A328" s="111" t="inlineStr">
        <is>
          <t>Sold</t>
        </is>
      </c>
      <c r="B328" s="112" t="inlineStr">
        <is>
          <t>Confirmed</t>
        </is>
      </c>
      <c r="C328" s="112" t="inlineStr">
        <is>
          <t>10/12/2024</t>
        </is>
      </c>
      <c r="D328" s="112" t="inlineStr">
        <is>
          <t>4520V/210A-B128</t>
        </is>
      </c>
      <c r="E328" s="112" t="inlineStr">
        <is>
          <t>Phone sales Middle East</t>
        </is>
      </c>
      <c r="F328" s="112" t="inlineStr">
        <is>
          <t>102905570</t>
        </is>
      </c>
      <c r="G328" s="112" t="inlineStr">
        <is>
          <t>Prospect</t>
        </is>
      </c>
      <c r="H328" s="112" t="inlineStr">
        <is>
          <t>TAHHAN Riham</t>
        </is>
      </c>
      <c r="I328" s="113" t="n"/>
      <c r="J328" s="112" t="n"/>
    </row>
    <row r="329" ht="72" customHeight="1" s="287">
      <c r="A329" s="111" t="inlineStr">
        <is>
          <t>Request</t>
        </is>
      </c>
      <c r="B329" s="112" t="inlineStr">
        <is>
          <t>Postponed</t>
        </is>
      </c>
      <c r="C329" s="112" t="inlineStr">
        <is>
          <t>5/12/2024</t>
        </is>
      </c>
      <c r="D329" s="112" t="inlineStr">
        <is>
          <t>4520V/210R-B967</t>
        </is>
      </c>
      <c r="E329" s="112" t="inlineStr">
        <is>
          <t>Phone sales Middle East</t>
        </is>
      </c>
      <c r="F329" s="112" t="inlineStr">
        <is>
          <t>102735123</t>
        </is>
      </c>
      <c r="G329" s="112" t="inlineStr">
        <is>
          <t>Prospect</t>
        </is>
      </c>
      <c r="H329" s="112" t="inlineStr">
        <is>
          <t>OMARI Asma</t>
        </is>
      </c>
      <c r="I329" s="113" t="inlineStr">
        <is>
          <t xml:space="preserve">Mr. Chirag Arora : also interested in the historiques 222
</t>
        </is>
      </c>
      <c r="J329" s="112" t="n"/>
    </row>
    <row r="330" ht="86.40000000000001" customHeight="1" s="287">
      <c r="A330" s="111" t="inlineStr">
        <is>
          <t>Request</t>
        </is>
      </c>
      <c r="B330" s="112" t="inlineStr">
        <is>
          <t>Postponed</t>
        </is>
      </c>
      <c r="C330" s="112" t="inlineStr">
        <is>
          <t>5/12/2024</t>
        </is>
      </c>
      <c r="D330" s="112" t="inlineStr">
        <is>
          <t>4200H/222J-B935</t>
        </is>
      </c>
      <c r="E330" s="112" t="inlineStr">
        <is>
          <t>Phone sales Middle East</t>
        </is>
      </c>
      <c r="F330" s="112" t="inlineStr">
        <is>
          <t>102735123</t>
        </is>
      </c>
      <c r="G330" s="112" t="inlineStr">
        <is>
          <t>Prospect</t>
        </is>
      </c>
      <c r="H330" s="112" t="inlineStr">
        <is>
          <t>OMARI Asma</t>
        </is>
      </c>
      <c r="I330" s="113" t="inlineStr">
        <is>
          <t xml:space="preserve">Mr. Chirag Arora : is also interested in the overeseas gold selfwinding green dial.
</t>
        </is>
      </c>
      <c r="J330" s="112" t="n"/>
    </row>
    <row r="331" ht="86.40000000000001" customHeight="1" s="287">
      <c r="A331" s="111" t="inlineStr">
        <is>
          <t>Request</t>
        </is>
      </c>
      <c r="B331" s="112" t="n"/>
      <c r="C331" s="112" t="inlineStr">
        <is>
          <t>4/12/2024</t>
        </is>
      </c>
      <c r="D331" s="112" t="inlineStr">
        <is>
          <t>4520V/210A-B128</t>
        </is>
      </c>
      <c r="E331" s="112" t="inlineStr">
        <is>
          <t>Phone sales Middle East</t>
        </is>
      </c>
      <c r="F331" s="112" t="inlineStr">
        <is>
          <t>102637104</t>
        </is>
      </c>
      <c r="G331" s="112" t="inlineStr">
        <is>
          <t>Prospect</t>
        </is>
      </c>
      <c r="H331" s="112" t="inlineStr">
        <is>
          <t>SHARIF Maaz</t>
        </is>
      </c>
      <c r="I331" s="113" t="inlineStr">
        <is>
          <t xml:space="preserve">The client is based in India , and willing to come to the UAE for 128 
</t>
        </is>
      </c>
      <c r="J331" s="112" t="n"/>
    </row>
    <row r="332" ht="28.95" customHeight="1" s="287">
      <c r="A332" s="111" t="inlineStr">
        <is>
          <t>Request</t>
        </is>
      </c>
      <c r="B332" s="112" t="n"/>
      <c r="C332" s="112" t="inlineStr">
        <is>
          <t>28/11/2024</t>
        </is>
      </c>
      <c r="D332" s="112" t="inlineStr">
        <is>
          <t>7920V/210A-B334</t>
        </is>
      </c>
      <c r="E332" s="112" t="inlineStr">
        <is>
          <t>Phone sales Middle East</t>
        </is>
      </c>
      <c r="F332" s="112" t="inlineStr">
        <is>
          <t>102618733</t>
        </is>
      </c>
      <c r="G332" s="112" t="inlineStr">
        <is>
          <t>Prospect</t>
        </is>
      </c>
      <c r="H332" s="112" t="inlineStr">
        <is>
          <t>OMARI Asma</t>
        </is>
      </c>
      <c r="I332" s="113" t="inlineStr">
        <is>
          <t xml:space="preserve">Mr. Asim Alowais
</t>
        </is>
      </c>
      <c r="J332" s="112" t="n"/>
    </row>
    <row r="333" ht="72" customHeight="1" s="287">
      <c r="A333" s="111" t="inlineStr">
        <is>
          <t>Request</t>
        </is>
      </c>
      <c r="B333" s="112" t="n"/>
      <c r="C333" s="112" t="inlineStr">
        <is>
          <t>27/11/2024</t>
        </is>
      </c>
      <c r="D333" s="112" t="inlineStr">
        <is>
          <t>7920V/210A-B334</t>
        </is>
      </c>
      <c r="E333" s="112" t="inlineStr">
        <is>
          <t>Phone sales Middle East</t>
        </is>
      </c>
      <c r="F333" s="112" t="inlineStr">
        <is>
          <t>102600071</t>
        </is>
      </c>
      <c r="G333" s="112" t="inlineStr">
        <is>
          <t>Prospect</t>
        </is>
      </c>
      <c r="H333" s="112" t="inlineStr">
        <is>
          <t>OMARI Asma</t>
        </is>
      </c>
      <c r="I333" s="113" t="inlineStr">
        <is>
          <t xml:space="preserve">Mr. Anthony Delpiano contacted us via email
</t>
        </is>
      </c>
      <c r="J333" s="112" t="n"/>
    </row>
    <row r="334" ht="115.2" customHeight="1" s="287">
      <c r="A334" s="111" t="inlineStr">
        <is>
          <t>Request</t>
        </is>
      </c>
      <c r="B334" s="112" t="n"/>
      <c r="C334" s="112" t="inlineStr">
        <is>
          <t>26/11/2024</t>
        </is>
      </c>
      <c r="D334" s="112" t="inlineStr">
        <is>
          <t>4520V/210A-B128</t>
        </is>
      </c>
      <c r="E334" s="112" t="inlineStr">
        <is>
          <t>Phone sales Middle East</t>
        </is>
      </c>
      <c r="F334" s="112" t="inlineStr">
        <is>
          <t>102549877</t>
        </is>
      </c>
      <c r="G334" s="112" t="inlineStr">
        <is>
          <t>Prospect</t>
        </is>
      </c>
      <c r="H334" s="112" t="inlineStr">
        <is>
          <t>OMARI Asma</t>
        </is>
      </c>
      <c r="I334" s="113" t="inlineStr">
        <is>
          <t xml:space="preserve">Mr Abdelhadi Mohamed interested in the Overseas Blue dial but he is also open for alternatives.
</t>
        </is>
      </c>
      <c r="J334" s="112" t="n"/>
    </row>
    <row r="335" ht="158.4" customHeight="1" s="287">
      <c r="A335" s="111" t="inlineStr">
        <is>
          <t>Cancelled</t>
        </is>
      </c>
      <c r="B335" s="112" t="inlineStr">
        <is>
          <t>Cancelled</t>
        </is>
      </c>
      <c r="C335" s="112" t="inlineStr">
        <is>
          <t>23/11/2024</t>
        </is>
      </c>
      <c r="D335" s="112" t="inlineStr">
        <is>
          <t>4000V/210A-B911</t>
        </is>
      </c>
      <c r="E335" s="112" t="inlineStr">
        <is>
          <t>Phone sales Middle East</t>
        </is>
      </c>
      <c r="F335" s="112" t="inlineStr">
        <is>
          <t>92404764</t>
        </is>
      </c>
      <c r="G335" s="112" t="inlineStr">
        <is>
          <t>Prospect</t>
        </is>
      </c>
      <c r="H335" s="112" t="inlineStr">
        <is>
          <t>OMARI Asma</t>
        </is>
      </c>
      <c r="I335" s="113" t="inlineStr">
        <is>
          <t xml:space="preserve">Client was initially interested in the 222 but now he would like to register for the Overseasmoon phase retrograde date: for his son birthday on 28 Nov.
</t>
        </is>
      </c>
      <c r="J335" s="112" t="n"/>
    </row>
    <row r="336" ht="86.40000000000001" customHeight="1" s="287">
      <c r="A336" s="111" t="inlineStr">
        <is>
          <t>Request</t>
        </is>
      </c>
      <c r="B336" s="112" t="n"/>
      <c r="C336" s="112" t="inlineStr">
        <is>
          <t>21/11/2024</t>
        </is>
      </c>
      <c r="D336" s="112" t="inlineStr">
        <is>
          <t>4520V/210A-B128</t>
        </is>
      </c>
      <c r="E336" s="112" t="inlineStr">
        <is>
          <t>Phone sales Middle East</t>
        </is>
      </c>
      <c r="F336" s="112" t="inlineStr">
        <is>
          <t>101623615</t>
        </is>
      </c>
      <c r="G336" s="112" t="inlineStr">
        <is>
          <t>Prospect</t>
        </is>
      </c>
      <c r="H336" s="112" t="inlineStr">
        <is>
          <t>TAHHAN Riham</t>
        </is>
      </c>
      <c r="I336" s="113" t="inlineStr">
        <is>
          <t xml:space="preserve">Added to the waiting list for the OVS retrograde moonphase
</t>
        </is>
      </c>
      <c r="J336" s="112" t="n"/>
    </row>
    <row r="337" ht="115.2" customHeight="1" s="287">
      <c r="A337" s="111" t="inlineStr">
        <is>
          <t>Request</t>
        </is>
      </c>
      <c r="B337" s="112" t="n"/>
      <c r="C337" s="112" t="inlineStr">
        <is>
          <t>20/11/2024</t>
        </is>
      </c>
      <c r="D337" s="112" t="inlineStr">
        <is>
          <t>1225V/200A-B590</t>
        </is>
      </c>
      <c r="E337" s="112" t="inlineStr">
        <is>
          <t>Phone sales Middle East</t>
        </is>
      </c>
      <c r="F337" s="112" t="inlineStr">
        <is>
          <t>102502922</t>
        </is>
      </c>
      <c r="G337" s="112" t="inlineStr">
        <is>
          <t>Prospect</t>
        </is>
      </c>
      <c r="H337" s="112" t="inlineStr">
        <is>
          <t>SHARIF Maaz</t>
        </is>
      </c>
      <c r="I337" s="113" t="inlineStr">
        <is>
          <t xml:space="preserve">the client would like to purchases the Overseasquartz
1225V/200A-B590 33 mm Steel 
</t>
        </is>
      </c>
      <c r="J337" s="112" t="n"/>
    </row>
    <row r="338" ht="144" customHeight="1" s="287">
      <c r="A338" s="111" t="inlineStr">
        <is>
          <t>Request</t>
        </is>
      </c>
      <c r="B338" s="112" t="inlineStr">
        <is>
          <t>Confirmed</t>
        </is>
      </c>
      <c r="C338" s="112" t="inlineStr">
        <is>
          <t>20/11/2024</t>
        </is>
      </c>
      <c r="D338" s="112" t="inlineStr">
        <is>
          <t>7920V/210A-B334</t>
        </is>
      </c>
      <c r="E338" s="112" t="inlineStr">
        <is>
          <t>Phone sales Middle East</t>
        </is>
      </c>
      <c r="F338" s="112" t="inlineStr">
        <is>
          <t>101472623</t>
        </is>
      </c>
      <c r="G338" s="112" t="inlineStr">
        <is>
          <t>Prospect</t>
        </is>
      </c>
      <c r="H338" s="112" t="inlineStr">
        <is>
          <t>SHARIF Maaz</t>
        </is>
      </c>
      <c r="I338" s="113" t="inlineStr">
        <is>
          <t xml:space="preserve">**Overseas Dual Time**: Mr. Nassef has expressed a preference for this model due to its suitability to his wrist size (41 mm).
</t>
        </is>
      </c>
      <c r="J338" s="112" t="n"/>
    </row>
    <row r="339" ht="158.4" customHeight="1" s="287">
      <c r="A339" s="111" t="inlineStr">
        <is>
          <t>Request</t>
        </is>
      </c>
      <c r="B339" s="112" t="n"/>
      <c r="C339" s="112" t="inlineStr">
        <is>
          <t>20/11/2024</t>
        </is>
      </c>
      <c r="D339" s="112" t="inlineStr">
        <is>
          <t>4520V/210A-B128</t>
        </is>
      </c>
      <c r="E339" s="112" t="inlineStr">
        <is>
          <t>Phone sales Middle East</t>
        </is>
      </c>
      <c r="F339" s="112" t="inlineStr">
        <is>
          <t>102494314</t>
        </is>
      </c>
      <c r="G339" s="112" t="inlineStr">
        <is>
          <t>Client</t>
        </is>
      </c>
      <c r="H339" s="112" t="inlineStr">
        <is>
          <t>TAHHAN Riham</t>
        </is>
      </c>
      <c r="I339" s="113" t="inlineStr">
        <is>
          <t xml:space="preserve">The client is an owner of a fiftysix - from korea- he is already added to the korean waitlist - but he shifted to UAE and would like to be added as well
</t>
        </is>
      </c>
      <c r="J339" s="112" t="n"/>
    </row>
    <row r="340" ht="115.2" customHeight="1" s="287">
      <c r="A340" s="111" t="inlineStr">
        <is>
          <t>Request</t>
        </is>
      </c>
      <c r="B340" s="112" t="inlineStr">
        <is>
          <t>Postponed</t>
        </is>
      </c>
      <c r="C340" s="112" t="inlineStr">
        <is>
          <t>20/11/2024</t>
        </is>
      </c>
      <c r="D340" s="112" t="inlineStr">
        <is>
          <t>7920V/210A-B334</t>
        </is>
      </c>
      <c r="E340" s="112" t="inlineStr">
        <is>
          <t>Phone sales Middle East</t>
        </is>
      </c>
      <c r="F340" s="112" t="inlineStr">
        <is>
          <t>102505094</t>
        </is>
      </c>
      <c r="G340" s="112" t="inlineStr">
        <is>
          <t>Prospect</t>
        </is>
      </c>
      <c r="H340" s="112" t="inlineStr">
        <is>
          <t>SHARIF Maaz</t>
        </is>
      </c>
      <c r="I340" s="113" t="inlineStr">
        <is>
          <t xml:space="preserve">The client wants to own his first VC and add it to his collection which inclouds , Rolexes, AP’s and Pateks’
</t>
        </is>
      </c>
      <c r="J340" s="112" t="n"/>
    </row>
    <row r="341" ht="28.95" customHeight="1" s="287">
      <c r="A341" s="111" t="inlineStr">
        <is>
          <t>Request</t>
        </is>
      </c>
      <c r="B341" s="112" t="n"/>
      <c r="C341" s="112" t="inlineStr">
        <is>
          <t>16/11/2024</t>
        </is>
      </c>
      <c r="D341" s="112" t="inlineStr">
        <is>
          <t>4520V/210A-B128</t>
        </is>
      </c>
      <c r="E341" s="112" t="inlineStr">
        <is>
          <t>Phone sales Middle East</t>
        </is>
      </c>
      <c r="F341" s="112" t="inlineStr">
        <is>
          <t>102442135</t>
        </is>
      </c>
      <c r="G341" s="112" t="inlineStr">
        <is>
          <t>Prospect</t>
        </is>
      </c>
      <c r="H341" s="112" t="inlineStr">
        <is>
          <t>TAHHAN Riham</t>
        </is>
      </c>
      <c r="I341" s="113" t="inlineStr">
        <is>
          <t xml:space="preserve">
</t>
        </is>
      </c>
      <c r="J341" s="112" t="n"/>
    </row>
    <row r="342">
      <c r="A342" s="111" t="inlineStr">
        <is>
          <t>Cancelled</t>
        </is>
      </c>
      <c r="B342" s="112" t="inlineStr">
        <is>
          <t>Cancelled</t>
        </is>
      </c>
      <c r="C342" s="112" t="inlineStr">
        <is>
          <t>16/11/2024</t>
        </is>
      </c>
      <c r="D342" s="112" t="inlineStr">
        <is>
          <t>4520V/210A-B126</t>
        </is>
      </c>
      <c r="E342" s="112" t="inlineStr">
        <is>
          <t>Phone sales Middle East</t>
        </is>
      </c>
      <c r="F342" s="112" t="inlineStr">
        <is>
          <t>102442135</t>
        </is>
      </c>
      <c r="G342" s="112" t="inlineStr">
        <is>
          <t>Prospect</t>
        </is>
      </c>
      <c r="H342" s="112" t="inlineStr">
        <is>
          <t>TAHHAN Riham</t>
        </is>
      </c>
      <c r="I342" s="113" t="n"/>
      <c r="J342" s="112" t="n"/>
    </row>
    <row r="343" ht="86.40000000000001" customHeight="1" s="287">
      <c r="A343" s="111" t="inlineStr">
        <is>
          <t>Request</t>
        </is>
      </c>
      <c r="B343" s="112" t="inlineStr">
        <is>
          <t>Pending client feedback</t>
        </is>
      </c>
      <c r="C343" s="112" t="inlineStr">
        <is>
          <t>15/11/2024</t>
        </is>
      </c>
      <c r="D343" s="112" t="inlineStr">
        <is>
          <t>4600V/200A-B980</t>
        </is>
      </c>
      <c r="E343" s="112" t="inlineStr">
        <is>
          <t>Phone sales Middle East</t>
        </is>
      </c>
      <c r="F343" s="112" t="inlineStr">
        <is>
          <t>102424724</t>
        </is>
      </c>
      <c r="G343" s="112" t="inlineStr">
        <is>
          <t>Prospect</t>
        </is>
      </c>
      <c r="H343" s="112" t="inlineStr">
        <is>
          <t>SHARIF Maaz</t>
        </is>
      </c>
      <c r="I343" s="113" t="inlineStr">
        <is>
          <t xml:space="preserve">The client would like to purchase the oversease for his wife as  Christmas gift
</t>
        </is>
      </c>
      <c r="J343" s="112" t="n"/>
    </row>
    <row r="344" ht="72" customHeight="1" s="287">
      <c r="A344" s="111" t="inlineStr">
        <is>
          <t>Request</t>
        </is>
      </c>
      <c r="B344" s="112" t="inlineStr">
        <is>
          <t>Confirmed</t>
        </is>
      </c>
      <c r="C344" s="112" t="inlineStr">
        <is>
          <t>14/11/2024</t>
        </is>
      </c>
      <c r="D344" s="112" t="inlineStr">
        <is>
          <t>4520V/210A-B128</t>
        </is>
      </c>
      <c r="E344" s="112" t="inlineStr">
        <is>
          <t>Phone sales Middle East</t>
        </is>
      </c>
      <c r="F344" s="112" t="inlineStr">
        <is>
          <t>98700258</t>
        </is>
      </c>
      <c r="G344" s="112" t="inlineStr">
        <is>
          <t>Prospect</t>
        </is>
      </c>
      <c r="H344" s="112" t="inlineStr">
        <is>
          <t>SHARIF Maaz</t>
        </is>
      </c>
      <c r="I344" s="113" t="inlineStr">
        <is>
          <t xml:space="preserve">The client would like to purchases the overseas blue simple 
</t>
        </is>
      </c>
      <c r="J344" s="112" t="n"/>
    </row>
    <row r="345" ht="129.6" customHeight="1" s="287">
      <c r="A345" s="111" t="inlineStr">
        <is>
          <t>Request</t>
        </is>
      </c>
      <c r="B345" s="112" t="inlineStr">
        <is>
          <t>Pending client feedback</t>
        </is>
      </c>
      <c r="C345" s="112" t="inlineStr">
        <is>
          <t>14/11/2024</t>
        </is>
      </c>
      <c r="D345" s="112" t="inlineStr">
        <is>
          <t>6000V/110A-B544</t>
        </is>
      </c>
      <c r="E345" s="112" t="inlineStr">
        <is>
          <t>Phone sales Middle East</t>
        </is>
      </c>
      <c r="F345" s="112" t="inlineStr">
        <is>
          <t>98700258</t>
        </is>
      </c>
      <c r="G345" s="112" t="inlineStr">
        <is>
          <t>Prospect</t>
        </is>
      </c>
      <c r="H345" s="112" t="inlineStr">
        <is>
          <t>SHARIF Maaz</t>
        </is>
      </c>
      <c r="I345" s="113" t="inlineStr">
        <is>
          <t xml:space="preserve">The client would like to purchase the overseas and stated that , he considers him self a Vacheron Constantin ambassador 
</t>
        </is>
      </c>
      <c r="J345" s="112" t="n"/>
    </row>
    <row r="346" ht="316.95" customHeight="1" s="287">
      <c r="A346" s="111" t="inlineStr">
        <is>
          <t>Request</t>
        </is>
      </c>
      <c r="B346" s="112" t="n"/>
      <c r="C346" s="112" t="inlineStr">
        <is>
          <t>13/11/2024</t>
        </is>
      </c>
      <c r="D346" s="112" t="inlineStr">
        <is>
          <t>4520V/210A-B128</t>
        </is>
      </c>
      <c r="E346" s="112" t="inlineStr">
        <is>
          <t>Phone sales Middle East</t>
        </is>
      </c>
      <c r="F346" s="112" t="inlineStr">
        <is>
          <t>102395824</t>
        </is>
      </c>
      <c r="G346" s="112" t="inlineStr">
        <is>
          <t>Prospect</t>
        </is>
      </c>
      <c r="H346" s="112" t="inlineStr">
        <is>
          <t>SHARIF Maaz</t>
        </is>
      </c>
      <c r="I346" s="113" t="inlineStr">
        <is>
          <t xml:space="preserve">The customer appreciates the simplicity and elegance of the model, as well as the collapsible strap, which aligns with his lifestyle.
The customer has tried on the model in-store and confirmed his intent to purchase it as soon as it becomes available.
</t>
        </is>
      </c>
      <c r="J346" s="112" t="n"/>
    </row>
    <row r="347" ht="129.6" customHeight="1" s="287">
      <c r="A347" s="111" t="inlineStr">
        <is>
          <t>Cancelled</t>
        </is>
      </c>
      <c r="B347" s="112" t="inlineStr">
        <is>
          <t>Cancelled</t>
        </is>
      </c>
      <c r="C347" s="112" t="inlineStr">
        <is>
          <t>12/11/2024</t>
        </is>
      </c>
      <c r="D347" s="112" t="inlineStr">
        <is>
          <t>7920V/210R-B965</t>
        </is>
      </c>
      <c r="E347" s="112" t="inlineStr">
        <is>
          <t>Phone sales Middle East</t>
        </is>
      </c>
      <c r="F347" s="112" t="inlineStr">
        <is>
          <t>102381381</t>
        </is>
      </c>
      <c r="G347" s="112" t="inlineStr">
        <is>
          <t>Prospect</t>
        </is>
      </c>
      <c r="H347" s="112" t="inlineStr">
        <is>
          <t>TAHHAN Riham</t>
        </is>
      </c>
      <c r="I347" s="113" t="inlineStr">
        <is>
          <t xml:space="preserve">The client already bought the OVS chronograph - pink gold and blue dial and would like to add this timepiece to his collection
</t>
        </is>
      </c>
      <c r="J347" s="112" t="n"/>
    </row>
    <row r="348">
      <c r="A348" s="111" t="inlineStr">
        <is>
          <t>Cancelled</t>
        </is>
      </c>
      <c r="B348" s="112" t="inlineStr">
        <is>
          <t>Cancelled</t>
        </is>
      </c>
      <c r="C348" s="112" t="inlineStr">
        <is>
          <t>9/11/2024</t>
        </is>
      </c>
      <c r="D348" s="112" t="inlineStr">
        <is>
          <t>7920V/210A-B334</t>
        </is>
      </c>
      <c r="E348" s="112" t="inlineStr">
        <is>
          <t>Phone sales Middle East</t>
        </is>
      </c>
      <c r="F348" s="112" t="inlineStr">
        <is>
          <t>92403624</t>
        </is>
      </c>
      <c r="G348" s="112" t="inlineStr">
        <is>
          <t>Prospect</t>
        </is>
      </c>
      <c r="H348" s="112" t="inlineStr">
        <is>
          <t>TAHHAN Riham</t>
        </is>
      </c>
      <c r="I348" s="113" t="n"/>
      <c r="J348" s="112" t="n"/>
    </row>
    <row r="349">
      <c r="A349" s="111" t="inlineStr">
        <is>
          <t>Cancelled</t>
        </is>
      </c>
      <c r="B349" s="112" t="inlineStr">
        <is>
          <t>Cancelled</t>
        </is>
      </c>
      <c r="C349" s="112" t="inlineStr">
        <is>
          <t>7/11/2024</t>
        </is>
      </c>
      <c r="D349" s="112" t="inlineStr">
        <is>
          <t>7920V/210A-B546</t>
        </is>
      </c>
      <c r="E349" s="112" t="inlineStr">
        <is>
          <t>Phone sales Middle East</t>
        </is>
      </c>
      <c r="F349" s="112" t="inlineStr">
        <is>
          <t>101641502</t>
        </is>
      </c>
      <c r="G349" s="112" t="inlineStr">
        <is>
          <t>Prospect</t>
        </is>
      </c>
      <c r="H349" s="112" t="inlineStr">
        <is>
          <t>TAHHAN Riham</t>
        </is>
      </c>
      <c r="I349" s="113" t="n"/>
      <c r="J349" s="112" t="n"/>
    </row>
    <row r="350">
      <c r="A350" s="111" t="inlineStr">
        <is>
          <t>Cancelled</t>
        </is>
      </c>
      <c r="B350" s="112" t="inlineStr">
        <is>
          <t>Cancelled</t>
        </is>
      </c>
      <c r="C350" s="112" t="inlineStr">
        <is>
          <t>6/11/2024</t>
        </is>
      </c>
      <c r="D350" s="112" t="inlineStr">
        <is>
          <t>7920V/210A-B334</t>
        </is>
      </c>
      <c r="E350" s="112" t="inlineStr">
        <is>
          <t>Phone sales Middle East</t>
        </is>
      </c>
      <c r="F350" s="112" t="inlineStr">
        <is>
          <t>101987055</t>
        </is>
      </c>
      <c r="G350" s="112" t="inlineStr">
        <is>
          <t>Prospect</t>
        </is>
      </c>
      <c r="H350" s="112" t="inlineStr">
        <is>
          <t>TAHHAN Riham</t>
        </is>
      </c>
      <c r="I350" s="113" t="n"/>
      <c r="J350" s="112" t="n"/>
    </row>
    <row r="351" ht="244.95" customHeight="1" s="287">
      <c r="A351" s="111" t="inlineStr">
        <is>
          <t>Request</t>
        </is>
      </c>
      <c r="B351" s="112" t="n"/>
      <c r="C351" s="112" t="inlineStr">
        <is>
          <t>5/11/2024</t>
        </is>
      </c>
      <c r="D351" s="112" t="inlineStr">
        <is>
          <t>7920V/210A-B334</t>
        </is>
      </c>
      <c r="E351" s="112" t="inlineStr">
        <is>
          <t>Phone sales Middle East</t>
        </is>
      </c>
      <c r="F351" s="112" t="inlineStr">
        <is>
          <t>98635975</t>
        </is>
      </c>
      <c r="G351" s="112" t="inlineStr">
        <is>
          <t>VVIC</t>
        </is>
      </c>
      <c r="H351" s="112" t="inlineStr">
        <is>
          <t>SHARIF Maaz</t>
        </is>
      </c>
      <c r="I351" s="113" t="inlineStr">
        <is>
          <t xml:space="preserve">My client Al Owis recently reached out to express his satisfaction with the service he received previously. He inquired about the dual time and mentioned that he would like to purchase it as a gift for his uncle, His Excellency Abdul Rahman Al Owais.
</t>
        </is>
      </c>
      <c r="J351" s="112" t="n"/>
    </row>
    <row r="352" ht="86.40000000000001" customHeight="1" s="287">
      <c r="A352" s="111" t="inlineStr">
        <is>
          <t>Cancelled</t>
        </is>
      </c>
      <c r="B352" s="112" t="inlineStr">
        <is>
          <t>Cancelled</t>
        </is>
      </c>
      <c r="C352" s="112" t="inlineStr">
        <is>
          <t>5/11/2024</t>
        </is>
      </c>
      <c r="D352" s="112" t="inlineStr">
        <is>
          <t>7920V/210A-B334</t>
        </is>
      </c>
      <c r="E352" s="112" t="inlineStr">
        <is>
          <t>Phone sales Middle East</t>
        </is>
      </c>
      <c r="F352" s="112" t="inlineStr">
        <is>
          <t>92401119</t>
        </is>
      </c>
      <c r="G352" s="112" t="inlineStr">
        <is>
          <t>Prospect</t>
        </is>
      </c>
      <c r="H352" s="112" t="inlineStr">
        <is>
          <t>OMARI Asma</t>
        </is>
      </c>
      <c r="I352" s="113" t="inlineStr">
        <is>
          <t xml:space="preserve">Client was registred by Yangli for the blue dial and 2 ladies watches 
</t>
        </is>
      </c>
      <c r="J352" s="112" t="n"/>
    </row>
    <row r="353" ht="72" customHeight="1" s="287">
      <c r="A353" s="111" t="inlineStr">
        <is>
          <t>Cancelled</t>
        </is>
      </c>
      <c r="B353" s="112" t="inlineStr">
        <is>
          <t>Cancelled</t>
        </is>
      </c>
      <c r="C353" s="112" t="inlineStr">
        <is>
          <t>5/11/2024</t>
        </is>
      </c>
      <c r="D353" s="112" t="inlineStr">
        <is>
          <t>7920V/210A-B546</t>
        </is>
      </c>
      <c r="E353" s="112" t="inlineStr">
        <is>
          <t>Phone sales Middle East</t>
        </is>
      </c>
      <c r="F353" s="112" t="inlineStr">
        <is>
          <t>102281183</t>
        </is>
      </c>
      <c r="G353" s="112" t="inlineStr">
        <is>
          <t>Prospect</t>
        </is>
      </c>
      <c r="H353" s="112" t="inlineStr">
        <is>
          <t>OMARI Asma</t>
        </is>
      </c>
      <c r="I353" s="113" t="inlineStr">
        <is>
          <t xml:space="preserve">Client is open for other options invited his to the boutique.
</t>
        </is>
      </c>
      <c r="J353" s="112" t="n"/>
    </row>
    <row r="354" ht="100.95" customHeight="1" s="287">
      <c r="A354" s="111" t="inlineStr">
        <is>
          <t>Request</t>
        </is>
      </c>
      <c r="B354" s="112" t="n"/>
      <c r="C354" s="112" t="inlineStr">
        <is>
          <t>5/11/2024</t>
        </is>
      </c>
      <c r="D354" s="112" t="inlineStr">
        <is>
          <t>4520V/210A-B483</t>
        </is>
      </c>
      <c r="E354" s="112" t="inlineStr">
        <is>
          <t>Phone sales Middle East</t>
        </is>
      </c>
      <c r="F354" s="112" t="inlineStr">
        <is>
          <t>98711501</t>
        </is>
      </c>
      <c r="G354" s="112" t="inlineStr">
        <is>
          <t>Prospect</t>
        </is>
      </c>
      <c r="H354" s="112" t="inlineStr">
        <is>
          <t>SHARIF Maaz</t>
        </is>
      </c>
      <c r="I354" s="113" t="inlineStr">
        <is>
          <t xml:space="preserve">The client is Al Firdan family memebers   interested in the black and blue dual time 
</t>
        </is>
      </c>
      <c r="J354" s="112" t="n"/>
    </row>
    <row r="355" ht="72" customHeight="1" s="287">
      <c r="A355" s="111" t="inlineStr">
        <is>
          <t>Request</t>
        </is>
      </c>
      <c r="B355" s="112" t="n"/>
      <c r="C355" s="112" t="inlineStr">
        <is>
          <t>2/11/2024</t>
        </is>
      </c>
      <c r="D355" s="112" t="inlineStr">
        <is>
          <t>4520V/210A-B128</t>
        </is>
      </c>
      <c r="E355" s="112" t="inlineStr">
        <is>
          <t>Phone sales Middle East</t>
        </is>
      </c>
      <c r="F355" s="112" t="inlineStr">
        <is>
          <t>102232596</t>
        </is>
      </c>
      <c r="G355" s="112" t="inlineStr">
        <is>
          <t>Prospect</t>
        </is>
      </c>
      <c r="H355" s="112" t="inlineStr">
        <is>
          <t>SHARIF Maaz</t>
        </is>
      </c>
      <c r="I355" s="113" t="inlineStr">
        <is>
          <t xml:space="preserve">VVIP Client - Mr. Abdulaziz  is very interested in the timepeice 
</t>
        </is>
      </c>
      <c r="J355" s="112" t="n"/>
    </row>
    <row r="356" ht="72" customHeight="1" s="287">
      <c r="A356" s="111" t="inlineStr">
        <is>
          <t>Request</t>
        </is>
      </c>
      <c r="B356" s="112" t="n"/>
      <c r="C356" s="112" t="inlineStr">
        <is>
          <t>2/11/2024</t>
        </is>
      </c>
      <c r="D356" s="112" t="inlineStr">
        <is>
          <t>7920V/210A-B334</t>
        </is>
      </c>
      <c r="E356" s="112" t="inlineStr">
        <is>
          <t>Phone sales Middle East</t>
        </is>
      </c>
      <c r="F356" s="112" t="inlineStr">
        <is>
          <t>102220776</t>
        </is>
      </c>
      <c r="G356" s="112" t="inlineStr">
        <is>
          <t>Prospect</t>
        </is>
      </c>
      <c r="H356" s="112" t="inlineStr">
        <is>
          <t>SHARIF Maaz</t>
        </is>
      </c>
      <c r="I356" s="113" t="inlineStr">
        <is>
          <t xml:space="preserve">The client is intrested in the OVERSEAS DUAL TIME \n 
</t>
        </is>
      </c>
      <c r="J356" s="112" t="n"/>
    </row>
    <row r="357" ht="72" customHeight="1" s="287">
      <c r="A357" s="111" t="inlineStr">
        <is>
          <t>Cancelled</t>
        </is>
      </c>
      <c r="B357" s="112" t="inlineStr">
        <is>
          <t>Cancelled</t>
        </is>
      </c>
      <c r="C357" s="112" t="inlineStr">
        <is>
          <t>31/10/2024</t>
        </is>
      </c>
      <c r="D357" s="112" t="inlineStr">
        <is>
          <t>4520V/210A-B128</t>
        </is>
      </c>
      <c r="E357" s="112" t="inlineStr">
        <is>
          <t>Phone sales Middle East</t>
        </is>
      </c>
      <c r="F357" s="112" t="inlineStr">
        <is>
          <t>102176002</t>
        </is>
      </c>
      <c r="G357" s="112" t="inlineStr">
        <is>
          <t>Prospect</t>
        </is>
      </c>
      <c r="H357" s="112" t="inlineStr">
        <is>
          <t>SHARIF Maaz</t>
        </is>
      </c>
      <c r="I357" s="113" t="inlineStr">
        <is>
          <t xml:space="preserve">The client is very interested in the overseas blue bay tower.
</t>
        </is>
      </c>
      <c r="J357" s="112" t="n"/>
    </row>
    <row r="358">
      <c r="A358" s="111" t="inlineStr">
        <is>
          <t>Cancelled</t>
        </is>
      </c>
      <c r="B358" s="112" t="inlineStr">
        <is>
          <t>Cancelled</t>
        </is>
      </c>
      <c r="C358" s="112" t="inlineStr">
        <is>
          <t>30/10/2024</t>
        </is>
      </c>
      <c r="D358" s="112" t="inlineStr">
        <is>
          <t>5520V/210A-B148</t>
        </is>
      </c>
      <c r="E358" s="112" t="inlineStr">
        <is>
          <t>Phone sales Middle East</t>
        </is>
      </c>
      <c r="F358" s="112" t="inlineStr">
        <is>
          <t>102193096</t>
        </is>
      </c>
      <c r="G358" s="112" t="inlineStr">
        <is>
          <t>Prospect</t>
        </is>
      </c>
      <c r="H358" s="112" t="inlineStr">
        <is>
          <t>TAHHAN Riham</t>
        </is>
      </c>
      <c r="I358" s="113" t="n"/>
      <c r="J358" s="112" t="n"/>
    </row>
    <row r="359">
      <c r="A359" s="111" t="inlineStr">
        <is>
          <t>Request</t>
        </is>
      </c>
      <c r="B359" s="112" t="n"/>
      <c r="C359" s="112" t="inlineStr">
        <is>
          <t>30/10/2024</t>
        </is>
      </c>
      <c r="D359" s="112" t="inlineStr">
        <is>
          <t>7920V/210A-B334</t>
        </is>
      </c>
      <c r="E359" s="112" t="inlineStr">
        <is>
          <t>Phone sales Middle East</t>
        </is>
      </c>
      <c r="F359" s="112" t="inlineStr">
        <is>
          <t>102193096</t>
        </is>
      </c>
      <c r="G359" s="112" t="inlineStr">
        <is>
          <t>Prospect</t>
        </is>
      </c>
      <c r="H359" s="112" t="inlineStr">
        <is>
          <t>TAHHAN Riham</t>
        </is>
      </c>
      <c r="I359" s="113" t="n"/>
      <c r="J359" s="112" t="n"/>
    </row>
    <row r="360">
      <c r="A360" s="111" t="inlineStr">
        <is>
          <t>Request</t>
        </is>
      </c>
      <c r="B360" s="112" t="n"/>
      <c r="C360" s="112" t="inlineStr">
        <is>
          <t>30/10/2024</t>
        </is>
      </c>
      <c r="D360" s="112" t="inlineStr">
        <is>
          <t>4520V/210A-B128</t>
        </is>
      </c>
      <c r="E360" s="112" t="inlineStr">
        <is>
          <t>Phone sales Middle East</t>
        </is>
      </c>
      <c r="F360" s="112" t="inlineStr">
        <is>
          <t>102176002</t>
        </is>
      </c>
      <c r="G360" s="112" t="inlineStr">
        <is>
          <t>Prospect</t>
        </is>
      </c>
      <c r="H360" s="112" t="inlineStr">
        <is>
          <t>SHARIF Maaz</t>
        </is>
      </c>
      <c r="I360" s="113" t="n"/>
      <c r="J360" s="112" t="n"/>
    </row>
    <row r="361" ht="86.40000000000001" customHeight="1" s="287">
      <c r="A361" s="111" t="inlineStr">
        <is>
          <t>Cancelled</t>
        </is>
      </c>
      <c r="B361" s="112" t="inlineStr">
        <is>
          <t>Cancelled</t>
        </is>
      </c>
      <c r="C361" s="112" t="inlineStr">
        <is>
          <t>30/10/2024</t>
        </is>
      </c>
      <c r="D361" s="112" t="inlineStr">
        <is>
          <t>6000V/210T-H032</t>
        </is>
      </c>
      <c r="E361" s="112" t="inlineStr">
        <is>
          <t>Phone sales Middle East</t>
        </is>
      </c>
      <c r="F361" s="112" t="inlineStr">
        <is>
          <t>102113813</t>
        </is>
      </c>
      <c r="G361" s="112" t="inlineStr">
        <is>
          <t>Prospect</t>
        </is>
      </c>
      <c r="H361" s="112" t="inlineStr">
        <is>
          <t>SHARIF Maaz</t>
        </is>
      </c>
      <c r="I361" s="113" t="inlineStr">
        <is>
          <t xml:space="preserve">the client would like to purchases 
overseas tourbillon
</t>
        </is>
      </c>
      <c r="J361" s="112" t="n"/>
    </row>
    <row r="362" ht="129.6" customHeight="1" s="287">
      <c r="A362" s="111" t="inlineStr">
        <is>
          <t>Request</t>
        </is>
      </c>
      <c r="B362" s="112" t="n"/>
      <c r="C362" s="112" t="inlineStr">
        <is>
          <t>26/10/2024</t>
        </is>
      </c>
      <c r="D362" s="112" t="inlineStr">
        <is>
          <t>4520V/210A-B128</t>
        </is>
      </c>
      <c r="E362" s="112" t="inlineStr">
        <is>
          <t>Phone sales Middle East</t>
        </is>
      </c>
      <c r="F362" s="112" t="inlineStr">
        <is>
          <t>0</t>
        </is>
      </c>
      <c r="G362" s="112" t="inlineStr">
        <is>
          <t>Prospect</t>
        </is>
      </c>
      <c r="H362" s="112" t="inlineStr">
        <is>
          <t>SHARIF Maaz</t>
        </is>
      </c>
      <c r="I362" s="113" t="inlineStr">
        <is>
          <t xml:space="preserve">The clinet is a high profile., unfortunately SF didnt create id yet. the client will be going to KSA on Monday morning 
</t>
        </is>
      </c>
      <c r="J362" s="112" t="n"/>
    </row>
    <row r="363" ht="115.2" customHeight="1" s="287">
      <c r="A363" s="111" t="inlineStr">
        <is>
          <t>Request</t>
        </is>
      </c>
      <c r="B363" s="112" t="n"/>
      <c r="C363" s="112" t="inlineStr">
        <is>
          <t>25/10/2024</t>
        </is>
      </c>
      <c r="D363" s="112" t="inlineStr">
        <is>
          <t>4520V/210A-B128</t>
        </is>
      </c>
      <c r="E363" s="112" t="inlineStr">
        <is>
          <t>Phone sales Middle East</t>
        </is>
      </c>
      <c r="F363" s="112" t="inlineStr">
        <is>
          <t>102113813</t>
        </is>
      </c>
      <c r="G363" s="112" t="inlineStr">
        <is>
          <t>Prospect</t>
        </is>
      </c>
      <c r="H363" s="112" t="inlineStr">
        <is>
          <t>SHARIF Maaz</t>
        </is>
      </c>
      <c r="I363" s="113" t="inlineStr">
        <is>
          <t xml:space="preserve">The client is interested in the blue simple day overseas and would like to come to the boutique to try it. 
</t>
        </is>
      </c>
      <c r="J363" s="112" t="n"/>
    </row>
    <row r="364">
      <c r="A364" s="111" t="inlineStr">
        <is>
          <t>Cancelled</t>
        </is>
      </c>
      <c r="B364" s="112" t="inlineStr">
        <is>
          <t>Cancelled</t>
        </is>
      </c>
      <c r="C364" s="112" t="inlineStr">
        <is>
          <t>25/10/2024</t>
        </is>
      </c>
      <c r="D364" s="112" t="inlineStr">
        <is>
          <t>4520V/210A-B126</t>
        </is>
      </c>
      <c r="E364" s="112" t="inlineStr">
        <is>
          <t>Phone sales Middle East</t>
        </is>
      </c>
      <c r="F364" s="112" t="inlineStr">
        <is>
          <t>101917600</t>
        </is>
      </c>
      <c r="G364" s="112" t="inlineStr">
        <is>
          <t>Prospect</t>
        </is>
      </c>
      <c r="H364" s="112" t="inlineStr">
        <is>
          <t>TAHHAN Riham</t>
        </is>
      </c>
      <c r="I364" s="113" t="n"/>
      <c r="J364" s="112" t="n"/>
    </row>
    <row r="365">
      <c r="A365" s="111" t="inlineStr">
        <is>
          <t>Cancelled</t>
        </is>
      </c>
      <c r="B365" s="112" t="inlineStr">
        <is>
          <t>Cancelled</t>
        </is>
      </c>
      <c r="C365" s="112" t="inlineStr">
        <is>
          <t>24/10/2024</t>
        </is>
      </c>
      <c r="D365" s="112" t="inlineStr">
        <is>
          <t>7920V/210A-B334</t>
        </is>
      </c>
      <c r="E365" s="112" t="inlineStr">
        <is>
          <t>Phone sales Middle East</t>
        </is>
      </c>
      <c r="F365" s="112" t="inlineStr">
        <is>
          <t>101917600</t>
        </is>
      </c>
      <c r="G365" s="112" t="inlineStr">
        <is>
          <t>Prospect</t>
        </is>
      </c>
      <c r="H365" s="112" t="inlineStr">
        <is>
          <t>TAHHAN Riham</t>
        </is>
      </c>
      <c r="I365" s="113" t="n"/>
      <c r="J365" s="112" t="n"/>
    </row>
    <row r="366">
      <c r="A366" s="111" t="inlineStr">
        <is>
          <t>Cancelled</t>
        </is>
      </c>
      <c r="B366" s="112" t="inlineStr">
        <is>
          <t>Cancelled</t>
        </is>
      </c>
      <c r="C366" s="112" t="inlineStr">
        <is>
          <t>24/10/2024</t>
        </is>
      </c>
      <c r="D366" s="112" t="inlineStr">
        <is>
          <t>4520V/210A-B128</t>
        </is>
      </c>
      <c r="E366" s="112" t="inlineStr">
        <is>
          <t>Phone sales Middle East</t>
        </is>
      </c>
      <c r="F366" s="112" t="inlineStr">
        <is>
          <t>101917600</t>
        </is>
      </c>
      <c r="G366" s="112" t="inlineStr">
        <is>
          <t>Prospect</t>
        </is>
      </c>
      <c r="H366" s="112" t="inlineStr">
        <is>
          <t>TAHHAN Riham</t>
        </is>
      </c>
      <c r="I366" s="113" t="n"/>
      <c r="J366" s="112" t="n"/>
    </row>
    <row r="367">
      <c r="A367" s="111" t="inlineStr">
        <is>
          <t>Request</t>
        </is>
      </c>
      <c r="B367" s="112" t="n"/>
      <c r="C367" s="112" t="inlineStr">
        <is>
          <t>22/10/2024</t>
        </is>
      </c>
      <c r="D367" s="112" t="inlineStr">
        <is>
          <t>4520V/210A-B128</t>
        </is>
      </c>
      <c r="E367" s="112" t="inlineStr">
        <is>
          <t>Phone sales Middle East</t>
        </is>
      </c>
      <c r="F367" s="112" t="inlineStr">
        <is>
          <t>102076880</t>
        </is>
      </c>
      <c r="G367" s="112" t="inlineStr">
        <is>
          <t>Prospect</t>
        </is>
      </c>
      <c r="H367" s="112" t="inlineStr">
        <is>
          <t>TAHHAN Riham</t>
        </is>
      </c>
      <c r="I367" s="113" t="n"/>
      <c r="J367" s="112" t="n"/>
    </row>
    <row r="368">
      <c r="A368" s="111" t="inlineStr">
        <is>
          <t>Sold</t>
        </is>
      </c>
      <c r="B368" s="112" t="inlineStr">
        <is>
          <t>Confirmed</t>
        </is>
      </c>
      <c r="C368" s="112" t="inlineStr">
        <is>
          <t>22/10/2024</t>
        </is>
      </c>
      <c r="D368" s="112" t="inlineStr">
        <is>
          <t>5520V/210A-B481</t>
        </is>
      </c>
      <c r="E368" s="112" t="inlineStr">
        <is>
          <t>Phone sales Middle East</t>
        </is>
      </c>
      <c r="F368" s="112" t="inlineStr">
        <is>
          <t>102078501</t>
        </is>
      </c>
      <c r="G368" s="112" t="inlineStr">
        <is>
          <t>Prospect</t>
        </is>
      </c>
      <c r="H368" s="112" t="inlineStr">
        <is>
          <t>OMARI Asma</t>
        </is>
      </c>
      <c r="I368" s="113" t="n"/>
      <c r="J368" s="112" t="n"/>
    </row>
    <row r="369" ht="129.6" customHeight="1" s="287">
      <c r="A369" s="111" t="inlineStr">
        <is>
          <t>Request</t>
        </is>
      </c>
      <c r="B369" s="112" t="inlineStr">
        <is>
          <t>Confirmed</t>
        </is>
      </c>
      <c r="C369" s="112" t="inlineStr">
        <is>
          <t>20/10/2024</t>
        </is>
      </c>
      <c r="D369" s="112" t="inlineStr">
        <is>
          <t>7920V/210A-B334</t>
        </is>
      </c>
      <c r="E369" s="112" t="inlineStr">
        <is>
          <t>Phone sales Middle East</t>
        </is>
      </c>
      <c r="F369" s="112" t="inlineStr">
        <is>
          <t>98711501</t>
        </is>
      </c>
      <c r="G369" s="112" t="inlineStr">
        <is>
          <t>Prospect</t>
        </is>
      </c>
      <c r="H369" s="112" t="inlineStr">
        <is>
          <t>SHARIF Maaz</t>
        </is>
      </c>
      <c r="I369" s="113" t="inlineStr">
        <is>
          <t xml:space="preserve">VVIC | The Mr. Ali showed his interest in the  timepeice and would like to meet and would like to purchase the watch 
</t>
        </is>
      </c>
      <c r="J369" s="112" t="n"/>
    </row>
    <row r="370" ht="100.95" customHeight="1" s="287">
      <c r="A370" s="111" t="inlineStr">
        <is>
          <t>Request</t>
        </is>
      </c>
      <c r="B370" s="112" t="n"/>
      <c r="C370" s="112" t="inlineStr">
        <is>
          <t>19/10/2024</t>
        </is>
      </c>
      <c r="D370" s="112" t="inlineStr">
        <is>
          <t>4520V/210A-B128</t>
        </is>
      </c>
      <c r="E370" s="112" t="inlineStr">
        <is>
          <t>Phone sales Middle East</t>
        </is>
      </c>
      <c r="F370" s="112" t="inlineStr">
        <is>
          <t>0</t>
        </is>
      </c>
      <c r="G370" s="112" t="inlineStr">
        <is>
          <t>Prospect</t>
        </is>
      </c>
      <c r="H370" s="112" t="inlineStr">
        <is>
          <t>SHARIF Maaz</t>
        </is>
      </c>
      <c r="I370" s="113" t="inlineStr">
        <is>
          <t xml:space="preserve">The client is interested in the blue dial the ID still not appearing will update it accordingly 
</t>
        </is>
      </c>
      <c r="J370" s="112" t="n"/>
    </row>
    <row r="371">
      <c r="A371" s="111" t="inlineStr">
        <is>
          <t>Request</t>
        </is>
      </c>
      <c r="B371" s="112" t="n"/>
      <c r="C371" s="112" t="inlineStr">
        <is>
          <t>19/10/2024</t>
        </is>
      </c>
      <c r="D371" s="112" t="inlineStr">
        <is>
          <t>4520V/210A-B128</t>
        </is>
      </c>
      <c r="E371" s="112" t="inlineStr">
        <is>
          <t>Phone sales Middle East</t>
        </is>
      </c>
      <c r="F371" s="112" t="inlineStr">
        <is>
          <t>102015200</t>
        </is>
      </c>
      <c r="G371" s="112" t="inlineStr">
        <is>
          <t>Prospect</t>
        </is>
      </c>
      <c r="H371" s="112" t="inlineStr">
        <is>
          <t>TAHHAN Riham</t>
        </is>
      </c>
      <c r="I371" s="113" t="n"/>
      <c r="J371" s="112" t="n"/>
    </row>
    <row r="372">
      <c r="A372" s="111" t="inlineStr">
        <is>
          <t>Pre-order</t>
        </is>
      </c>
      <c r="B372" s="112" t="inlineStr">
        <is>
          <t>Confirmed</t>
        </is>
      </c>
      <c r="C372" s="112" t="inlineStr">
        <is>
          <t>18/10/2024</t>
        </is>
      </c>
      <c r="D372" s="112" t="inlineStr">
        <is>
          <t>4300V/220R-B064</t>
        </is>
      </c>
      <c r="E372" s="112" t="inlineStr">
        <is>
          <t>Phone sales Middle East</t>
        </is>
      </c>
      <c r="F372" s="112" t="inlineStr">
        <is>
          <t>101987118</t>
        </is>
      </c>
      <c r="G372" s="112" t="inlineStr">
        <is>
          <t>Prospect</t>
        </is>
      </c>
      <c r="H372" s="112" t="inlineStr">
        <is>
          <t>TAHHAN Riham</t>
        </is>
      </c>
      <c r="I372" s="113" t="n"/>
      <c r="J372" s="112" t="n"/>
    </row>
    <row r="373" ht="43.2" customHeight="1" s="287">
      <c r="A373" s="111" t="inlineStr">
        <is>
          <t>Cancelled</t>
        </is>
      </c>
      <c r="B373" s="112" t="inlineStr">
        <is>
          <t>Cancelled</t>
        </is>
      </c>
      <c r="C373" s="112" t="inlineStr">
        <is>
          <t>17/10/2024</t>
        </is>
      </c>
      <c r="D373" s="112" t="inlineStr">
        <is>
          <t>5520V/210A-B148</t>
        </is>
      </c>
      <c r="E373" s="112" t="inlineStr">
        <is>
          <t>Phone sales Middle East</t>
        </is>
      </c>
      <c r="F373" s="112" t="inlineStr">
        <is>
          <t>97412230</t>
        </is>
      </c>
      <c r="G373" s="112" t="inlineStr">
        <is>
          <t>Prospect</t>
        </is>
      </c>
      <c r="H373" s="112" t="inlineStr">
        <is>
          <t>OMARI Asma</t>
        </is>
      </c>
      <c r="I373" s="113" t="inlineStr">
        <is>
          <t xml:space="preserve">Client has limited budget
</t>
        </is>
      </c>
      <c r="J373" s="112" t="n"/>
    </row>
    <row r="374">
      <c r="A374" s="111" t="inlineStr">
        <is>
          <t>Sold</t>
        </is>
      </c>
      <c r="B374" s="112" t="inlineStr">
        <is>
          <t>Confirmed</t>
        </is>
      </c>
      <c r="C374" s="112" t="inlineStr">
        <is>
          <t>17/10/2024</t>
        </is>
      </c>
      <c r="D374" s="112" t="inlineStr">
        <is>
          <t>4600E/000A-B442</t>
        </is>
      </c>
      <c r="E374" s="112" t="inlineStr">
        <is>
          <t>Phone sales Middle East</t>
        </is>
      </c>
      <c r="F374" s="112" t="inlineStr">
        <is>
          <t>101319151</t>
        </is>
      </c>
      <c r="G374" s="112" t="inlineStr">
        <is>
          <t>Prospect</t>
        </is>
      </c>
      <c r="H374" s="112" t="inlineStr">
        <is>
          <t>TAHHAN Riham</t>
        </is>
      </c>
      <c r="I374" s="113" t="n"/>
      <c r="J374" s="112" t="n"/>
    </row>
    <row r="375" ht="302.4" customHeight="1" s="287">
      <c r="A375" s="111" t="inlineStr">
        <is>
          <t>Sold</t>
        </is>
      </c>
      <c r="B375" s="112" t="inlineStr">
        <is>
          <t>Confirmed</t>
        </is>
      </c>
      <c r="C375" s="112" t="inlineStr">
        <is>
          <t>17/10/2024</t>
        </is>
      </c>
      <c r="D375" s="112" t="inlineStr">
        <is>
          <t>5520V/210R-B966</t>
        </is>
      </c>
      <c r="E375" s="112" t="inlineStr">
        <is>
          <t>Phone sales Middle East</t>
        </is>
      </c>
      <c r="F375" s="112" t="inlineStr">
        <is>
          <t>101923321</t>
        </is>
      </c>
      <c r="G375" s="112" t="inlineStr">
        <is>
          <t>Prospect</t>
        </is>
      </c>
      <c r="H375" s="112" t="inlineStr">
        <is>
          <t>SHARIF Maaz</t>
        </is>
      </c>
      <c r="I375" s="113" t="inlineStr">
        <is>
          <t xml:space="preserve">\\
Interested in buying the **Overseas Chronograph** 
5520V/210R-B966  as a birthday gift for her husband in November. She’s comparing the 41mm 7920V/210R-B965 | and 42.5mm models, as she’s concerned about the size difference. 
</t>
        </is>
      </c>
      <c r="J375" s="112" t="n"/>
    </row>
    <row r="376" ht="100.95" customHeight="1" s="287">
      <c r="A376" s="111" t="inlineStr">
        <is>
          <t>Cancelled</t>
        </is>
      </c>
      <c r="B376" s="112" t="inlineStr">
        <is>
          <t>Cancelled</t>
        </is>
      </c>
      <c r="C376" s="112" t="inlineStr">
        <is>
          <t>17/10/2024</t>
        </is>
      </c>
      <c r="D376" s="112" t="inlineStr">
        <is>
          <t>7920V/210R-B965</t>
        </is>
      </c>
      <c r="E376" s="112" t="inlineStr">
        <is>
          <t>Phone sales Middle East</t>
        </is>
      </c>
      <c r="F376" s="112" t="inlineStr">
        <is>
          <t>101923321</t>
        </is>
      </c>
      <c r="G376" s="112" t="inlineStr">
        <is>
          <t>Prospect</t>
        </is>
      </c>
      <c r="H376" s="112" t="inlineStr">
        <is>
          <t>SHARIF Maaz</t>
        </is>
      </c>
      <c r="I376" s="113" t="inlineStr">
        <is>
          <t xml:space="preserve">The client will be taken either the dual time or the 
Overseas chronograph
</t>
        </is>
      </c>
      <c r="J376" s="112" t="n"/>
    </row>
    <row r="377" ht="86.40000000000001" customHeight="1" s="287">
      <c r="A377" s="111" t="inlineStr">
        <is>
          <t>Cancelled</t>
        </is>
      </c>
      <c r="B377" s="112" t="inlineStr">
        <is>
          <t>Cancelled</t>
        </is>
      </c>
      <c r="C377" s="112" t="inlineStr">
        <is>
          <t>17/10/2024</t>
        </is>
      </c>
      <c r="D377" s="112" t="inlineStr">
        <is>
          <t>82035/000R-9359</t>
        </is>
      </c>
      <c r="E377" s="112" t="inlineStr">
        <is>
          <t>Phone sales Middle East</t>
        </is>
      </c>
      <c r="F377" s="112" t="inlineStr">
        <is>
          <t>101952731</t>
        </is>
      </c>
      <c r="G377" s="112" t="inlineStr">
        <is>
          <t>Prospect</t>
        </is>
      </c>
      <c r="H377" s="112" t="inlineStr">
        <is>
          <t>SHARIF Maaz</t>
        </is>
      </c>
      <c r="I377" s="113" t="inlineStr">
        <is>
          <t xml:space="preserve">Waiting for the client confirmation when he will come to UAE
</t>
        </is>
      </c>
      <c r="J377" s="112" t="n"/>
    </row>
    <row r="378">
      <c r="A378" s="111" t="inlineStr">
        <is>
          <t>Request</t>
        </is>
      </c>
      <c r="B378" s="112" t="n"/>
      <c r="C378" s="112" t="inlineStr">
        <is>
          <t>16/10/2024</t>
        </is>
      </c>
      <c r="D378" s="112" t="inlineStr">
        <is>
          <t>7920V/210A-B334</t>
        </is>
      </c>
      <c r="E378" s="112" t="inlineStr">
        <is>
          <t>Phone sales Middle East</t>
        </is>
      </c>
      <c r="F378" s="112" t="inlineStr">
        <is>
          <t>92407429</t>
        </is>
      </c>
      <c r="G378" s="112" t="inlineStr">
        <is>
          <t>Prospect</t>
        </is>
      </c>
      <c r="H378" s="112" t="inlineStr">
        <is>
          <t>TAHHAN Riham</t>
        </is>
      </c>
      <c r="I378" s="113" t="n"/>
      <c r="J378" s="112" t="n"/>
    </row>
    <row r="379" ht="158.4" customHeight="1" s="287">
      <c r="A379" s="111" t="inlineStr">
        <is>
          <t>Request</t>
        </is>
      </c>
      <c r="B379" s="112" t="inlineStr">
        <is>
          <t>Pending client feedback</t>
        </is>
      </c>
      <c r="C379" s="112" t="inlineStr">
        <is>
          <t>16/10/2024</t>
        </is>
      </c>
      <c r="D379" s="112" t="inlineStr">
        <is>
          <t>4000V/210A-B911</t>
        </is>
      </c>
      <c r="E379" s="112" t="inlineStr">
        <is>
          <t>Phone sales Middle East</t>
        </is>
      </c>
      <c r="F379" s="112" t="inlineStr">
        <is>
          <t>102003092</t>
        </is>
      </c>
      <c r="G379" s="112" t="inlineStr">
        <is>
          <t>Prospect</t>
        </is>
      </c>
      <c r="H379" s="112" t="inlineStr">
        <is>
          <t>SHARIF Maaz</t>
        </is>
      </c>
      <c r="I379" s="113" t="inlineStr">
        <is>
          <t xml:space="preserve">The client is open for the Overseas moon phase retrograde date
As per the client hes going in a trip therefore , will love to purchase it from UAE 
</t>
        </is>
      </c>
      <c r="J379" s="112" t="n"/>
    </row>
    <row r="380" ht="86.40000000000001" customHeight="1" s="287">
      <c r="A380" s="111" t="inlineStr">
        <is>
          <t>Sold</t>
        </is>
      </c>
      <c r="B380" s="112" t="inlineStr">
        <is>
          <t>Confirmed</t>
        </is>
      </c>
      <c r="C380" s="112" t="inlineStr">
        <is>
          <t>15/10/2024</t>
        </is>
      </c>
      <c r="D380" s="112" t="inlineStr">
        <is>
          <t>4520V/210A-B128</t>
        </is>
      </c>
      <c r="E380" s="112" t="inlineStr">
        <is>
          <t>Phone sales Middle East</t>
        </is>
      </c>
      <c r="F380" s="112" t="inlineStr">
        <is>
          <t>101705197</t>
        </is>
      </c>
      <c r="G380" s="112" t="inlineStr">
        <is>
          <t>Prospect</t>
        </is>
      </c>
      <c r="H380" s="112" t="inlineStr">
        <is>
          <t>TAHHAN Riham</t>
        </is>
      </c>
      <c r="I380" s="113" t="inlineStr">
        <is>
          <t xml:space="preserve">he is the son of the Minister of Federal Supreme Council Affairs in UAE
</t>
        </is>
      </c>
      <c r="J380" s="112" t="n"/>
    </row>
    <row r="381" ht="144" customHeight="1" s="287">
      <c r="A381" s="111" t="inlineStr">
        <is>
          <t>Cancelled</t>
        </is>
      </c>
      <c r="B381" s="112" t="inlineStr">
        <is>
          <t>Cancelled</t>
        </is>
      </c>
      <c r="C381" s="112" t="inlineStr">
        <is>
          <t>15/10/2024</t>
        </is>
      </c>
      <c r="D381" s="112" t="inlineStr">
        <is>
          <t>5520V/210A-B686</t>
        </is>
      </c>
      <c r="E381" s="112" t="inlineStr">
        <is>
          <t>Phone sales Middle East</t>
        </is>
      </c>
      <c r="F381" s="112" t="inlineStr">
        <is>
          <t>101293683</t>
        </is>
      </c>
      <c r="G381" s="112" t="inlineStr">
        <is>
          <t>Prospect</t>
        </is>
      </c>
      <c r="H381" s="112" t="inlineStr">
        <is>
          <t>OMARI Asma</t>
        </is>
      </c>
      <c r="I381" s="113" t="inlineStr">
        <is>
          <t xml:space="preserve">The client wanted **[Overseas chronograph](https://richemont.lightning.force.com/lightning/r/RICSC_Transaction__c/01t1i000004DZbzAAG/view).** 
</t>
        </is>
      </c>
      <c r="J381" s="112" t="n"/>
    </row>
    <row r="382" ht="72" customHeight="1" s="287">
      <c r="A382" s="111" t="inlineStr">
        <is>
          <t>Cancelled</t>
        </is>
      </c>
      <c r="B382" s="112" t="inlineStr">
        <is>
          <t>Cancelled</t>
        </is>
      </c>
      <c r="C382" s="112" t="inlineStr">
        <is>
          <t>15/10/2024</t>
        </is>
      </c>
      <c r="D382" s="112" t="inlineStr">
        <is>
          <t>4520V/210A-B128</t>
        </is>
      </c>
      <c r="E382" s="112" t="inlineStr">
        <is>
          <t>Phone sales Middle East</t>
        </is>
      </c>
      <c r="F382" s="112" t="inlineStr">
        <is>
          <t>101987055</t>
        </is>
      </c>
      <c r="G382" s="112" t="inlineStr">
        <is>
          <t>Prospect</t>
        </is>
      </c>
      <c r="H382" s="112" t="inlineStr">
        <is>
          <t>TAHHAN Riham</t>
        </is>
      </c>
      <c r="I382" s="113" t="inlineStr">
        <is>
          <t xml:space="preserve">The client is not open to other references and he only wants this
</t>
        </is>
      </c>
      <c r="J382" s="112" t="n"/>
    </row>
    <row r="383">
      <c r="A383" s="111" t="inlineStr">
        <is>
          <t>Cancelled</t>
        </is>
      </c>
      <c r="B383" s="112" t="inlineStr">
        <is>
          <t>Cancelled</t>
        </is>
      </c>
      <c r="C383" s="112" t="inlineStr">
        <is>
          <t>11/10/2024</t>
        </is>
      </c>
      <c r="D383" s="112" t="inlineStr">
        <is>
          <t>4520V/210A-B128</t>
        </is>
      </c>
      <c r="E383" s="112" t="inlineStr">
        <is>
          <t>Phone sales Middle East</t>
        </is>
      </c>
      <c r="F383" s="112" t="inlineStr">
        <is>
          <t>101917600</t>
        </is>
      </c>
      <c r="G383" s="112" t="inlineStr">
        <is>
          <t>Prospect</t>
        </is>
      </c>
      <c r="H383" s="112" t="inlineStr">
        <is>
          <t>TAHHAN Riham</t>
        </is>
      </c>
      <c r="I383" s="113" t="n"/>
      <c r="J383" s="112" t="n"/>
    </row>
    <row r="384">
      <c r="A384" s="111" t="inlineStr">
        <is>
          <t>Request</t>
        </is>
      </c>
      <c r="B384" s="112" t="n"/>
      <c r="C384" s="112" t="inlineStr">
        <is>
          <t>11/10/2024</t>
        </is>
      </c>
      <c r="D384" s="112" t="inlineStr">
        <is>
          <t>7920V/210A-B334</t>
        </is>
      </c>
      <c r="E384" s="112" t="inlineStr">
        <is>
          <t>Phone sales Middle East</t>
        </is>
      </c>
      <c r="F384" s="112" t="inlineStr">
        <is>
          <t>101917600</t>
        </is>
      </c>
      <c r="G384" s="112" t="inlineStr">
        <is>
          <t>Prospect</t>
        </is>
      </c>
      <c r="H384" s="112" t="inlineStr">
        <is>
          <t>TAHHAN Riham</t>
        </is>
      </c>
      <c r="I384" s="113" t="n"/>
      <c r="J384" s="112" t="n"/>
    </row>
    <row r="385" ht="57.6" customHeight="1" s="287">
      <c r="A385" s="111" t="inlineStr">
        <is>
          <t>Cancelled</t>
        </is>
      </c>
      <c r="B385" s="112" t="inlineStr">
        <is>
          <t>Cancelled</t>
        </is>
      </c>
      <c r="C385" s="112" t="inlineStr">
        <is>
          <t>10/10/2024</t>
        </is>
      </c>
      <c r="D385" s="112" t="inlineStr">
        <is>
          <t>4520V/210A-B128</t>
        </is>
      </c>
      <c r="E385" s="112" t="inlineStr">
        <is>
          <t>Phone sales Middle East</t>
        </is>
      </c>
      <c r="F385" s="112" t="inlineStr">
        <is>
          <t>101876625</t>
        </is>
      </c>
      <c r="G385" s="112" t="inlineStr">
        <is>
          <t>Prospect</t>
        </is>
      </c>
      <c r="H385" s="112" t="inlineStr">
        <is>
          <t>SHARIF Maaz</t>
        </is>
      </c>
      <c r="I385" s="113" t="inlineStr">
        <is>
          <t xml:space="preserve">the client is intersted in the overseas 
</t>
        </is>
      </c>
      <c r="J385" s="112" t="n"/>
    </row>
    <row r="386" ht="72" customHeight="1" s="287">
      <c r="A386" s="111" t="inlineStr">
        <is>
          <t>Request</t>
        </is>
      </c>
      <c r="B386" s="112" t="n"/>
      <c r="C386" s="112" t="inlineStr">
        <is>
          <t>10/10/2024</t>
        </is>
      </c>
      <c r="D386" s="112" t="inlineStr">
        <is>
          <t>7920V/210A-B333</t>
        </is>
      </c>
      <c r="E386" s="112" t="inlineStr">
        <is>
          <t>Phone sales Middle East</t>
        </is>
      </c>
      <c r="F386" s="112" t="inlineStr">
        <is>
          <t>92407429</t>
        </is>
      </c>
      <c r="G386" s="112" t="inlineStr">
        <is>
          <t>Client</t>
        </is>
      </c>
      <c r="H386" s="112" t="inlineStr">
        <is>
          <t>TAHHAN Riham</t>
        </is>
      </c>
      <c r="I386" s="113" t="inlineStr">
        <is>
          <t xml:space="preserve">The client lives in Saudi however he can come to Dubai 
</t>
        </is>
      </c>
      <c r="J386" s="112" t="n"/>
    </row>
    <row r="387" ht="72" customHeight="1" s="287">
      <c r="A387" s="111" t="inlineStr">
        <is>
          <t>Request</t>
        </is>
      </c>
      <c r="B387" s="112" t="inlineStr">
        <is>
          <t>Postponed</t>
        </is>
      </c>
      <c r="C387" s="112" t="inlineStr">
        <is>
          <t>10/10/2024</t>
        </is>
      </c>
      <c r="D387" s="112" t="inlineStr">
        <is>
          <t>4520V/210R-B705</t>
        </is>
      </c>
      <c r="E387" s="112" t="inlineStr">
        <is>
          <t>Phone sales Middle East</t>
        </is>
      </c>
      <c r="F387" s="112" t="inlineStr">
        <is>
          <t>92404145</t>
        </is>
      </c>
      <c r="G387" s="112" t="inlineStr">
        <is>
          <t>Client</t>
        </is>
      </c>
      <c r="H387" s="112" t="inlineStr">
        <is>
          <t>TAHHAN Riham</t>
        </is>
      </c>
      <c r="I387" s="113" t="inlineStr">
        <is>
          <t xml:space="preserve">The client is residing in Saudi however he can visit UAE
</t>
        </is>
      </c>
      <c r="J387" s="112" t="n"/>
    </row>
    <row r="388" ht="72" customHeight="1" s="287">
      <c r="A388" s="111" t="inlineStr">
        <is>
          <t>Cancelled</t>
        </is>
      </c>
      <c r="B388" s="112" t="inlineStr">
        <is>
          <t>Cancelled</t>
        </is>
      </c>
      <c r="C388" s="112" t="inlineStr">
        <is>
          <t>9/10/2024</t>
        </is>
      </c>
      <c r="D388" s="112" t="inlineStr">
        <is>
          <t>4520V/210A-B128</t>
        </is>
      </c>
      <c r="E388" s="112" t="inlineStr">
        <is>
          <t>Phone sales Middle East</t>
        </is>
      </c>
      <c r="F388" s="112" t="inlineStr">
        <is>
          <t>101808480</t>
        </is>
      </c>
      <c r="G388" s="112" t="inlineStr">
        <is>
          <t>Prospect</t>
        </is>
      </c>
      <c r="H388" s="112" t="inlineStr">
        <is>
          <t>SHARIF Maaz</t>
        </is>
      </c>
      <c r="I388" s="113" t="inlineStr">
        <is>
          <t xml:space="preserve">the client is intrested in either the self winding or the daul time 
</t>
        </is>
      </c>
      <c r="J388" s="112" t="n"/>
    </row>
    <row r="389" ht="57.6" customHeight="1" s="287">
      <c r="A389" s="111" t="inlineStr">
        <is>
          <t>Sold</t>
        </is>
      </c>
      <c r="B389" s="112" t="inlineStr">
        <is>
          <t>Pending client feedback</t>
        </is>
      </c>
      <c r="C389" s="112" t="inlineStr">
        <is>
          <t>9/10/2024</t>
        </is>
      </c>
      <c r="D389" s="112" t="inlineStr">
        <is>
          <t>4300V/220G-B946</t>
        </is>
      </c>
      <c r="E389" s="112" t="inlineStr">
        <is>
          <t>Phone sales Middle East</t>
        </is>
      </c>
      <c r="F389" s="112" t="inlineStr">
        <is>
          <t>101808480</t>
        </is>
      </c>
      <c r="G389" s="112" t="inlineStr">
        <is>
          <t>Prospect</t>
        </is>
      </c>
      <c r="H389" s="112" t="inlineStr">
        <is>
          <t>SHARIF Maaz</t>
        </is>
      </c>
      <c r="I389" s="113" t="inlineStr">
        <is>
          <t xml:space="preserve">another intreset for the client. for the self winding 
</t>
        </is>
      </c>
      <c r="J389" s="112" t="n"/>
    </row>
    <row r="390">
      <c r="A390" s="111" t="inlineStr">
        <is>
          <t>Cancelled</t>
        </is>
      </c>
      <c r="B390" s="112" t="inlineStr">
        <is>
          <t>Cancelled</t>
        </is>
      </c>
      <c r="C390" s="112" t="inlineStr">
        <is>
          <t>9/10/2024</t>
        </is>
      </c>
      <c r="D390" s="112" t="inlineStr">
        <is>
          <t>4520V/210A-B126</t>
        </is>
      </c>
      <c r="E390" s="112" t="inlineStr">
        <is>
          <t>Phone sales Middle East</t>
        </is>
      </c>
      <c r="F390" s="112" t="inlineStr">
        <is>
          <t>101876625</t>
        </is>
      </c>
      <c r="G390" s="112" t="inlineStr">
        <is>
          <t>Prospect</t>
        </is>
      </c>
      <c r="H390" s="112" t="inlineStr">
        <is>
          <t>SHARIF Maaz</t>
        </is>
      </c>
      <c r="I390" s="113" t="n"/>
      <c r="J390" s="112" t="n"/>
    </row>
    <row r="391">
      <c r="A391" s="111" t="inlineStr">
        <is>
          <t>Request</t>
        </is>
      </c>
      <c r="B391" s="112" t="inlineStr">
        <is>
          <t>Postponed</t>
        </is>
      </c>
      <c r="C391" s="112" t="inlineStr">
        <is>
          <t>8/10/2024</t>
        </is>
      </c>
      <c r="D391" s="112" t="inlineStr">
        <is>
          <t>4520V/210A-B483</t>
        </is>
      </c>
      <c r="E391" s="112" t="inlineStr">
        <is>
          <t>Phone sales Middle East</t>
        </is>
      </c>
      <c r="F391" s="112" t="inlineStr">
        <is>
          <t>101823588</t>
        </is>
      </c>
      <c r="G391" s="112" t="inlineStr">
        <is>
          <t>Prospect</t>
        </is>
      </c>
      <c r="H391" s="112" t="inlineStr">
        <is>
          <t>TAHHAN Riham</t>
        </is>
      </c>
      <c r="I391" s="113" t="n"/>
      <c r="J391" s="112" t="n"/>
    </row>
    <row r="392">
      <c r="A392" s="111" t="inlineStr">
        <is>
          <t>Cancelled</t>
        </is>
      </c>
      <c r="B392" s="112" t="inlineStr">
        <is>
          <t>Cancelled</t>
        </is>
      </c>
      <c r="C392" s="112" t="inlineStr">
        <is>
          <t>8/10/2024</t>
        </is>
      </c>
      <c r="D392" s="112" t="inlineStr">
        <is>
          <t>7920V/210A-B334</t>
        </is>
      </c>
      <c r="E392" s="112" t="inlineStr">
        <is>
          <t>Phone sales Middle East</t>
        </is>
      </c>
      <c r="F392" s="112" t="inlineStr">
        <is>
          <t>101893659</t>
        </is>
      </c>
      <c r="G392" s="112" t="inlineStr">
        <is>
          <t>Prospect</t>
        </is>
      </c>
      <c r="H392" s="112" t="inlineStr">
        <is>
          <t>TAHHAN Riham</t>
        </is>
      </c>
      <c r="I392" s="113" t="n"/>
      <c r="J392" s="112" t="n"/>
    </row>
    <row r="393">
      <c r="A393" s="111" t="inlineStr">
        <is>
          <t>Cancelled</t>
        </is>
      </c>
      <c r="B393" s="112" t="inlineStr">
        <is>
          <t>Cancelled</t>
        </is>
      </c>
      <c r="C393" s="112" t="inlineStr">
        <is>
          <t>8/10/2024</t>
        </is>
      </c>
      <c r="D393" s="112" t="inlineStr">
        <is>
          <t>5520V/210A-B148</t>
        </is>
      </c>
      <c r="E393" s="112" t="inlineStr">
        <is>
          <t>Phone sales Middle East</t>
        </is>
      </c>
      <c r="F393" s="112" t="inlineStr">
        <is>
          <t>101893659</t>
        </is>
      </c>
      <c r="G393" s="112" t="inlineStr">
        <is>
          <t>Prospect</t>
        </is>
      </c>
      <c r="H393" s="112" t="inlineStr">
        <is>
          <t>TAHHAN Riham</t>
        </is>
      </c>
      <c r="I393" s="113" t="n"/>
      <c r="J393" s="112" t="n"/>
    </row>
    <row r="394" ht="100.95" customHeight="1" s="287">
      <c r="A394" s="111" t="inlineStr">
        <is>
          <t>Sold</t>
        </is>
      </c>
      <c r="B394" s="112" t="inlineStr">
        <is>
          <t>Pending client feedback</t>
        </is>
      </c>
      <c r="C394" s="112" t="inlineStr">
        <is>
          <t>5/10/2024</t>
        </is>
      </c>
      <c r="D394" s="112" t="inlineStr">
        <is>
          <t>7920V/210A-B334</t>
        </is>
      </c>
      <c r="E394" s="112" t="inlineStr">
        <is>
          <t>Phone sales Middle East</t>
        </is>
      </c>
      <c r="F394" s="112" t="inlineStr">
        <is>
          <t>101808480</t>
        </is>
      </c>
      <c r="G394" s="112" t="inlineStr">
        <is>
          <t>Prospect</t>
        </is>
      </c>
      <c r="H394" s="112" t="inlineStr">
        <is>
          <t>SHARIF Maaz</t>
        </is>
      </c>
      <c r="I394" s="113" t="inlineStr">
        <is>
          <t xml:space="preserve">the client stated that  hes interested in the overseas blue dial (dual time or self winding)
</t>
        </is>
      </c>
      <c r="J394" s="112" t="n"/>
    </row>
    <row r="395" ht="273.6" customHeight="1" s="287">
      <c r="A395" s="111" t="inlineStr">
        <is>
          <t>Request</t>
        </is>
      </c>
      <c r="B395" s="112" t="inlineStr">
        <is>
          <t>Confirmed</t>
        </is>
      </c>
      <c r="C395" s="112" t="inlineStr">
        <is>
          <t>2/10/2024</t>
        </is>
      </c>
      <c r="D395" s="112" t="inlineStr">
        <is>
          <t>4000V/210A-B911</t>
        </is>
      </c>
      <c r="E395" s="112" t="inlineStr">
        <is>
          <t>Phone sales Middle East</t>
        </is>
      </c>
      <c r="F395" s="112" t="inlineStr">
        <is>
          <t>101770162</t>
        </is>
      </c>
      <c r="G395" s="112" t="inlineStr">
        <is>
          <t>Prospect</t>
        </is>
      </c>
      <c r="H395" s="112" t="inlineStr">
        <is>
          <t>SHARIF Maaz</t>
        </is>
      </c>
      <c r="I395" s="113" t="inlineStr">
        <is>
          <t xml:space="preserve">- No gold, prefers stainless steel.
- Moon phase complication holds personal significance.
- Interested in watches that symbolize achievement and uniqueness.
- Likes the blue dial for its versatility under different light conditions.
</t>
        </is>
      </c>
      <c r="J395" s="112" t="n"/>
    </row>
    <row r="396" ht="72" customHeight="1" s="287">
      <c r="A396" s="111" t="inlineStr">
        <is>
          <t>Request</t>
        </is>
      </c>
      <c r="B396" s="112" t="n"/>
      <c r="C396" s="112" t="inlineStr">
        <is>
          <t>28/9/2024</t>
        </is>
      </c>
      <c r="D396" s="112" t="inlineStr">
        <is>
          <t>7920V/210A-B334</t>
        </is>
      </c>
      <c r="E396" s="112" t="inlineStr">
        <is>
          <t>Phone sales Middle East</t>
        </is>
      </c>
      <c r="F396" s="112" t="inlineStr">
        <is>
          <t>101624260</t>
        </is>
      </c>
      <c r="G396" s="112" t="inlineStr">
        <is>
          <t>Prospect</t>
        </is>
      </c>
      <c r="H396" s="112" t="inlineStr">
        <is>
          <t>OMARI Asma</t>
        </is>
      </c>
      <c r="I396" s="113" t="inlineStr">
        <is>
          <t xml:space="preserve">Client will be visiting Dubai in November and December
</t>
        </is>
      </c>
      <c r="J396" s="112" t="n"/>
    </row>
    <row r="397">
      <c r="A397" s="111" t="inlineStr">
        <is>
          <t>Cancelled</t>
        </is>
      </c>
      <c r="B397" s="112" t="inlineStr">
        <is>
          <t>Cancelled</t>
        </is>
      </c>
      <c r="C397" s="112" t="inlineStr">
        <is>
          <t>26/9/2024</t>
        </is>
      </c>
      <c r="D397" s="112" t="inlineStr">
        <is>
          <t>4600E/000A-B487</t>
        </is>
      </c>
      <c r="E397" s="112" t="inlineStr">
        <is>
          <t>Phone sales Middle East</t>
        </is>
      </c>
      <c r="F397" s="112" t="inlineStr">
        <is>
          <t>101705220</t>
        </is>
      </c>
      <c r="G397" s="112" t="inlineStr">
        <is>
          <t>Prospect</t>
        </is>
      </c>
      <c r="H397" s="112" t="inlineStr">
        <is>
          <t>TAHHAN Riham</t>
        </is>
      </c>
      <c r="I397" s="113" t="n"/>
      <c r="J397" s="112" t="n"/>
    </row>
    <row r="398">
      <c r="A398" s="111" t="inlineStr">
        <is>
          <t>Request</t>
        </is>
      </c>
      <c r="B398" s="112" t="n"/>
      <c r="C398" s="112" t="inlineStr">
        <is>
          <t>26/9/2024</t>
        </is>
      </c>
      <c r="D398" s="112" t="inlineStr">
        <is>
          <t>4200H/222J-B935</t>
        </is>
      </c>
      <c r="E398" s="112" t="inlineStr">
        <is>
          <t>Phone sales Middle East</t>
        </is>
      </c>
      <c r="F398" s="112" t="inlineStr">
        <is>
          <t>101705253</t>
        </is>
      </c>
      <c r="G398" s="112" t="inlineStr">
        <is>
          <t>Prospect</t>
        </is>
      </c>
      <c r="H398" s="112" t="inlineStr">
        <is>
          <t>TAHHAN Riham</t>
        </is>
      </c>
      <c r="I398" s="113" t="n"/>
      <c r="J398" s="112" t="n"/>
    </row>
    <row r="399" ht="216" customHeight="1" s="287">
      <c r="A399" s="111" t="inlineStr">
        <is>
          <t>Request</t>
        </is>
      </c>
      <c r="B399" s="112" t="n"/>
      <c r="C399" s="112" t="inlineStr">
        <is>
          <t>24/9/2024</t>
        </is>
      </c>
      <c r="D399" s="112" t="inlineStr">
        <is>
          <t>1225V/200A-B590</t>
        </is>
      </c>
      <c r="E399" s="112" t="inlineStr">
        <is>
          <t>Phone sales Middle East</t>
        </is>
      </c>
      <c r="F399" s="112" t="inlineStr">
        <is>
          <t>101680942</t>
        </is>
      </c>
      <c r="G399" s="112" t="inlineStr">
        <is>
          <t>Prospect</t>
        </is>
      </c>
      <c r="H399" s="112" t="inlineStr">
        <is>
          <t>SHARIF Maaz</t>
        </is>
      </c>
      <c r="I399" s="113" t="inlineStr">
        <is>
          <t xml:space="preserve">The client is willing to pay via a payment link for the Overseas Quartz | X12AC590. This purchase is intended as a marriage gift for his wife, which he plans to present to her during their wedding in December.
</t>
        </is>
      </c>
      <c r="J399" s="112" t="n"/>
    </row>
    <row r="400" ht="172.95" customHeight="1" s="287">
      <c r="A400" s="111" t="inlineStr">
        <is>
          <t>Request</t>
        </is>
      </c>
      <c r="B400" s="112" t="n"/>
      <c r="C400" s="112" t="inlineStr">
        <is>
          <t>24/9/2024</t>
        </is>
      </c>
      <c r="D400" s="112" t="inlineStr">
        <is>
          <t>7920V/210A-B334</t>
        </is>
      </c>
      <c r="E400" s="112" t="inlineStr">
        <is>
          <t>Phone sales Middle East</t>
        </is>
      </c>
      <c r="F400" s="112" t="inlineStr">
        <is>
          <t>101467478</t>
        </is>
      </c>
      <c r="G400" s="112" t="inlineStr">
        <is>
          <t>Prospect</t>
        </is>
      </c>
      <c r="H400" s="112" t="inlineStr">
        <is>
          <t>SHARIF Maaz</t>
        </is>
      </c>
      <c r="I400" s="113" t="inlineStr">
        <is>
          <t xml:space="preserve">The client would like to proceed with the Overseas. He mentioned that either he or a family member will be coming to the UAE, and he will confirm the details.
</t>
        </is>
      </c>
      <c r="J400" s="112" t="n"/>
    </row>
    <row r="401" ht="86.40000000000001" customHeight="1" s="287">
      <c r="A401" s="111" t="inlineStr">
        <is>
          <t>Cancelled</t>
        </is>
      </c>
      <c r="B401" s="112" t="inlineStr">
        <is>
          <t>Cancelled</t>
        </is>
      </c>
      <c r="C401" s="112" t="inlineStr">
        <is>
          <t>21/9/2024</t>
        </is>
      </c>
      <c r="D401" s="112" t="inlineStr">
        <is>
          <t>4520V/210A-B483</t>
        </is>
      </c>
      <c r="E401" s="112" t="inlineStr">
        <is>
          <t>Phone sales Middle East</t>
        </is>
      </c>
      <c r="F401" s="112" t="inlineStr">
        <is>
          <t>101641502</t>
        </is>
      </c>
      <c r="G401" s="112" t="inlineStr">
        <is>
          <t>Prospect</t>
        </is>
      </c>
      <c r="H401" s="112" t="inlineStr">
        <is>
          <t>TAHHAN Riham</t>
        </is>
      </c>
      <c r="I401" s="113" t="inlineStr">
        <is>
          <t xml:space="preserve">The client wanted to celebrate his promotion by gifting himself this timepiece
</t>
        </is>
      </c>
      <c r="J401" s="112" t="n"/>
    </row>
    <row r="402">
      <c r="A402" s="111" t="inlineStr">
        <is>
          <t>Cancelled</t>
        </is>
      </c>
      <c r="B402" s="112" t="inlineStr">
        <is>
          <t>Cancelled</t>
        </is>
      </c>
      <c r="C402" s="112" t="inlineStr">
        <is>
          <t>20/9/2024</t>
        </is>
      </c>
      <c r="D402" s="112" t="inlineStr">
        <is>
          <t>4000V/210A-B911</t>
        </is>
      </c>
      <c r="E402" s="112" t="inlineStr">
        <is>
          <t>Phone sales Middle East</t>
        </is>
      </c>
      <c r="F402" s="112" t="inlineStr">
        <is>
          <t>101623615</t>
        </is>
      </c>
      <c r="G402" s="112" t="inlineStr">
        <is>
          <t>Prospect</t>
        </is>
      </c>
      <c r="H402" s="112" t="inlineStr">
        <is>
          <t>TAHHAN Riham</t>
        </is>
      </c>
      <c r="I402" s="113" t="n"/>
      <c r="J402" s="112" t="n"/>
    </row>
    <row r="403" ht="100.95" customHeight="1" s="287">
      <c r="A403" s="111" t="inlineStr">
        <is>
          <t>Request</t>
        </is>
      </c>
      <c r="B403" s="112" t="n"/>
      <c r="C403" s="112" t="inlineStr">
        <is>
          <t>19/9/2024</t>
        </is>
      </c>
      <c r="D403" s="112" t="inlineStr">
        <is>
          <t>4520V/210A-B128</t>
        </is>
      </c>
      <c r="E403" s="112" t="inlineStr">
        <is>
          <t>Phone sales Middle East</t>
        </is>
      </c>
      <c r="F403" s="112" t="inlineStr">
        <is>
          <t>101584188</t>
        </is>
      </c>
      <c r="G403" s="112" t="inlineStr">
        <is>
          <t>Prospect</t>
        </is>
      </c>
      <c r="H403" s="112" t="inlineStr">
        <is>
          <t>TAHHAN Riham</t>
        </is>
      </c>
      <c r="I403" s="113" t="inlineStr">
        <is>
          <t xml:space="preserve">he is looking to buy the timepiece for the celebration for his 10 year anniversary 
</t>
        </is>
      </c>
      <c r="J403" s="112" t="n"/>
    </row>
    <row r="404">
      <c r="A404" s="111" t="inlineStr">
        <is>
          <t>Request</t>
        </is>
      </c>
      <c r="B404" s="112" t="inlineStr">
        <is>
          <t>Postponed</t>
        </is>
      </c>
      <c r="C404" s="112" t="inlineStr">
        <is>
          <t>19/9/2024</t>
        </is>
      </c>
      <c r="D404" s="112" t="inlineStr">
        <is>
          <t>5520V/210R-B966</t>
        </is>
      </c>
      <c r="E404" s="112" t="inlineStr">
        <is>
          <t>Phone sales Middle East</t>
        </is>
      </c>
      <c r="F404" s="112" t="inlineStr">
        <is>
          <t>101615228</t>
        </is>
      </c>
      <c r="G404" s="112" t="inlineStr">
        <is>
          <t>Prospect</t>
        </is>
      </c>
      <c r="H404" s="112" t="inlineStr">
        <is>
          <t>TAHHAN Riham</t>
        </is>
      </c>
      <c r="I404" s="113" t="n"/>
      <c r="J404" s="112" t="n"/>
    </row>
    <row r="405">
      <c r="A405" s="111" t="inlineStr">
        <is>
          <t>Request</t>
        </is>
      </c>
      <c r="B405" s="112" t="n"/>
      <c r="C405" s="112" t="inlineStr">
        <is>
          <t>18/9/2024</t>
        </is>
      </c>
      <c r="D405" s="112" t="inlineStr">
        <is>
          <t>4520V/210A-B128</t>
        </is>
      </c>
      <c r="E405" s="112" t="inlineStr">
        <is>
          <t>Phone sales Middle East</t>
        </is>
      </c>
      <c r="F405" s="112" t="inlineStr">
        <is>
          <t>101498463</t>
        </is>
      </c>
      <c r="G405" s="112" t="inlineStr">
        <is>
          <t>Prospect</t>
        </is>
      </c>
      <c r="H405" s="112" t="inlineStr">
        <is>
          <t>OMARI Asma</t>
        </is>
      </c>
      <c r="I405" s="113" t="n"/>
      <c r="J405" s="112" t="n"/>
    </row>
    <row r="406" ht="72" customHeight="1" s="287">
      <c r="A406" s="111" t="inlineStr">
        <is>
          <t>Request</t>
        </is>
      </c>
      <c r="B406" s="112" t="n"/>
      <c r="C406" s="112" t="inlineStr">
        <is>
          <t>17/9/2024</t>
        </is>
      </c>
      <c r="D406" s="112" t="inlineStr">
        <is>
          <t>4520V/210A-B128</t>
        </is>
      </c>
      <c r="E406" s="112" t="inlineStr">
        <is>
          <t>Phone sales Middle East</t>
        </is>
      </c>
      <c r="F406" s="112" t="inlineStr">
        <is>
          <t>101522662</t>
        </is>
      </c>
      <c r="G406" s="112" t="inlineStr">
        <is>
          <t>Prospect</t>
        </is>
      </c>
      <c r="H406" s="112" t="inlineStr">
        <is>
          <t>SHARIF Maaz</t>
        </is>
      </c>
      <c r="I406" s="113" t="inlineStr">
        <is>
          <t xml:space="preserve">The client showed interest  in the oversease blue dial , 
</t>
        </is>
      </c>
      <c r="J406" s="112" t="n"/>
    </row>
    <row r="407" ht="201.6" customHeight="1" s="287">
      <c r="A407" s="111" t="inlineStr">
        <is>
          <t>Cancelled</t>
        </is>
      </c>
      <c r="B407" s="112" t="inlineStr">
        <is>
          <t>Cancelled</t>
        </is>
      </c>
      <c r="C407" s="112" t="inlineStr">
        <is>
          <t>13/9/2024</t>
        </is>
      </c>
      <c r="D407" s="112" t="inlineStr">
        <is>
          <t>5520V/210A-B686</t>
        </is>
      </c>
      <c r="E407" s="112" t="inlineStr">
        <is>
          <t>Phone sales Middle East</t>
        </is>
      </c>
      <c r="F407" s="112" t="inlineStr">
        <is>
          <t>101467474</t>
        </is>
      </c>
      <c r="G407" s="112" t="inlineStr">
        <is>
          <t>Prospect</t>
        </is>
      </c>
      <c r="H407" s="112" t="inlineStr">
        <is>
          <t>TAHHAN Riham</t>
        </is>
      </c>
      <c r="I407" s="113" t="inlineStr">
        <is>
          <t xml:space="preserve">The client is the **President &amp; Group Chief Executive Officer at Pakistan Telecommunication Co.** **Ltd.** **and Pakistan Telecommunications Mobile Ltd**. He is interested in this timepiece.
</t>
        </is>
      </c>
      <c r="J407" s="112" t="n"/>
    </row>
    <row r="408">
      <c r="A408" s="111" t="inlineStr">
        <is>
          <t>Request</t>
        </is>
      </c>
      <c r="B408" s="112" t="n"/>
      <c r="C408" s="112" t="inlineStr">
        <is>
          <t>12/9/2024</t>
        </is>
      </c>
      <c r="D408" s="112" t="inlineStr">
        <is>
          <t>7920V/210A-B334</t>
        </is>
      </c>
      <c r="E408" s="112" t="inlineStr">
        <is>
          <t>Phone sales Middle East</t>
        </is>
      </c>
      <c r="F408" s="112" t="inlineStr">
        <is>
          <t>92400340</t>
        </is>
      </c>
      <c r="G408" s="112" t="inlineStr">
        <is>
          <t>Client</t>
        </is>
      </c>
      <c r="H408" s="112" t="inlineStr">
        <is>
          <t>TAHHAN Riham</t>
        </is>
      </c>
      <c r="I408" s="113" t="n"/>
      <c r="J408" s="112" t="n"/>
    </row>
    <row r="409" ht="100.95" customHeight="1" s="287">
      <c r="A409" s="111" t="inlineStr">
        <is>
          <t>Request</t>
        </is>
      </c>
      <c r="B409" s="112" t="inlineStr">
        <is>
          <t>Postponed</t>
        </is>
      </c>
      <c r="C409" s="112" t="inlineStr">
        <is>
          <t>10/9/2024</t>
        </is>
      </c>
      <c r="D409" s="112" t="inlineStr">
        <is>
          <t>7920V/210A-B334</t>
        </is>
      </c>
      <c r="E409" s="112" t="inlineStr">
        <is>
          <t>Phone sales Middle East</t>
        </is>
      </c>
      <c r="F409" s="112" t="inlineStr">
        <is>
          <t>101319151</t>
        </is>
      </c>
      <c r="G409" s="112" t="inlineStr">
        <is>
          <t>Prospect</t>
        </is>
      </c>
      <c r="H409" s="112" t="inlineStr">
        <is>
          <t>TAHHAN Riham</t>
        </is>
      </c>
      <c r="I409" s="113" t="inlineStr">
        <is>
          <t xml:space="preserve">She is interested in gifting this timepiece to her husband, for their anniversary celebration.
</t>
        </is>
      </c>
      <c r="J409" s="112" t="n"/>
    </row>
    <row r="410" ht="115.2" customHeight="1" s="287">
      <c r="A410" s="111" t="inlineStr">
        <is>
          <t>Request</t>
        </is>
      </c>
      <c r="B410" s="112" t="n"/>
      <c r="C410" s="112" t="inlineStr">
        <is>
          <t>10/9/2024</t>
        </is>
      </c>
      <c r="D410" s="112" t="inlineStr">
        <is>
          <t>4520V/210R-B705</t>
        </is>
      </c>
      <c r="E410" s="112" t="inlineStr">
        <is>
          <t>Phone sales Middle East</t>
        </is>
      </c>
      <c r="F410" s="112" t="inlineStr">
        <is>
          <t>100995935</t>
        </is>
      </c>
      <c r="G410" s="112" t="inlineStr">
        <is>
          <t>Prospect</t>
        </is>
      </c>
      <c r="H410" s="112" t="inlineStr">
        <is>
          <t>SHARIF Maaz</t>
        </is>
      </c>
      <c r="I410" s="113" t="inlineStr">
        <is>
          <t xml:space="preserve">The client purchased the  Fiftysix self-winding and  now planing for the oversease blue dail 
</t>
        </is>
      </c>
      <c r="J410" s="112" t="n"/>
    </row>
    <row r="411" ht="86.40000000000001" customHeight="1" s="287">
      <c r="A411" s="111" t="inlineStr">
        <is>
          <t>Request</t>
        </is>
      </c>
      <c r="B411" s="112" t="n"/>
      <c r="C411" s="112" t="inlineStr">
        <is>
          <t>10/9/2024</t>
        </is>
      </c>
      <c r="D411" s="112" t="inlineStr">
        <is>
          <t>4520V/210A-B128</t>
        </is>
      </c>
      <c r="E411" s="112" t="inlineStr">
        <is>
          <t>Phone sales Middle East</t>
        </is>
      </c>
      <c r="F411" s="112" t="inlineStr">
        <is>
          <t>100995935</t>
        </is>
      </c>
      <c r="G411" s="112" t="inlineStr">
        <is>
          <t>Prospect</t>
        </is>
      </c>
      <c r="H411" s="112" t="inlineStr">
        <is>
          <t>SHARIF Maaz</t>
        </is>
      </c>
      <c r="I411" s="113" t="inlineStr">
        <is>
          <t xml:space="preserve">The client is interested in purchasing the Overseas Blue Dial.
</t>
        </is>
      </c>
      <c r="J411" s="112" t="n"/>
    </row>
    <row r="412">
      <c r="A412" s="111" t="inlineStr">
        <is>
          <t>Request</t>
        </is>
      </c>
      <c r="B412" s="112" t="n"/>
      <c r="C412" s="112" t="inlineStr">
        <is>
          <t>10/9/2024</t>
        </is>
      </c>
      <c r="D412" s="112" t="inlineStr">
        <is>
          <t>7920V/210A-B334</t>
        </is>
      </c>
      <c r="E412" s="112" t="inlineStr">
        <is>
          <t>Phone sales Middle East</t>
        </is>
      </c>
      <c r="F412" s="112" t="inlineStr">
        <is>
          <t>101424152</t>
        </is>
      </c>
      <c r="G412" s="112" t="inlineStr">
        <is>
          <t>Prospect</t>
        </is>
      </c>
      <c r="H412" s="112" t="inlineStr">
        <is>
          <t>OMARI Asma</t>
        </is>
      </c>
      <c r="I412" s="113" t="n"/>
      <c r="J412" s="112" t="n"/>
    </row>
    <row r="413" ht="57.6" customHeight="1" s="287">
      <c r="A413" s="111" t="inlineStr">
        <is>
          <t>Request</t>
        </is>
      </c>
      <c r="B413" s="112" t="n"/>
      <c r="C413" s="112" t="inlineStr">
        <is>
          <t>10/9/2024</t>
        </is>
      </c>
      <c r="D413" s="112" t="inlineStr">
        <is>
          <t>4520V/210A-B128</t>
        </is>
      </c>
      <c r="E413" s="112" t="inlineStr">
        <is>
          <t>Phone sales Middle East</t>
        </is>
      </c>
      <c r="F413" s="112" t="inlineStr">
        <is>
          <t>101413931</t>
        </is>
      </c>
      <c r="G413" s="112" t="inlineStr">
        <is>
          <t>Prospect</t>
        </is>
      </c>
      <c r="H413" s="112" t="inlineStr">
        <is>
          <t>SHARIF Maaz</t>
        </is>
      </c>
      <c r="I413" s="113" t="inlineStr">
        <is>
          <t xml:space="preserve">The client is intrested in the overseas 
</t>
        </is>
      </c>
      <c r="J413" s="112" t="n"/>
    </row>
    <row r="414" ht="72" customHeight="1" s="287">
      <c r="A414" s="111" t="inlineStr">
        <is>
          <t>Request</t>
        </is>
      </c>
      <c r="B414" s="112" t="n"/>
      <c r="C414" s="112" t="inlineStr">
        <is>
          <t>10/9/2024</t>
        </is>
      </c>
      <c r="D414" s="112" t="inlineStr">
        <is>
          <t>4600E/110A-B487</t>
        </is>
      </c>
      <c r="E414" s="112" t="inlineStr">
        <is>
          <t>Phone sales Middle East</t>
        </is>
      </c>
      <c r="F414" s="112" t="inlineStr">
        <is>
          <t>101413931</t>
        </is>
      </c>
      <c r="G414" s="112" t="inlineStr">
        <is>
          <t>Prospect</t>
        </is>
      </c>
      <c r="H414" s="112" t="inlineStr">
        <is>
          <t>SHARIF Maaz</t>
        </is>
      </c>
      <c r="I414" s="113" t="inlineStr">
        <is>
          <t xml:space="preserve">the client is interested in both the oversease and fiftysix 
</t>
        </is>
      </c>
      <c r="J414" s="112" t="n"/>
    </row>
    <row r="415" ht="86.40000000000001" customHeight="1" s="287">
      <c r="A415" s="111" t="inlineStr">
        <is>
          <t>Request</t>
        </is>
      </c>
      <c r="B415" s="112" t="n"/>
      <c r="C415" s="112" t="inlineStr">
        <is>
          <t>10/9/2024</t>
        </is>
      </c>
      <c r="D415" s="112" t="inlineStr">
        <is>
          <t>4520V/210A-B483</t>
        </is>
      </c>
      <c r="E415" s="112" t="inlineStr">
        <is>
          <t>Phone sales Middle East</t>
        </is>
      </c>
      <c r="F415" s="112" t="inlineStr">
        <is>
          <t>101413931</t>
        </is>
      </c>
      <c r="G415" s="112" t="inlineStr">
        <is>
          <t>Prospect</t>
        </is>
      </c>
      <c r="H415" s="112" t="inlineStr">
        <is>
          <t>SHARIF Maaz</t>
        </is>
      </c>
      <c r="I415" s="113" t="inlineStr">
        <is>
          <t xml:space="preserve">the client would like to purchase both fiftysix and oversease black dial 
</t>
        </is>
      </c>
      <c r="J415" s="112" t="n"/>
    </row>
    <row r="416" ht="72" customHeight="1" s="287">
      <c r="A416" s="111" t="inlineStr">
        <is>
          <t>Request</t>
        </is>
      </c>
      <c r="B416" s="112" t="n"/>
      <c r="C416" s="112" t="inlineStr">
        <is>
          <t>10/9/2024</t>
        </is>
      </c>
      <c r="D416" s="112" t="inlineStr">
        <is>
          <t>4520V/210A-B483</t>
        </is>
      </c>
      <c r="E416" s="112" t="inlineStr">
        <is>
          <t>Phone sales Middle East</t>
        </is>
      </c>
      <c r="F416" s="112" t="inlineStr">
        <is>
          <t>101413931</t>
        </is>
      </c>
      <c r="G416" s="112" t="inlineStr">
        <is>
          <t>Prospect</t>
        </is>
      </c>
      <c r="H416" s="112" t="inlineStr">
        <is>
          <t>SHARIF Maaz</t>
        </is>
      </c>
      <c r="I416" s="113" t="inlineStr">
        <is>
          <t xml:space="preserve">the client would like to purchase the oversease black dial 
</t>
        </is>
      </c>
      <c r="J416" s="112" t="n"/>
    </row>
    <row r="417" ht="72" customHeight="1" s="287">
      <c r="A417" s="111" t="inlineStr">
        <is>
          <t>Request</t>
        </is>
      </c>
      <c r="B417" s="112" t="n"/>
      <c r="C417" s="112" t="inlineStr">
        <is>
          <t>10/9/2024</t>
        </is>
      </c>
      <c r="D417" s="112" t="inlineStr">
        <is>
          <t>4520V/210A-B128</t>
        </is>
      </c>
      <c r="E417" s="112" t="inlineStr">
        <is>
          <t>Phone sales Middle East</t>
        </is>
      </c>
      <c r="F417" s="112" t="inlineStr">
        <is>
          <t>101467308</t>
        </is>
      </c>
      <c r="G417" s="112" t="inlineStr">
        <is>
          <t>Prospect</t>
        </is>
      </c>
      <c r="H417" s="112" t="inlineStr">
        <is>
          <t>SHARIF Maaz</t>
        </is>
      </c>
      <c r="I417" s="113" t="inlineStr">
        <is>
          <t xml:space="preserve">The client shows intreset in the oversease self winding 
</t>
        </is>
      </c>
      <c r="J417" s="112" t="n"/>
    </row>
    <row r="418" ht="57.6" customHeight="1" s="287">
      <c r="A418" s="111" t="inlineStr">
        <is>
          <t>Request</t>
        </is>
      </c>
      <c r="B418" s="112" t="inlineStr">
        <is>
          <t>Confirmed</t>
        </is>
      </c>
      <c r="C418" s="112" t="inlineStr">
        <is>
          <t>10/9/2024</t>
        </is>
      </c>
      <c r="D418" s="112" t="inlineStr">
        <is>
          <t>4600E/000R-H101</t>
        </is>
      </c>
      <c r="E418" s="112" t="inlineStr">
        <is>
          <t>Phone sales Middle East</t>
        </is>
      </c>
      <c r="F418" s="112" t="inlineStr">
        <is>
          <t>101467913</t>
        </is>
      </c>
      <c r="G418" s="112" t="inlineStr">
        <is>
          <t>Prospect</t>
        </is>
      </c>
      <c r="H418" s="112" t="inlineStr">
        <is>
          <t>SHARIF Maaz</t>
        </is>
      </c>
      <c r="I418" s="113" t="inlineStr">
        <is>
          <t xml:space="preserve">The client is interested in the fiftysix  black dial 
</t>
        </is>
      </c>
      <c r="J418" s="112" t="n"/>
    </row>
    <row r="419">
      <c r="A419" s="111" t="inlineStr">
        <is>
          <t>Request</t>
        </is>
      </c>
      <c r="B419" s="112" t="n"/>
      <c r="C419" s="112" t="inlineStr">
        <is>
          <t>7/9/2024</t>
        </is>
      </c>
      <c r="D419" s="112" t="inlineStr">
        <is>
          <t>7920V/210A-B334</t>
        </is>
      </c>
      <c r="E419" s="112" t="inlineStr">
        <is>
          <t>Phone sales Middle East</t>
        </is>
      </c>
      <c r="F419" s="112" t="inlineStr">
        <is>
          <t>101428000</t>
        </is>
      </c>
      <c r="G419" s="112" t="inlineStr">
        <is>
          <t>Prospect</t>
        </is>
      </c>
      <c r="H419" s="112" t="inlineStr">
        <is>
          <t>TAHHAN Riham</t>
        </is>
      </c>
      <c r="I419" s="113" t="n"/>
      <c r="J419" s="112" t="n"/>
    </row>
    <row r="420">
      <c r="A420" s="111" t="inlineStr">
        <is>
          <t>Request</t>
        </is>
      </c>
      <c r="B420" s="112" t="n"/>
      <c r="C420" s="112" t="inlineStr">
        <is>
          <t>7/9/2024</t>
        </is>
      </c>
      <c r="D420" s="112" t="inlineStr">
        <is>
          <t>4520V/210A-B128</t>
        </is>
      </c>
      <c r="E420" s="112" t="inlineStr">
        <is>
          <t>Phone sales Middle East</t>
        </is>
      </c>
      <c r="F420" s="112" t="inlineStr">
        <is>
          <t>101428000</t>
        </is>
      </c>
      <c r="G420" s="112" t="inlineStr">
        <is>
          <t>Prospect</t>
        </is>
      </c>
      <c r="H420" s="112" t="inlineStr">
        <is>
          <t>TAHHAN Riham</t>
        </is>
      </c>
      <c r="I420" s="113" t="n"/>
      <c r="J420" s="112" t="n"/>
    </row>
    <row r="421" ht="72" customHeight="1" s="287">
      <c r="A421" s="111" t="inlineStr">
        <is>
          <t>Request</t>
        </is>
      </c>
      <c r="B421" s="112" t="n"/>
      <c r="C421" s="112" t="inlineStr">
        <is>
          <t>5/9/2024</t>
        </is>
      </c>
      <c r="D421" s="112" t="inlineStr">
        <is>
          <t>4600E/000A-B442</t>
        </is>
      </c>
      <c r="E421" s="112" t="inlineStr">
        <is>
          <t>Phone sales Middle East</t>
        </is>
      </c>
      <c r="F421" s="112" t="inlineStr">
        <is>
          <t>101369992</t>
        </is>
      </c>
      <c r="G421" s="112" t="inlineStr">
        <is>
          <t>Prospect</t>
        </is>
      </c>
      <c r="H421" s="112" t="inlineStr">
        <is>
          <t>SHARIF Maaz</t>
        </is>
      </c>
      <c r="I421" s="113" t="inlineStr">
        <is>
          <t xml:space="preserve">The client is intrested in the fiftysix self winding gray
</t>
        </is>
      </c>
      <c r="J421" s="112" t="n"/>
    </row>
    <row r="422" ht="100.95" customHeight="1" s="287">
      <c r="A422" s="111" t="inlineStr">
        <is>
          <t>Request</t>
        </is>
      </c>
      <c r="B422" s="112" t="n"/>
      <c r="C422" s="112" t="inlineStr">
        <is>
          <t>4/9/2024</t>
        </is>
      </c>
      <c r="D422" s="112" t="inlineStr">
        <is>
          <t>4520V/210A-B483</t>
        </is>
      </c>
      <c r="E422" s="112" t="inlineStr">
        <is>
          <t>Phone sales Middle East</t>
        </is>
      </c>
      <c r="F422" s="112" t="inlineStr">
        <is>
          <t>101314200</t>
        </is>
      </c>
      <c r="G422" s="112" t="inlineStr">
        <is>
          <t>Prospect</t>
        </is>
      </c>
      <c r="H422" s="112" t="inlineStr">
        <is>
          <t>SHARIF Maaz</t>
        </is>
      </c>
      <c r="I422" s="113" t="inlineStr">
        <is>
          <t xml:space="preserve">The client is interested in the black dial Overseas and has an appointment at Suite 1755.
</t>
        </is>
      </c>
      <c r="J422" s="112" t="n"/>
    </row>
    <row r="423" ht="187.2" customHeight="1" s="287">
      <c r="A423" s="111" t="inlineStr">
        <is>
          <t>Request</t>
        </is>
      </c>
      <c r="B423" s="112" t="inlineStr">
        <is>
          <t>Confirmed</t>
        </is>
      </c>
      <c r="C423" s="112" t="inlineStr">
        <is>
          <t>4/9/2024</t>
        </is>
      </c>
      <c r="D423" s="112" t="inlineStr">
        <is>
          <t>4600E/000R-H101</t>
        </is>
      </c>
      <c r="E423" s="112" t="inlineStr">
        <is>
          <t>Phone sales Middle East</t>
        </is>
      </c>
      <c r="F423" s="112" t="inlineStr">
        <is>
          <t>101314200</t>
        </is>
      </c>
      <c r="G423" s="112" t="inlineStr">
        <is>
          <t>Prospect</t>
        </is>
      </c>
      <c r="H423" s="112" t="inlineStr">
        <is>
          <t>SHARIF Maaz</t>
        </is>
      </c>
      <c r="I423" s="113" t="inlineStr">
        <is>
          <t xml:space="preserve">The client wanted to Purchase  either the oversease 4520V/210A-B483 or the fifitysix , with Mohammed support she made a full payment  4600E/000R-H101
</t>
        </is>
      </c>
      <c r="J423" s="112" t="n"/>
    </row>
    <row r="424">
      <c r="A424" s="111" t="inlineStr">
        <is>
          <t>Cancelled</t>
        </is>
      </c>
      <c r="B424" s="112" t="inlineStr">
        <is>
          <t>Cancelled</t>
        </is>
      </c>
      <c r="C424" s="112" t="inlineStr">
        <is>
          <t>4/9/2024</t>
        </is>
      </c>
      <c r="D424" s="112" t="inlineStr">
        <is>
          <t>4600E/000A-B442</t>
        </is>
      </c>
      <c r="E424" s="112" t="inlineStr">
        <is>
          <t>Phone sales Middle East</t>
        </is>
      </c>
      <c r="F424" s="112" t="inlineStr">
        <is>
          <t>101009393</t>
        </is>
      </c>
      <c r="G424" s="112" t="inlineStr">
        <is>
          <t>Prospect</t>
        </is>
      </c>
      <c r="H424" s="112" t="inlineStr">
        <is>
          <t>TAHHAN Riham</t>
        </is>
      </c>
      <c r="I424" s="113" t="n"/>
      <c r="J424" s="112" t="n"/>
    </row>
    <row r="425">
      <c r="A425" s="111" t="inlineStr">
        <is>
          <t>Cancelled</t>
        </is>
      </c>
      <c r="B425" s="112" t="inlineStr">
        <is>
          <t>Cancelled</t>
        </is>
      </c>
      <c r="C425" s="112" t="inlineStr">
        <is>
          <t>3/9/2024</t>
        </is>
      </c>
      <c r="D425" s="112" t="inlineStr">
        <is>
          <t>7920V/210A-B334</t>
        </is>
      </c>
      <c r="E425" s="112" t="inlineStr">
        <is>
          <t>Phone sales Middle East</t>
        </is>
      </c>
      <c r="F425" s="112" t="inlineStr">
        <is>
          <t>101364406</t>
        </is>
      </c>
      <c r="G425" s="112" t="inlineStr">
        <is>
          <t>Prospect</t>
        </is>
      </c>
      <c r="H425" s="112" t="inlineStr">
        <is>
          <t>TAHHAN Riham</t>
        </is>
      </c>
      <c r="I425" s="113" t="n"/>
      <c r="J425" s="112" t="n"/>
    </row>
    <row r="426" ht="72" customHeight="1" s="287">
      <c r="A426" s="111" t="inlineStr">
        <is>
          <t>Request</t>
        </is>
      </c>
      <c r="B426" s="112" t="n"/>
      <c r="C426" s="112" t="inlineStr">
        <is>
          <t>30/8/2024</t>
        </is>
      </c>
      <c r="D426" s="112" t="inlineStr">
        <is>
          <t>4520V/210A-B483</t>
        </is>
      </c>
      <c r="E426" s="112" t="inlineStr">
        <is>
          <t>Phone sales Middle East</t>
        </is>
      </c>
      <c r="F426" s="112" t="inlineStr">
        <is>
          <t>101314200</t>
        </is>
      </c>
      <c r="G426" s="112" t="inlineStr">
        <is>
          <t>Prospect</t>
        </is>
      </c>
      <c r="H426" s="112" t="inlineStr">
        <is>
          <t>SHARIF Maaz</t>
        </is>
      </c>
      <c r="I426" s="113" t="inlineStr">
        <is>
          <t xml:space="preserve">The client would like to purchase Overseas self-winding black Dial
</t>
        </is>
      </c>
      <c r="J426" s="112" t="n"/>
    </row>
    <row r="427" ht="28.95" customHeight="1" s="287">
      <c r="A427" s="111" t="inlineStr">
        <is>
          <t>Request</t>
        </is>
      </c>
      <c r="B427" s="112" t="n"/>
      <c r="C427" s="112" t="inlineStr">
        <is>
          <t>29/8/2024</t>
        </is>
      </c>
      <c r="D427" s="112" t="inlineStr">
        <is>
          <t>7920V/210A-B334</t>
        </is>
      </c>
      <c r="E427" s="112" t="inlineStr">
        <is>
          <t>Phone sales Middle East</t>
        </is>
      </c>
      <c r="F427" s="112" t="inlineStr">
        <is>
          <t>101302751</t>
        </is>
      </c>
      <c r="G427" s="112" t="inlineStr">
        <is>
          <t>Prospect</t>
        </is>
      </c>
      <c r="H427" s="112" t="inlineStr">
        <is>
          <t>TAHHAN Riham</t>
        </is>
      </c>
      <c r="I427" s="113" t="inlineStr">
        <is>
          <t xml:space="preserve">
</t>
        </is>
      </c>
      <c r="J427" s="112" t="n"/>
    </row>
    <row r="428" ht="57.6" customHeight="1" s="287">
      <c r="A428" s="111" t="inlineStr">
        <is>
          <t>Request</t>
        </is>
      </c>
      <c r="B428" s="112" t="n"/>
      <c r="C428" s="112" t="inlineStr">
        <is>
          <t>28/8/2024</t>
        </is>
      </c>
      <c r="D428" s="112" t="inlineStr">
        <is>
          <t>4520V/210A-B128</t>
        </is>
      </c>
      <c r="E428" s="112" t="inlineStr">
        <is>
          <t>Phone sales Middle East</t>
        </is>
      </c>
      <c r="F428" s="112" t="inlineStr">
        <is>
          <t>101283226</t>
        </is>
      </c>
      <c r="G428" s="112" t="inlineStr">
        <is>
          <t>Prospect</t>
        </is>
      </c>
      <c r="H428" s="112" t="inlineStr">
        <is>
          <t>OMARI Asma</t>
        </is>
      </c>
      <c r="I428" s="113" t="inlineStr">
        <is>
          <t xml:space="preserve">Client is open to the other collections.
</t>
        </is>
      </c>
      <c r="J428" s="112" t="n"/>
    </row>
    <row r="429" ht="57.6" customHeight="1" s="287">
      <c r="A429" s="111" t="inlineStr">
        <is>
          <t>Cancelled</t>
        </is>
      </c>
      <c r="B429" s="112" t="inlineStr">
        <is>
          <t>Cancelled</t>
        </is>
      </c>
      <c r="C429" s="112" t="inlineStr">
        <is>
          <t>23/8/2024</t>
        </is>
      </c>
      <c r="D429" s="112" t="inlineStr">
        <is>
          <t>1225V/200A-B590</t>
        </is>
      </c>
      <c r="E429" s="112" t="inlineStr">
        <is>
          <t>Phone sales Middle East</t>
        </is>
      </c>
      <c r="F429" s="112" t="inlineStr">
        <is>
          <t>101220865</t>
        </is>
      </c>
      <c r="G429" s="112" t="inlineStr">
        <is>
          <t>Prospect</t>
        </is>
      </c>
      <c r="H429" s="112" t="inlineStr">
        <is>
          <t>SHARIF Maaz</t>
        </is>
      </c>
      <c r="I429" s="113" t="inlineStr">
        <is>
          <t xml:space="preserve">The client is very interested in the OVERSEAS STEEL 
</t>
        </is>
      </c>
      <c r="J429" s="112" t="n"/>
    </row>
    <row r="430" ht="115.2" customHeight="1" s="287">
      <c r="A430" s="111" t="inlineStr">
        <is>
          <t>Request</t>
        </is>
      </c>
      <c r="B430" s="112" t="n"/>
      <c r="C430" s="112" t="inlineStr">
        <is>
          <t>22/8/2024</t>
        </is>
      </c>
      <c r="D430" s="112" t="inlineStr">
        <is>
          <t>4520V/210A-B128</t>
        </is>
      </c>
      <c r="E430" s="112" t="inlineStr">
        <is>
          <t>Phone sales Middle East</t>
        </is>
      </c>
      <c r="F430" s="112" t="inlineStr">
        <is>
          <t>101145972</t>
        </is>
      </c>
      <c r="G430" s="112" t="inlineStr">
        <is>
          <t>Prospect</t>
        </is>
      </c>
      <c r="H430" s="112" t="inlineStr">
        <is>
          <t>SHARIF Maaz</t>
        </is>
      </c>
      <c r="I430" s="113" t="inlineStr">
        <is>
          <t xml:space="preserve">The client is very interested in the overseas self winding and will love to purchase it upon availability 
</t>
        </is>
      </c>
      <c r="J430" s="112" t="n"/>
    </row>
    <row r="431" ht="28.95" customHeight="1" s="287">
      <c r="A431" s="111" t="inlineStr">
        <is>
          <t>Request</t>
        </is>
      </c>
      <c r="B431" s="112" t="n"/>
      <c r="C431" s="112" t="inlineStr">
        <is>
          <t>21/8/2024</t>
        </is>
      </c>
      <c r="D431" s="112" t="inlineStr">
        <is>
          <t>4520V/210A-B128</t>
        </is>
      </c>
      <c r="E431" s="112" t="inlineStr">
        <is>
          <t>Phone sales Middle East</t>
        </is>
      </c>
      <c r="F431" s="112" t="inlineStr">
        <is>
          <t>101196299</t>
        </is>
      </c>
      <c r="G431" s="112" t="inlineStr">
        <is>
          <t>Prospect</t>
        </is>
      </c>
      <c r="H431" s="112" t="inlineStr">
        <is>
          <t>TAHHAN Riham</t>
        </is>
      </c>
      <c r="I431" s="113" t="inlineStr">
        <is>
          <t xml:space="preserve">
</t>
        </is>
      </c>
      <c r="J431" s="112" t="n"/>
    </row>
    <row r="432" ht="115.2" customHeight="1" s="287">
      <c r="A432" s="111" t="inlineStr">
        <is>
          <t>Request</t>
        </is>
      </c>
      <c r="B432" s="112" t="inlineStr">
        <is>
          <t>Confirmed</t>
        </is>
      </c>
      <c r="C432" s="112" t="inlineStr">
        <is>
          <t>15/8/2024</t>
        </is>
      </c>
      <c r="D432" s="112" t="inlineStr">
        <is>
          <t>5520V/210R-B966</t>
        </is>
      </c>
      <c r="E432" s="112" t="inlineStr">
        <is>
          <t>Phone sales Middle East</t>
        </is>
      </c>
      <c r="F432" s="112" t="inlineStr">
        <is>
          <t>101110183</t>
        </is>
      </c>
      <c r="G432" s="112" t="inlineStr">
        <is>
          <t>Prospect</t>
        </is>
      </c>
      <c r="H432" s="112" t="inlineStr">
        <is>
          <t>SHARIF Maaz</t>
        </is>
      </c>
      <c r="I432" s="113" t="inlineStr">
        <is>
          <t xml:space="preserve">The client expressed a strong interest in the Overseas chronograph and insisted on being added to the list
</t>
        </is>
      </c>
      <c r="J432" s="112" t="n"/>
    </row>
    <row r="433" ht="100.95" customHeight="1" s="287">
      <c r="A433" s="111" t="inlineStr">
        <is>
          <t>Request</t>
        </is>
      </c>
      <c r="B433" s="112" t="n"/>
      <c r="C433" s="112" t="inlineStr">
        <is>
          <t>14/8/2024</t>
        </is>
      </c>
      <c r="D433" s="112" t="inlineStr">
        <is>
          <t>5520V/210A-B481</t>
        </is>
      </c>
      <c r="E433" s="112" t="inlineStr">
        <is>
          <t>Phone sales Middle East</t>
        </is>
      </c>
      <c r="F433" s="112" t="inlineStr">
        <is>
          <t>101104408</t>
        </is>
      </c>
      <c r="G433" s="112" t="inlineStr">
        <is>
          <t>Prospect</t>
        </is>
      </c>
      <c r="H433" s="112" t="inlineStr">
        <is>
          <t>SHARIF Maaz</t>
        </is>
      </c>
      <c r="I433" s="113" t="inlineStr">
        <is>
          <t xml:space="preserve">The client is interested in both the  Overseas chronographand the  Historiques American 1921
</t>
        </is>
      </c>
      <c r="J433" s="112" t="n"/>
    </row>
    <row r="434" ht="144" customHeight="1" s="287">
      <c r="A434" s="111" t="inlineStr">
        <is>
          <t>Cancelled</t>
        </is>
      </c>
      <c r="B434" s="112" t="inlineStr">
        <is>
          <t>Cancelled</t>
        </is>
      </c>
      <c r="C434" s="112" t="inlineStr">
        <is>
          <t>14/8/2024</t>
        </is>
      </c>
      <c r="D434" s="112" t="inlineStr">
        <is>
          <t>7920V/210A-B334</t>
        </is>
      </c>
      <c r="E434" s="112" t="inlineStr">
        <is>
          <t>Phone sales Middle East</t>
        </is>
      </c>
      <c r="F434" s="112" t="inlineStr">
        <is>
          <t>101104467</t>
        </is>
      </c>
      <c r="G434" s="112" t="inlineStr">
        <is>
          <t>Prospect</t>
        </is>
      </c>
      <c r="H434" s="112" t="inlineStr">
        <is>
          <t>TAHHAN Riham</t>
        </is>
      </c>
      <c r="I434" s="113" t="inlineStr">
        <is>
          <t xml:space="preserve">The client mentioned that he has AP-Royal Oak and Rolex timepieces and he really fond of our timepieces and would like to acquire one.
</t>
        </is>
      </c>
      <c r="J434" s="112" t="n"/>
    </row>
    <row r="435" ht="144" customHeight="1" s="287">
      <c r="A435" s="111" t="inlineStr">
        <is>
          <t>Cancelled</t>
        </is>
      </c>
      <c r="B435" s="112" t="inlineStr">
        <is>
          <t>Cancelled</t>
        </is>
      </c>
      <c r="C435" s="112" t="inlineStr">
        <is>
          <t>14/8/2024</t>
        </is>
      </c>
      <c r="D435" s="112" t="inlineStr">
        <is>
          <t>5520V/210A-B148</t>
        </is>
      </c>
      <c r="E435" s="112" t="inlineStr">
        <is>
          <t>Phone sales Middle East</t>
        </is>
      </c>
      <c r="F435" s="112" t="inlineStr">
        <is>
          <t>101104467</t>
        </is>
      </c>
      <c r="G435" s="112" t="inlineStr">
        <is>
          <t>Prospect</t>
        </is>
      </c>
      <c r="H435" s="112" t="inlineStr">
        <is>
          <t>TAHHAN Riham</t>
        </is>
      </c>
      <c r="I435" s="113" t="inlineStr">
        <is>
          <t xml:space="preserve">The client mentioned that he has AP-Royal Oak and Rolex timepieces and he really fond of our timepieces and would like to acquire one.
</t>
        </is>
      </c>
      <c r="J435" s="112" t="n"/>
    </row>
    <row r="436" ht="100.95" customHeight="1" s="287">
      <c r="A436" s="111" t="inlineStr">
        <is>
          <t>Cancelled</t>
        </is>
      </c>
      <c r="B436" s="112" t="inlineStr">
        <is>
          <t>Cancelled</t>
        </is>
      </c>
      <c r="C436" s="112" t="inlineStr">
        <is>
          <t>10/8/2024</t>
        </is>
      </c>
      <c r="D436" s="112" t="inlineStr">
        <is>
          <t>4000V/210A-B911</t>
        </is>
      </c>
      <c r="E436" s="112" t="inlineStr">
        <is>
          <t>Phone sales Middle East</t>
        </is>
      </c>
      <c r="F436" s="112" t="inlineStr">
        <is>
          <t>101055665</t>
        </is>
      </c>
      <c r="G436" s="112" t="inlineStr">
        <is>
          <t>Prospect</t>
        </is>
      </c>
      <c r="H436" s="112" t="inlineStr">
        <is>
          <t>TAHHAN Riham</t>
        </is>
      </c>
      <c r="I436" s="113" t="inlineStr">
        <is>
          <t xml:space="preserve">The client would like to acquire this timepiece as a gift for his father’s 58th birthday
</t>
        </is>
      </c>
      <c r="J436" s="112" t="n"/>
    </row>
    <row r="437" ht="172.95" customHeight="1" s="287">
      <c r="A437" s="111" t="inlineStr">
        <is>
          <t>Cancelled</t>
        </is>
      </c>
      <c r="B437" s="112" t="inlineStr">
        <is>
          <t>Cancelled</t>
        </is>
      </c>
      <c r="C437" s="112" t="inlineStr">
        <is>
          <t>8/8/2024</t>
        </is>
      </c>
      <c r="D437" s="112" t="inlineStr">
        <is>
          <t>4520V/210R-B967</t>
        </is>
      </c>
      <c r="E437" s="112" t="inlineStr">
        <is>
          <t>Phone sales Middle East</t>
        </is>
      </c>
      <c r="F437" s="112" t="inlineStr">
        <is>
          <t>101009517</t>
        </is>
      </c>
      <c r="G437" s="112" t="inlineStr">
        <is>
          <t>Prospect</t>
        </is>
      </c>
      <c r="H437" s="112" t="inlineStr">
        <is>
          <t>TAHHAN Riham</t>
        </is>
      </c>
      <c r="I437" s="113" t="inlineStr">
        <is>
          <t xml:space="preserve">The client is willing to come to UAE if opportunity arises so he can gift himself a Vacheron Constantin timepiece since he turned 50 this year
</t>
        </is>
      </c>
      <c r="J437" s="112" t="n"/>
    </row>
    <row r="438" ht="172.95" customHeight="1" s="287">
      <c r="A438" s="111" t="inlineStr">
        <is>
          <t>Cancelled</t>
        </is>
      </c>
      <c r="B438" s="112" t="inlineStr">
        <is>
          <t>Cancelled</t>
        </is>
      </c>
      <c r="C438" s="112" t="inlineStr">
        <is>
          <t>8/8/2024</t>
        </is>
      </c>
      <c r="D438" s="112" t="inlineStr">
        <is>
          <t>7920V/210R-B965</t>
        </is>
      </c>
      <c r="E438" s="112" t="inlineStr">
        <is>
          <t>Phone sales Middle East</t>
        </is>
      </c>
      <c r="F438" s="112" t="inlineStr">
        <is>
          <t>101009517</t>
        </is>
      </c>
      <c r="G438" s="112" t="inlineStr">
        <is>
          <t>Prospect</t>
        </is>
      </c>
      <c r="H438" s="112" t="inlineStr">
        <is>
          <t>TAHHAN Riham</t>
        </is>
      </c>
      <c r="I438" s="113" t="inlineStr">
        <is>
          <t xml:space="preserve">The client is willing to come to UAE if opportunity arises so he can gift himself a Vacheron Constantin timepiece since he turned 50 this year
</t>
        </is>
      </c>
      <c r="J438" s="112" t="n"/>
    </row>
    <row r="439" ht="28.95" customHeight="1" s="287">
      <c r="A439" s="111" t="inlineStr">
        <is>
          <t>Cancelled</t>
        </is>
      </c>
      <c r="B439" s="112" t="inlineStr">
        <is>
          <t>Cancelled</t>
        </is>
      </c>
      <c r="C439" s="112" t="inlineStr">
        <is>
          <t>8/8/2024</t>
        </is>
      </c>
      <c r="D439" s="112" t="inlineStr">
        <is>
          <t>5520V/210R-B952</t>
        </is>
      </c>
      <c r="E439" s="112" t="inlineStr">
        <is>
          <t>Phone sales Middle East</t>
        </is>
      </c>
      <c r="F439" s="112" t="inlineStr">
        <is>
          <t>101032092</t>
        </is>
      </c>
      <c r="G439" s="112" t="inlineStr">
        <is>
          <t>Prospect</t>
        </is>
      </c>
      <c r="H439" s="112" t="inlineStr">
        <is>
          <t>TAHHAN Riham</t>
        </is>
      </c>
      <c r="I439" s="113" t="inlineStr">
        <is>
          <t xml:space="preserve">
</t>
        </is>
      </c>
      <c r="J439" s="112" t="n"/>
    </row>
    <row r="440" ht="100.95" customHeight="1" s="287">
      <c r="A440" s="111" t="inlineStr">
        <is>
          <t>Sold</t>
        </is>
      </c>
      <c r="B440" s="112" t="inlineStr">
        <is>
          <t>Confirmed</t>
        </is>
      </c>
      <c r="C440" s="112" t="inlineStr">
        <is>
          <t>8/8/2024</t>
        </is>
      </c>
      <c r="D440" s="112" t="inlineStr">
        <is>
          <t>7920V/210R-B965</t>
        </is>
      </c>
      <c r="E440" s="112" t="inlineStr">
        <is>
          <t>Phone sales Middle East</t>
        </is>
      </c>
      <c r="F440" s="112" t="inlineStr">
        <is>
          <t>100436027</t>
        </is>
      </c>
      <c r="G440" s="112" t="inlineStr">
        <is>
          <t>Prospect</t>
        </is>
      </c>
      <c r="H440" s="112" t="inlineStr">
        <is>
          <t>OMARI Asma</t>
        </is>
      </c>
      <c r="I440" s="113" t="inlineStr">
        <is>
          <t xml:space="preserve">The client was told to come to pay a deposit. He stated hes willing to do that and dont mind that 
</t>
        </is>
      </c>
      <c r="J440" s="112" t="n"/>
    </row>
    <row r="441" ht="86.40000000000001" customHeight="1" s="287">
      <c r="A441" s="111" t="inlineStr">
        <is>
          <t>Request</t>
        </is>
      </c>
      <c r="B441" s="112" t="n"/>
      <c r="C441" s="112" t="inlineStr">
        <is>
          <t>8/8/2024</t>
        </is>
      </c>
      <c r="D441" s="112" t="inlineStr">
        <is>
          <t>7920V/000R-B336</t>
        </is>
      </c>
      <c r="E441" s="112" t="inlineStr">
        <is>
          <t>Phone sales Middle East</t>
        </is>
      </c>
      <c r="F441" s="112" t="inlineStr">
        <is>
          <t>101036635</t>
        </is>
      </c>
      <c r="G441" s="112" t="inlineStr">
        <is>
          <t>Prospect</t>
        </is>
      </c>
      <c r="H441" s="112" t="inlineStr">
        <is>
          <t>SHARIF Maaz</t>
        </is>
      </c>
      <c r="I441" s="113" t="inlineStr">
        <is>
          <t xml:space="preserve">The client stated that hes will to come to the boutique to pay the full amount 
</t>
        </is>
      </c>
      <c r="J441" s="112" t="n"/>
    </row>
    <row r="442" ht="86.40000000000001" customHeight="1" s="287">
      <c r="A442" s="111" t="inlineStr">
        <is>
          <t>Cancelled</t>
        </is>
      </c>
      <c r="B442" s="112" t="inlineStr">
        <is>
          <t>Cancelled</t>
        </is>
      </c>
      <c r="C442" s="112" t="inlineStr">
        <is>
          <t>7/8/2024</t>
        </is>
      </c>
      <c r="D442" s="112" t="inlineStr">
        <is>
          <t>7920V/210A-B334</t>
        </is>
      </c>
      <c r="E442" s="112" t="inlineStr">
        <is>
          <t>Phone sales Middle East</t>
        </is>
      </c>
      <c r="F442" s="112" t="inlineStr">
        <is>
          <t>101011549</t>
        </is>
      </c>
      <c r="G442" s="112" t="inlineStr">
        <is>
          <t>Prospect</t>
        </is>
      </c>
      <c r="H442" s="112" t="inlineStr">
        <is>
          <t>TAHHAN Riham</t>
        </is>
      </c>
      <c r="I442" s="113" t="inlineStr">
        <is>
          <t xml:space="preserve">The client is looking for a gift for his father and willing to come to UAE for purchase
</t>
        </is>
      </c>
      <c r="J442" s="112" t="n"/>
    </row>
    <row r="443" ht="100.95" customHeight="1" s="287">
      <c r="A443" s="111" t="inlineStr">
        <is>
          <t>Cancelled</t>
        </is>
      </c>
      <c r="B443" s="112" t="inlineStr">
        <is>
          <t>Cancelled</t>
        </is>
      </c>
      <c r="C443" s="112" t="inlineStr">
        <is>
          <t>7/8/2024</t>
        </is>
      </c>
      <c r="D443" s="112" t="inlineStr">
        <is>
          <t>7920V/210A-B546</t>
        </is>
      </c>
      <c r="E443" s="112" t="inlineStr">
        <is>
          <t>Phone sales Middle East</t>
        </is>
      </c>
      <c r="F443" s="112" t="inlineStr">
        <is>
          <t>101011549</t>
        </is>
      </c>
      <c r="G443" s="112" t="inlineStr">
        <is>
          <t>Prospect</t>
        </is>
      </c>
      <c r="H443" s="112" t="inlineStr">
        <is>
          <t>TAHHAN Riham</t>
        </is>
      </c>
      <c r="I443" s="113" t="inlineStr">
        <is>
          <t xml:space="preserve">The client is looking for a gift for his father’s birthday and willing to come to UAE
</t>
        </is>
      </c>
      <c r="J443" s="112" t="n"/>
    </row>
    <row r="444" ht="72" customHeight="1" s="287">
      <c r="A444" s="111" t="inlineStr">
        <is>
          <t>Cancelled</t>
        </is>
      </c>
      <c r="B444" s="112" t="inlineStr">
        <is>
          <t>Cancelled</t>
        </is>
      </c>
      <c r="C444" s="112" t="inlineStr">
        <is>
          <t>6/8/2024</t>
        </is>
      </c>
      <c r="D444" s="112" t="inlineStr">
        <is>
          <t>4520V/210A-B128</t>
        </is>
      </c>
      <c r="E444" s="112" t="inlineStr">
        <is>
          <t>Phone sales Middle East</t>
        </is>
      </c>
      <c r="F444" s="112" t="inlineStr">
        <is>
          <t>101009517</t>
        </is>
      </c>
      <c r="G444" s="112" t="inlineStr">
        <is>
          <t>Prospect</t>
        </is>
      </c>
      <c r="H444" s="112" t="inlineStr">
        <is>
          <t>TAHHAN Riham</t>
        </is>
      </c>
      <c r="I444" s="113" t="inlineStr">
        <is>
          <t xml:space="preserve">The client is willing to come to the UAE to get the timepiece. 
</t>
        </is>
      </c>
      <c r="J444" s="112" t="n"/>
    </row>
    <row r="445" ht="72" customHeight="1" s="287">
      <c r="A445" s="111" t="inlineStr">
        <is>
          <t>Request</t>
        </is>
      </c>
      <c r="B445" s="112" t="inlineStr">
        <is>
          <t>Postponed</t>
        </is>
      </c>
      <c r="C445" s="112" t="inlineStr">
        <is>
          <t>6/8/2024</t>
        </is>
      </c>
      <c r="D445" s="112" t="inlineStr">
        <is>
          <t>4520V/210R-B705</t>
        </is>
      </c>
      <c r="E445" s="112" t="inlineStr">
        <is>
          <t>Phone sales Middle East</t>
        </is>
      </c>
      <c r="F445" s="112" t="inlineStr">
        <is>
          <t>101009517</t>
        </is>
      </c>
      <c r="G445" s="112" t="inlineStr">
        <is>
          <t>Prospect</t>
        </is>
      </c>
      <c r="H445" s="112" t="inlineStr">
        <is>
          <t>TAHHAN Riham</t>
        </is>
      </c>
      <c r="I445" s="113" t="inlineStr">
        <is>
          <t xml:space="preserve">The client is willing to come to India to get the timepiece
</t>
        </is>
      </c>
      <c r="J445" s="112" t="n"/>
    </row>
    <row r="446" ht="72" customHeight="1" s="287">
      <c r="A446" s="111" t="inlineStr">
        <is>
          <t>Cancelled</t>
        </is>
      </c>
      <c r="B446" s="112" t="inlineStr">
        <is>
          <t>Cancelled</t>
        </is>
      </c>
      <c r="C446" s="112" t="inlineStr">
        <is>
          <t>6/8/2024</t>
        </is>
      </c>
      <c r="D446" s="112" t="inlineStr">
        <is>
          <t>4520V/210R-B705</t>
        </is>
      </c>
      <c r="E446" s="112" t="inlineStr">
        <is>
          <t>Phone sales Middle East</t>
        </is>
      </c>
      <c r="F446" s="112" t="inlineStr">
        <is>
          <t>100962157</t>
        </is>
      </c>
      <c r="G446" s="112" t="inlineStr">
        <is>
          <t>Prospect</t>
        </is>
      </c>
      <c r="H446" s="112" t="inlineStr">
        <is>
          <t>TAHHAN Riham</t>
        </is>
      </c>
      <c r="I446" s="113" t="inlineStr">
        <is>
          <t xml:space="preserve">The client is willing to travel to UAE to get this timepiece
</t>
        </is>
      </c>
      <c r="J446" s="112" t="n"/>
    </row>
    <row r="447" ht="72" customHeight="1" s="287">
      <c r="A447" s="111" t="inlineStr">
        <is>
          <t>Cancelled</t>
        </is>
      </c>
      <c r="B447" s="112" t="inlineStr">
        <is>
          <t>Cancelled</t>
        </is>
      </c>
      <c r="C447" s="112" t="inlineStr">
        <is>
          <t>6/8/2024</t>
        </is>
      </c>
      <c r="D447" s="112" t="inlineStr">
        <is>
          <t>4300V/220R-B509</t>
        </is>
      </c>
      <c r="E447" s="112" t="inlineStr">
        <is>
          <t>Phone sales Middle East</t>
        </is>
      </c>
      <c r="F447" s="112" t="inlineStr">
        <is>
          <t>100962157</t>
        </is>
      </c>
      <c r="G447" s="112" t="inlineStr">
        <is>
          <t>Prospect</t>
        </is>
      </c>
      <c r="H447" s="112" t="inlineStr">
        <is>
          <t>TAHHAN Riham</t>
        </is>
      </c>
      <c r="I447" s="113" t="inlineStr">
        <is>
          <t xml:space="preserve">The client is willing to come to India to purchase the timepiece
</t>
        </is>
      </c>
      <c r="J447" s="112" t="n"/>
    </row>
    <row r="448" ht="115.2" customHeight="1" s="287">
      <c r="A448" s="111" t="inlineStr">
        <is>
          <t>Request</t>
        </is>
      </c>
      <c r="B448" s="112" t="n"/>
      <c r="C448" s="112" t="inlineStr">
        <is>
          <t>24/7/2024</t>
        </is>
      </c>
      <c r="D448" s="112" t="inlineStr">
        <is>
          <t>4600E/000A-B442</t>
        </is>
      </c>
      <c r="E448" s="112" t="inlineStr">
        <is>
          <t>Phone sales Middle East</t>
        </is>
      </c>
      <c r="F448" s="112" t="inlineStr">
        <is>
          <t>100830227</t>
        </is>
      </c>
      <c r="G448" s="112" t="inlineStr">
        <is>
          <t>Prospect</t>
        </is>
      </c>
      <c r="H448" s="112" t="inlineStr">
        <is>
          <t>SHARIF Maaz</t>
        </is>
      </c>
      <c r="I448" s="113" t="inlineStr">
        <is>
          <t xml:space="preserve">The client is interested in the fiftysix 600E/000A-B442 as well  Overseas chronograph X55AC481
</t>
        </is>
      </c>
      <c r="J448" s="112" t="n"/>
    </row>
    <row r="449" ht="115.2" customHeight="1" s="287">
      <c r="A449" s="111" t="inlineStr">
        <is>
          <t>Request</t>
        </is>
      </c>
      <c r="B449" s="112" t="n"/>
      <c r="C449" s="112" t="inlineStr">
        <is>
          <t>24/7/2024</t>
        </is>
      </c>
      <c r="D449" s="112" t="inlineStr">
        <is>
          <t>4200H/222J-B935</t>
        </is>
      </c>
      <c r="E449" s="112" t="inlineStr">
        <is>
          <t>Phone sales Middle East</t>
        </is>
      </c>
      <c r="F449" s="112" t="inlineStr">
        <is>
          <t>100833648</t>
        </is>
      </c>
      <c r="G449" s="112" t="inlineStr">
        <is>
          <t>Prospect</t>
        </is>
      </c>
      <c r="H449" s="112" t="inlineStr">
        <is>
          <t>SHARIF Maaz</t>
        </is>
      </c>
      <c r="I449" s="113" t="inlineStr">
        <is>
          <t xml:space="preserve">The client stated that once we confirm the availability of the watch he will be traveling to UAE to purchase 
</t>
        </is>
      </c>
      <c r="J449" s="112" t="n"/>
    </row>
    <row r="450" ht="86.40000000000001" customHeight="1" s="287">
      <c r="A450" s="111" t="inlineStr">
        <is>
          <t>Request</t>
        </is>
      </c>
      <c r="B450" s="112" t="n"/>
      <c r="C450" s="112" t="inlineStr">
        <is>
          <t>23/7/2024</t>
        </is>
      </c>
      <c r="D450" s="112" t="inlineStr">
        <is>
          <t>4520V/210A-B128</t>
        </is>
      </c>
      <c r="E450" s="112" t="inlineStr">
        <is>
          <t>Phone sales Middle East</t>
        </is>
      </c>
      <c r="F450" s="112" t="inlineStr">
        <is>
          <t>100793790</t>
        </is>
      </c>
      <c r="G450" s="112" t="inlineStr">
        <is>
          <t>Prospect</t>
        </is>
      </c>
      <c r="H450" s="112" t="inlineStr">
        <is>
          <t>SHARIF Maaz</t>
        </is>
      </c>
      <c r="I450" s="113" t="inlineStr">
        <is>
          <t xml:space="preserve">The client is interested in the oversease self winding  living in Dubai 
</t>
        </is>
      </c>
      <c r="J450" s="112" t="n"/>
    </row>
    <row r="451" ht="115.2" customHeight="1" s="287">
      <c r="A451" s="111" t="inlineStr">
        <is>
          <t>Request</t>
        </is>
      </c>
      <c r="B451" s="112" t="n"/>
      <c r="C451" s="112" t="inlineStr">
        <is>
          <t>23/7/2024</t>
        </is>
      </c>
      <c r="D451" s="112" t="inlineStr">
        <is>
          <t>4520V/210A-B128</t>
        </is>
      </c>
      <c r="E451" s="112" t="inlineStr">
        <is>
          <t>Phone sales Middle East</t>
        </is>
      </c>
      <c r="F451" s="112" t="inlineStr">
        <is>
          <t>100788006</t>
        </is>
      </c>
      <c r="G451" s="112" t="inlineStr">
        <is>
          <t>Prospect</t>
        </is>
      </c>
      <c r="H451" s="112" t="inlineStr">
        <is>
          <t>SHARIF Maaz</t>
        </is>
      </c>
      <c r="I451" s="113" t="inlineStr">
        <is>
          <t xml:space="preserve">The client ins interested in 2 timepeices ( 6000V/110A-B544 \ 4520V/210A-B128)
</t>
        </is>
      </c>
      <c r="J451" s="112" t="n"/>
    </row>
    <row r="452" ht="216" customHeight="1" s="287">
      <c r="A452" s="111" t="inlineStr">
        <is>
          <t>Cancelled</t>
        </is>
      </c>
      <c r="B452" s="112" t="inlineStr">
        <is>
          <t>Cancelled</t>
        </is>
      </c>
      <c r="C452" s="112" t="inlineStr">
        <is>
          <t>20/7/2024</t>
        </is>
      </c>
      <c r="D452" s="112" t="inlineStr">
        <is>
          <t>6000V/110A-B544</t>
        </is>
      </c>
      <c r="E452" s="112" t="inlineStr">
        <is>
          <t>Phone sales Middle East</t>
        </is>
      </c>
      <c r="F452" s="112" t="inlineStr">
        <is>
          <t>100788004</t>
        </is>
      </c>
      <c r="G452" s="112" t="inlineStr">
        <is>
          <t>Prospect</t>
        </is>
      </c>
      <c r="H452" s="112" t="inlineStr">
        <is>
          <t>SHARIF Maaz</t>
        </is>
      </c>
      <c r="I452" s="113" t="inlineStr">
        <is>
          <t xml:space="preserve">The client would like to purchase one of the 2 overseas , either [Overseas tourbillon](https://richemont.lightning.force.com/lightning/r/01t1i000003IYweAAG/view) or the Overseas self-winding 
</t>
        </is>
      </c>
      <c r="J452" s="112" t="n"/>
    </row>
    <row r="453" ht="158.4" customHeight="1" s="287">
      <c r="A453" s="111" t="inlineStr">
        <is>
          <t>Request</t>
        </is>
      </c>
      <c r="B453" s="112" t="n"/>
      <c r="C453" s="112" t="inlineStr">
        <is>
          <t>17/7/2024</t>
        </is>
      </c>
      <c r="D453" s="112" t="inlineStr">
        <is>
          <t>4520V/210A-B128</t>
        </is>
      </c>
      <c r="E453" s="112" t="inlineStr">
        <is>
          <t>Phone sales Middle East</t>
        </is>
      </c>
      <c r="F453" s="112" t="inlineStr">
        <is>
          <t>100737696</t>
        </is>
      </c>
      <c r="G453" s="112" t="inlineStr">
        <is>
          <t>Prospect</t>
        </is>
      </c>
      <c r="H453" s="112" t="inlineStr">
        <is>
          <t>SHARIF Maaz</t>
        </is>
      </c>
      <c r="I453" s="113" t="inlineStr">
        <is>
          <t xml:space="preserve">the client is interested in purchasing the **[Overseas self-winding ](https://richemont.lightning.force.com/lightning/r/01t1i000004DWYiAAO/view)**
</t>
        </is>
      </c>
      <c r="J453" s="112" t="n"/>
    </row>
    <row r="454" ht="57.6" customHeight="1" s="287">
      <c r="A454" s="111" t="inlineStr">
        <is>
          <t>Request</t>
        </is>
      </c>
      <c r="B454" s="112" t="n"/>
      <c r="C454" s="112" t="inlineStr">
        <is>
          <t>16/7/2024</t>
        </is>
      </c>
      <c r="D454" s="112" t="inlineStr">
        <is>
          <t>4520V/210A-B128</t>
        </is>
      </c>
      <c r="E454" s="112" t="inlineStr">
        <is>
          <t>Phone sales Middle East</t>
        </is>
      </c>
      <c r="F454" s="112" t="inlineStr">
        <is>
          <t>100599306</t>
        </is>
      </c>
      <c r="G454" s="112" t="inlineStr">
        <is>
          <t>Prospect</t>
        </is>
      </c>
      <c r="H454" s="112" t="inlineStr">
        <is>
          <t>SHARIF Maaz</t>
        </is>
      </c>
      <c r="I454" s="113" t="inlineStr">
        <is>
          <t xml:space="preserve">The client wish to be added to the waiting list 
</t>
        </is>
      </c>
      <c r="J454" s="112" t="n"/>
    </row>
    <row r="455" ht="86.40000000000001" customHeight="1" s="287">
      <c r="A455" s="111" t="inlineStr">
        <is>
          <t>Request</t>
        </is>
      </c>
      <c r="B455" s="112" t="inlineStr">
        <is>
          <t>Pending client feedback</t>
        </is>
      </c>
      <c r="C455" s="112" t="inlineStr">
        <is>
          <t>16/7/2024</t>
        </is>
      </c>
      <c r="D455" s="112" t="inlineStr">
        <is>
          <t>5100T/000P-H041</t>
        </is>
      </c>
      <c r="E455" s="112" t="inlineStr">
        <is>
          <t>Phone sales Middle East</t>
        </is>
      </c>
      <c r="F455" s="112" t="inlineStr">
        <is>
          <t>100736346</t>
        </is>
      </c>
      <c r="G455" s="112" t="inlineStr">
        <is>
          <t>Prospect</t>
        </is>
      </c>
      <c r="H455" s="112" t="inlineStr">
        <is>
          <t>SHARIF Maaz</t>
        </is>
      </c>
      <c r="I455" s="113" t="inlineStr">
        <is>
          <t xml:space="preserve">The client is interested in Traditionnelle tourbillon chronograph, 
</t>
        </is>
      </c>
      <c r="J455" s="112" t="n"/>
    </row>
    <row r="456" ht="86.40000000000001" customHeight="1" s="287">
      <c r="A456" s="111" t="inlineStr">
        <is>
          <t>Request</t>
        </is>
      </c>
      <c r="B456" s="112" t="inlineStr">
        <is>
          <t>Pending client feedback</t>
        </is>
      </c>
      <c r="C456" s="112" t="inlineStr">
        <is>
          <t>13/7/2024</t>
        </is>
      </c>
      <c r="D456" s="112" t="inlineStr">
        <is>
          <t>7920V/210A-B334</t>
        </is>
      </c>
      <c r="E456" s="112" t="inlineStr">
        <is>
          <t>Phone sales Middle East</t>
        </is>
      </c>
      <c r="F456" s="112" t="inlineStr">
        <is>
          <t>100668746</t>
        </is>
      </c>
      <c r="G456" s="112" t="inlineStr">
        <is>
          <t>Prospect</t>
        </is>
      </c>
      <c r="H456" s="112" t="inlineStr">
        <is>
          <t>SHARIF Maaz</t>
        </is>
      </c>
      <c r="I456" s="113" t="inlineStr">
        <is>
          <t xml:space="preserve">The client is interested in the  Overseas dual time “ very interested 
</t>
        </is>
      </c>
      <c r="J456" s="112" t="n"/>
    </row>
    <row r="457" ht="216" customHeight="1" s="287">
      <c r="A457" s="111" t="inlineStr">
        <is>
          <t>Request</t>
        </is>
      </c>
      <c r="B457" s="112" t="n"/>
      <c r="C457" s="112" t="inlineStr">
        <is>
          <t>10/7/2024</t>
        </is>
      </c>
      <c r="D457" s="112" t="inlineStr">
        <is>
          <t>7920V/210A-B334</t>
        </is>
      </c>
      <c r="E457" s="112" t="inlineStr">
        <is>
          <t>Phone sales Middle East</t>
        </is>
      </c>
      <c r="F457" s="112" t="inlineStr">
        <is>
          <t>100634537</t>
        </is>
      </c>
      <c r="G457" s="112" t="inlineStr">
        <is>
          <t>Prospect</t>
        </is>
      </c>
      <c r="H457" s="112" t="inlineStr">
        <is>
          <t>SHARIF Maaz</t>
        </is>
      </c>
      <c r="I457" s="113" t="inlineStr">
        <is>
          <t xml:space="preserve">Mr. Ahmad, who has previously expressed his interest in the Overseas Dual Time, has been in communication with Yasser. We have committed to contacting Mr. Ahmad once the timepiece becomes available.
</t>
        </is>
      </c>
      <c r="J457" s="112" t="n"/>
    </row>
    <row r="458">
      <c r="A458" s="111" t="inlineStr">
        <is>
          <t>Request</t>
        </is>
      </c>
      <c r="B458" s="112" t="n"/>
      <c r="C458" s="112" t="inlineStr">
        <is>
          <t>5/7/2024</t>
        </is>
      </c>
      <c r="D458" s="112" t="inlineStr">
        <is>
          <t>4520V/210A-B128</t>
        </is>
      </c>
      <c r="E458" s="112" t="inlineStr">
        <is>
          <t>Phone sales Middle East</t>
        </is>
      </c>
      <c r="F458" s="112" t="inlineStr">
        <is>
          <t>100582839</t>
        </is>
      </c>
      <c r="G458" s="112" t="inlineStr">
        <is>
          <t>Prospect</t>
        </is>
      </c>
      <c r="H458" s="112" t="inlineStr">
        <is>
          <t>OMARI Asma</t>
        </is>
      </c>
      <c r="I458" s="113" t="n"/>
      <c r="J458" s="112" t="n"/>
    </row>
    <row r="459" ht="28.95" customHeight="1" s="287">
      <c r="A459" s="111" t="inlineStr">
        <is>
          <t>Request</t>
        </is>
      </c>
      <c r="B459" s="112" t="n"/>
      <c r="C459" s="112" t="inlineStr">
        <is>
          <t>4/7/2024</t>
        </is>
      </c>
      <c r="D459" s="112" t="inlineStr">
        <is>
          <t>4520V/210A-B128</t>
        </is>
      </c>
      <c r="E459" s="112" t="inlineStr">
        <is>
          <t>Phone sales Middle East</t>
        </is>
      </c>
      <c r="F459" s="112" t="inlineStr">
        <is>
          <t>100537423</t>
        </is>
      </c>
      <c r="G459" s="112" t="inlineStr">
        <is>
          <t>Prospect</t>
        </is>
      </c>
      <c r="H459" s="112" t="inlineStr">
        <is>
          <t>OMARI Asma</t>
        </is>
      </c>
      <c r="I459" s="113" t="inlineStr">
        <is>
          <t xml:space="preserve">Client for Maaz
</t>
        </is>
      </c>
      <c r="J459" s="112" t="n"/>
    </row>
    <row r="460" ht="57.6" customHeight="1" s="287">
      <c r="A460" s="111" t="inlineStr">
        <is>
          <t>Request</t>
        </is>
      </c>
      <c r="B460" s="112" t="n"/>
      <c r="C460" s="112" t="inlineStr">
        <is>
          <t>28/6/2024</t>
        </is>
      </c>
      <c r="D460" s="112" t="inlineStr">
        <is>
          <t>4520V/210A-B128</t>
        </is>
      </c>
      <c r="E460" s="112" t="inlineStr">
        <is>
          <t>Phone sales Middle East</t>
        </is>
      </c>
      <c r="F460" s="112" t="inlineStr">
        <is>
          <t>100480073</t>
        </is>
      </c>
      <c r="G460" s="112" t="inlineStr">
        <is>
          <t>Prospect</t>
        </is>
      </c>
      <c r="H460" s="112" t="inlineStr">
        <is>
          <t>OMARI Asma</t>
        </is>
      </c>
      <c r="I460" s="113" t="inlineStr">
        <is>
          <t xml:space="preserve">Client lives in Cyprus and has an office in UAE
</t>
        </is>
      </c>
      <c r="J460" s="112" t="n"/>
    </row>
    <row r="461">
      <c r="A461" s="111" t="inlineStr">
        <is>
          <t>Cancelled</t>
        </is>
      </c>
      <c r="B461" s="112" t="inlineStr">
        <is>
          <t>Cancelled</t>
        </is>
      </c>
      <c r="C461" s="112" t="inlineStr">
        <is>
          <t>28/6/2024</t>
        </is>
      </c>
      <c r="D461" s="112" t="inlineStr">
        <is>
          <t>5520V/210R-B952</t>
        </is>
      </c>
      <c r="E461" s="112" t="inlineStr">
        <is>
          <t>Phone sales Middle East</t>
        </is>
      </c>
      <c r="F461" s="112" t="inlineStr">
        <is>
          <t>100482907</t>
        </is>
      </c>
      <c r="G461" s="112" t="inlineStr">
        <is>
          <t>Prospect</t>
        </is>
      </c>
      <c r="H461" s="112" t="inlineStr">
        <is>
          <t>OMARI Asma</t>
        </is>
      </c>
      <c r="I461" s="113" t="n"/>
      <c r="J461" s="112" t="n"/>
    </row>
    <row r="462" ht="144" customHeight="1" s="287">
      <c r="A462" s="111" t="inlineStr">
        <is>
          <t>Request</t>
        </is>
      </c>
      <c r="B462" s="112" t="n"/>
      <c r="C462" s="112" t="inlineStr">
        <is>
          <t>25/6/2024</t>
        </is>
      </c>
      <c r="D462" s="112" t="inlineStr">
        <is>
          <t>4520V/210A-B128</t>
        </is>
      </c>
      <c r="E462" s="112" t="inlineStr">
        <is>
          <t>Phone sales Middle East</t>
        </is>
      </c>
      <c r="F462" s="112" t="inlineStr">
        <is>
          <t>100432455</t>
        </is>
      </c>
      <c r="G462" s="112" t="inlineStr">
        <is>
          <t>Prospect</t>
        </is>
      </c>
      <c r="H462" s="112" t="inlineStr">
        <is>
          <t>OMARI Asma</t>
        </is>
      </c>
      <c r="I462" s="113" t="inlineStr">
        <is>
          <t xml:space="preserve">Client would like to build a relation with the btq to purchase a piece in the occasion of celebrating the opening of a new branch of his business.
</t>
        </is>
      </c>
      <c r="J462" s="112" t="n"/>
    </row>
    <row r="463" ht="100.95" customHeight="1" s="287">
      <c r="A463" s="111" t="inlineStr">
        <is>
          <t>Cancelled</t>
        </is>
      </c>
      <c r="B463" s="112" t="inlineStr">
        <is>
          <t>Cancelled</t>
        </is>
      </c>
      <c r="C463" s="112" t="inlineStr">
        <is>
          <t>22/6/2024</t>
        </is>
      </c>
      <c r="D463" s="112" t="inlineStr">
        <is>
          <t>4300V/220R-B547</t>
        </is>
      </c>
      <c r="E463" s="112" t="inlineStr">
        <is>
          <t>Phone sales Middle East</t>
        </is>
      </c>
      <c r="F463" s="112" t="inlineStr">
        <is>
          <t>100394867</t>
        </is>
      </c>
      <c r="G463" s="112" t="inlineStr">
        <is>
          <t>Prospect</t>
        </is>
      </c>
      <c r="H463" s="112" t="inlineStr">
        <is>
          <t>OMARI Asma</t>
        </is>
      </c>
      <c r="I463" s="113" t="inlineStr">
        <is>
          <t xml:space="preserve">Client is interested in this model and also the Overseas tourbillon Skeleton.
</t>
        </is>
      </c>
      <c r="J463" s="112" t="n"/>
    </row>
    <row r="464" ht="86.40000000000001" customHeight="1" s="287">
      <c r="A464" s="111" t="inlineStr">
        <is>
          <t>Request</t>
        </is>
      </c>
      <c r="B464" s="112" t="n"/>
      <c r="C464" s="112" t="inlineStr">
        <is>
          <t>20/6/2024</t>
        </is>
      </c>
      <c r="D464" s="112" t="inlineStr">
        <is>
          <t>4520V/210A-B128</t>
        </is>
      </c>
      <c r="E464" s="112" t="inlineStr">
        <is>
          <t>Phone sales Middle East</t>
        </is>
      </c>
      <c r="F464" s="112" t="inlineStr">
        <is>
          <t>100279807</t>
        </is>
      </c>
      <c r="G464" s="112" t="inlineStr">
        <is>
          <t>Prospect</t>
        </is>
      </c>
      <c r="H464" s="112" t="inlineStr">
        <is>
          <t>OMARI Asma</t>
        </is>
      </c>
      <c r="I464" s="113" t="inlineStr">
        <is>
          <t xml:space="preserve">Client is in India would like to add his name to the waiting list in Dubai.
</t>
        </is>
      </c>
      <c r="J464" s="112" t="n"/>
    </row>
    <row r="465" ht="115.2" customHeight="1" s="287">
      <c r="A465" s="111" t="inlineStr">
        <is>
          <t>Request</t>
        </is>
      </c>
      <c r="B465" s="112" t="n"/>
      <c r="C465" s="112" t="inlineStr">
        <is>
          <t>20/6/2024</t>
        </is>
      </c>
      <c r="D465" s="112" t="inlineStr">
        <is>
          <t>4520V/210A-B128</t>
        </is>
      </c>
      <c r="E465" s="112" t="inlineStr">
        <is>
          <t>Phone sales Middle East</t>
        </is>
      </c>
      <c r="F465" s="112" t="inlineStr">
        <is>
          <t>100355498</t>
        </is>
      </c>
      <c r="G465" s="112" t="inlineStr">
        <is>
          <t>Prospect</t>
        </is>
      </c>
      <c r="H465" s="112" t="inlineStr">
        <is>
          <t>OMARI Asma</t>
        </is>
      </c>
      <c r="I465" s="113" t="inlineStr">
        <is>
          <t xml:space="preserve">Client would like to add his name to the waiting list of the Overseas self winding in steel with blue dial
</t>
        </is>
      </c>
      <c r="J465" s="112" t="n"/>
    </row>
    <row r="466" ht="57.6" customHeight="1" s="287">
      <c r="A466" s="111" t="inlineStr">
        <is>
          <t>Cancelled</t>
        </is>
      </c>
      <c r="B466" s="112" t="inlineStr">
        <is>
          <t>Cancelled</t>
        </is>
      </c>
      <c r="C466" s="112" t="inlineStr">
        <is>
          <t>20/6/2024</t>
        </is>
      </c>
      <c r="D466" s="112" t="inlineStr">
        <is>
          <t>4520V/210A-B126</t>
        </is>
      </c>
      <c r="E466" s="112" t="inlineStr">
        <is>
          <t>Phone sales Middle East</t>
        </is>
      </c>
      <c r="F466" s="112" t="inlineStr">
        <is>
          <t>100341519</t>
        </is>
      </c>
      <c r="G466" s="112" t="inlineStr">
        <is>
          <t>Prospect</t>
        </is>
      </c>
      <c r="H466" s="112" t="inlineStr">
        <is>
          <t>OMARI Asma</t>
        </is>
      </c>
      <c r="I466" s="113" t="inlineStr">
        <is>
          <t xml:space="preserve">The client is interested in the timepiece
</t>
        </is>
      </c>
      <c r="J466" s="112" t="n"/>
    </row>
    <row r="467" ht="57.6" customHeight="1" s="287">
      <c r="A467" s="111" t="inlineStr">
        <is>
          <t>Cancelled</t>
        </is>
      </c>
      <c r="B467" s="112" t="inlineStr">
        <is>
          <t>Cancelled</t>
        </is>
      </c>
      <c r="C467" s="112" t="inlineStr">
        <is>
          <t>20/6/2024</t>
        </is>
      </c>
      <c r="D467" s="112" t="inlineStr">
        <is>
          <t>7920V/210A-B333</t>
        </is>
      </c>
      <c r="E467" s="112" t="inlineStr">
        <is>
          <t>Phone sales Middle East</t>
        </is>
      </c>
      <c r="F467" s="112" t="inlineStr">
        <is>
          <t>100341519</t>
        </is>
      </c>
      <c r="G467" s="112" t="inlineStr">
        <is>
          <t>Prospect</t>
        </is>
      </c>
      <c r="H467" s="112" t="inlineStr">
        <is>
          <t>OMARI Asma</t>
        </is>
      </c>
      <c r="I467" s="113" t="inlineStr">
        <is>
          <t xml:space="preserve">The client is interested in the timepiece
</t>
        </is>
      </c>
      <c r="J467" s="112" t="n"/>
    </row>
    <row r="468" ht="115.2" customHeight="1" s="287">
      <c r="A468" s="111" t="inlineStr">
        <is>
          <t>Request</t>
        </is>
      </c>
      <c r="B468" s="112" t="n"/>
      <c r="C468" s="112" t="inlineStr">
        <is>
          <t>19/6/2024</t>
        </is>
      </c>
      <c r="D468" s="112" t="inlineStr">
        <is>
          <t>4520V/210A-B128</t>
        </is>
      </c>
      <c r="E468" s="112" t="inlineStr">
        <is>
          <t>Phone sales Middle East</t>
        </is>
      </c>
      <c r="F468" s="112" t="inlineStr">
        <is>
          <t>100339877</t>
        </is>
      </c>
      <c r="G468" s="112" t="inlineStr">
        <is>
          <t>Prospect</t>
        </is>
      </c>
      <c r="H468" s="112" t="inlineStr">
        <is>
          <t>OMARI Asma</t>
        </is>
      </c>
      <c r="I468" s="113" t="inlineStr">
        <is>
          <t xml:space="preserve">The client is interested in the Overseas self-winding . ready to pay deposit 
</t>
        </is>
      </c>
      <c r="J468" s="112" t="n"/>
    </row>
    <row r="469" ht="86.40000000000001" customHeight="1" s="287">
      <c r="A469" s="111" t="inlineStr">
        <is>
          <t>Request</t>
        </is>
      </c>
      <c r="B469" s="112" t="n"/>
      <c r="C469" s="112" t="inlineStr">
        <is>
          <t>19/6/2024</t>
        </is>
      </c>
      <c r="D469" s="112" t="inlineStr">
        <is>
          <t>4520V/210A-B128</t>
        </is>
      </c>
      <c r="E469" s="112" t="inlineStr">
        <is>
          <t>Phone sales Middle East</t>
        </is>
      </c>
      <c r="F469" s="112" t="inlineStr">
        <is>
          <t>100329803</t>
        </is>
      </c>
      <c r="G469" s="112" t="inlineStr">
        <is>
          <t>Prospect</t>
        </is>
      </c>
      <c r="H469" s="112" t="inlineStr">
        <is>
          <t>OMARI Asma</t>
        </is>
      </c>
      <c r="I469" s="113" t="inlineStr">
        <is>
          <t xml:space="preserve">The client is interested and would like to proceed Overseas self-winding
</t>
        </is>
      </c>
      <c r="J469" s="112" t="n"/>
    </row>
    <row r="470" ht="86.40000000000001" customHeight="1" s="287">
      <c r="A470" s="111" t="inlineStr">
        <is>
          <t>Request</t>
        </is>
      </c>
      <c r="B470" s="112" t="n"/>
      <c r="C470" s="112" t="inlineStr">
        <is>
          <t>18/6/2024</t>
        </is>
      </c>
      <c r="D470" s="112" t="inlineStr">
        <is>
          <t>4520V/210A-B128</t>
        </is>
      </c>
      <c r="E470" s="112" t="inlineStr">
        <is>
          <t>Phone sales Middle East</t>
        </is>
      </c>
      <c r="F470" s="112" t="inlineStr">
        <is>
          <t>100330605</t>
        </is>
      </c>
      <c r="G470" s="112" t="inlineStr">
        <is>
          <t>Prospect</t>
        </is>
      </c>
      <c r="H470" s="112" t="inlineStr">
        <is>
          <t>OMARI Asma</t>
        </is>
      </c>
      <c r="I470" s="113" t="inlineStr">
        <is>
          <t xml:space="preserve">The client is interested in the timepiece and not open for other options 
</t>
        </is>
      </c>
      <c r="J470" s="112" t="n"/>
    </row>
    <row r="471">
      <c r="A471" s="111" t="inlineStr">
        <is>
          <t>Request</t>
        </is>
      </c>
      <c r="B471" s="112" t="n"/>
      <c r="C471" s="112" t="inlineStr">
        <is>
          <t>15/6/2024</t>
        </is>
      </c>
      <c r="D471" s="112" t="inlineStr">
        <is>
          <t>4520V/210A-B128</t>
        </is>
      </c>
      <c r="E471" s="112" t="inlineStr">
        <is>
          <t>Phone sales Middle East</t>
        </is>
      </c>
      <c r="F471" s="112" t="inlineStr">
        <is>
          <t>100272691</t>
        </is>
      </c>
      <c r="G471" s="112" t="inlineStr">
        <is>
          <t>Prospect</t>
        </is>
      </c>
      <c r="H471" s="112" t="inlineStr">
        <is>
          <t>OMARI Asma</t>
        </is>
      </c>
      <c r="I471" s="113" t="n"/>
      <c r="J471" s="112" t="n"/>
    </row>
    <row r="472" ht="86.40000000000001" customHeight="1" s="287">
      <c r="A472" s="111" t="inlineStr">
        <is>
          <t>Cancelled</t>
        </is>
      </c>
      <c r="B472" s="112" t="inlineStr">
        <is>
          <t>Cancelled</t>
        </is>
      </c>
      <c r="C472" s="112" t="inlineStr">
        <is>
          <t>14/6/2024</t>
        </is>
      </c>
      <c r="D472" s="112" t="inlineStr">
        <is>
          <t>4200H/222J-B935</t>
        </is>
      </c>
      <c r="E472" s="112" t="inlineStr">
        <is>
          <t>Phone sales Middle East</t>
        </is>
      </c>
      <c r="F472" s="112" t="inlineStr">
        <is>
          <t>100232514</t>
        </is>
      </c>
      <c r="G472" s="112" t="inlineStr">
        <is>
          <t>Prospect</t>
        </is>
      </c>
      <c r="H472" s="112" t="inlineStr">
        <is>
          <t>OMARI Asma</t>
        </is>
      </c>
      <c r="I472" s="113" t="inlineStr">
        <is>
          <t xml:space="preserve">Client asked to add her name into the waiting list for the historiques 222
</t>
        </is>
      </c>
      <c r="J472" s="112" t="n"/>
    </row>
    <row r="473" ht="57.6" customHeight="1" s="287">
      <c r="A473" s="111" t="inlineStr">
        <is>
          <t>Cancelled</t>
        </is>
      </c>
      <c r="B473" s="112" t="inlineStr">
        <is>
          <t>Cancelled</t>
        </is>
      </c>
      <c r="C473" s="112" t="inlineStr">
        <is>
          <t>13/6/2024</t>
        </is>
      </c>
      <c r="D473" s="112" t="inlineStr">
        <is>
          <t>4520V/210A-B483</t>
        </is>
      </c>
      <c r="E473" s="112" t="inlineStr">
        <is>
          <t>Phone sales Middle East</t>
        </is>
      </c>
      <c r="F473" s="112" t="inlineStr">
        <is>
          <t>100245350</t>
        </is>
      </c>
      <c r="G473" s="112" t="inlineStr">
        <is>
          <t>Prospect</t>
        </is>
      </c>
      <c r="H473" s="112" t="inlineStr">
        <is>
          <t>OMARI Asma</t>
        </is>
      </c>
      <c r="I473" s="113" t="inlineStr">
        <is>
          <t xml:space="preserve">The client is very interested in this timepiece.
</t>
        </is>
      </c>
      <c r="J473" s="112" t="n"/>
    </row>
    <row r="474" ht="57.6" customHeight="1" s="287">
      <c r="A474" s="111" t="inlineStr">
        <is>
          <t>Request</t>
        </is>
      </c>
      <c r="B474" s="112" t="n"/>
      <c r="C474" s="112" t="inlineStr">
        <is>
          <t>8/6/2024</t>
        </is>
      </c>
      <c r="D474" s="112" t="inlineStr">
        <is>
          <t>4520V/210A-B128</t>
        </is>
      </c>
      <c r="E474" s="112" t="inlineStr">
        <is>
          <t>Phone sales Middle East</t>
        </is>
      </c>
      <c r="F474" s="112" t="inlineStr">
        <is>
          <t>99019997</t>
        </is>
      </c>
      <c r="G474" s="112" t="inlineStr">
        <is>
          <t>Client</t>
        </is>
      </c>
      <c r="H474" s="112" t="inlineStr">
        <is>
          <t>OMARI Asma</t>
        </is>
      </c>
      <c r="I474" s="113" t="inlineStr">
        <is>
          <t xml:space="preserve">The client would like to register to the waiting list 
</t>
        </is>
      </c>
      <c r="J474" s="112" t="n"/>
    </row>
    <row r="475">
      <c r="A475" s="111" t="inlineStr">
        <is>
          <t>Cancelled</t>
        </is>
      </c>
      <c r="B475" s="112" t="inlineStr">
        <is>
          <t>Cancelled</t>
        </is>
      </c>
      <c r="C475" s="112" t="inlineStr">
        <is>
          <t>8/4/2024</t>
        </is>
      </c>
      <c r="D475" s="112" t="inlineStr">
        <is>
          <t>4200H/222J-B935</t>
        </is>
      </c>
      <c r="E475" s="112" t="inlineStr">
        <is>
          <t>Phone sales Middle East</t>
        </is>
      </c>
      <c r="F475" s="112" t="inlineStr">
        <is>
          <t>97223180</t>
        </is>
      </c>
      <c r="G475" s="112" t="inlineStr">
        <is>
          <t>Client</t>
        </is>
      </c>
      <c r="H475" s="112" t="inlineStr">
        <is>
          <t>TAHHAN Riham</t>
        </is>
      </c>
      <c r="I475" s="113" t="n"/>
      <c r="J475" s="112" t="n"/>
    </row>
    <row r="476">
      <c r="A476" s="111" t="inlineStr">
        <is>
          <t>Cancelled</t>
        </is>
      </c>
      <c r="B476" s="112" t="inlineStr">
        <is>
          <t>Cancelled</t>
        </is>
      </c>
      <c r="C476" s="112" t="inlineStr">
        <is>
          <t>30/3/2024</t>
        </is>
      </c>
      <c r="D476" s="112" t="inlineStr">
        <is>
          <t>4000E/000A-B548</t>
        </is>
      </c>
      <c r="E476" s="112" t="inlineStr">
        <is>
          <t>Phone sales Middle East</t>
        </is>
      </c>
      <c r="F476" s="112" t="inlineStr">
        <is>
          <t>98828137</t>
        </is>
      </c>
      <c r="G476" s="112" t="inlineStr">
        <is>
          <t>Prospect</t>
        </is>
      </c>
      <c r="H476" s="112" t="inlineStr">
        <is>
          <t>OMARI Asma</t>
        </is>
      </c>
      <c r="I476" s="113" t="n"/>
      <c r="J476" s="112" t="n"/>
    </row>
    <row r="477">
      <c r="A477" s="111" t="inlineStr">
        <is>
          <t>Request</t>
        </is>
      </c>
      <c r="B477" s="112" t="n"/>
      <c r="C477" s="112" t="inlineStr">
        <is>
          <t>8/3/2024</t>
        </is>
      </c>
      <c r="D477" s="112" t="inlineStr">
        <is>
          <t>4520V/210A-B128</t>
        </is>
      </c>
      <c r="E477" s="112" t="inlineStr">
        <is>
          <t>Phone sales Middle East</t>
        </is>
      </c>
      <c r="F477" s="112" t="inlineStr">
        <is>
          <t>98340991</t>
        </is>
      </c>
      <c r="G477" s="112" t="inlineStr">
        <is>
          <t>Prospect</t>
        </is>
      </c>
      <c r="H477" s="112" t="inlineStr">
        <is>
          <t>OMARI Asma</t>
        </is>
      </c>
      <c r="I477" s="113" t="n"/>
      <c r="J477" s="112" t="n"/>
    </row>
    <row r="478">
      <c r="A478" s="111" t="inlineStr">
        <is>
          <t>Request</t>
        </is>
      </c>
      <c r="B478" s="112" t="n"/>
      <c r="C478" s="112" t="inlineStr">
        <is>
          <t>7/3/2024</t>
        </is>
      </c>
      <c r="D478" s="112" t="inlineStr">
        <is>
          <t>4000V/210A-B911</t>
        </is>
      </c>
      <c r="E478" s="112" t="inlineStr">
        <is>
          <t>Phone sales Middle East</t>
        </is>
      </c>
      <c r="F478" s="112" t="inlineStr">
        <is>
          <t>92424528</t>
        </is>
      </c>
      <c r="G478" s="112" t="inlineStr">
        <is>
          <t>Prospect</t>
        </is>
      </c>
      <c r="H478" s="112" t="inlineStr">
        <is>
          <t>SHARIF Maaz</t>
        </is>
      </c>
      <c r="I478" s="113" t="n"/>
      <c r="J478" s="112" t="n"/>
    </row>
    <row r="479">
      <c r="A479" s="111" t="inlineStr">
        <is>
          <t>Request</t>
        </is>
      </c>
      <c r="B479" s="112" t="inlineStr">
        <is>
          <t>Pending client feedback</t>
        </is>
      </c>
      <c r="C479" s="112" t="inlineStr">
        <is>
          <t>1/3/2024</t>
        </is>
      </c>
      <c r="D479" s="112" t="inlineStr">
        <is>
          <t>4520V/210A-B128</t>
        </is>
      </c>
      <c r="E479" s="112" t="inlineStr">
        <is>
          <t>Phone sales Middle East</t>
        </is>
      </c>
      <c r="F479" s="112" t="inlineStr">
        <is>
          <t>92410222</t>
        </is>
      </c>
      <c r="G479" s="112" t="inlineStr">
        <is>
          <t>Prospect</t>
        </is>
      </c>
      <c r="H479" s="112" t="inlineStr">
        <is>
          <t>TAHHAN Riham</t>
        </is>
      </c>
      <c r="I479" s="113" t="n"/>
      <c r="J479" s="112" t="n"/>
    </row>
    <row r="480">
      <c r="A480" s="111" t="inlineStr">
        <is>
          <t>Request</t>
        </is>
      </c>
      <c r="B480" s="112" t="n"/>
      <c r="C480" s="112" t="inlineStr">
        <is>
          <t>25/2/2024</t>
        </is>
      </c>
      <c r="D480" s="112" t="inlineStr">
        <is>
          <t>4520V/210A-B128</t>
        </is>
      </c>
      <c r="E480" s="112" t="inlineStr">
        <is>
          <t>Phone sales Middle East</t>
        </is>
      </c>
      <c r="F480" s="112" t="inlineStr">
        <is>
          <t>98213478</t>
        </is>
      </c>
      <c r="G480" s="112" t="inlineStr">
        <is>
          <t>Client</t>
        </is>
      </c>
      <c r="H480" s="112" t="inlineStr">
        <is>
          <t>OMARI Asma</t>
        </is>
      </c>
      <c r="I480" s="113" t="n"/>
      <c r="J480" s="112" t="n"/>
    </row>
    <row r="481">
      <c r="A481" s="111" t="inlineStr">
        <is>
          <t>Request</t>
        </is>
      </c>
      <c r="B481" s="112" t="n"/>
      <c r="C481" s="112" t="inlineStr">
        <is>
          <t>25/2/2024</t>
        </is>
      </c>
      <c r="D481" s="112" t="inlineStr">
        <is>
          <t>4520V/210A-B128</t>
        </is>
      </c>
      <c r="E481" s="112" t="inlineStr">
        <is>
          <t>Phone sales Middle East</t>
        </is>
      </c>
      <c r="F481" s="112" t="inlineStr">
        <is>
          <t>98213878</t>
        </is>
      </c>
      <c r="G481" s="112" t="inlineStr">
        <is>
          <t>Prospect</t>
        </is>
      </c>
      <c r="H481" s="112" t="inlineStr">
        <is>
          <t>SHARIF Maaz</t>
        </is>
      </c>
      <c r="I481" s="113" t="n"/>
      <c r="J481" s="112" t="n"/>
    </row>
    <row r="482">
      <c r="A482" s="111" t="inlineStr">
        <is>
          <t>Request</t>
        </is>
      </c>
      <c r="B482" s="112" t="inlineStr">
        <is>
          <t>Postponed</t>
        </is>
      </c>
      <c r="C482" s="112" t="inlineStr">
        <is>
          <t>21/2/2024</t>
        </is>
      </c>
      <c r="D482" s="112" t="inlineStr">
        <is>
          <t>4520V/210A-B128</t>
        </is>
      </c>
      <c r="E482" s="112" t="inlineStr">
        <is>
          <t>Phone sales Middle East</t>
        </is>
      </c>
      <c r="F482" s="112" t="inlineStr">
        <is>
          <t>97560994</t>
        </is>
      </c>
      <c r="G482" s="112" t="inlineStr">
        <is>
          <t>Prospect</t>
        </is>
      </c>
      <c r="H482" s="112" t="inlineStr">
        <is>
          <t>TAHHAN Riham</t>
        </is>
      </c>
      <c r="I482" s="113" t="n"/>
      <c r="J482" s="112" t="n"/>
    </row>
    <row r="483">
      <c r="A483" s="111" t="inlineStr">
        <is>
          <t>Request</t>
        </is>
      </c>
      <c r="B483" s="112" t="inlineStr">
        <is>
          <t>Postponed</t>
        </is>
      </c>
      <c r="C483" s="112" t="inlineStr">
        <is>
          <t>14/2/2024</t>
        </is>
      </c>
      <c r="D483" s="112" t="inlineStr">
        <is>
          <t>7920V/210A-B334</t>
        </is>
      </c>
      <c r="E483" s="112" t="inlineStr">
        <is>
          <t>Phone sales Middle East</t>
        </is>
      </c>
      <c r="F483" s="112" t="inlineStr">
        <is>
          <t>97560994</t>
        </is>
      </c>
      <c r="G483" s="112" t="inlineStr">
        <is>
          <t>Prospect</t>
        </is>
      </c>
      <c r="H483" s="112" t="inlineStr">
        <is>
          <t>TAHHAN Riham</t>
        </is>
      </c>
      <c r="I483" s="113" t="n"/>
      <c r="J483" s="112" t="n"/>
    </row>
    <row r="484">
      <c r="A484" s="111" t="inlineStr">
        <is>
          <t>Request</t>
        </is>
      </c>
      <c r="B484" s="112" t="n"/>
      <c r="C484" s="112" t="inlineStr">
        <is>
          <t>14/2/2024</t>
        </is>
      </c>
      <c r="D484" s="112" t="inlineStr">
        <is>
          <t>4520V/210A-B128</t>
        </is>
      </c>
      <c r="E484" s="112" t="inlineStr">
        <is>
          <t>Phone sales Middle East</t>
        </is>
      </c>
      <c r="F484" s="112" t="inlineStr">
        <is>
          <t>97863424</t>
        </is>
      </c>
      <c r="G484" s="112" t="inlineStr">
        <is>
          <t>Prospect</t>
        </is>
      </c>
      <c r="H484" s="112" t="inlineStr">
        <is>
          <t>SHARIF Maaz</t>
        </is>
      </c>
      <c r="I484" s="113" t="n"/>
      <c r="J484" s="112" t="n"/>
    </row>
    <row r="485">
      <c r="A485" s="111" t="inlineStr">
        <is>
          <t>Cancelled</t>
        </is>
      </c>
      <c r="B485" s="112" t="inlineStr">
        <is>
          <t>Cancelled</t>
        </is>
      </c>
      <c r="C485" s="112" t="inlineStr">
        <is>
          <t>7/2/2024</t>
        </is>
      </c>
      <c r="D485" s="112" t="inlineStr">
        <is>
          <t>3110V/000A-B426</t>
        </is>
      </c>
      <c r="E485" s="112" t="inlineStr">
        <is>
          <t>Phone sales Middle East</t>
        </is>
      </c>
      <c r="F485" s="112" t="inlineStr">
        <is>
          <t>97739424</t>
        </is>
      </c>
      <c r="G485" s="112" t="inlineStr">
        <is>
          <t>Prospect</t>
        </is>
      </c>
      <c r="H485" s="112" t="inlineStr">
        <is>
          <t>TAHHAN Riham</t>
        </is>
      </c>
      <c r="I485" s="113" t="n"/>
      <c r="J485" s="112" t="n"/>
    </row>
    <row r="486">
      <c r="A486" s="111" t="inlineStr">
        <is>
          <t>Sold</t>
        </is>
      </c>
      <c r="B486" s="112" t="inlineStr">
        <is>
          <t>Confirmed</t>
        </is>
      </c>
      <c r="C486" s="112" t="inlineStr">
        <is>
          <t>26/1/2024</t>
        </is>
      </c>
      <c r="D486" s="112" t="inlineStr">
        <is>
          <t>1225V/200A-B590</t>
        </is>
      </c>
      <c r="E486" s="112" t="inlineStr">
        <is>
          <t>Phone sales Middle East</t>
        </is>
      </c>
      <c r="F486" s="112" t="inlineStr">
        <is>
          <t>97341155</t>
        </is>
      </c>
      <c r="G486" s="112" t="inlineStr">
        <is>
          <t>Prospect</t>
        </is>
      </c>
      <c r="H486" s="112" t="inlineStr">
        <is>
          <t>OMARI Asma</t>
        </is>
      </c>
      <c r="I486" s="113" t="n"/>
      <c r="J486" s="112" t="n"/>
    </row>
    <row r="487" ht="100.95" customHeight="1" s="287">
      <c r="A487" s="111" t="inlineStr">
        <is>
          <t>Request</t>
        </is>
      </c>
      <c r="B487" s="112" t="n"/>
      <c r="C487" s="112" t="inlineStr">
        <is>
          <t>19/1/2024</t>
        </is>
      </c>
      <c r="D487" s="112" t="inlineStr">
        <is>
          <t>4000E/000A-B548</t>
        </is>
      </c>
      <c r="E487" s="112" t="inlineStr">
        <is>
          <t>Phone sales Middle East</t>
        </is>
      </c>
      <c r="F487" s="112" t="inlineStr">
        <is>
          <t>97266884</t>
        </is>
      </c>
      <c r="G487" s="112" t="inlineStr">
        <is>
          <t>Prospect</t>
        </is>
      </c>
      <c r="H487" s="112" t="inlineStr">
        <is>
          <t>SHARIF Maaz</t>
        </is>
      </c>
      <c r="I487" s="113" t="inlineStr">
        <is>
          <t xml:space="preserve">Client’s wedding is in November 2024 and would like to purchase the timepiece and wear it on his day
</t>
        </is>
      </c>
      <c r="J487" s="112" t="n"/>
    </row>
    <row r="488">
      <c r="A488" s="111" t="inlineStr">
        <is>
          <t>Cancelled</t>
        </is>
      </c>
      <c r="B488" s="112" t="inlineStr">
        <is>
          <t>Cancelled</t>
        </is>
      </c>
      <c r="C488" s="112" t="inlineStr">
        <is>
          <t>19/1/2024</t>
        </is>
      </c>
      <c r="D488" s="112" t="inlineStr">
        <is>
          <t>5520V/210A-B686</t>
        </is>
      </c>
      <c r="E488" s="112" t="inlineStr">
        <is>
          <t>Phone sales Middle East</t>
        </is>
      </c>
      <c r="F488" s="112" t="inlineStr">
        <is>
          <t>92401070</t>
        </is>
      </c>
      <c r="G488" s="112" t="inlineStr">
        <is>
          <t>Prospect</t>
        </is>
      </c>
      <c r="H488" s="112" t="inlineStr">
        <is>
          <t>TAHHAN Riham</t>
        </is>
      </c>
      <c r="I488" s="113" t="n"/>
      <c r="J488" s="112" t="n"/>
    </row>
    <row r="489">
      <c r="A489" s="111" t="inlineStr">
        <is>
          <t>Cancelled</t>
        </is>
      </c>
      <c r="B489" s="112" t="inlineStr">
        <is>
          <t>Cancelled</t>
        </is>
      </c>
      <c r="C489" s="112" t="inlineStr">
        <is>
          <t>10/1/2024</t>
        </is>
      </c>
      <c r="D489" s="112" t="inlineStr">
        <is>
          <t>1205V/100A-B591</t>
        </is>
      </c>
      <c r="E489" s="112" t="inlineStr">
        <is>
          <t>Phone sales Middle East</t>
        </is>
      </c>
      <c r="F489" s="112" t="inlineStr">
        <is>
          <t>96731103</t>
        </is>
      </c>
      <c r="G489" s="112" t="inlineStr">
        <is>
          <t>Prospect</t>
        </is>
      </c>
      <c r="H489" s="112" t="inlineStr">
        <is>
          <t>OMARI Asma</t>
        </is>
      </c>
      <c r="I489" s="113" t="n"/>
      <c r="J489" s="112" t="n"/>
    </row>
    <row r="490">
      <c r="A490" s="111" t="inlineStr">
        <is>
          <t>Request</t>
        </is>
      </c>
      <c r="B490" s="112" t="n"/>
      <c r="C490" s="112" t="inlineStr">
        <is>
          <t>1/1/2024</t>
        </is>
      </c>
      <c r="D490" s="112" t="inlineStr">
        <is>
          <t>4600E/000A-B487</t>
        </is>
      </c>
      <c r="E490" s="112" t="inlineStr">
        <is>
          <t>Phone sales Middle East</t>
        </is>
      </c>
      <c r="F490" s="112" t="inlineStr">
        <is>
          <t>94291400</t>
        </is>
      </c>
      <c r="G490" s="112" t="inlineStr">
        <is>
          <t>Prospect</t>
        </is>
      </c>
      <c r="H490" s="112" t="inlineStr">
        <is>
          <t>SHARIF Maaz</t>
        </is>
      </c>
      <c r="I490" s="113" t="n"/>
      <c r="J490" s="112" t="n"/>
    </row>
    <row r="491">
      <c r="A491" s="111" t="inlineStr">
        <is>
          <t>Cancelled</t>
        </is>
      </c>
      <c r="B491" s="112" t="inlineStr">
        <is>
          <t>Cancelled</t>
        </is>
      </c>
      <c r="C491" s="112" t="inlineStr">
        <is>
          <t>26/12/2023</t>
        </is>
      </c>
      <c r="D491" s="112" t="inlineStr">
        <is>
          <t>1205V/100A-B591</t>
        </is>
      </c>
      <c r="E491" s="112" t="inlineStr">
        <is>
          <t>Phone sales Middle East</t>
        </is>
      </c>
      <c r="F491" s="112" t="inlineStr">
        <is>
          <t>94195497</t>
        </is>
      </c>
      <c r="G491" s="112" t="inlineStr">
        <is>
          <t>Prospect</t>
        </is>
      </c>
      <c r="H491" s="112" t="inlineStr">
        <is>
          <t>TAHHAN Riham</t>
        </is>
      </c>
      <c r="I491" s="113" t="n"/>
      <c r="J491" s="112" t="n"/>
    </row>
    <row r="492">
      <c r="A492" s="111" t="inlineStr">
        <is>
          <t>Cancelled</t>
        </is>
      </c>
      <c r="B492" s="112" t="inlineStr">
        <is>
          <t>Cancelled</t>
        </is>
      </c>
      <c r="C492" s="112" t="inlineStr">
        <is>
          <t>17/12/2023</t>
        </is>
      </c>
      <c r="D492" s="112" t="inlineStr">
        <is>
          <t>4600E/000A-B487</t>
        </is>
      </c>
      <c r="E492" s="112" t="inlineStr">
        <is>
          <t>Phone sales Middle East</t>
        </is>
      </c>
      <c r="F492" s="112" t="inlineStr">
        <is>
          <t>94028251</t>
        </is>
      </c>
      <c r="G492" s="112" t="inlineStr">
        <is>
          <t>Prospect</t>
        </is>
      </c>
      <c r="H492" s="112" t="inlineStr">
        <is>
          <t>OMARI Asma</t>
        </is>
      </c>
      <c r="I492" s="113" t="n"/>
      <c r="J492" s="112" t="n"/>
    </row>
    <row r="493">
      <c r="A493" s="111" t="inlineStr">
        <is>
          <t>Request</t>
        </is>
      </c>
      <c r="B493" s="112" t="n"/>
      <c r="C493" s="112" t="inlineStr">
        <is>
          <t>15/12/2023</t>
        </is>
      </c>
      <c r="D493" s="112" t="inlineStr">
        <is>
          <t>7920V/210A-B334</t>
        </is>
      </c>
      <c r="E493" s="112" t="inlineStr">
        <is>
          <t>Phone sales Middle East</t>
        </is>
      </c>
      <c r="F493" s="112" t="inlineStr">
        <is>
          <t>92398068</t>
        </is>
      </c>
      <c r="G493" s="112" t="inlineStr">
        <is>
          <t>Prospect</t>
        </is>
      </c>
      <c r="H493" s="112" t="inlineStr">
        <is>
          <t>SHARIF Maaz</t>
        </is>
      </c>
      <c r="I493" s="113" t="n"/>
      <c r="J493" s="112" t="n"/>
    </row>
    <row r="494">
      <c r="A494" s="111" t="inlineStr">
        <is>
          <t>Request</t>
        </is>
      </c>
      <c r="B494" s="112" t="n"/>
      <c r="C494" s="112" t="inlineStr">
        <is>
          <t>9/12/2023</t>
        </is>
      </c>
      <c r="D494" s="112" t="inlineStr">
        <is>
          <t>7920V/210A-B334</t>
        </is>
      </c>
      <c r="E494" s="112" t="inlineStr">
        <is>
          <t>Phone sales Middle East</t>
        </is>
      </c>
      <c r="F494" s="112" t="inlineStr">
        <is>
          <t>92402171</t>
        </is>
      </c>
      <c r="G494" s="112" t="inlineStr">
        <is>
          <t>Client</t>
        </is>
      </c>
      <c r="H494" s="112" t="inlineStr">
        <is>
          <t>TAHHAN Riham</t>
        </is>
      </c>
      <c r="I494" s="113" t="n"/>
      <c r="J494" s="112" t="n"/>
    </row>
    <row r="495">
      <c r="A495" s="111" t="inlineStr">
        <is>
          <t>Cancelled</t>
        </is>
      </c>
      <c r="B495" s="112" t="inlineStr">
        <is>
          <t>Cancelled</t>
        </is>
      </c>
      <c r="C495" s="112" t="inlineStr">
        <is>
          <t>24/11/2023</t>
        </is>
      </c>
      <c r="D495" s="112" t="inlineStr">
        <is>
          <t>7920V/210A-B334</t>
        </is>
      </c>
      <c r="E495" s="112" t="inlineStr">
        <is>
          <t>Phone sales Middle East</t>
        </is>
      </c>
      <c r="F495" s="112" t="inlineStr">
        <is>
          <t>79989586</t>
        </is>
      </c>
      <c r="G495" s="112" t="inlineStr">
        <is>
          <t>Prospect</t>
        </is>
      </c>
      <c r="H495" s="112" t="inlineStr">
        <is>
          <t>OMARI Asma</t>
        </is>
      </c>
      <c r="I495" s="113" t="n"/>
      <c r="J495" s="112" t="n"/>
    </row>
    <row r="496">
      <c r="A496" s="111" t="inlineStr">
        <is>
          <t>Request</t>
        </is>
      </c>
      <c r="B496" s="112" t="n"/>
      <c r="C496" s="112" t="inlineStr">
        <is>
          <t>21/11/2023</t>
        </is>
      </c>
      <c r="D496" s="112" t="inlineStr">
        <is>
          <t>4520V/210A-B128</t>
        </is>
      </c>
      <c r="E496" s="112" t="inlineStr">
        <is>
          <t>Phone sales Middle East</t>
        </is>
      </c>
      <c r="F496" s="112" t="inlineStr">
        <is>
          <t>93573185</t>
        </is>
      </c>
      <c r="G496" s="112" t="inlineStr">
        <is>
          <t>Prospect</t>
        </is>
      </c>
      <c r="H496" s="112" t="inlineStr">
        <is>
          <t>SHARIF Maaz</t>
        </is>
      </c>
      <c r="I496" s="113" t="n"/>
      <c r="J496" s="112" t="n"/>
    </row>
    <row r="497">
      <c r="A497" s="111" t="inlineStr">
        <is>
          <t>Sold</t>
        </is>
      </c>
      <c r="B497" s="112" t="inlineStr">
        <is>
          <t>Confirmed</t>
        </is>
      </c>
      <c r="C497" s="112" t="inlineStr">
        <is>
          <t>21/11/2023</t>
        </is>
      </c>
      <c r="D497" s="112" t="inlineStr">
        <is>
          <t>4520V/210A-B128</t>
        </is>
      </c>
      <c r="E497" s="112" t="inlineStr">
        <is>
          <t>Phone sales Middle East</t>
        </is>
      </c>
      <c r="F497" s="112" t="inlineStr">
        <is>
          <t>93573388</t>
        </is>
      </c>
      <c r="G497" s="112" t="inlineStr">
        <is>
          <t>Prospect</t>
        </is>
      </c>
      <c r="H497" s="112" t="inlineStr">
        <is>
          <t>ALOTAIBI Reem</t>
        </is>
      </c>
      <c r="I497" s="113" t="n"/>
      <c r="J497" s="112" t="n"/>
    </row>
    <row r="498">
      <c r="A498" s="111" t="inlineStr">
        <is>
          <t>Cancelled</t>
        </is>
      </c>
      <c r="B498" s="112" t="inlineStr">
        <is>
          <t>Cancelled</t>
        </is>
      </c>
      <c r="C498" s="112" t="inlineStr">
        <is>
          <t>13/11/2023</t>
        </is>
      </c>
      <c r="D498" s="112" t="inlineStr">
        <is>
          <t>4500V/000R-B127</t>
        </is>
      </c>
      <c r="E498" s="112" t="inlineStr">
        <is>
          <t>Phone sales Middle East</t>
        </is>
      </c>
      <c r="F498" s="112" t="inlineStr">
        <is>
          <t>93306019</t>
        </is>
      </c>
      <c r="G498" s="112" t="inlineStr">
        <is>
          <t>Prospect</t>
        </is>
      </c>
      <c r="H498" s="112" t="inlineStr">
        <is>
          <t>OMARI Asma</t>
        </is>
      </c>
      <c r="I498" s="113" t="n"/>
      <c r="J498" s="112" t="n"/>
    </row>
    <row r="499">
      <c r="A499" s="111" t="inlineStr">
        <is>
          <t>Request</t>
        </is>
      </c>
      <c r="B499" s="112" t="n"/>
      <c r="C499" s="112" t="inlineStr">
        <is>
          <t>13/11/2023</t>
        </is>
      </c>
      <c r="D499" s="112" t="inlineStr">
        <is>
          <t>4520V/210A-B128</t>
        </is>
      </c>
      <c r="E499" s="112" t="inlineStr">
        <is>
          <t>Phone sales Middle East</t>
        </is>
      </c>
      <c r="F499" s="112" t="inlineStr">
        <is>
          <t>92407789</t>
        </is>
      </c>
      <c r="G499" s="112" t="inlineStr">
        <is>
          <t>Prospect</t>
        </is>
      </c>
      <c r="H499" s="112" t="inlineStr">
        <is>
          <t>SHARIF Maaz</t>
        </is>
      </c>
      <c r="I499" s="113" t="n"/>
      <c r="J499" s="112" t="n"/>
    </row>
    <row r="500">
      <c r="A500" s="111" t="inlineStr">
        <is>
          <t>Request</t>
        </is>
      </c>
      <c r="B500" s="112" t="inlineStr">
        <is>
          <t>Confirmed</t>
        </is>
      </c>
      <c r="C500" s="112" t="inlineStr">
        <is>
          <t>7/11/2023</t>
        </is>
      </c>
      <c r="D500" s="112" t="inlineStr">
        <is>
          <t>4520V/210A-B128</t>
        </is>
      </c>
      <c r="E500" s="112" t="inlineStr">
        <is>
          <t>Phone sales Middle East</t>
        </is>
      </c>
      <c r="F500" s="112" t="inlineStr">
        <is>
          <t>93307928</t>
        </is>
      </c>
      <c r="G500" s="112" t="inlineStr">
        <is>
          <t>Prospect</t>
        </is>
      </c>
      <c r="H500" s="112" t="inlineStr">
        <is>
          <t>TAHHAN Riham</t>
        </is>
      </c>
      <c r="I500" s="113" t="n"/>
      <c r="J500" s="112" t="n"/>
    </row>
    <row r="501" ht="100.95" customHeight="1" s="287">
      <c r="A501" s="111" t="inlineStr">
        <is>
          <t>Request</t>
        </is>
      </c>
      <c r="B501" s="112" t="n"/>
      <c r="C501" s="112" t="inlineStr">
        <is>
          <t>3/11/2023</t>
        </is>
      </c>
      <c r="D501" s="112" t="inlineStr">
        <is>
          <t>4520V/210A-B128</t>
        </is>
      </c>
      <c r="E501" s="112" t="inlineStr">
        <is>
          <t>Phone sales Middle East</t>
        </is>
      </c>
      <c r="F501" s="112" t="inlineStr">
        <is>
          <t>93266623</t>
        </is>
      </c>
      <c r="G501" s="112" t="inlineStr">
        <is>
          <t>Prospect</t>
        </is>
      </c>
      <c r="H501" s="112" t="inlineStr">
        <is>
          <t>OMARI Asma</t>
        </is>
      </c>
      <c r="I501" s="113" t="inlineStr">
        <is>
          <t xml:space="preserve">Client does not want to subscribe to marketing, he just needs a contact if the piece is available.
</t>
        </is>
      </c>
      <c r="J501" s="112" t="n"/>
    </row>
    <row r="502">
      <c r="A502" s="111" t="inlineStr">
        <is>
          <t>Cancelled</t>
        </is>
      </c>
      <c r="B502" s="112" t="inlineStr">
        <is>
          <t>Cancelled</t>
        </is>
      </c>
      <c r="C502" s="112" t="inlineStr">
        <is>
          <t>1/11/2023</t>
        </is>
      </c>
      <c r="D502" s="112" t="inlineStr">
        <is>
          <t>6000V/110A-B544</t>
        </is>
      </c>
      <c r="E502" s="112" t="inlineStr">
        <is>
          <t>Phone sales Middle East</t>
        </is>
      </c>
      <c r="F502" s="112" t="inlineStr">
        <is>
          <t>93234862</t>
        </is>
      </c>
      <c r="G502" s="112" t="inlineStr">
        <is>
          <t>Prospect</t>
        </is>
      </c>
      <c r="H502" s="112" t="inlineStr">
        <is>
          <t>OMARI Asma</t>
        </is>
      </c>
      <c r="I502" s="113" t="n"/>
      <c r="J502" s="112" t="n"/>
    </row>
    <row r="503">
      <c r="A503" s="111" t="inlineStr">
        <is>
          <t>Request</t>
        </is>
      </c>
      <c r="B503" s="112" t="n"/>
      <c r="C503" s="112" t="inlineStr">
        <is>
          <t>29/10/2023</t>
        </is>
      </c>
      <c r="D503" s="112" t="inlineStr">
        <is>
          <t>4520V/210A-B126</t>
        </is>
      </c>
      <c r="E503" s="112" t="inlineStr">
        <is>
          <t>Phone sales Middle East</t>
        </is>
      </c>
      <c r="F503" s="112" t="inlineStr">
        <is>
          <t>1301022</t>
        </is>
      </c>
      <c r="G503" s="112" t="inlineStr">
        <is>
          <t>Prospect</t>
        </is>
      </c>
      <c r="H503" s="112" t="inlineStr">
        <is>
          <t>SHARIF Maaz</t>
        </is>
      </c>
      <c r="I503" s="113" t="n"/>
      <c r="J503" s="112" t="n"/>
    </row>
    <row r="504" ht="115.2" customHeight="1" s="287">
      <c r="A504" s="111" t="inlineStr">
        <is>
          <t>Request</t>
        </is>
      </c>
      <c r="B504" s="112" t="n"/>
      <c r="C504" s="112" t="inlineStr">
        <is>
          <t>22/10/2023</t>
        </is>
      </c>
      <c r="D504" s="112" t="inlineStr">
        <is>
          <t>4520V/210A-B128</t>
        </is>
      </c>
      <c r="E504" s="112" t="inlineStr">
        <is>
          <t>Phone sales Middle East</t>
        </is>
      </c>
      <c r="F504" s="112" t="inlineStr">
        <is>
          <t>1297716</t>
        </is>
      </c>
      <c r="G504" s="112" t="inlineStr">
        <is>
          <t>Prospect</t>
        </is>
      </c>
      <c r="H504" s="112" t="inlineStr">
        <is>
          <t>TAHHAN Riham</t>
        </is>
      </c>
      <c r="I504" s="113" t="inlineStr">
        <is>
          <t xml:space="preserve">The client’s main residence is in Saudi Arabia, and he wants to register on the waiting list of UAE
</t>
        </is>
      </c>
      <c r="J504" s="112" t="n"/>
    </row>
    <row r="505">
      <c r="A505" s="111" t="inlineStr">
        <is>
          <t>Cancelled</t>
        </is>
      </c>
      <c r="B505" s="112" t="inlineStr">
        <is>
          <t>Cancelled</t>
        </is>
      </c>
      <c r="C505" s="112" t="inlineStr">
        <is>
          <t>21/10/2023</t>
        </is>
      </c>
      <c r="D505" s="112" t="inlineStr">
        <is>
          <t>4000V/210A-B911</t>
        </is>
      </c>
      <c r="E505" s="112" t="inlineStr">
        <is>
          <t>Phone sales Middle East</t>
        </is>
      </c>
      <c r="F505" s="112" t="inlineStr">
        <is>
          <t>1297177</t>
        </is>
      </c>
      <c r="G505" s="112" t="inlineStr">
        <is>
          <t>Prospect</t>
        </is>
      </c>
      <c r="H505" s="112" t="inlineStr">
        <is>
          <t>OMARI Asma</t>
        </is>
      </c>
      <c r="I505" s="113" t="n"/>
      <c r="J505" s="112" t="n"/>
    </row>
    <row r="506">
      <c r="A506" s="111" t="inlineStr">
        <is>
          <t>Sold</t>
        </is>
      </c>
      <c r="B506" s="112" t="n"/>
      <c r="C506" s="112" t="inlineStr">
        <is>
          <t>20/10/2023</t>
        </is>
      </c>
      <c r="D506" s="112" t="inlineStr">
        <is>
          <t>4200H/222J-B935</t>
        </is>
      </c>
      <c r="E506" s="112" t="inlineStr">
        <is>
          <t>Phone sales Middle East</t>
        </is>
      </c>
      <c r="F506" s="112" t="inlineStr">
        <is>
          <t>1291072</t>
        </is>
      </c>
      <c r="G506" s="112" t="inlineStr">
        <is>
          <t>Prospect</t>
        </is>
      </c>
      <c r="H506" s="112" t="inlineStr">
        <is>
          <t>SHARIF Maaz</t>
        </is>
      </c>
      <c r="I506" s="113" t="n"/>
      <c r="J506" s="112" t="n"/>
    </row>
    <row r="507">
      <c r="A507" s="111" t="inlineStr">
        <is>
          <t>Request</t>
        </is>
      </c>
      <c r="B507" s="112" t="n"/>
      <c r="C507" s="112" t="inlineStr">
        <is>
          <t>15/10/2023</t>
        </is>
      </c>
      <c r="D507" s="112" t="inlineStr">
        <is>
          <t>4520V/210A-B128</t>
        </is>
      </c>
      <c r="E507" s="112" t="inlineStr">
        <is>
          <t>Phone sales Middle East</t>
        </is>
      </c>
      <c r="F507" s="112" t="inlineStr">
        <is>
          <t>1291327</t>
        </is>
      </c>
      <c r="G507" s="112" t="inlineStr">
        <is>
          <t>Prospect</t>
        </is>
      </c>
      <c r="H507" s="112" t="inlineStr">
        <is>
          <t>TAHHAN Riham</t>
        </is>
      </c>
      <c r="I507" s="113" t="n"/>
      <c r="J507" s="112" t="n"/>
    </row>
    <row r="508">
      <c r="A508" s="111" t="inlineStr">
        <is>
          <t>Cancelled</t>
        </is>
      </c>
      <c r="B508" s="112" t="inlineStr">
        <is>
          <t>Cancelled</t>
        </is>
      </c>
      <c r="C508" s="112" t="inlineStr">
        <is>
          <t>11/10/2023</t>
        </is>
      </c>
      <c r="D508" s="112" t="inlineStr">
        <is>
          <t>4520V/210A-B126</t>
        </is>
      </c>
      <c r="E508" s="112" t="inlineStr">
        <is>
          <t>Phone sales Middle East</t>
        </is>
      </c>
      <c r="F508" s="112" t="inlineStr">
        <is>
          <t>1289465</t>
        </is>
      </c>
      <c r="G508" s="112" t="inlineStr">
        <is>
          <t>Prospect</t>
        </is>
      </c>
      <c r="H508" s="112" t="inlineStr">
        <is>
          <t>OMARI Asma</t>
        </is>
      </c>
      <c r="I508" s="113" t="n"/>
      <c r="J508" s="112" t="n"/>
    </row>
    <row r="509">
      <c r="A509" s="111" t="inlineStr">
        <is>
          <t>Request</t>
        </is>
      </c>
      <c r="B509" s="112" t="n"/>
      <c r="C509" s="112" t="inlineStr">
        <is>
          <t>9/10/2023</t>
        </is>
      </c>
      <c r="D509" s="112" t="inlineStr">
        <is>
          <t>4520V/210A-B128</t>
        </is>
      </c>
      <c r="E509" s="112" t="inlineStr">
        <is>
          <t>Phone sales Middle East</t>
        </is>
      </c>
      <c r="F509" s="112" t="inlineStr">
        <is>
          <t>1288389</t>
        </is>
      </c>
      <c r="G509" s="112" t="inlineStr">
        <is>
          <t>Prospect</t>
        </is>
      </c>
      <c r="H509" s="112" t="inlineStr">
        <is>
          <t>OMARI Asma</t>
        </is>
      </c>
      <c r="I509" s="113" t="n"/>
      <c r="J509" s="112" t="n"/>
    </row>
    <row r="510">
      <c r="A510" s="114" t="inlineStr">
        <is>
          <t>Request</t>
        </is>
      </c>
      <c r="B510" s="115" t="n"/>
      <c r="C510" s="115" t="inlineStr">
        <is>
          <t>8/10/2023</t>
        </is>
      </c>
      <c r="D510" s="115" t="inlineStr">
        <is>
          <t>4520V/210A-B128</t>
        </is>
      </c>
      <c r="E510" s="115" t="inlineStr">
        <is>
          <t>Phone sales Middle East</t>
        </is>
      </c>
      <c r="F510" s="115" t="inlineStr">
        <is>
          <t>1150674</t>
        </is>
      </c>
      <c r="G510" s="115" t="inlineStr">
        <is>
          <t>Client</t>
        </is>
      </c>
      <c r="H510" s="115" t="inlineStr">
        <is>
          <t>SHARIF Maaz</t>
        </is>
      </c>
      <c r="I510" s="116" t="n"/>
      <c r="J510" s="115" t="n"/>
    </row>
  </sheetData>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3">
    <tabColor theme="8" tint="-0.249977111117893"/>
    <outlinePr summaryBelow="1" summaryRight="1"/>
    <pageSetUpPr/>
  </sheetPr>
  <dimension ref="B1:AF133"/>
  <sheetViews>
    <sheetView showGridLines="0" topLeftCell="A8" zoomScale="55" zoomScaleNormal="55" workbookViewId="0">
      <selection activeCell="F15" sqref="F15"/>
    </sheetView>
  </sheetViews>
  <sheetFormatPr baseColWidth="8" defaultColWidth="9.109375" defaultRowHeight="25.5" customHeight="1"/>
  <cols>
    <col width="3.6640625" customWidth="1" style="14" min="1" max="1"/>
    <col width="26.6640625" bestFit="1" customWidth="1" style="14" min="2" max="2"/>
    <col width="36.109375" bestFit="1" customWidth="1" style="286" min="3" max="3"/>
    <col width="17" bestFit="1" customWidth="1" style="286" min="4" max="4"/>
    <col width="27.6640625" bestFit="1" customWidth="1" style="286" min="5" max="5"/>
    <col width="14.6640625" bestFit="1" customWidth="1" style="286" min="6" max="6"/>
    <col width="13.5546875" bestFit="1" customWidth="1" style="286" min="7" max="7"/>
    <col width="22.33203125" bestFit="1" customWidth="1" style="286" min="8" max="8"/>
    <col width="13.5546875" bestFit="1" customWidth="1" style="286" min="9" max="9"/>
    <col width="24.5546875" bestFit="1" customWidth="1" style="287" min="10" max="10"/>
    <col width="15.6640625" bestFit="1" customWidth="1" style="286" min="11" max="11"/>
    <col width="28.5546875" bestFit="1" customWidth="1" style="286" min="12" max="12"/>
    <col width="36.109375" bestFit="1" customWidth="1" style="286" min="13" max="13"/>
    <col width="23" bestFit="1" customWidth="1" style="286" min="14" max="14"/>
    <col width="21.33203125" bestFit="1" customWidth="1" style="289" min="15" max="15"/>
    <col width="22.88671875" bestFit="1" customWidth="1" style="289" min="16" max="16"/>
    <col width="11.6640625" bestFit="1" customWidth="1" style="290" min="17" max="17"/>
    <col width="11.6640625" bestFit="1" customWidth="1" style="289" min="18" max="18"/>
    <col width="26" bestFit="1" customWidth="1" style="289" min="19" max="19"/>
    <col width="59.88671875" bestFit="1" customWidth="1" style="289" min="20" max="20"/>
    <col width="57.109375" bestFit="1" customWidth="1" style="289" min="21" max="21"/>
    <col width="27.6640625" bestFit="1" customWidth="1" style="289" min="22" max="22"/>
    <col width="27.6640625" bestFit="1" customWidth="1" style="291" min="23" max="23"/>
    <col width="27.6640625" bestFit="1" customWidth="1" style="14" min="24" max="25"/>
    <col width="28" bestFit="1" customWidth="1" style="14" min="26" max="26"/>
    <col width="19.88671875" bestFit="1" customWidth="1" style="14" min="27" max="27"/>
    <col width="20.88671875" bestFit="1" customWidth="1" style="14" min="28" max="28"/>
    <col width="18.33203125" bestFit="1" customWidth="1" style="14" min="29" max="29"/>
    <col width="21" bestFit="1" customWidth="1" style="14" min="30" max="30"/>
    <col width="18.33203125" bestFit="1" customWidth="1" style="14" min="31" max="31"/>
    <col width="21" bestFit="1" customWidth="1" style="14" min="32" max="32"/>
    <col width="18.33203125" bestFit="1" customWidth="1" style="14" min="33" max="33"/>
    <col width="20.88671875" bestFit="1" customWidth="1" style="14" min="34" max="34"/>
    <col width="18.109375" bestFit="1" customWidth="1" style="14" min="35" max="35"/>
    <col width="20.6640625" bestFit="1" customWidth="1" style="14" min="36" max="36"/>
    <col width="10.6640625" bestFit="1" customWidth="1" style="14" min="37" max="37"/>
    <col width="15.6640625" bestFit="1" customWidth="1" style="14" min="38" max="38"/>
    <col width="17.88671875" bestFit="1" customWidth="1" style="14" min="39" max="39"/>
    <col width="20.6640625" bestFit="1" customWidth="1" style="14" min="40" max="40"/>
    <col width="9.109375" bestFit="1" customWidth="1" style="14" min="41" max="41"/>
    <col width="11.6640625" bestFit="1" customWidth="1" style="14" min="42" max="42"/>
    <col width="10.6640625" bestFit="1" customWidth="1" style="14" min="43" max="43"/>
    <col width="19.44140625" bestFit="1" customWidth="1" style="14" min="44" max="44"/>
    <col width="23" bestFit="1" customWidth="1" style="14" min="45" max="45"/>
    <col width="18.88671875" bestFit="1" customWidth="1" style="14" min="46" max="46"/>
    <col width="22.33203125" bestFit="1" customWidth="1" style="14" min="47" max="47"/>
    <col width="18.6640625" bestFit="1" customWidth="1" style="14" min="48" max="48"/>
    <col width="22.33203125" bestFit="1" customWidth="1" style="14" min="49" max="49"/>
    <col width="19.44140625" bestFit="1" customWidth="1" style="14" min="50" max="50"/>
    <col width="23" bestFit="1" customWidth="1" style="14" min="51" max="51"/>
    <col width="18.88671875" bestFit="1" customWidth="1" style="14" min="52" max="52"/>
    <col width="22.33203125" bestFit="1" customWidth="1" style="14" min="53" max="53"/>
    <col width="18.88671875" bestFit="1" customWidth="1" style="14" min="54" max="54"/>
    <col width="12.33203125" bestFit="1" customWidth="1" style="14" min="55" max="55"/>
    <col width="22.33203125" bestFit="1" customWidth="1" style="14" min="56" max="56"/>
    <col width="18.88671875" bestFit="1" customWidth="1" style="14" min="57" max="57"/>
    <col width="22.33203125" bestFit="1" customWidth="1" style="14" min="58" max="58"/>
    <col width="19" bestFit="1" customWidth="1" style="14" min="59" max="59"/>
    <col width="22.44140625" bestFit="1" customWidth="1" style="14" min="60" max="60"/>
    <col width="19" bestFit="1" customWidth="1" style="14" min="61" max="61"/>
    <col width="22.44140625" bestFit="1" customWidth="1" style="14" min="62" max="62"/>
    <col width="18.88671875" bestFit="1" customWidth="1" style="14" min="63" max="63"/>
    <col width="22.33203125" bestFit="1" customWidth="1" style="14" min="64" max="64"/>
    <col width="9.109375" customWidth="1" style="14" min="65" max="65"/>
    <col width="11.6640625" bestFit="1" customWidth="1" style="14" min="66" max="66"/>
    <col width="13.6640625" bestFit="1" customWidth="1" style="14" min="67" max="67"/>
    <col width="9.109375" customWidth="1" style="14" min="68" max="68"/>
    <col width="9.109375" customWidth="1" style="14" min="69" max="16384"/>
  </cols>
  <sheetData>
    <row r="1" hidden="1" ht="16.5" customHeight="1" s="287">
      <c r="C1" s="14" t="n"/>
      <c r="D1" s="14" t="n"/>
      <c r="E1" s="14" t="n"/>
      <c r="F1" s="14" t="n"/>
      <c r="G1" s="14" t="n"/>
      <c r="H1" s="14" t="n"/>
      <c r="I1" s="14" t="n"/>
      <c r="K1" s="14" t="n"/>
      <c r="L1" s="14" t="n"/>
      <c r="M1" s="14" t="n"/>
      <c r="N1" s="14" t="n"/>
      <c r="O1" s="14" t="n"/>
      <c r="P1" s="14" t="n"/>
      <c r="Q1" s="14" t="n"/>
      <c r="R1" s="14" t="n"/>
      <c r="S1" s="14" t="n"/>
      <c r="T1" s="14" t="n"/>
      <c r="U1" s="14" t="n"/>
      <c r="V1" s="14" t="n"/>
      <c r="W1" s="25" t="n"/>
    </row>
    <row r="2" hidden="1" ht="16.5" customHeight="1" s="287">
      <c r="C2" s="14" t="n"/>
      <c r="D2" s="14" t="n"/>
      <c r="E2" s="14" t="n"/>
      <c r="F2" s="14" t="n"/>
      <c r="G2" s="14" t="n"/>
      <c r="H2" s="14" t="n"/>
      <c r="I2" s="14" t="n"/>
      <c r="K2" s="14" t="n"/>
      <c r="L2" s="14" t="n"/>
      <c r="M2" s="14" t="n"/>
      <c r="N2" s="14" t="n"/>
      <c r="O2" s="14" t="n"/>
      <c r="P2" s="14" t="n"/>
      <c r="Q2" s="14" t="n"/>
      <c r="R2" s="14" t="n"/>
      <c r="S2" s="14" t="n"/>
      <c r="T2" s="14" t="n"/>
      <c r="U2" s="14" t="n"/>
      <c r="V2" s="14" t="n"/>
      <c r="W2" s="25" t="n"/>
    </row>
    <row r="3" hidden="1" ht="16.5" customHeight="1" s="287">
      <c r="C3" s="14" t="n"/>
      <c r="D3" s="14" t="n"/>
      <c r="E3" s="14" t="n"/>
      <c r="F3" s="14" t="n"/>
      <c r="G3" s="14" t="n"/>
      <c r="H3" s="14" t="n"/>
      <c r="I3" s="14" t="n"/>
      <c r="K3" s="14" t="n"/>
      <c r="L3" s="14" t="n"/>
      <c r="M3" s="14" t="n"/>
      <c r="N3" s="14" t="n"/>
      <c r="O3" s="14" t="n"/>
      <c r="P3" s="14" t="n"/>
      <c r="Q3" s="14" t="n"/>
      <c r="R3" s="14" t="n"/>
      <c r="S3" s="14" t="n"/>
      <c r="T3" s="14" t="n"/>
      <c r="U3" s="14" t="n"/>
      <c r="V3" s="14" t="n"/>
      <c r="W3" s="25" t="n"/>
    </row>
    <row r="4" hidden="1" ht="16.5" customHeight="1" s="287">
      <c r="C4" s="14" t="n"/>
      <c r="D4" s="14" t="n"/>
      <c r="E4" s="14" t="n"/>
      <c r="F4" s="14" t="n"/>
      <c r="G4" s="14" t="n"/>
      <c r="H4" s="14" t="n"/>
      <c r="I4" s="14" t="n"/>
      <c r="K4" s="14" t="n"/>
      <c r="L4" s="14" t="n"/>
      <c r="M4" s="14" t="n"/>
      <c r="N4" s="14" t="n"/>
      <c r="O4" s="14" t="n"/>
      <c r="P4" s="14" t="n"/>
      <c r="Q4" s="14" t="n"/>
      <c r="R4" s="14" t="n"/>
      <c r="S4" s="14" t="n"/>
      <c r="T4" s="14" t="n"/>
      <c r="U4" s="14" t="n"/>
      <c r="V4" s="14" t="n"/>
      <c r="W4" s="25" t="n"/>
    </row>
    <row r="5" hidden="1" ht="16.5" customHeight="1" s="287">
      <c r="C5" s="14" t="n"/>
      <c r="D5" s="14" t="n"/>
      <c r="E5" s="14" t="n"/>
      <c r="F5" s="14" t="n"/>
      <c r="G5" s="14" t="n"/>
      <c r="H5" s="14" t="n"/>
      <c r="I5" s="14" t="n"/>
      <c r="K5" s="14" t="n"/>
      <c r="L5" s="14" t="n"/>
      <c r="M5" s="14" t="n"/>
      <c r="N5" s="14" t="n"/>
      <c r="O5" s="14" t="n"/>
      <c r="P5" s="14" t="n"/>
      <c r="Q5" s="14" t="n"/>
      <c r="R5" s="14" t="n"/>
      <c r="S5" s="14" t="n"/>
      <c r="T5" s="14" t="n"/>
      <c r="U5" s="14" t="n"/>
      <c r="V5" s="14" t="n"/>
      <c r="W5" s="25" t="n"/>
    </row>
    <row r="6" hidden="1" ht="18.75" customHeight="1" s="287">
      <c r="E6" s="14" t="n"/>
      <c r="F6" s="14" t="n"/>
      <c r="G6" s="14" t="n"/>
      <c r="H6" s="14" t="n"/>
      <c r="I6" s="14" t="n"/>
      <c r="K6" s="14" t="n"/>
      <c r="L6" s="14" t="n"/>
      <c r="M6" s="14" t="n"/>
      <c r="N6" s="14" t="n"/>
      <c r="O6" s="14" t="n"/>
      <c r="P6" s="14" t="n"/>
      <c r="Q6" s="14" t="n"/>
      <c r="R6" s="14" t="n"/>
      <c r="S6" s="14" t="n"/>
      <c r="T6" s="14" t="n"/>
      <c r="U6" s="14" t="n"/>
      <c r="V6" s="14" t="n"/>
      <c r="W6" s="25" t="n"/>
    </row>
    <row r="7" hidden="1" ht="17.4" customHeight="1" s="287">
      <c r="E7" s="14" t="n"/>
      <c r="F7" s="14" t="n"/>
      <c r="G7" s="14" t="n"/>
      <c r="H7" s="14" t="n"/>
      <c r="I7" s="14" t="n"/>
      <c r="K7" s="14" t="n"/>
      <c r="L7" s="14" t="n"/>
      <c r="M7" s="14" t="n"/>
      <c r="N7" s="14" t="n"/>
      <c r="O7" s="14" t="n"/>
      <c r="P7" s="14" t="n"/>
      <c r="Q7" s="14" t="n"/>
      <c r="R7" s="14" t="n"/>
      <c r="S7" s="14" t="n"/>
      <c r="T7" s="14" t="n"/>
      <c r="U7" s="14" t="n"/>
      <c r="V7" s="14" t="n"/>
      <c r="W7" s="25" t="n"/>
    </row>
    <row r="8" ht="17.4" customHeight="1" s="287">
      <c r="B8" s="23" t="inlineStr">
        <is>
          <t xml:space="preserve"> Timepiece Status</t>
        </is>
      </c>
      <c r="C8" s="4" t="inlineStr">
        <is>
          <t>Allocation Confirmed</t>
        </is>
      </c>
      <c r="L8" s="125" t="inlineStr">
        <is>
          <t>Timepiece Updates</t>
        </is>
      </c>
      <c r="M8" s="126" t="n"/>
      <c r="N8" s="118" t="inlineStr">
        <is>
          <t xml:space="preserve"> Timepiece Status</t>
        </is>
      </c>
      <c r="O8" s="112" t="n"/>
      <c r="P8" s="112" t="n"/>
      <c r="Q8" s="112" t="n"/>
      <c r="V8" s="14" t="n"/>
      <c r="W8" s="25" t="n"/>
    </row>
    <row r="9" ht="17.4" customHeight="1" s="287">
      <c r="B9" s="23" t="inlineStr">
        <is>
          <t>Potential Same Month</t>
        </is>
      </c>
      <c r="C9" s="4" t="inlineStr">
        <is>
          <t>High</t>
        </is>
      </c>
      <c r="L9" s="118" t="inlineStr">
        <is>
          <t>Piece location</t>
        </is>
      </c>
      <c r="M9" s="125" t="inlineStr">
        <is>
          <t>Collection Name</t>
        </is>
      </c>
      <c r="N9" s="112" t="inlineStr">
        <is>
          <t>Allocation Confirmed</t>
        </is>
      </c>
      <c r="O9" s="112" t="inlineStr">
        <is>
          <t>Awaiting HQ Approval</t>
        </is>
      </c>
      <c r="P9" s="112" t="inlineStr">
        <is>
          <t>Currently Under Review</t>
        </is>
      </c>
      <c r="Q9" s="112" t="inlineStr">
        <is>
          <t>Grand Total</t>
        </is>
      </c>
    </row>
    <row r="10" ht="17.4" customHeight="1" s="287">
      <c r="L10" s="112" t="inlineStr">
        <is>
          <t>Boutique Stock</t>
        </is>
      </c>
      <c r="M10" s="127" t="inlineStr">
        <is>
          <t>Overseas quartz</t>
        </is>
      </c>
      <c r="N10" s="225" t="n">
        <v>2</v>
      </c>
      <c r="O10" s="225" t="n">
        <v>1</v>
      </c>
      <c r="P10" s="225" t="n">
        <v>0</v>
      </c>
      <c r="Q10" s="225" t="n">
        <v>3</v>
      </c>
    </row>
    <row r="11" ht="17.4" customHeight="1" s="287">
      <c r="B11" s="223" t="n"/>
      <c r="C11" s="223" t="n"/>
      <c r="D11" s="224" t="inlineStr">
        <is>
          <t>Transaction location</t>
        </is>
      </c>
      <c r="E11" s="224" t="inlineStr">
        <is>
          <t>Values</t>
        </is>
      </c>
      <c r="F11" s="223" t="n"/>
      <c r="G11" s="223" t="n"/>
      <c r="L11" s="112" t="n"/>
      <c r="M11" s="127" t="inlineStr">
        <is>
          <t>Overseas moon phase retrograde date</t>
        </is>
      </c>
      <c r="N11" s="225" t="n">
        <v>2</v>
      </c>
      <c r="O11" s="225" t="n">
        <v>0</v>
      </c>
      <c r="P11" s="225" t="n">
        <v>0</v>
      </c>
      <c r="Q11" s="225" t="n">
        <v>2</v>
      </c>
    </row>
    <row r="12" ht="17.4" customHeight="1" s="287">
      <c r="B12" s="223" t="n"/>
      <c r="C12" s="223" t="n"/>
      <c r="D12" s="223" t="inlineStr">
        <is>
          <t>Boutique Stock</t>
        </is>
      </c>
      <c r="E12" s="223" t="n"/>
      <c r="F12" s="223" t="inlineStr">
        <is>
          <t>Total Count of Timepieces</t>
        </is>
      </c>
      <c r="G12" s="223" t="inlineStr">
        <is>
          <t>Total Amount</t>
        </is>
      </c>
      <c r="L12" s="112" t="n"/>
      <c r="M12" s="127" t="inlineStr">
        <is>
          <t>Overseas self-winding</t>
        </is>
      </c>
      <c r="N12" s="225" t="n">
        <v>0</v>
      </c>
      <c r="O12" s="225" t="n">
        <v>1</v>
      </c>
      <c r="P12" s="225" t="n">
        <v>0</v>
      </c>
      <c r="Q12" s="225" t="n">
        <v>1</v>
      </c>
    </row>
    <row r="13" ht="17.4" customHeight="1" s="287">
      <c r="B13" s="223" t="inlineStr">
        <is>
          <t>CRC Name</t>
        </is>
      </c>
      <c r="C13" s="223" t="inlineStr">
        <is>
          <t xml:space="preserve">Timepiece Reference </t>
        </is>
      </c>
      <c r="D13" s="223" t="inlineStr">
        <is>
          <t>Count of Timepieces</t>
        </is>
      </c>
      <c r="E13" s="223" t="inlineStr">
        <is>
          <t>Amount</t>
        </is>
      </c>
      <c r="F13" s="223" t="n"/>
      <c r="G13" s="223" t="n"/>
      <c r="L13" s="112" t="n"/>
      <c r="M13" s="112" t="inlineStr">
        <is>
          <t>Overseas chronograph Pink Gold</t>
        </is>
      </c>
      <c r="N13" s="225" t="n">
        <v>1</v>
      </c>
      <c r="O13" s="225" t="n">
        <v>0</v>
      </c>
      <c r="P13" s="225" t="n">
        <v>0</v>
      </c>
      <c r="Q13" s="225" t="n">
        <v>1</v>
      </c>
    </row>
    <row r="14" ht="17.4" customHeight="1" s="287">
      <c r="B14" s="104" t="inlineStr">
        <is>
          <t>Maaz</t>
        </is>
      </c>
      <c r="C14" s="4" t="inlineStr">
        <is>
          <t>1225V/200A-B590</t>
        </is>
      </c>
      <c r="D14" s="102" t="n">
        <v>1</v>
      </c>
      <c r="E14" s="103" t="n">
        <v>62500</v>
      </c>
      <c r="F14" s="102" t="n">
        <v>1</v>
      </c>
      <c r="G14" s="103" t="n">
        <v>62500</v>
      </c>
      <c r="L14" s="112" t="n"/>
      <c r="M14" s="112" t="inlineStr">
        <is>
          <t>Traditionnelle complete calendar</t>
        </is>
      </c>
      <c r="N14" s="225" t="n">
        <v>1</v>
      </c>
      <c r="O14" s="225" t="n">
        <v>0</v>
      </c>
      <c r="P14" s="225" t="n">
        <v>0</v>
      </c>
      <c r="Q14" s="225" t="n">
        <v>1</v>
      </c>
    </row>
    <row r="15" ht="17.4" customHeight="1" s="287">
      <c r="B15" s="104" t="inlineStr">
        <is>
          <t>Riham</t>
        </is>
      </c>
      <c r="C15" s="4" t="inlineStr">
        <is>
          <t>5520V/210A-B686</t>
        </is>
      </c>
      <c r="D15" s="102" t="n">
        <v>0</v>
      </c>
      <c r="E15" s="103" t="n">
        <v>135000</v>
      </c>
      <c r="F15" s="102" t="n">
        <v>0</v>
      </c>
      <c r="G15" s="103" t="n">
        <v>135000</v>
      </c>
      <c r="L15" s="112" t="n"/>
      <c r="M15" s="127" t="inlineStr">
        <is>
          <t>Fiftysix complete calendar</t>
        </is>
      </c>
      <c r="N15" s="225" t="n">
        <v>0</v>
      </c>
      <c r="O15" s="225" t="n">
        <v>0</v>
      </c>
      <c r="P15" s="225" t="n">
        <v>1</v>
      </c>
      <c r="Q15" s="225" t="n">
        <v>1</v>
      </c>
    </row>
    <row r="16" ht="17.4" customHeight="1" s="287">
      <c r="B16" s="104" t="inlineStr">
        <is>
          <t xml:space="preserve">Riham </t>
        </is>
      </c>
      <c r="C16" s="4" t="inlineStr">
        <is>
          <t>1225V/200A-B590</t>
        </is>
      </c>
      <c r="D16" s="102" t="n">
        <v>0</v>
      </c>
      <c r="E16" s="103" t="n">
        <v>62500</v>
      </c>
      <c r="F16" s="102" t="n">
        <v>0</v>
      </c>
      <c r="G16" s="103" t="n">
        <v>62500</v>
      </c>
      <c r="L16" s="112" t="n"/>
      <c r="M16" s="127" t="inlineStr">
        <is>
          <t>Overseas dual time Blue</t>
        </is>
      </c>
      <c r="N16" s="225" t="n">
        <v>0</v>
      </c>
      <c r="O16" s="225" t="n">
        <v>1</v>
      </c>
      <c r="P16" s="225" t="n">
        <v>0</v>
      </c>
      <c r="Q16" s="225" t="n">
        <v>1</v>
      </c>
    </row>
    <row r="17" ht="17.4" customHeight="1" s="287">
      <c r="B17" s="123" t="inlineStr">
        <is>
          <t>Grand Total</t>
        </is>
      </c>
      <c r="C17" s="123" t="n"/>
      <c r="D17" s="123" t="n">
        <v>1</v>
      </c>
      <c r="E17" s="124" t="n">
        <v>260000</v>
      </c>
      <c r="F17" s="123" t="n">
        <v>1</v>
      </c>
      <c r="G17" s="124" t="n">
        <v>260000</v>
      </c>
      <c r="L17" s="112" t="n"/>
      <c r="M17" s="127" t="inlineStr">
        <is>
          <t>Historiques American 1921 - Arabic</t>
        </is>
      </c>
      <c r="N17" s="225" t="n">
        <v>0</v>
      </c>
      <c r="O17" s="225" t="n">
        <v>1</v>
      </c>
      <c r="P17" s="225" t="n">
        <v>0</v>
      </c>
      <c r="Q17" s="225" t="n">
        <v>1</v>
      </c>
    </row>
    <row r="18" ht="17.4" customHeight="1" s="287">
      <c r="L18" s="112" t="inlineStr">
        <is>
          <t>CRC Stock</t>
        </is>
      </c>
      <c r="M18" s="112" t="inlineStr">
        <is>
          <t>Overseas chronograph</t>
        </is>
      </c>
      <c r="N18" s="225" t="n">
        <v>2</v>
      </c>
      <c r="O18" s="225" t="n">
        <v>0</v>
      </c>
      <c r="P18" s="225" t="n">
        <v>0</v>
      </c>
      <c r="Q18" s="225" t="n">
        <v>2</v>
      </c>
    </row>
    <row r="19" ht="17.4" customHeight="1" s="287">
      <c r="L19" s="112" t="n"/>
      <c r="M19" s="127" t="inlineStr">
        <is>
          <t>Overseas self-winding Green</t>
        </is>
      </c>
      <c r="N19" s="225" t="n">
        <v>1</v>
      </c>
      <c r="O19" s="225" t="n">
        <v>0</v>
      </c>
      <c r="P19" s="225" t="n">
        <v>0</v>
      </c>
      <c r="Q19" s="225" t="n">
        <v>1</v>
      </c>
    </row>
    <row r="20" ht="17.4" customHeight="1" s="287">
      <c r="L20" s="112" t="n"/>
      <c r="M20" s="127" t="inlineStr">
        <is>
          <t>Fiftysix self-winding</t>
        </is>
      </c>
      <c r="N20" s="225" t="n">
        <v>1</v>
      </c>
      <c r="O20" s="225" t="n">
        <v>0</v>
      </c>
      <c r="P20" s="225" t="n">
        <v>0</v>
      </c>
      <c r="Q20" s="225" t="n">
        <v>1</v>
      </c>
    </row>
    <row r="21" ht="17.4" customHeight="1" s="287">
      <c r="L21" s="112" t="n"/>
      <c r="M21" s="127" t="inlineStr">
        <is>
          <t>Historiques 222</t>
        </is>
      </c>
      <c r="N21" s="225" t="n">
        <v>1</v>
      </c>
      <c r="O21" s="225" t="n">
        <v>0</v>
      </c>
      <c r="P21" s="225" t="n">
        <v>0</v>
      </c>
      <c r="Q21" s="225" t="n">
        <v>1</v>
      </c>
    </row>
    <row r="22" ht="14.4" customHeight="1" s="287">
      <c r="L22" s="112" t="inlineStr">
        <is>
          <t>Grand Total</t>
        </is>
      </c>
      <c r="M22" s="112" t="n"/>
      <c r="N22" s="112" t="n">
        <v>11</v>
      </c>
      <c r="O22" s="112" t="n">
        <v>4</v>
      </c>
      <c r="P22" s="112" t="n">
        <v>1</v>
      </c>
      <c r="Q22" s="112" t="n">
        <v>16</v>
      </c>
    </row>
    <row r="23" ht="33.6" customHeight="1" s="287">
      <c r="B23" s="118" t="inlineStr">
        <is>
          <t xml:space="preserve"> Timepiece Status</t>
        </is>
      </c>
      <c r="C23" s="112" t="inlineStr">
        <is>
          <t>Allocation Closed (Sold)</t>
        </is>
      </c>
      <c r="E23" s="303" t="inlineStr">
        <is>
          <t xml:space="preserve">Total Sales </t>
        </is>
      </c>
    </row>
    <row r="24" ht="14.4" customHeight="1" s="287"/>
    <row r="25" ht="14.4" customHeight="1" s="287">
      <c r="B25" s="126" t="n"/>
      <c r="C25" s="126" t="n"/>
      <c r="D25" s="118" t="inlineStr">
        <is>
          <t>Values</t>
        </is>
      </c>
      <c r="E25" s="118" t="inlineStr">
        <is>
          <t>Piece location</t>
        </is>
      </c>
      <c r="F25" s="112" t="n"/>
      <c r="G25" s="112" t="n"/>
      <c r="H25" s="112" t="n"/>
      <c r="I25" s="112" t="n"/>
    </row>
    <row r="26" ht="14.4" customHeight="1" s="287">
      <c r="B26" s="126" t="n"/>
      <c r="C26" s="126" t="n"/>
      <c r="D26" s="112" t="inlineStr">
        <is>
          <t>Count of Client ID</t>
        </is>
      </c>
      <c r="E26" s="112" t="n"/>
      <c r="F26" s="112" t="inlineStr">
        <is>
          <t>Amount</t>
        </is>
      </c>
      <c r="G26" s="112" t="n"/>
      <c r="H26" s="112" t="inlineStr">
        <is>
          <t>Total Count of Client ID</t>
        </is>
      </c>
      <c r="I26" s="112" t="inlineStr">
        <is>
          <t>Total Amount</t>
        </is>
      </c>
    </row>
    <row r="27" ht="14.4" customHeight="1" s="287">
      <c r="B27" s="118" t="inlineStr">
        <is>
          <t>CRC Name</t>
        </is>
      </c>
      <c r="C27" s="125" t="inlineStr">
        <is>
          <t>Collection Name</t>
        </is>
      </c>
      <c r="D27" s="112" t="inlineStr">
        <is>
          <t>Boutique Stock</t>
        </is>
      </c>
      <c r="E27" s="112" t="inlineStr">
        <is>
          <t>CRC Stock</t>
        </is>
      </c>
      <c r="F27" s="112" t="inlineStr">
        <is>
          <t>Boutique Stock</t>
        </is>
      </c>
      <c r="G27" s="112" t="inlineStr">
        <is>
          <t>CRC Stock</t>
        </is>
      </c>
      <c r="H27" s="112" t="n"/>
      <c r="I27" s="112" t="n"/>
    </row>
    <row r="28" ht="17.4" customHeight="1" s="287">
      <c r="B28" s="112" t="inlineStr">
        <is>
          <t>Asma</t>
        </is>
      </c>
      <c r="C28" s="127" t="inlineStr">
        <is>
          <t>Overseas moon phase retrograde date</t>
        </is>
      </c>
      <c r="D28" s="225" t="n">
        <v>1</v>
      </c>
      <c r="E28" s="225" t="n">
        <v>0</v>
      </c>
      <c r="F28" s="130" t="n">
        <v>166000</v>
      </c>
      <c r="G28" s="130" t="n">
        <v>0</v>
      </c>
      <c r="H28" s="225" t="n">
        <v>1</v>
      </c>
      <c r="I28" s="130" t="n">
        <v>166000</v>
      </c>
    </row>
    <row r="29" ht="17.4" customHeight="1" s="287">
      <c r="B29" s="112" t="n"/>
      <c r="C29" s="127" t="inlineStr">
        <is>
          <t>Overseas chronograph</t>
        </is>
      </c>
      <c r="D29" s="225" t="n">
        <v>1</v>
      </c>
      <c r="E29" s="225" t="n">
        <v>0</v>
      </c>
      <c r="F29" s="130" t="n">
        <v>135000</v>
      </c>
      <c r="G29" s="130" t="n">
        <v>0</v>
      </c>
      <c r="H29" s="225" t="n">
        <v>1</v>
      </c>
      <c r="I29" s="130" t="n">
        <v>135000</v>
      </c>
    </row>
    <row r="30" ht="17.4" customHeight="1" s="287">
      <c r="B30" s="112" t="inlineStr">
        <is>
          <t>Maaz</t>
        </is>
      </c>
      <c r="C30" s="127" t="inlineStr">
        <is>
          <t>Fiftysix self-winding</t>
        </is>
      </c>
      <c r="D30" s="225" t="n">
        <v>0</v>
      </c>
      <c r="E30" s="225" t="n">
        <v>1</v>
      </c>
      <c r="F30" s="130" t="n">
        <v>0</v>
      </c>
      <c r="G30" s="130" t="n">
        <v>48000</v>
      </c>
      <c r="H30" s="225" t="n">
        <v>1</v>
      </c>
      <c r="I30" s="130" t="n">
        <v>48000</v>
      </c>
    </row>
    <row r="31" ht="14.4" customHeight="1" s="287">
      <c r="B31" s="112" t="n"/>
      <c r="C31" s="127" t="inlineStr">
        <is>
          <t>Overseas moon phase retrograde date</t>
        </is>
      </c>
      <c r="D31" s="225" t="n">
        <v>1</v>
      </c>
      <c r="E31" s="225" t="n">
        <v>0</v>
      </c>
      <c r="F31" s="130" t="n">
        <v>166000</v>
      </c>
      <c r="G31" s="130" t="n">
        <v>0</v>
      </c>
      <c r="H31" s="225" t="n">
        <v>1</v>
      </c>
      <c r="I31" s="130" t="n">
        <v>166000</v>
      </c>
    </row>
    <row r="32" ht="14.4" customHeight="1" s="287">
      <c r="B32" s="112" t="n"/>
      <c r="C32" s="127" t="inlineStr">
        <is>
          <t>Overseas dual time Green</t>
        </is>
      </c>
      <c r="D32" s="225" t="n">
        <v>0</v>
      </c>
      <c r="E32" s="225" t="n">
        <v>1</v>
      </c>
      <c r="F32" s="130" t="n">
        <v>0</v>
      </c>
      <c r="G32" s="130" t="n">
        <v>286000</v>
      </c>
      <c r="H32" s="225" t="n">
        <v>1</v>
      </c>
      <c r="I32" s="130" t="n">
        <v>286000</v>
      </c>
      <c r="W32" s="24" t="n"/>
    </row>
    <row r="33" ht="14.4" customHeight="1" s="287">
      <c r="B33" s="112" t="inlineStr">
        <is>
          <t>Grand Total</t>
        </is>
      </c>
      <c r="C33" s="112" t="n"/>
      <c r="D33" s="112" t="n">
        <v>3</v>
      </c>
      <c r="E33" s="112" t="n">
        <v>2</v>
      </c>
      <c r="F33" s="129" t="n">
        <v>467000</v>
      </c>
      <c r="G33" s="129" t="n">
        <v>334000</v>
      </c>
      <c r="H33" s="112" t="n">
        <v>5</v>
      </c>
      <c r="I33" s="129" t="n">
        <v>801000</v>
      </c>
      <c r="W33" s="24" t="n"/>
    </row>
    <row r="34" ht="15.6" customHeight="1" s="287">
      <c r="V34" s="98" t="n"/>
      <c r="W34" s="24" t="n"/>
    </row>
    <row r="35" ht="14.4" customHeight="1" s="287">
      <c r="W35" s="24" t="n"/>
    </row>
    <row r="36" ht="14.4" customHeight="1" s="287">
      <c r="W36" s="24" t="n"/>
    </row>
    <row r="37" ht="23.4" customHeight="1" s="287">
      <c r="W37" s="24" t="n"/>
    </row>
    <row r="38" ht="51" customHeight="1" s="287">
      <c r="B38" s="285" t="inlineStr">
        <is>
          <t>Confirmed Allocation | Pending payment</t>
        </is>
      </c>
      <c r="O38" s="288" t="inlineStr">
        <is>
          <t>Requested Timepieces by CRC and updates Per Timepiece</t>
        </is>
      </c>
    </row>
    <row r="39" ht="38.4" customHeight="1" s="287">
      <c r="B39" s="99" t="inlineStr">
        <is>
          <t>No.</t>
        </is>
      </c>
      <c r="C39" s="99" t="inlineStr">
        <is>
          <t>Timepiece Ref</t>
        </is>
      </c>
      <c r="D39" s="99" t="inlineStr">
        <is>
          <t>Transaction Market</t>
        </is>
      </c>
      <c r="E39" s="100" t="inlineStr">
        <is>
          <t xml:space="preserve">Status </t>
        </is>
      </c>
      <c r="F39" s="99" t="inlineStr">
        <is>
          <t>Stock Location</t>
        </is>
      </c>
      <c r="G39" s="99" t="inlineStr">
        <is>
          <t>Client ID</t>
        </is>
      </c>
      <c r="H39" s="132" t="inlineStr">
        <is>
          <t>Karen Comment ﾂ</t>
        </is>
      </c>
      <c r="I39" s="100" t="inlineStr">
        <is>
          <t>CRC Name</t>
        </is>
      </c>
      <c r="J39" s="100" t="inlineStr">
        <is>
          <t>Same Month Invoiced rate</t>
        </is>
      </c>
      <c r="K39" s="100" t="inlineStr">
        <is>
          <t>Price</t>
        </is>
      </c>
      <c r="L39" s="49" t="inlineStr">
        <is>
          <t xml:space="preserve">Payment Method </t>
        </is>
      </c>
      <c r="M39" s="14" t="n"/>
      <c r="N39" s="14" t="n"/>
      <c r="O39" s="78" t="inlineStr">
        <is>
          <t>CRC Name</t>
        </is>
      </c>
      <c r="P39" s="79" t="inlineStr">
        <is>
          <t>Collection Name</t>
        </is>
      </c>
      <c r="Q39" s="78" t="inlineStr">
        <is>
          <t>Price</t>
        </is>
      </c>
      <c r="R39" s="78" t="inlineStr">
        <is>
          <t xml:space="preserve">Stock </t>
        </is>
      </c>
      <c r="S39" s="78" t="inlineStr">
        <is>
          <t>Timepiece Ref</t>
        </is>
      </c>
      <c r="T39" s="99" t="inlineStr">
        <is>
          <t>Transaction Market</t>
        </is>
      </c>
      <c r="U39" s="99" t="inlineStr">
        <is>
          <t>Karen Comment ﾂ</t>
        </is>
      </c>
      <c r="V39" s="78" t="inlineStr">
        <is>
          <t>Payment Method</t>
        </is>
      </c>
      <c r="W39" s="78" t="inlineStr">
        <is>
          <t>Waiting Days</t>
        </is>
      </c>
    </row>
    <row r="40" ht="75" customHeight="1" s="287">
      <c r="B40" s="15" t="n">
        <v>1</v>
      </c>
      <c r="C40" s="89">
        <f>IFERROR(VLOOKUP(ROWS($C$39:C39), 'SelloutPlan v1Main'!$D$5:$AC$208,12, FALSE), "")</f>
        <v/>
      </c>
      <c r="D40" s="89">
        <f>IFERROR(VLOOKUP(ROWS($C$39:D39), 'SelloutPlan v1Main'!$D$5:$AC$208,11, FALSE), "")</f>
        <v/>
      </c>
      <c r="E40" s="89">
        <f>IFERROR(VLOOKUP(ROWS($C$39:E39), 'SelloutPlan v1Main'!$D$5:$AC$208,9, FALSE), "")</f>
        <v/>
      </c>
      <c r="F40" s="89">
        <f>IFERROR(VLOOKUP(ROWS($C$39:F39), 'SelloutPlan v1Main'!$D$5:$AC$208,7, FALSE), "")</f>
        <v/>
      </c>
      <c r="G40" s="90">
        <f>IFERROR(VLOOKUP(ROWS($C$39:G39), 'SelloutPlan v1Main'!$D$5:$AC$208,16, FALSE), "")</f>
        <v/>
      </c>
      <c r="H40" s="122">
        <f>IFERROR(VLOOKUP(ROWS($C$39:G39), 'SelloutPlan v1Main'!$D$5:$AC$208,17, FALSE), "")</f>
        <v/>
      </c>
      <c r="I40" s="91">
        <f>IFERROR(VLOOKUP(ROWS($C$39:H39), 'SelloutPlan v1Main'!$D$5:$AC$208,3, FALSE), "")</f>
        <v/>
      </c>
      <c r="J40" s="91">
        <f>IFERROR(VLOOKUP(ROWS($C$39:I39), 'SelloutPlan v1Main'!$D$5:$AC$208,10, FALSE), "")</f>
        <v/>
      </c>
      <c r="K40" s="92">
        <f>IFERROR(VLOOKUP(ROWS($C$39:J39), 'SelloutPlan v1Main'!$D$5:$AC$208,14, FALSE), "")</f>
        <v/>
      </c>
      <c r="L40" s="97">
        <f>IFERROR(VLOOKUP(ROWS($C$39:K39), 'SelloutPlan v1Main'!$D$5:$AC$208,19, FALSE), "")</f>
        <v/>
      </c>
      <c r="M40" s="37" t="n"/>
      <c r="N40" s="37" t="n"/>
      <c r="O40" s="80">
        <f>IFERROR(VLOOKUP(ROWS($O$39:U39),'SelloutPlan v1Main'!$E$5:$AC$208,2,FALSE),"")</f>
        <v/>
      </c>
      <c r="P40" s="81">
        <f>IFERROR(VLOOKUP(ROWS($O$39:U39),'SelloutPlan v1Main'!$E$5:$AC$208,12,FALSE),"")</f>
        <v/>
      </c>
      <c r="Q40" s="81">
        <f>IFERROR(VLOOKUP(ROWS($O$39:V39),'SelloutPlan v1Main'!$E$5:$AC$208,13,FALSE),"")</f>
        <v/>
      </c>
      <c r="R40" s="82">
        <f>IFERROR(VLOOKUP(ROWS($O$39:U39),'SelloutPlan v1Main'!$E$5:$AC$208,7,FALSE),"")</f>
        <v/>
      </c>
      <c r="S40" s="83">
        <f>IFERROR(VLOOKUP(ROWS($O$39:U39),'SelloutPlan v1Main'!$E$5:$AC$208,11,FALSE),"")</f>
        <v/>
      </c>
      <c r="T40" s="80">
        <f>IFERROR(VLOOKUP(ROWS($O$39:U39),'SelloutPlan v1Main'!$E$5:$AC$208,10,FALSE),"")</f>
        <v/>
      </c>
      <c r="U40" s="82">
        <f>IFERROR(VLOOKUP(ROWS($O$39:U39),'SelloutPlan v1Main'!$E$5:$AC$208,16,FALSE),"")</f>
        <v/>
      </c>
      <c r="V40" s="82">
        <f>IFERROR(IF(_xlfn.XLOOKUP(ROWS($O$39:W40), 'SelloutPlan v1Main'!$E$5:$E$208, 'SelloutPlan v1Main'!$X$5:$X$208) = 0, "", _xlfn.XLOOKUP(ROWS($O$39:W40), 'SelloutPlan v1Main'!$E$5:$E$208, 'SelloutPlan v1Main'!$X$5:$X$208)), "")</f>
        <v/>
      </c>
      <c r="W40" s="82">
        <f>IFERROR(IF(VLOOKUP(ROWS($O$39:X39), 'SelloutPlan v1Main'!$E$5:$AP$209, 25, FALSE) = 0, "", VLOOKUP(ROWS($O$39:X39), 'SelloutPlan v1Main'!$E$5:$AP$209, 24, FALSE)), "")</f>
        <v/>
      </c>
    </row>
    <row r="41" ht="40.95" customHeight="1" s="287">
      <c r="B41" s="15" t="n">
        <v>2</v>
      </c>
      <c r="C41" s="89">
        <f>IFERROR(VLOOKUP(ROWS($C$39:C40), 'SelloutPlan v1Main'!$D$5:$AC$208,12, FALSE), "")</f>
        <v/>
      </c>
      <c r="D41" s="89">
        <f>IFERROR(VLOOKUP(ROWS($C$39:D40), 'SelloutPlan v1Main'!$D$5:$AC$208,11, FALSE), "")</f>
        <v/>
      </c>
      <c r="E41" s="89">
        <f>IFERROR(VLOOKUP(ROWS($C$39:E40), 'SelloutPlan v1Main'!$D$5:$AC$208,9, FALSE), "")</f>
        <v/>
      </c>
      <c r="F41" s="89">
        <f>IFERROR(VLOOKUP(ROWS($C$39:F40), 'SelloutPlan v1Main'!$D$5:$AC$208,7, FALSE), "")</f>
        <v/>
      </c>
      <c r="G41" s="90">
        <f>IFERROR(VLOOKUP(ROWS($C$39:G40), 'SelloutPlan v1Main'!$D$5:$AC$208,16, FALSE), "")</f>
        <v/>
      </c>
      <c r="H41" s="122">
        <f>IFERROR(VLOOKUP(ROWS($C$39:G40), 'SelloutPlan v1Main'!$D$5:$AC$208,17, FALSE), "")</f>
        <v/>
      </c>
      <c r="I41" s="91">
        <f>IFERROR(VLOOKUP(ROWS($C$39:H40), 'SelloutPlan v1Main'!$D$5:$AC$208,3, FALSE), "")</f>
        <v/>
      </c>
      <c r="J41" s="91">
        <f>IFERROR(VLOOKUP(ROWS($C$39:I40), 'SelloutPlan v1Main'!$D$5:$AC$208,10, FALSE), "")</f>
        <v/>
      </c>
      <c r="K41" s="92">
        <f>IFERROR(VLOOKUP(ROWS($C$39:J40), 'SelloutPlan v1Main'!$D$5:$AC$208,14, FALSE), "")</f>
        <v/>
      </c>
      <c r="L41" s="50">
        <f>IFERROR(VLOOKUP(ROWS($C$39:K40), 'SelloutPlan v1Main'!$D$5:$AC$208,26, FALSE), "")</f>
        <v/>
      </c>
      <c r="M41" s="37" t="n"/>
      <c r="N41" s="37" t="n"/>
      <c r="O41" s="80">
        <f>IFERROR(VLOOKUP(ROWS($O$39:U40),'SelloutPlan v1Main'!$E$5:$AC$208,2,FALSE),"")</f>
        <v/>
      </c>
      <c r="P41" s="81">
        <f>IFERROR(VLOOKUP(ROWS($O$39:U40),'SelloutPlan v1Main'!$E$5:$AC$208,12,FALSE),"")</f>
        <v/>
      </c>
      <c r="Q41" s="81">
        <f>IFERROR(VLOOKUP(ROWS($O$39:V40),'SelloutPlan v1Main'!$E$5:$AC$208,13,FALSE),"")</f>
        <v/>
      </c>
      <c r="R41" s="82">
        <f>IFERROR(VLOOKUP(ROWS($O$39:U40),'SelloutPlan v1Main'!$E$5:$AC$208,7,FALSE),"")</f>
        <v/>
      </c>
      <c r="S41" s="83">
        <f>IFERROR(VLOOKUP(ROWS($O$39:U40),'SelloutPlan v1Main'!$E$5:$AC$208,11,FALSE),"")</f>
        <v/>
      </c>
      <c r="T41" s="80">
        <f>IFERROR(VLOOKUP(ROWS($O$39:U40),'SelloutPlan v1Main'!$E$5:$AC$208,10,FALSE),"")</f>
        <v/>
      </c>
      <c r="U41" s="82">
        <f>IFERROR(VLOOKUP(ROWS($O$39:U40),'SelloutPlan v1Main'!$E$5:$AC$208,16,FALSE),"")</f>
        <v/>
      </c>
      <c r="V41" s="82">
        <f>IFERROR(IF(_xlfn.XLOOKUP(ROWS($O$39:W41), 'SelloutPlan v1Main'!$E$5:$E$208, 'SelloutPlan v1Main'!$X$5:$X$208) = 0, "", _xlfn.XLOOKUP(ROWS($O$39:W41), 'SelloutPlan v1Main'!$E$5:$E$208, 'SelloutPlan v1Main'!$X$5:$X$208)), "")</f>
        <v/>
      </c>
      <c r="W41" s="82">
        <f>IFERROR(IF(VLOOKUP(ROWS($O$39:X40), 'SelloutPlan v1Main'!$E$5:$AP$209, 25, FALSE) = 0, "", VLOOKUP(ROWS($O$39:X40), 'SelloutPlan v1Main'!$E$5:$AP$209, 24, FALSE)), "")</f>
        <v/>
      </c>
    </row>
    <row r="42" ht="25.5" customHeight="1" s="287">
      <c r="B42" s="15" t="n">
        <v>3</v>
      </c>
      <c r="C42" s="89">
        <f>IFERROR(VLOOKUP(ROWS($C$39:C41), 'SelloutPlan v1Main'!$D$5:$AC$208,12, FALSE), "")</f>
        <v/>
      </c>
      <c r="D42" s="89">
        <f>IFERROR(VLOOKUP(ROWS($C$39:D41), 'SelloutPlan v1Main'!$D$5:$AC$208,11, FALSE), "")</f>
        <v/>
      </c>
      <c r="E42" s="89">
        <f>IFERROR(VLOOKUP(ROWS($C$39:E41), 'SelloutPlan v1Main'!$D$5:$AC$208,9, FALSE), "")</f>
        <v/>
      </c>
      <c r="F42" s="89">
        <f>IFERROR(VLOOKUP(ROWS($C$39:F41), 'SelloutPlan v1Main'!$D$5:$AC$208,7, FALSE), "")</f>
        <v/>
      </c>
      <c r="G42" s="90">
        <f>IFERROR(VLOOKUP(ROWS($C$39:G41), 'SelloutPlan v1Main'!$D$5:$AC$208,16, FALSE), "")</f>
        <v/>
      </c>
      <c r="H42" s="122">
        <f>IFERROR(VLOOKUP(ROWS($C$39:G41), 'SelloutPlan v1Main'!$D$5:$AC$208,17, FALSE), "")</f>
        <v/>
      </c>
      <c r="I42" s="91">
        <f>IFERROR(VLOOKUP(ROWS($C$39:H41), 'SelloutPlan v1Main'!$D$5:$AC$208,3, FALSE), "")</f>
        <v/>
      </c>
      <c r="J42" s="91">
        <f>IFERROR(VLOOKUP(ROWS($C$39:I41), 'SelloutPlan v1Main'!$D$5:$AC$208,10, FALSE), "")</f>
        <v/>
      </c>
      <c r="K42" s="92">
        <f>IFERROR(VLOOKUP(ROWS($C$39:J41), 'SelloutPlan v1Main'!$D$5:$AC$208,14, FALSE), "")</f>
        <v/>
      </c>
      <c r="L42" s="50">
        <f>IFERROR(VLOOKUP(ROWS($C$39:K41), 'SelloutPlan v1Main'!$D$5:$AC$208,25, FALSE), "")</f>
        <v/>
      </c>
      <c r="M42" s="37" t="n"/>
      <c r="N42" s="37" t="n"/>
      <c r="O42" s="80">
        <f>IFERROR(VLOOKUP(ROWS($O$39:U41),'SelloutPlan v1Main'!$E$5:$AC$208,2,FALSE),"")</f>
        <v/>
      </c>
      <c r="P42" s="81">
        <f>IFERROR(VLOOKUP(ROWS($O$39:U41),'SelloutPlan v1Main'!$E$5:$AC$208,12,FALSE),"")</f>
        <v/>
      </c>
      <c r="Q42" s="81">
        <f>IFERROR(VLOOKUP(ROWS($O$39:V41),'SelloutPlan v1Main'!$E$5:$AC$208,13,FALSE),"")</f>
        <v/>
      </c>
      <c r="R42" s="82">
        <f>IFERROR(VLOOKUP(ROWS($O$39:U41),'SelloutPlan v1Main'!$E$5:$AC$208,7,FALSE),"")</f>
        <v/>
      </c>
      <c r="S42" s="83">
        <f>IFERROR(VLOOKUP(ROWS($O$39:U41),'SelloutPlan v1Main'!$E$5:$AC$208,11,FALSE),"")</f>
        <v/>
      </c>
      <c r="T42" s="80">
        <f>IFERROR(VLOOKUP(ROWS($O$39:U41),'SelloutPlan v1Main'!$E$5:$AC$208,10,FALSE),"")</f>
        <v/>
      </c>
      <c r="U42" s="82">
        <f>IFERROR(VLOOKUP(ROWS($O$39:U41),'SelloutPlan v1Main'!$E$5:$AC$208,16,FALSE),"")</f>
        <v/>
      </c>
      <c r="V42" s="82">
        <f>IFERROR(IF(_xlfn.XLOOKUP(ROWS($O$39:W42), 'SelloutPlan v1Main'!$E$5:$E$208, 'SelloutPlan v1Main'!$X$5:$X$208) = 0, "", _xlfn.XLOOKUP(ROWS($O$39:W42), 'SelloutPlan v1Main'!$E$5:$E$208, 'SelloutPlan v1Main'!$X$5:$X$208)), "")</f>
        <v/>
      </c>
      <c r="W42" s="82">
        <f>IFERROR(IF(VLOOKUP(ROWS($O$39:X41), 'SelloutPlan v1Main'!$E$5:$AP$209, 25, FALSE) = 0, "", VLOOKUP(ROWS($O$39:X41), 'SelloutPlan v1Main'!$E$5:$AP$209, 24, FALSE)), "")</f>
        <v/>
      </c>
      <c r="AC42" s="16" t="n"/>
    </row>
    <row r="43" ht="25.5" customHeight="1" s="287">
      <c r="B43" s="15" t="n">
        <v>4</v>
      </c>
      <c r="C43" s="89">
        <f>IFERROR(VLOOKUP(ROWS($C$39:C42), 'SelloutPlan v1Main'!$D$5:$AC$208,12, FALSE), "")</f>
        <v/>
      </c>
      <c r="D43" s="89">
        <f>IFERROR(VLOOKUP(ROWS($C$39:D42), 'SelloutPlan v1Main'!$D$5:$AC$208,11, FALSE), "")</f>
        <v/>
      </c>
      <c r="E43" s="89">
        <f>IFERROR(VLOOKUP(ROWS($C$39:E42), 'SelloutPlan v1Main'!$D$5:$AC$208,9, FALSE), "")</f>
        <v/>
      </c>
      <c r="F43" s="89">
        <f>IFERROR(VLOOKUP(ROWS($C$39:F42), 'SelloutPlan v1Main'!$D$5:$AC$208,7, FALSE), "")</f>
        <v/>
      </c>
      <c r="G43" s="90">
        <f>IFERROR(VLOOKUP(ROWS($C$39:G42), 'SelloutPlan v1Main'!$D$5:$AC$208,16, FALSE), "")</f>
        <v/>
      </c>
      <c r="H43" s="122">
        <f>IFERROR(VLOOKUP(ROWS($C$39:G42), 'SelloutPlan v1Main'!$D$5:$AC$208,17, FALSE), "")</f>
        <v/>
      </c>
      <c r="I43" s="91">
        <f>IFERROR(VLOOKUP(ROWS($C$39:H42), 'SelloutPlan v1Main'!$D$5:$AC$208,3, FALSE), "")</f>
        <v/>
      </c>
      <c r="J43" s="91">
        <f>IFERROR(VLOOKUP(ROWS($C$39:I42), 'SelloutPlan v1Main'!$D$5:$AC$208,10, FALSE), "")</f>
        <v/>
      </c>
      <c r="K43" s="92">
        <f>IFERROR(VLOOKUP(ROWS($C$39:J42), 'SelloutPlan v1Main'!$D$5:$AC$208,14, FALSE), "")</f>
        <v/>
      </c>
      <c r="L43" s="50">
        <f>IFERROR(VLOOKUP(ROWS($C$39:K42), 'SelloutPlan v1Main'!$D$5:$AC$208,25, FALSE), "")</f>
        <v/>
      </c>
      <c r="M43" s="37" t="n"/>
      <c r="N43" s="37" t="n"/>
      <c r="O43" s="80">
        <f>IFERROR(VLOOKUP(ROWS($O$39:U42),'SelloutPlan v1Main'!$E$5:$AC$208,2,FALSE),"")</f>
        <v/>
      </c>
      <c r="P43" s="81">
        <f>IFERROR(VLOOKUP(ROWS($O$39:U42),'SelloutPlan v1Main'!$E$5:$AC$208,12,FALSE),"")</f>
        <v/>
      </c>
      <c r="Q43" s="81">
        <f>IFERROR(VLOOKUP(ROWS($O$39:V42),'SelloutPlan v1Main'!$E$5:$AC$208,13,FALSE),"")</f>
        <v/>
      </c>
      <c r="R43" s="82">
        <f>IFERROR(VLOOKUP(ROWS($O$39:U42),'SelloutPlan v1Main'!$E$5:$AC$208,7,FALSE),"")</f>
        <v/>
      </c>
      <c r="S43" s="83">
        <f>IFERROR(VLOOKUP(ROWS($O$39:U42),'SelloutPlan v1Main'!$E$5:$AC$208,11,FALSE),"")</f>
        <v/>
      </c>
      <c r="T43" s="80">
        <f>IFERROR(VLOOKUP(ROWS($O$39:U42),'SelloutPlan v1Main'!$E$5:$AC$208,10,FALSE),"")</f>
        <v/>
      </c>
      <c r="U43" s="82">
        <f>IFERROR(VLOOKUP(ROWS($O$39:U42),'SelloutPlan v1Main'!$E$5:$AC$208,16,FALSE),"")</f>
        <v/>
      </c>
      <c r="V43" s="82">
        <f>IFERROR(IF(_xlfn.XLOOKUP(ROWS($O$39:W43), 'SelloutPlan v1Main'!$E$5:$E$208, 'SelloutPlan v1Main'!$X$5:$X$208) = 0, "", _xlfn.XLOOKUP(ROWS($O$39:W43), 'SelloutPlan v1Main'!$E$5:$E$208, 'SelloutPlan v1Main'!$X$5:$X$208)), "")</f>
        <v/>
      </c>
      <c r="W43" s="82">
        <f>IFERROR(IF(VLOOKUP(ROWS($O$39:X42), 'SelloutPlan v1Main'!$E$5:$AP$209, 25, FALSE) = 0, "", VLOOKUP(ROWS($O$39:X42), 'SelloutPlan v1Main'!$E$5:$AP$209, 24, FALSE)), "")</f>
        <v/>
      </c>
    </row>
    <row r="44" ht="32.4" customHeight="1" s="287">
      <c r="B44" s="15" t="n">
        <v>5</v>
      </c>
      <c r="C44" s="89">
        <f>IFERROR(VLOOKUP(ROWS($C$39:C43), 'SelloutPlan v1Main'!$D$5:$AC$208,12, FALSE), "")</f>
        <v/>
      </c>
      <c r="D44" s="89">
        <f>IFERROR(VLOOKUP(ROWS($C$39:D43), 'SelloutPlan v1Main'!$D$5:$AC$208,11, FALSE), "")</f>
        <v/>
      </c>
      <c r="E44" s="89">
        <f>IFERROR(VLOOKUP(ROWS($C$39:E43), 'SelloutPlan v1Main'!$D$5:$AC$208,9, FALSE), "")</f>
        <v/>
      </c>
      <c r="F44" s="89">
        <f>IFERROR(VLOOKUP(ROWS($C$39:F43), 'SelloutPlan v1Main'!$D$5:$AC$208,7, FALSE), "")</f>
        <v/>
      </c>
      <c r="G44" s="90">
        <f>IFERROR(VLOOKUP(ROWS($C$39:G43), 'SelloutPlan v1Main'!$D$5:$AC$208,16, FALSE), "")</f>
        <v/>
      </c>
      <c r="H44" s="122">
        <f>IFERROR(VLOOKUP(ROWS($C$39:G43), 'SelloutPlan v1Main'!$D$5:$AC$208,17, FALSE), "")</f>
        <v/>
      </c>
      <c r="I44" s="91">
        <f>IFERROR(VLOOKUP(ROWS($C$39:H43), 'SelloutPlan v1Main'!$D$5:$AC$208,3, FALSE), "")</f>
        <v/>
      </c>
      <c r="J44" s="91">
        <f>IFERROR(VLOOKUP(ROWS($C$39:I43), 'SelloutPlan v1Main'!$D$5:$AC$208,10, FALSE), "")</f>
        <v/>
      </c>
      <c r="K44" s="92">
        <f>IFERROR(VLOOKUP(ROWS($C$39:J43), 'SelloutPlan v1Main'!$D$5:$AC$208,14, FALSE), "")</f>
        <v/>
      </c>
      <c r="L44" s="50">
        <f>IFERROR(VLOOKUP(ROWS($C$39:K43), 'SelloutPlan v1Main'!$D$5:$AC$208,25, FALSE), "")</f>
        <v/>
      </c>
      <c r="M44" s="37" t="n"/>
      <c r="N44" s="37" t="n"/>
      <c r="O44" s="80">
        <f>IFERROR(VLOOKUP(ROWS($O$39:U43),'SelloutPlan v1Main'!$E$5:$AC$208,2,FALSE),"")</f>
        <v/>
      </c>
      <c r="P44" s="81">
        <f>IFERROR(VLOOKUP(ROWS($O$39:U43),'SelloutPlan v1Main'!$E$5:$AC$208,12,FALSE),"")</f>
        <v/>
      </c>
      <c r="Q44" s="81">
        <f>IFERROR(VLOOKUP(ROWS($O$39:V43),'SelloutPlan v1Main'!$E$5:$AC$208,13,FALSE),"")</f>
        <v/>
      </c>
      <c r="R44" s="82">
        <f>IFERROR(VLOOKUP(ROWS($O$39:U43),'SelloutPlan v1Main'!$E$5:$AC$208,7,FALSE),"")</f>
        <v/>
      </c>
      <c r="S44" s="83">
        <f>IFERROR(VLOOKUP(ROWS($O$39:U43),'SelloutPlan v1Main'!$E$5:$AC$208,11,FALSE),"")</f>
        <v/>
      </c>
      <c r="T44" s="80">
        <f>IFERROR(VLOOKUP(ROWS($O$39:U43),'SelloutPlan v1Main'!$E$5:$AC$208,10,FALSE),"")</f>
        <v/>
      </c>
      <c r="U44" s="82">
        <f>IFERROR(VLOOKUP(ROWS($O$39:U43),'SelloutPlan v1Main'!$E$5:$AC$208,16,FALSE),"")</f>
        <v/>
      </c>
      <c r="V44" s="82">
        <f>IFERROR(IF(_xlfn.XLOOKUP(ROWS($O$39:W44), 'SelloutPlan v1Main'!$E$5:$E$208, 'SelloutPlan v1Main'!$X$5:$X$208) = 0, "", _xlfn.XLOOKUP(ROWS($O$39:W44), 'SelloutPlan v1Main'!$E$5:$E$208, 'SelloutPlan v1Main'!$X$5:$X$208)), "")</f>
        <v/>
      </c>
      <c r="W44" s="82">
        <f>IFERROR(IF(VLOOKUP(ROWS($O$39:X43), 'SelloutPlan v1Main'!$E$5:$AP$209, 25, FALSE) = 0, "", VLOOKUP(ROWS($O$39:X43), 'SelloutPlan v1Main'!$E$5:$AP$209, 24, FALSE)), "")</f>
        <v/>
      </c>
      <c r="Z44" s="292" t="n"/>
      <c r="AF44" s="292" t="n"/>
    </row>
    <row r="45" ht="88.95" customHeight="1" s="287">
      <c r="B45" s="15" t="n">
        <v>6</v>
      </c>
      <c r="C45" s="89">
        <f>IFERROR(VLOOKUP(ROWS($C$39:C44), 'SelloutPlan v1Main'!$D$5:$AC$208,12, FALSE), "")</f>
        <v/>
      </c>
      <c r="D45" s="89">
        <f>IFERROR(VLOOKUP(ROWS($C$39:D44), 'SelloutPlan v1Main'!$D$5:$AC$208,11, FALSE), "")</f>
        <v/>
      </c>
      <c r="E45" s="89">
        <f>IFERROR(VLOOKUP(ROWS($C$39:E44), 'SelloutPlan v1Main'!$D$5:$AC$208,9, FALSE), "")</f>
        <v/>
      </c>
      <c r="F45" s="89">
        <f>IFERROR(VLOOKUP(ROWS($C$39:F44), 'SelloutPlan v1Main'!$D$5:$AC$208,7, FALSE), "")</f>
        <v/>
      </c>
      <c r="G45" s="90">
        <f>IFERROR(VLOOKUP(ROWS($C$39:G44), 'SelloutPlan v1Main'!$D$5:$AC$208,16, FALSE), "")</f>
        <v/>
      </c>
      <c r="H45" s="122">
        <f>IFERROR(VLOOKUP(ROWS($C$39:G44), 'SelloutPlan v1Main'!$D$5:$AC$208,17, FALSE), "")</f>
        <v/>
      </c>
      <c r="I45" s="91">
        <f>IFERROR(VLOOKUP(ROWS($C$39:H44), 'SelloutPlan v1Main'!$D$5:$AC$208,3, FALSE), "")</f>
        <v/>
      </c>
      <c r="J45" s="91">
        <f>IFERROR(VLOOKUP(ROWS($C$39:I44), 'SelloutPlan v1Main'!$D$5:$AC$208,10, FALSE), "")</f>
        <v/>
      </c>
      <c r="K45" s="92">
        <f>IFERROR(VLOOKUP(ROWS($C$39:J44), 'SelloutPlan v1Main'!$D$5:$AC$208,14, FALSE), "")</f>
        <v/>
      </c>
      <c r="L45" s="50">
        <f>IFERROR(VLOOKUP(ROWS($C$39:K44), 'SelloutPlan v1Main'!$D$5:$AC$208,25, FALSE), "")</f>
        <v/>
      </c>
      <c r="M45" s="37" t="n"/>
      <c r="N45" s="37" t="n"/>
      <c r="O45" s="80">
        <f>IFERROR(VLOOKUP(ROWS($O$39:U44),'SelloutPlan v1Main'!$E$5:$AC$208,2,FALSE),"")</f>
        <v/>
      </c>
      <c r="P45" s="81">
        <f>IFERROR(VLOOKUP(ROWS($O$39:U44),'SelloutPlan v1Main'!$E$5:$AC$208,12,FALSE),"")</f>
        <v/>
      </c>
      <c r="Q45" s="81">
        <f>IFERROR(VLOOKUP(ROWS($O$39:V44),'SelloutPlan v1Main'!$E$5:$AC$208,13,FALSE),"")</f>
        <v/>
      </c>
      <c r="R45" s="82">
        <f>IFERROR(VLOOKUP(ROWS($O$39:U44),'SelloutPlan v1Main'!$E$5:$AC$208,7,FALSE),"")</f>
        <v/>
      </c>
      <c r="S45" s="83">
        <f>IFERROR(VLOOKUP(ROWS($O$39:U44),'SelloutPlan v1Main'!$E$5:$AC$208,11,FALSE),"")</f>
        <v/>
      </c>
      <c r="T45" s="80">
        <f>IFERROR(VLOOKUP(ROWS($O$39:U44),'SelloutPlan v1Main'!$E$5:$AC$208,10,FALSE),"")</f>
        <v/>
      </c>
      <c r="U45" s="82">
        <f>IFERROR(VLOOKUP(ROWS($O$39:U44),'SelloutPlan v1Main'!$E$5:$AC$208,16,FALSE),"")</f>
        <v/>
      </c>
      <c r="V45" s="82">
        <f>IFERROR(IF(_xlfn.XLOOKUP(ROWS($O$39:W45), 'SelloutPlan v1Main'!$E$5:$E$208, 'SelloutPlan v1Main'!$X$5:$X$208) = 0, "", _xlfn.XLOOKUP(ROWS($O$39:W45), 'SelloutPlan v1Main'!$E$5:$E$208, 'SelloutPlan v1Main'!$X$5:$X$208)), "")</f>
        <v/>
      </c>
      <c r="W45" s="82">
        <f>IFERROR(IF(VLOOKUP(ROWS($O$39:X44), 'SelloutPlan v1Main'!$E$5:$AP$209, 25, FALSE) = 0, "", VLOOKUP(ROWS($O$39:X44), 'SelloutPlan v1Main'!$E$5:$AP$209, 24, FALSE)), "")</f>
        <v/>
      </c>
    </row>
    <row r="46" ht="30" customHeight="1" s="287">
      <c r="B46" s="15" t="n">
        <v>7</v>
      </c>
      <c r="C46" s="89">
        <f>IFERROR(VLOOKUP(ROWS($C$39:C45), 'SelloutPlan v1Main'!$D$5:$AC$208,12, FALSE), "")</f>
        <v/>
      </c>
      <c r="D46" s="89">
        <f>IFERROR(VLOOKUP(ROWS($C$39:D45), 'SelloutPlan v1Main'!$D$5:$AC$208,11, FALSE), "")</f>
        <v/>
      </c>
      <c r="E46" s="89">
        <f>IFERROR(VLOOKUP(ROWS($C$39:E45), 'SelloutPlan v1Main'!$D$5:$AC$208,9, FALSE), "")</f>
        <v/>
      </c>
      <c r="F46" s="89">
        <f>IFERROR(VLOOKUP(ROWS($C$39:F45), 'SelloutPlan v1Main'!$D$5:$AC$208,7, FALSE), "")</f>
        <v/>
      </c>
      <c r="G46" s="90">
        <f>IFERROR(VLOOKUP(ROWS($C$39:G45), 'SelloutPlan v1Main'!$D$5:$AC$208,16, FALSE), "")</f>
        <v/>
      </c>
      <c r="H46" s="122">
        <f>IFERROR(VLOOKUP(ROWS($C$39:G45), 'SelloutPlan v1Main'!$D$5:$AC$208,17, FALSE), "")</f>
        <v/>
      </c>
      <c r="I46" s="91">
        <f>IFERROR(VLOOKUP(ROWS($C$39:H45), 'SelloutPlan v1Main'!$D$5:$AC$208,3, FALSE), "")</f>
        <v/>
      </c>
      <c r="J46" s="91">
        <f>IFERROR(VLOOKUP(ROWS($C$39:I45), 'SelloutPlan v1Main'!$D$5:$AC$208,10, FALSE), "")</f>
        <v/>
      </c>
      <c r="K46" s="92">
        <f>IFERROR(VLOOKUP(ROWS($C$39:J45), 'SelloutPlan v1Main'!$D$5:$AC$208,14, FALSE), "")</f>
        <v/>
      </c>
      <c r="L46" s="50">
        <f>IFERROR(VLOOKUP(ROWS($C$39:K45), 'SelloutPlan v1Main'!$D$5:$AC$208,25, FALSE), "")</f>
        <v/>
      </c>
      <c r="M46" s="37" t="n"/>
      <c r="N46" s="37" t="n"/>
      <c r="O46" s="80">
        <f>IFERROR(VLOOKUP(ROWS($O$39:U45),'SelloutPlan v1Main'!$E$5:$AC$208,2,FALSE),"")</f>
        <v/>
      </c>
      <c r="P46" s="81">
        <f>IFERROR(VLOOKUP(ROWS($O$39:U45),'SelloutPlan v1Main'!$E$5:$AC$208,12,FALSE),"")</f>
        <v/>
      </c>
      <c r="Q46" s="81">
        <f>IFERROR(VLOOKUP(ROWS($O$39:V45),'SelloutPlan v1Main'!$E$5:$AC$208,13,FALSE),"")</f>
        <v/>
      </c>
      <c r="R46" s="82">
        <f>IFERROR(VLOOKUP(ROWS($O$39:U45),'SelloutPlan v1Main'!$E$5:$AC$208,7,FALSE),"")</f>
        <v/>
      </c>
      <c r="S46" s="83">
        <f>IFERROR(VLOOKUP(ROWS($O$39:U45),'SelloutPlan v1Main'!$E$5:$AC$208,11,FALSE),"")</f>
        <v/>
      </c>
      <c r="T46" s="80">
        <f>IFERROR(VLOOKUP(ROWS($O$39:U45),'SelloutPlan v1Main'!$E$5:$AC$208,10,FALSE),"")</f>
        <v/>
      </c>
      <c r="U46" s="82">
        <f>IFERROR(VLOOKUP(ROWS($O$39:U45),'SelloutPlan v1Main'!$E$5:$AC$208,16,FALSE),"")</f>
        <v/>
      </c>
      <c r="V46" s="82">
        <f>IFERROR(IF(_xlfn.XLOOKUP(ROWS($O$39:W46), 'SelloutPlan v1Main'!$E$5:$E$208, 'SelloutPlan v1Main'!$X$5:$X$208) = 0, "", _xlfn.XLOOKUP(ROWS($O$39:W46), 'SelloutPlan v1Main'!$E$5:$E$208, 'SelloutPlan v1Main'!$X$5:$X$208)), "")</f>
        <v/>
      </c>
      <c r="W46" s="82">
        <f>IFERROR(IF(VLOOKUP(ROWS($O$39:X45), 'SelloutPlan v1Main'!$E$5:$AP$209, 25, FALSE) = 0, "", VLOOKUP(ROWS($O$39:X45), 'SelloutPlan v1Main'!$E$5:$AP$209, 24, FALSE)), "")</f>
        <v/>
      </c>
    </row>
    <row r="47" ht="17.4" customHeight="1" s="287">
      <c r="B47" s="15" t="n">
        <v>8</v>
      </c>
      <c r="C47" s="89">
        <f>IFERROR(VLOOKUP(ROWS($C$39:C46), 'SelloutPlan v1Main'!$D$5:$AC$208,12, FALSE), "")</f>
        <v/>
      </c>
      <c r="D47" s="89">
        <f>IFERROR(VLOOKUP(ROWS($C$39:D46), 'SelloutPlan v1Main'!$D$5:$AC$208,11, FALSE), "")</f>
        <v/>
      </c>
      <c r="E47" s="89">
        <f>IFERROR(VLOOKUP(ROWS($C$39:E46), 'SelloutPlan v1Main'!$D$5:$AC$208,9, FALSE), "")</f>
        <v/>
      </c>
      <c r="F47" s="89">
        <f>IFERROR(VLOOKUP(ROWS($C$39:F46), 'SelloutPlan v1Main'!$D$5:$AC$208,7, FALSE), "")</f>
        <v/>
      </c>
      <c r="G47" s="90">
        <f>IFERROR(VLOOKUP(ROWS($C$39:G46), 'SelloutPlan v1Main'!$D$5:$AC$208,16, FALSE), "")</f>
        <v/>
      </c>
      <c r="H47" s="122">
        <f>IFERROR(VLOOKUP(ROWS($C$39:G46), 'SelloutPlan v1Main'!$D$5:$AC$208,17, FALSE), "")</f>
        <v/>
      </c>
      <c r="I47" s="91">
        <f>IFERROR(VLOOKUP(ROWS($C$39:H46), 'SelloutPlan v1Main'!$D$5:$AC$208,3, FALSE), "")</f>
        <v/>
      </c>
      <c r="J47" s="91">
        <f>IFERROR(VLOOKUP(ROWS($C$39:I46), 'SelloutPlan v1Main'!$D$5:$AC$208,10, FALSE), "")</f>
        <v/>
      </c>
      <c r="K47" s="91">
        <f>IFERROR(VLOOKUP(ROWS($C$39:J46), 'SelloutPlan v1Main'!$D$5:$AC$208,14, FALSE), "")</f>
        <v/>
      </c>
      <c r="L47" s="50">
        <f>IFERROR(VLOOKUP(ROWS($C$39:K46), 'SelloutPlan v1Main'!$D$5:$AC$208,25, FALSE), "")</f>
        <v/>
      </c>
      <c r="M47" s="37" t="n"/>
      <c r="N47" s="37" t="n"/>
      <c r="O47" s="80">
        <f>IFERROR(VLOOKUP(ROWS($O$39:U46),'SelloutPlan v1Main'!$E$5:$AC$208,2,FALSE),"")</f>
        <v/>
      </c>
      <c r="P47" s="81">
        <f>IFERROR(VLOOKUP(ROWS($O$39:U46),'SelloutPlan v1Main'!$E$5:$AC$208,12,FALSE),"")</f>
        <v/>
      </c>
      <c r="Q47" s="81">
        <f>IFERROR(VLOOKUP(ROWS($O$39:V46),'SelloutPlan v1Main'!$E$5:$AC$208,13,FALSE),"")</f>
        <v/>
      </c>
      <c r="R47" s="82">
        <f>IFERROR(VLOOKUP(ROWS($O$39:U46),'SelloutPlan v1Main'!$E$5:$AC$208,7,FALSE),"")</f>
        <v/>
      </c>
      <c r="S47" s="83">
        <f>IFERROR(VLOOKUP(ROWS($O$39:U46),'SelloutPlan v1Main'!$E$5:$AC$208,11,FALSE),"")</f>
        <v/>
      </c>
      <c r="T47" s="80">
        <f>IFERROR(VLOOKUP(ROWS($O$39:U46),'SelloutPlan v1Main'!$E$5:$AC$208,10,FALSE),"")</f>
        <v/>
      </c>
      <c r="U47" s="82">
        <f>IFERROR(VLOOKUP(ROWS($O$39:U46),'SelloutPlan v1Main'!$E$5:$AC$208,16,FALSE),"")</f>
        <v/>
      </c>
      <c r="V47" s="82">
        <f>IFERROR(IF(_xlfn.XLOOKUP(ROWS($O$39:W47), 'SelloutPlan v1Main'!$E$5:$E$208, 'SelloutPlan v1Main'!$X$5:$X$208) = 0, "", _xlfn.XLOOKUP(ROWS($O$39:W47), 'SelloutPlan v1Main'!$E$5:$E$208, 'SelloutPlan v1Main'!$X$5:$X$208)), "")</f>
        <v/>
      </c>
      <c r="W47" s="82">
        <f>IFERROR(IF(VLOOKUP(ROWS($O$39:X46), 'SelloutPlan v1Main'!$E$5:$AP$209, 25, FALSE) = 0, "", VLOOKUP(ROWS($O$39:X46), 'SelloutPlan v1Main'!$E$5:$AP$209, 24, FALSE)), "")</f>
        <v/>
      </c>
    </row>
    <row r="48" ht="17.4" customHeight="1" s="287">
      <c r="B48" s="15" t="n">
        <v>9</v>
      </c>
      <c r="C48" s="89">
        <f>IFERROR(VLOOKUP(ROWS($C$39:C47), 'SelloutPlan v1Main'!$D$5:$AC$208,12, FALSE), "")</f>
        <v/>
      </c>
      <c r="D48" s="89">
        <f>IFERROR(VLOOKUP(ROWS($C$39:D47), 'SelloutPlan v1Main'!$D$5:$AC$208,11, FALSE), "")</f>
        <v/>
      </c>
      <c r="E48" s="89">
        <f>IFERROR(VLOOKUP(ROWS($C$39:E47), 'SelloutPlan v1Main'!$D$5:$AC$208,9, FALSE), "")</f>
        <v/>
      </c>
      <c r="F48" s="89">
        <f>IFERROR(VLOOKUP(ROWS($C$39:F47), 'SelloutPlan v1Main'!$D$5:$AC$208,7, FALSE), "")</f>
        <v/>
      </c>
      <c r="G48" s="90">
        <f>IFERROR(VLOOKUP(ROWS($C$39:G47), 'SelloutPlan v1Main'!$D$5:$AC$208,16, FALSE), "")</f>
        <v/>
      </c>
      <c r="H48" s="122">
        <f>IFERROR(VLOOKUP(ROWS($C$39:G47), 'SelloutPlan v1Main'!$D$5:$AC$208,17, FALSE), "")</f>
        <v/>
      </c>
      <c r="I48" s="91">
        <f>IFERROR(VLOOKUP(ROWS($C$39:H47), 'SelloutPlan v1Main'!$D$5:$AC$208,3, FALSE), "")</f>
        <v/>
      </c>
      <c r="J48" s="91">
        <f>IFERROR(VLOOKUP(ROWS($C$39:I47), 'SelloutPlan v1Main'!$D$5:$AC$208,10, FALSE), "")</f>
        <v/>
      </c>
      <c r="K48" s="91">
        <f>IFERROR(VLOOKUP(ROWS($C$39:J47), 'SelloutPlan v1Main'!$D$5:$AC$208,14, FALSE), "")</f>
        <v/>
      </c>
      <c r="L48" s="128">
        <f>IFERROR(VLOOKUP(ROWS($C$39:K47), 'SelloutPlan v1Main'!$D$5:$AC$208,25, FALSE), "")</f>
        <v/>
      </c>
      <c r="M48" s="37" t="n"/>
      <c r="N48" s="37" t="n"/>
      <c r="O48" s="80">
        <f>IFERROR(VLOOKUP(ROWS($O$39:U47),'SelloutPlan v1Main'!$E$5:$AC$208,2,FALSE),"")</f>
        <v/>
      </c>
      <c r="P48" s="81">
        <f>IFERROR(VLOOKUP(ROWS($O$39:U47),'SelloutPlan v1Main'!$E$5:$AC$208,12,FALSE),"")</f>
        <v/>
      </c>
      <c r="Q48" s="81">
        <f>IFERROR(VLOOKUP(ROWS($O$39:V47),'SelloutPlan v1Main'!$E$5:$AC$208,13,FALSE),"")</f>
        <v/>
      </c>
      <c r="R48" s="82">
        <f>IFERROR(VLOOKUP(ROWS($O$39:U47),'SelloutPlan v1Main'!$E$5:$AC$208,7,FALSE),"")</f>
        <v/>
      </c>
      <c r="S48" s="83">
        <f>IFERROR(VLOOKUP(ROWS($O$39:U47),'SelloutPlan v1Main'!$E$5:$AC$208,11,FALSE),"")</f>
        <v/>
      </c>
      <c r="T48" s="80">
        <f>IFERROR(VLOOKUP(ROWS($O$39:U47),'SelloutPlan v1Main'!$E$5:$AC$208,10,FALSE),"")</f>
        <v/>
      </c>
      <c r="U48" s="82">
        <f>IFERROR(VLOOKUP(ROWS($O$39:U47),'SelloutPlan v1Main'!$E$5:$AC$208,16,FALSE),"")</f>
        <v/>
      </c>
      <c r="V48" s="82">
        <f>IFERROR(IF(_xlfn.XLOOKUP(ROWS($O$39:W48), 'SelloutPlan v1Main'!$E$5:$E$208, 'SelloutPlan v1Main'!$X$5:$X$208) = 0, "", _xlfn.XLOOKUP(ROWS($O$39:W48), 'SelloutPlan v1Main'!$E$5:$E$208, 'SelloutPlan v1Main'!$X$5:$X$208)), "")</f>
        <v/>
      </c>
      <c r="W48" s="82">
        <f>IFERROR(IF(VLOOKUP(ROWS($O$39:X47), 'SelloutPlan v1Main'!$E$5:$AP$209, 25, FALSE) = 0, "", VLOOKUP(ROWS($O$39:X47), 'SelloutPlan v1Main'!$E$5:$AP$209, 24, FALSE)), "")</f>
        <v/>
      </c>
    </row>
    <row r="49" ht="17.4" customHeight="1" s="287">
      <c r="B49" s="15" t="n">
        <v>10</v>
      </c>
      <c r="C49" s="89">
        <f>IFERROR(VLOOKUP(ROWS($C$39:C48), 'SelloutPlan v1Main'!$D$5:$AC$208,12, FALSE), "")</f>
        <v/>
      </c>
      <c r="D49" s="89">
        <f>IFERROR(VLOOKUP(ROWS($C$39:D48), 'SelloutPlan v1Main'!$D$5:$AC$208,11, FALSE), "")</f>
        <v/>
      </c>
      <c r="E49" s="89">
        <f>IFERROR(VLOOKUP(ROWS($C$39:E48), 'SelloutPlan v1Main'!$D$5:$AC$208,9, FALSE), "")</f>
        <v/>
      </c>
      <c r="F49" s="89">
        <f>IFERROR(VLOOKUP(ROWS($C$39:F48), 'SelloutPlan v1Main'!$D$5:$AC$208,7, FALSE), "")</f>
        <v/>
      </c>
      <c r="G49" s="90">
        <f>IFERROR(VLOOKUP(ROWS($C$39:G48), 'SelloutPlan v1Main'!$D$5:$AC$208,16, FALSE), "")</f>
        <v/>
      </c>
      <c r="H49" s="122">
        <f>IFERROR(VLOOKUP(ROWS($C$39:G48), 'SelloutPlan v1Main'!$D$5:$AC$208,17, FALSE), "")</f>
        <v/>
      </c>
      <c r="I49" s="91">
        <f>IFERROR(VLOOKUP(ROWS($C$39:H48), 'SelloutPlan v1Main'!$D$5:$AC$208,3, FALSE), "")</f>
        <v/>
      </c>
      <c r="J49" s="91">
        <f>IFERROR(VLOOKUP(ROWS($C$39:I48), 'SelloutPlan v1Main'!$D$5:$AC$208,10, FALSE), "")</f>
        <v/>
      </c>
      <c r="K49" s="91">
        <f>IFERROR(VLOOKUP(ROWS($C$39:J48), 'SelloutPlan v1Main'!$D$5:$AC$208,14, FALSE), "")</f>
        <v/>
      </c>
      <c r="L49" s="128">
        <f>IFERROR(VLOOKUP(ROWS($C$39:K48), 'SelloutPlan v1Main'!$D$5:$AC$208,25, FALSE), "")</f>
        <v/>
      </c>
      <c r="M49" s="37" t="n"/>
      <c r="N49" s="37" t="n"/>
      <c r="O49" s="80">
        <f>IFERROR(VLOOKUP(ROWS($O$39:U48),'SelloutPlan v1Main'!$E$5:$AC$208,2,FALSE),"")</f>
        <v/>
      </c>
      <c r="P49" s="81">
        <f>IFERROR(VLOOKUP(ROWS($O$39:U48),'SelloutPlan v1Main'!$E$5:$AC$208,12,FALSE),"")</f>
        <v/>
      </c>
      <c r="Q49" s="81">
        <f>IFERROR(VLOOKUP(ROWS($O$39:V48),'SelloutPlan v1Main'!$E$5:$AC$208,13,FALSE),"")</f>
        <v/>
      </c>
      <c r="R49" s="82">
        <f>IFERROR(VLOOKUP(ROWS($O$39:U48),'SelloutPlan v1Main'!$E$5:$AC$208,7,FALSE),"")</f>
        <v/>
      </c>
      <c r="S49" s="83">
        <f>IFERROR(VLOOKUP(ROWS($O$39:U48),'SelloutPlan v1Main'!$E$5:$AC$208,11,FALSE),"")</f>
        <v/>
      </c>
      <c r="T49" s="80">
        <f>IFERROR(VLOOKUP(ROWS($O$39:U48),'SelloutPlan v1Main'!$E$5:$AC$208,10,FALSE),"")</f>
        <v/>
      </c>
      <c r="U49" s="82">
        <f>IFERROR(VLOOKUP(ROWS($O$39:U48),'SelloutPlan v1Main'!$E$5:$AC$208,16,FALSE),"")</f>
        <v/>
      </c>
      <c r="V49" s="82">
        <f>IFERROR(IF(_xlfn.XLOOKUP(ROWS($O$39:W49), 'SelloutPlan v1Main'!$E$5:$E$208, 'SelloutPlan v1Main'!$X$5:$X$208) = 0, "", _xlfn.XLOOKUP(ROWS($O$39:W49), 'SelloutPlan v1Main'!$E$5:$E$208, 'SelloutPlan v1Main'!$X$5:$X$208)), "")</f>
        <v/>
      </c>
      <c r="W49" s="82">
        <f>IFERROR(IF(VLOOKUP(ROWS($O$39:X48), 'SelloutPlan v1Main'!$E$5:$AP$209, 25, FALSE) = 0, "", VLOOKUP(ROWS($O$39:X48), 'SelloutPlan v1Main'!$E$5:$AP$209, 24, FALSE)), "")</f>
        <v/>
      </c>
    </row>
    <row r="50" ht="17.4" customHeight="1" s="287">
      <c r="B50" s="15" t="n">
        <v>11</v>
      </c>
      <c r="C50" s="89">
        <f>IFERROR(VLOOKUP(ROWS($C$39:C49), 'SelloutPlan v1Main'!$D$5:$AC$208,12, FALSE), "")</f>
        <v/>
      </c>
      <c r="D50" s="17">
        <f>IFERROR(VLOOKUP(ROWS($C$39:D49), 'SelloutPlan v1Main'!$D$5:$AC$208,11, FALSE), "")</f>
        <v/>
      </c>
      <c r="E50" s="17">
        <f>IFERROR(VLOOKUP(ROWS($C$39:E49), 'SelloutPlan v1Main'!$D$5:$AC$208,9, FALSE), "")</f>
        <v/>
      </c>
      <c r="F50" s="89">
        <f>IFERROR(VLOOKUP(ROWS($C$39:F49), 'SelloutPlan v1Main'!$D$5:$AC$208,7, FALSE), "")</f>
        <v/>
      </c>
      <c r="G50" s="90">
        <f>IFERROR(VLOOKUP(ROWS($C$39:G49), 'SelloutPlan v1Main'!$D$5:$AC$208,16, FALSE), "")</f>
        <v/>
      </c>
      <c r="H50" s="122">
        <f>IFERROR(VLOOKUP(ROWS($C$39:G49), 'SelloutPlan v1Main'!$D$5:$AC$208,17, FALSE), "")</f>
        <v/>
      </c>
      <c r="I50" s="91">
        <f>IFERROR(VLOOKUP(ROWS($C$39:H49), 'SelloutPlan v1Main'!$D$5:$AC$208,3, FALSE), "")</f>
        <v/>
      </c>
      <c r="J50" s="91">
        <f>IFERROR(VLOOKUP(ROWS($C$39:I49), 'SelloutPlan v1Main'!$D$5:$AC$208,10, FALSE), "")</f>
        <v/>
      </c>
      <c r="K50" s="91">
        <f>IFERROR(VLOOKUP(ROWS($C$39:J49), 'SelloutPlan v1Main'!$D$5:$AC$208,14, FALSE), "")</f>
        <v/>
      </c>
      <c r="L50" s="128">
        <f>IFERROR(VLOOKUP(ROWS($C$39:K49), 'SelloutPlan v1Main'!$D$5:$AC$208,25, FALSE), "")</f>
        <v/>
      </c>
      <c r="O50" s="26">
        <f>IFERROR(VLOOKUP(ROWS($O$39:U49),'SelloutPlan v1Main'!$E$5:$AC$208,2,FALSE),"")</f>
        <v/>
      </c>
      <c r="P50" s="30">
        <f>IFERROR(VLOOKUP(ROWS($O$39:U49),'SelloutPlan v1Main'!$E$5:$AC$208,12,FALSE),"")</f>
        <v/>
      </c>
      <c r="Q50" s="81">
        <f>IFERROR(VLOOKUP(ROWS($O$39:V49),'SelloutPlan v1Main'!$E$5:$AC$208,13,FALSE),"")</f>
        <v/>
      </c>
      <c r="R50" s="27">
        <f>IFERROR(VLOOKUP(ROWS($O$39:U49),'SelloutPlan v1Main'!$E$5:$AC$208,7,FALSE),"")</f>
        <v/>
      </c>
      <c r="S50" s="39">
        <f>IFERROR(VLOOKUP(ROWS($O$39:U49),'SelloutPlan v1Main'!$E$5:$AC$208,11,FALSE),"")</f>
        <v/>
      </c>
      <c r="T50" s="26">
        <f>IFERROR(VLOOKUP(ROWS($O$39:U49),'SelloutPlan v1Main'!$E$5:$AC$208,10,FALSE),"")</f>
        <v/>
      </c>
      <c r="U50" s="82">
        <f>IFERROR(VLOOKUP(ROWS($O$39:U49),'SelloutPlan v1Main'!$E$5:$AC$208,16,FALSE),"")</f>
        <v/>
      </c>
      <c r="V50" s="27">
        <f>IFERROR(IF(_xlfn.XLOOKUP(ROWS($O$39:W50), 'SelloutPlan v1Main'!$E$5:$E$208, 'SelloutPlan v1Main'!$X$5:$X$208) = 0, "", _xlfn.XLOOKUP(ROWS($O$39:W50), 'SelloutPlan v1Main'!$E$5:$E$208, 'SelloutPlan v1Main'!$X$5:$X$208)), "")</f>
        <v/>
      </c>
      <c r="W50" s="82">
        <f>IFERROR(IF(VLOOKUP(ROWS($O$39:X49), 'SelloutPlan v1Main'!$E$5:$AP$209, 25, FALSE) = 0, "", VLOOKUP(ROWS($O$39:X49), 'SelloutPlan v1Main'!$E$5:$AP$209, 24, FALSE)), "")</f>
        <v/>
      </c>
    </row>
    <row r="51" ht="17.4" customHeight="1" s="287">
      <c r="B51" s="15" t="n">
        <v>12</v>
      </c>
      <c r="C51" s="89">
        <f>IFERROR(VLOOKUP(ROWS($C$39:C50), 'SelloutPlan v1Main'!$D$5:$AC$208,12, FALSE), "")</f>
        <v/>
      </c>
      <c r="D51" s="17">
        <f>IFERROR(VLOOKUP(ROWS($C$39:D50), 'SelloutPlan v1Main'!$D$5:$AC$208,11, FALSE), "")</f>
        <v/>
      </c>
      <c r="E51" s="17">
        <f>IFERROR(VLOOKUP(ROWS($C$39:E50), 'SelloutPlan v1Main'!$D$5:$AC$208,9, FALSE), "")</f>
        <v/>
      </c>
      <c r="F51" s="89">
        <f>IFERROR(VLOOKUP(ROWS($C$39:F50), 'SelloutPlan v1Main'!$D$5:$AC$208,7, FALSE), "")</f>
        <v/>
      </c>
      <c r="G51" s="90">
        <f>IFERROR(VLOOKUP(ROWS($C$39:G50), 'SelloutPlan v1Main'!$D$5:$AC$208,16, FALSE), "")</f>
        <v/>
      </c>
      <c r="H51" s="122">
        <f>IFERROR(VLOOKUP(ROWS($C$39:G50), 'SelloutPlan v1Main'!$D$5:$AC$208,17, FALSE), "")</f>
        <v/>
      </c>
      <c r="I51" s="91">
        <f>IFERROR(VLOOKUP(ROWS($C$39:H50), 'SelloutPlan v1Main'!$D$5:$AC$208,3, FALSE), "")</f>
        <v/>
      </c>
      <c r="J51" s="91">
        <f>IFERROR(VLOOKUP(ROWS($C$39:I50), 'SelloutPlan v1Main'!$D$5:$AC$208,10, FALSE), "")</f>
        <v/>
      </c>
      <c r="K51" s="91">
        <f>IFERROR(VLOOKUP(ROWS($C$39:J50), 'SelloutPlan v1Main'!$D$5:$AC$208,14, FALSE), "")</f>
        <v/>
      </c>
      <c r="L51" s="128">
        <f>IFERROR(VLOOKUP(ROWS($C$39:K50), 'SelloutPlan v1Main'!$D$5:$AC$208,25, FALSE), "")</f>
        <v/>
      </c>
      <c r="O51" s="26">
        <f>IFERROR(VLOOKUP(ROWS($O$39:U50),'SelloutPlan v1Main'!$E$5:$AC$208,2,FALSE),"")</f>
        <v/>
      </c>
      <c r="P51" s="30">
        <f>IFERROR(VLOOKUP(ROWS($O$39:U50),'SelloutPlan v1Main'!$E$5:$AC$208,12,FALSE),"")</f>
        <v/>
      </c>
      <c r="Q51" s="81">
        <f>IFERROR(VLOOKUP(ROWS($O$39:V50),'SelloutPlan v1Main'!$E$5:$AC$208,13,FALSE),"")</f>
        <v/>
      </c>
      <c r="R51" s="27">
        <f>IFERROR(VLOOKUP(ROWS($O$39:U50),'SelloutPlan v1Main'!$E$5:$AC$208,7,FALSE),"")</f>
        <v/>
      </c>
      <c r="S51" s="39">
        <f>IFERROR(VLOOKUP(ROWS($O$39:U50),'SelloutPlan v1Main'!$E$5:$AC$208,11,FALSE),"")</f>
        <v/>
      </c>
      <c r="T51" s="26">
        <f>IFERROR(VLOOKUP(ROWS($O$39:U50),'SelloutPlan v1Main'!$E$5:$AC$208,10,FALSE),"")</f>
        <v/>
      </c>
      <c r="U51" s="82">
        <f>IFERROR(VLOOKUP(ROWS($O$39:U50),'SelloutPlan v1Main'!$E$5:$AC$208,16,FALSE),"")</f>
        <v/>
      </c>
      <c r="V51" s="27">
        <f>IFERROR(IF(_xlfn.XLOOKUP(ROWS($O$39:W51), 'SelloutPlan v1Main'!$E$5:$E$208, 'SelloutPlan v1Main'!$X$5:$X$208) = 0, "", _xlfn.XLOOKUP(ROWS($O$39:W51), 'SelloutPlan v1Main'!$E$5:$E$208, 'SelloutPlan v1Main'!$X$5:$X$208)), "")</f>
        <v/>
      </c>
      <c r="W51" s="82">
        <f>IFERROR(IF(VLOOKUP(ROWS($O$39:X50), 'SelloutPlan v1Main'!$E$5:$AP$209, 25, FALSE) = 0, "", VLOOKUP(ROWS($O$39:X50), 'SelloutPlan v1Main'!$E$5:$AP$209, 24, FALSE)), "")</f>
        <v/>
      </c>
    </row>
    <row r="52" ht="17.4" customHeight="1" s="287">
      <c r="B52" s="15" t="n">
        <v>13</v>
      </c>
      <c r="C52" s="89">
        <f>IFERROR(VLOOKUP(ROWS($C$39:C51), 'SelloutPlan v1Main'!$D$5:$AC$208,12, FALSE), "")</f>
        <v/>
      </c>
      <c r="D52" s="17">
        <f>IFERROR(VLOOKUP(ROWS($C$39:D51), 'SelloutPlan v1Main'!$D$5:$AC$208,11, FALSE), "")</f>
        <v/>
      </c>
      <c r="E52" s="17">
        <f>IFERROR(VLOOKUP(ROWS($C$39:E51), 'SelloutPlan v1Main'!$D$5:$AC$208,9, FALSE), "")</f>
        <v/>
      </c>
      <c r="F52" s="89">
        <f>IFERROR(VLOOKUP(ROWS($C$39:F51), 'SelloutPlan v1Main'!$D$5:$AC$208,7, FALSE), "")</f>
        <v/>
      </c>
      <c r="G52" s="90">
        <f>IFERROR(VLOOKUP(ROWS($C$39:G51), 'SelloutPlan v1Main'!$D$5:$AC$208,16, FALSE), "")</f>
        <v/>
      </c>
      <c r="H52" s="122">
        <f>IFERROR(VLOOKUP(ROWS($C$39:G51), 'SelloutPlan v1Main'!$D$5:$AC$208,17, FALSE), "")</f>
        <v/>
      </c>
      <c r="I52" s="91">
        <f>IFERROR(VLOOKUP(ROWS($C$39:H51), 'SelloutPlan v1Main'!$D$5:$AC$208,3, FALSE), "")</f>
        <v/>
      </c>
      <c r="J52" s="91">
        <f>IFERROR(VLOOKUP(ROWS($C$39:I51), 'SelloutPlan v1Main'!$D$5:$AC$208,10, FALSE), "")</f>
        <v/>
      </c>
      <c r="K52" s="91">
        <f>IFERROR(VLOOKUP(ROWS($C$39:J51), 'SelloutPlan v1Main'!$D$5:$AC$208,14, FALSE), "")</f>
        <v/>
      </c>
      <c r="L52" s="128">
        <f>IFERROR(VLOOKUP(ROWS($C$39:K51), 'SelloutPlan v1Main'!$D$5:$AC$208,25, FALSE), "")</f>
        <v/>
      </c>
      <c r="O52" s="26">
        <f>IFERROR(VLOOKUP(ROWS($O$39:U51),'SelloutPlan v1Main'!$E$5:$AC$208,2,FALSE),"")</f>
        <v/>
      </c>
      <c r="P52" s="30">
        <f>IFERROR(VLOOKUP(ROWS($O$39:U51),'SelloutPlan v1Main'!$E$5:$AC$208,12,FALSE),"")</f>
        <v/>
      </c>
      <c r="Q52" s="81">
        <f>IFERROR(VLOOKUP(ROWS($O$39:V51),'SelloutPlan v1Main'!$E$5:$AC$208,13,FALSE),"")</f>
        <v/>
      </c>
      <c r="R52" s="27">
        <f>IFERROR(VLOOKUP(ROWS($O$39:U51),'SelloutPlan v1Main'!$E$5:$AC$208,7,FALSE),"")</f>
        <v/>
      </c>
      <c r="S52" s="39">
        <f>IFERROR(VLOOKUP(ROWS($O$39:U51),'SelloutPlan v1Main'!$E$5:$AC$208,11,FALSE),"")</f>
        <v/>
      </c>
      <c r="T52" s="26">
        <f>IFERROR(VLOOKUP(ROWS($O$39:U51),'SelloutPlan v1Main'!$E$5:$AC$208,10,FALSE),"")</f>
        <v/>
      </c>
      <c r="U52" s="82">
        <f>IFERROR(VLOOKUP(ROWS($O$39:U51),'SelloutPlan v1Main'!$E$5:$AC$208,16,FALSE),"")</f>
        <v/>
      </c>
      <c r="V52" s="27">
        <f>IFERROR(IF(_xlfn.XLOOKUP(ROWS($O$39:W52), 'SelloutPlan v1Main'!$E$5:$E$208, 'SelloutPlan v1Main'!$X$5:$X$208) = 0, "", _xlfn.XLOOKUP(ROWS($O$39:W52), 'SelloutPlan v1Main'!$E$5:$E$208, 'SelloutPlan v1Main'!$X$5:$X$208)), "")</f>
        <v/>
      </c>
      <c r="W52" s="82">
        <f>IFERROR(IF(VLOOKUP(ROWS($O$39:X51), 'SelloutPlan v1Main'!$E$5:$AP$209, 25, FALSE) = 0, "", VLOOKUP(ROWS($O$39:X51), 'SelloutPlan v1Main'!$E$5:$AP$209, 24, FALSE)), "")</f>
        <v/>
      </c>
    </row>
    <row r="53" ht="17.4" customHeight="1" s="287">
      <c r="B53" s="15" t="n">
        <v>14</v>
      </c>
      <c r="C53" s="89">
        <f>IFERROR(VLOOKUP(ROWS($C$39:C52), 'SelloutPlan v1Main'!$D$5:$AC$208,12, FALSE), "")</f>
        <v/>
      </c>
      <c r="D53" s="17">
        <f>IFERROR(VLOOKUP(ROWS($C$39:D52), 'SelloutPlan v1Main'!$D$5:$AC$208,11, FALSE), "")</f>
        <v/>
      </c>
      <c r="E53" s="17">
        <f>IFERROR(VLOOKUP(ROWS($C$39:E52), 'SelloutPlan v1Main'!$D$5:$AC$208,9, FALSE), "")</f>
        <v/>
      </c>
      <c r="F53" s="89">
        <f>IFERROR(VLOOKUP(ROWS($C$39:F52), 'SelloutPlan v1Main'!$D$5:$AC$208,7, FALSE), "")</f>
        <v/>
      </c>
      <c r="G53" s="90">
        <f>IFERROR(VLOOKUP(ROWS($C$39:G52), 'SelloutPlan v1Main'!$D$5:$AC$208,16, FALSE), "")</f>
        <v/>
      </c>
      <c r="H53" s="122">
        <f>IFERROR(VLOOKUP(ROWS($C$39:G52), 'SelloutPlan v1Main'!$D$5:$AC$208,17, FALSE), "")</f>
        <v/>
      </c>
      <c r="I53" s="91">
        <f>IFERROR(VLOOKUP(ROWS($C$39:H52), 'SelloutPlan v1Main'!$D$5:$AC$208,3, FALSE), "")</f>
        <v/>
      </c>
      <c r="J53" s="91">
        <f>IFERROR(VLOOKUP(ROWS($C$39:I52), 'SelloutPlan v1Main'!$D$5:$AC$208,10, FALSE), "")</f>
        <v/>
      </c>
      <c r="K53" s="91">
        <f>IFERROR(VLOOKUP(ROWS($C$39:J52), 'SelloutPlan v1Main'!$D$5:$AC$208,14, FALSE), "")</f>
        <v/>
      </c>
      <c r="L53" s="128">
        <f>IFERROR(VLOOKUP(ROWS($C$39:K52), 'SelloutPlan v1Main'!$D$5:$AC$208,10, FALSE), "")</f>
        <v/>
      </c>
      <c r="O53" s="26">
        <f>IFERROR(VLOOKUP(ROWS($O$39:U52),'SelloutPlan v1Main'!$E$5:$AC$208,2,FALSE),"")</f>
        <v/>
      </c>
      <c r="P53" s="30">
        <f>IFERROR(VLOOKUP(ROWS($O$39:U52),'SelloutPlan v1Main'!$E$5:$AC$208,12,FALSE),"")</f>
        <v/>
      </c>
      <c r="Q53" s="81">
        <f>IFERROR(VLOOKUP(ROWS($O$39:V52),'SelloutPlan v1Main'!$E$5:$AC$208,13,FALSE),"")</f>
        <v/>
      </c>
      <c r="R53" s="27">
        <f>IFERROR(VLOOKUP(ROWS($O$39:U52),'SelloutPlan v1Main'!$E$5:$AC$208,7,FALSE),"")</f>
        <v/>
      </c>
      <c r="S53" s="39">
        <f>IFERROR(VLOOKUP(ROWS($O$39:U52),'SelloutPlan v1Main'!$E$5:$AC$208,11,FALSE),"")</f>
        <v/>
      </c>
      <c r="T53" s="26">
        <f>IFERROR(VLOOKUP(ROWS($O$39:U52),'SelloutPlan v1Main'!$E$5:$AC$208,10,FALSE),"")</f>
        <v/>
      </c>
      <c r="U53" s="82">
        <f>IFERROR(VLOOKUP(ROWS($O$39:U52),'SelloutPlan v1Main'!$E$5:$AC$208,16,FALSE),"")</f>
        <v/>
      </c>
      <c r="V53" s="27">
        <f>IFERROR(IF(_xlfn.XLOOKUP(ROWS($O$39:W53), 'SelloutPlan v1Main'!$E$5:$E$208, 'SelloutPlan v1Main'!$X$5:$X$208) = 0, "", _xlfn.XLOOKUP(ROWS($O$39:W53), 'SelloutPlan v1Main'!$E$5:$E$208, 'SelloutPlan v1Main'!$X$5:$X$208)), "")</f>
        <v/>
      </c>
      <c r="W53" s="82">
        <f>IFERROR(IF(VLOOKUP(ROWS($O$39:X52), 'SelloutPlan v1Main'!$E$5:$AP$209, 25, FALSE) = 0, "", VLOOKUP(ROWS($O$39:X52), 'SelloutPlan v1Main'!$E$5:$AP$209, 24, FALSE)), "")</f>
        <v/>
      </c>
    </row>
    <row r="54" ht="17.4" customHeight="1" s="287">
      <c r="B54" s="15" t="n">
        <v>15</v>
      </c>
      <c r="C54" s="89">
        <f>IFERROR(VLOOKUP(ROWS($C$39:C53), 'SelloutPlan v1Main'!$D$5:$AC$208,12, FALSE), "")</f>
        <v/>
      </c>
      <c r="D54" s="17">
        <f>IFERROR(VLOOKUP(ROWS($C$39:D53), 'SelloutPlan v1Main'!$D$5:$AC$208,11, FALSE), "")</f>
        <v/>
      </c>
      <c r="E54" s="17">
        <f>IFERROR(VLOOKUP(ROWS($C$39:E53), 'SelloutPlan v1Main'!$D$5:$AC$208,9, FALSE), "")</f>
        <v/>
      </c>
      <c r="F54" s="89">
        <f>IFERROR(VLOOKUP(ROWS($C$39:F53), 'SelloutPlan v1Main'!$D$5:$AC$208,7, FALSE), "")</f>
        <v/>
      </c>
      <c r="G54" s="90">
        <f>IFERROR(VLOOKUP(ROWS($C$39:G53), 'SelloutPlan v1Main'!$D$5:$AC$208,16, FALSE), "")</f>
        <v/>
      </c>
      <c r="H54" s="122">
        <f>IFERROR(VLOOKUP(ROWS($C$39:G53), 'SelloutPlan v1Main'!$D$5:$AC$208,17, FALSE), "")</f>
        <v/>
      </c>
      <c r="I54" s="91">
        <f>IFERROR(VLOOKUP(ROWS($C$39:H53), 'SelloutPlan v1Main'!$D$5:$AC$208,3, FALSE), "")</f>
        <v/>
      </c>
      <c r="J54" s="91">
        <f>IFERROR(VLOOKUP(ROWS($C$39:I53), 'SelloutPlan v1Main'!$D$5:$AC$208,10, FALSE), "")</f>
        <v/>
      </c>
      <c r="K54" s="91">
        <f>IFERROR(VLOOKUP(ROWS($C$39:J53), 'SelloutPlan v1Main'!$D$5:$AC$208,14, FALSE), "")</f>
        <v/>
      </c>
      <c r="L54" s="128">
        <f>IFERROR(VLOOKUP(ROWS($C$39:K53), 'SelloutPlan v1Main'!$D$5:$AC$208,10, FALSE), "")</f>
        <v/>
      </c>
      <c r="O54" s="26">
        <f>IFERROR(VLOOKUP(ROWS($O$39:U53),'SelloutPlan v1Main'!$E$5:$AC$208,2,FALSE),"")</f>
        <v/>
      </c>
      <c r="P54" s="30">
        <f>IFERROR(VLOOKUP(ROWS($O$39:U53),'SelloutPlan v1Main'!$E$5:$AC$208,12,FALSE),"")</f>
        <v/>
      </c>
      <c r="Q54" s="81">
        <f>IFERROR(VLOOKUP(ROWS($O$39:V53),'SelloutPlan v1Main'!$E$5:$AC$208,13,FALSE),"")</f>
        <v/>
      </c>
      <c r="R54" s="27">
        <f>IFERROR(VLOOKUP(ROWS($O$39:U53),'SelloutPlan v1Main'!$E$5:$AC$208,7,FALSE),"")</f>
        <v/>
      </c>
      <c r="S54" s="39">
        <f>IFERROR(VLOOKUP(ROWS($O$39:U53),'SelloutPlan v1Main'!$E$5:$AC$208,11,FALSE),"")</f>
        <v/>
      </c>
      <c r="T54" s="26">
        <f>IFERROR(VLOOKUP(ROWS($O$39:U53),'SelloutPlan v1Main'!$E$5:$AC$208,10,FALSE),"")</f>
        <v/>
      </c>
      <c r="U54" s="82">
        <f>IFERROR(VLOOKUP(ROWS($O$39:U53),'SelloutPlan v1Main'!$E$5:$AC$208,16,FALSE),"")</f>
        <v/>
      </c>
      <c r="V54" s="27">
        <f>IFERROR(IF(_xlfn.XLOOKUP(ROWS($O$39:W54), 'SelloutPlan v1Main'!$E$5:$E$208, 'SelloutPlan v1Main'!$X$5:$X$208) = 0, "", _xlfn.XLOOKUP(ROWS($O$39:W54), 'SelloutPlan v1Main'!$E$5:$E$208, 'SelloutPlan v1Main'!$X$5:$X$208)), "")</f>
        <v/>
      </c>
      <c r="W54" s="82">
        <f>IFERROR(IF(VLOOKUP(ROWS($O$39:X53), 'SelloutPlan v1Main'!$E$5:$AP$209, 25, FALSE) = 0, "", VLOOKUP(ROWS($O$39:X53), 'SelloutPlan v1Main'!$E$5:$AP$209, 24, FALSE)), "")</f>
        <v/>
      </c>
    </row>
    <row r="55" ht="17.4" customHeight="1" s="287">
      <c r="B55" s="15" t="n">
        <v>16</v>
      </c>
      <c r="C55" s="89">
        <f>IFERROR(VLOOKUP(ROWS($C$39:C54), 'SelloutPlan v1Main'!$D$5:$AC$208,12, FALSE), "")</f>
        <v/>
      </c>
      <c r="D55" s="17">
        <f>IFERROR(VLOOKUP(ROWS($C$39:D54), 'SelloutPlan v1Main'!$D$5:$AC$208,11, FALSE), "")</f>
        <v/>
      </c>
      <c r="E55" s="17">
        <f>IFERROR(VLOOKUP(ROWS($C$39:E54), 'SelloutPlan v1Main'!$D$5:$AC$208,9, FALSE), "")</f>
        <v/>
      </c>
      <c r="F55" s="89">
        <f>IFERROR(VLOOKUP(ROWS($C$39:F54), 'SelloutPlan v1Main'!$D$5:$AC$208,7, FALSE), "")</f>
        <v/>
      </c>
      <c r="G55" s="90">
        <f>IFERROR(VLOOKUP(ROWS($C$39:G54), 'SelloutPlan v1Main'!$D$5:$AC$208,16, FALSE), "")</f>
        <v/>
      </c>
      <c r="H55" s="122">
        <f>IFERROR(VLOOKUP(ROWS($C$39:G54), 'SelloutPlan v1Main'!$D$5:$AC$208,17, FALSE), "")</f>
        <v/>
      </c>
      <c r="I55" s="91">
        <f>IFERROR(VLOOKUP(ROWS($C$39:H54), 'SelloutPlan v1Main'!$D$5:$AC$208,3, FALSE), "")</f>
        <v/>
      </c>
      <c r="J55" s="91">
        <f>IFERROR(VLOOKUP(ROWS($C$39:I54), 'SelloutPlan v1Main'!$D$5:$AC$208,10, FALSE), "")</f>
        <v/>
      </c>
      <c r="K55" s="91">
        <f>IFERROR(VLOOKUP(ROWS($C$39:J54), 'SelloutPlan v1Main'!$D$5:$AC$208,14, FALSE), "")</f>
        <v/>
      </c>
      <c r="L55" s="128">
        <f>IFERROR(VLOOKUP(ROWS($C$39:K54), 'SelloutPlan v1Main'!$D$5:$AC$208,10, FALSE), "")</f>
        <v/>
      </c>
      <c r="O55" s="26">
        <f>IFERROR(VLOOKUP(ROWS($O$39:U54),'SelloutPlan v1Main'!$E$5:$AC$208,2,FALSE),"")</f>
        <v/>
      </c>
      <c r="P55" s="30">
        <f>IFERROR(VLOOKUP(ROWS($O$39:U54),'SelloutPlan v1Main'!$E$5:$AC$208,12,FALSE),"")</f>
        <v/>
      </c>
      <c r="Q55" s="81">
        <f>IFERROR(VLOOKUP(ROWS($O$39:V54),'SelloutPlan v1Main'!$E$5:$AC$208,13,FALSE),"")</f>
        <v/>
      </c>
      <c r="R55" s="27">
        <f>IFERROR(VLOOKUP(ROWS($O$39:U54),'SelloutPlan v1Main'!$E$5:$AC$208,7,FALSE),"")</f>
        <v/>
      </c>
      <c r="S55" s="39">
        <f>IFERROR(VLOOKUP(ROWS($O$39:U54),'SelloutPlan v1Main'!$E$5:$AC$208,11,FALSE),"")</f>
        <v/>
      </c>
      <c r="T55" s="26">
        <f>IFERROR(VLOOKUP(ROWS($O$39:U54),'SelloutPlan v1Main'!$E$5:$AC$208,10,FALSE),"")</f>
        <v/>
      </c>
      <c r="U55" s="82">
        <f>IFERROR(VLOOKUP(ROWS($O$39:U54),'SelloutPlan v1Main'!$E$5:$AC$208,16,FALSE),"")</f>
        <v/>
      </c>
      <c r="V55" s="27">
        <f>IFERROR(IF(_xlfn.XLOOKUP(ROWS($O$39:W55), 'SelloutPlan v1Main'!$E$5:$E$208, 'SelloutPlan v1Main'!$X$5:$X$208) = 0, "", _xlfn.XLOOKUP(ROWS($O$39:W55), 'SelloutPlan v1Main'!$E$5:$E$208, 'SelloutPlan v1Main'!$X$5:$X$208)), "")</f>
        <v/>
      </c>
      <c r="W55" s="82">
        <f>IFERROR(IF(VLOOKUP(ROWS($O$39:X54), 'SelloutPlan v1Main'!$E$5:$AP$209, 25, FALSE) = 0, "", VLOOKUP(ROWS($O$39:X54), 'SelloutPlan v1Main'!$E$5:$AP$209, 24, FALSE)), "")</f>
        <v/>
      </c>
    </row>
    <row r="56" ht="17.4" customHeight="1" s="287">
      <c r="B56" s="15" t="n">
        <v>17</v>
      </c>
      <c r="C56" s="89">
        <f>IFERROR(VLOOKUP(ROWS($C$39:C55), 'SelloutPlan v1Main'!$D$5:$AC$208,12, FALSE), "")</f>
        <v/>
      </c>
      <c r="D56" s="17">
        <f>IFERROR(VLOOKUP(ROWS($C$39:D55), 'SelloutPlan v1Main'!$D$5:$AC$208,11, FALSE), "")</f>
        <v/>
      </c>
      <c r="E56" s="17">
        <f>IFERROR(VLOOKUP(ROWS($C$39:E55), 'SelloutPlan v1Main'!$D$5:$AC$208,9, FALSE), "")</f>
        <v/>
      </c>
      <c r="F56" s="89">
        <f>IFERROR(VLOOKUP(ROWS($C$39:F55), 'SelloutPlan v1Main'!$D$5:$AC$208,7, FALSE), "")</f>
        <v/>
      </c>
      <c r="G56" s="90">
        <f>IFERROR(VLOOKUP(ROWS($C$39:G55), 'SelloutPlan v1Main'!$D$5:$AC$208,16, FALSE), "")</f>
        <v/>
      </c>
      <c r="H56" s="122">
        <f>IFERROR(VLOOKUP(ROWS($C$39:G55), 'SelloutPlan v1Main'!$D$5:$AC$208,17, FALSE), "")</f>
        <v/>
      </c>
      <c r="I56" s="91">
        <f>IFERROR(VLOOKUP(ROWS($C$39:H55), 'SelloutPlan v1Main'!$D$5:$AC$208,3, FALSE), "")</f>
        <v/>
      </c>
      <c r="J56" s="91">
        <f>IFERROR(VLOOKUP(ROWS($C$39:I55), 'SelloutPlan v1Main'!$D$5:$AC$208,10, FALSE), "")</f>
        <v/>
      </c>
      <c r="K56" s="91">
        <f>IFERROR(VLOOKUP(ROWS($C$39:J55), 'SelloutPlan v1Main'!$D$5:$AC$208,14, FALSE), "")</f>
        <v/>
      </c>
      <c r="L56" s="128">
        <f>IFERROR(VLOOKUP(ROWS($C$39:K55), 'SelloutPlan v1Main'!$D$5:$AC$208,10, FALSE), "")</f>
        <v/>
      </c>
      <c r="O56" s="26">
        <f>IFERROR(VLOOKUP(ROWS($O$39:U55),'SelloutPlan v1Main'!$E$5:$AC$208,2,FALSE),"")</f>
        <v/>
      </c>
      <c r="P56" s="30">
        <f>IFERROR(VLOOKUP(ROWS($O$39:U55),'SelloutPlan v1Main'!$E$5:$AC$208,12,FALSE),"")</f>
        <v/>
      </c>
      <c r="Q56" s="81">
        <f>IFERROR(VLOOKUP(ROWS($O$39:V55),'SelloutPlan v1Main'!$E$5:$AC$208,13,FALSE),"")</f>
        <v/>
      </c>
      <c r="R56" s="27">
        <f>IFERROR(VLOOKUP(ROWS($O$39:U55),'SelloutPlan v1Main'!$E$5:$AC$208,7,FALSE),"")</f>
        <v/>
      </c>
      <c r="S56" s="39">
        <f>IFERROR(VLOOKUP(ROWS($O$39:U55),'SelloutPlan v1Main'!$E$5:$AC$208,11,FALSE),"")</f>
        <v/>
      </c>
      <c r="T56" s="26">
        <f>IFERROR(VLOOKUP(ROWS($O$39:U55),'SelloutPlan v1Main'!$E$5:$AC$208,10,FALSE),"")</f>
        <v/>
      </c>
      <c r="U56" s="82">
        <f>IFERROR(VLOOKUP(ROWS($O$39:U55),'SelloutPlan v1Main'!$E$5:$AC$208,16,FALSE),"")</f>
        <v/>
      </c>
      <c r="V56" s="27">
        <f>IFERROR(IF(_xlfn.XLOOKUP(ROWS($O$39:W56), 'SelloutPlan v1Main'!$E$5:$E$208, 'SelloutPlan v1Main'!$X$5:$X$208) = 0, "", _xlfn.XLOOKUP(ROWS($O$39:W56), 'SelloutPlan v1Main'!$E$5:$E$208, 'SelloutPlan v1Main'!$X$5:$X$208)), "")</f>
        <v/>
      </c>
      <c r="W56" s="82">
        <f>IFERROR(IF(VLOOKUP(ROWS($O$39:X55), 'SelloutPlan v1Main'!$E$5:$AP$209, 25, FALSE) = 0, "", VLOOKUP(ROWS($O$39:X55), 'SelloutPlan v1Main'!$E$5:$AP$209, 24, FALSE)), "")</f>
        <v/>
      </c>
    </row>
    <row r="57" ht="17.4" customHeight="1" s="287">
      <c r="B57" s="15" t="n">
        <v>18</v>
      </c>
      <c r="C57" s="89">
        <f>IFERROR(VLOOKUP(ROWS($C$39:C56), 'SelloutPlan v1Main'!$D$5:$AC$208,12, FALSE), "")</f>
        <v/>
      </c>
      <c r="D57" s="17">
        <f>IFERROR(VLOOKUP(ROWS($C$39:D56), 'SelloutPlan v1Main'!$D$5:$AC$208,11, FALSE), "")</f>
        <v/>
      </c>
      <c r="E57" s="17">
        <f>IFERROR(VLOOKUP(ROWS($C$39:E56), 'SelloutPlan v1Main'!$D$5:$AC$208,9, FALSE), "")</f>
        <v/>
      </c>
      <c r="F57" s="89">
        <f>IFERROR(VLOOKUP(ROWS($C$39:F56), 'SelloutPlan v1Main'!$D$5:$AC$208,7, FALSE), "")</f>
        <v/>
      </c>
      <c r="G57" s="90">
        <f>IFERROR(VLOOKUP(ROWS($C$39:G56), 'SelloutPlan v1Main'!$D$5:$AC$208,16, FALSE), "")</f>
        <v/>
      </c>
      <c r="H57" s="122">
        <f>IFERROR(VLOOKUP(ROWS($C$39:G56), 'SelloutPlan v1Main'!$D$5:$AC$208,17, FALSE), "")</f>
        <v/>
      </c>
      <c r="I57" s="91">
        <f>IFERROR(VLOOKUP(ROWS($C$39:H56), 'SelloutPlan v1Main'!$D$5:$AC$208,3, FALSE), "")</f>
        <v/>
      </c>
      <c r="J57" s="91">
        <f>IFERROR(VLOOKUP(ROWS($C$39:I56), 'SelloutPlan v1Main'!$D$5:$AC$208,10, FALSE), "")</f>
        <v/>
      </c>
      <c r="K57" s="91">
        <f>IFERROR(VLOOKUP(ROWS($C$39:J56), 'SelloutPlan v1Main'!$D$5:$AC$208,14, FALSE), "")</f>
        <v/>
      </c>
      <c r="L57" s="128">
        <f>IFERROR(VLOOKUP(ROWS($C$39:K56), 'SelloutPlan v1Main'!$D$5:$AC$208,10, FALSE), "")</f>
        <v/>
      </c>
      <c r="O57" s="26">
        <f>IFERROR(VLOOKUP(ROWS($O$39:U56),'SelloutPlan v1Main'!$E$5:$AC$208,2,FALSE),"")</f>
        <v/>
      </c>
      <c r="P57" s="30">
        <f>IFERROR(VLOOKUP(ROWS($O$39:U56),'SelloutPlan v1Main'!$E$5:$AC$208,12,FALSE),"")</f>
        <v/>
      </c>
      <c r="Q57" s="81">
        <f>IFERROR(VLOOKUP(ROWS($O$39:V56),'SelloutPlan v1Main'!$E$5:$AC$208,13,FALSE),"")</f>
        <v/>
      </c>
      <c r="R57" s="27">
        <f>IFERROR(VLOOKUP(ROWS($O$39:U56),'SelloutPlan v1Main'!$E$5:$AC$208,7,FALSE),"")</f>
        <v/>
      </c>
      <c r="S57" s="39">
        <f>IFERROR(VLOOKUP(ROWS($O$39:U56),'SelloutPlan v1Main'!$E$5:$AC$208,11,FALSE),"")</f>
        <v/>
      </c>
      <c r="T57" s="26">
        <f>IFERROR(VLOOKUP(ROWS($O$39:U56),'SelloutPlan v1Main'!$E$5:$AC$208,10,FALSE),"")</f>
        <v/>
      </c>
      <c r="U57" s="82">
        <f>IFERROR(VLOOKUP(ROWS($O$39:U56),'SelloutPlan v1Main'!$E$5:$AC$208,16,FALSE),"")</f>
        <v/>
      </c>
      <c r="V57" s="27">
        <f>IFERROR(IF(_xlfn.XLOOKUP(ROWS($O$39:W57), 'SelloutPlan v1Main'!$E$5:$E$208, 'SelloutPlan v1Main'!$X$5:$X$208) = 0, "", _xlfn.XLOOKUP(ROWS($O$39:W57), 'SelloutPlan v1Main'!$E$5:$E$208, 'SelloutPlan v1Main'!$X$5:$X$208)), "")</f>
        <v/>
      </c>
      <c r="W57" s="82">
        <f>IFERROR(IF(VLOOKUP(ROWS($O$39:X56), 'SelloutPlan v1Main'!$E$5:$AP$209, 25, FALSE) = 0, "", VLOOKUP(ROWS($O$39:X56), 'SelloutPlan v1Main'!$E$5:$AP$209, 24, FALSE)), "")</f>
        <v/>
      </c>
    </row>
    <row r="58" ht="17.4" customHeight="1" s="287">
      <c r="B58" s="15" t="n">
        <v>19</v>
      </c>
      <c r="C58" s="89">
        <f>IFERROR(VLOOKUP(ROWS($C$39:C57), 'SelloutPlan v1Main'!$D$5:$AC$208,12, FALSE), "")</f>
        <v/>
      </c>
      <c r="D58" s="17">
        <f>IFERROR(VLOOKUP(ROWS($C$39:D57), 'SelloutPlan v1Main'!$D$5:$AC$208,11, FALSE), "")</f>
        <v/>
      </c>
      <c r="E58" s="17">
        <f>IFERROR(VLOOKUP(ROWS($C$39:E57), 'SelloutPlan v1Main'!$D$5:$AC$208,9, FALSE), "")</f>
        <v/>
      </c>
      <c r="F58" s="89">
        <f>IFERROR(VLOOKUP(ROWS($C$39:F57), 'SelloutPlan v1Main'!$D$5:$AC$208,7, FALSE), "")</f>
        <v/>
      </c>
      <c r="G58" s="90">
        <f>IFERROR(VLOOKUP(ROWS($C$39:G57), 'SelloutPlan v1Main'!$D$5:$AC$208,16, FALSE), "")</f>
        <v/>
      </c>
      <c r="H58" s="122">
        <f>IFERROR(VLOOKUP(ROWS($C$39:G57), 'SelloutPlan v1Main'!$D$5:$AC$208,17, FALSE), "")</f>
        <v/>
      </c>
      <c r="I58" s="91">
        <f>IFERROR(VLOOKUP(ROWS($C$39:H57), 'SelloutPlan v1Main'!$D$5:$AC$208,3, FALSE), "")</f>
        <v/>
      </c>
      <c r="J58" s="91">
        <f>IFERROR(VLOOKUP(ROWS($C$39:I57), 'SelloutPlan v1Main'!$D$5:$AC$208,10, FALSE), "")</f>
        <v/>
      </c>
      <c r="K58" s="91">
        <f>IFERROR(VLOOKUP(ROWS($C$39:J57), 'SelloutPlan v1Main'!$D$5:$AC$208,14, FALSE), "")</f>
        <v/>
      </c>
      <c r="L58" s="128">
        <f>IFERROR(VLOOKUP(ROWS($C$39:K57), 'SelloutPlan v1Main'!$D$5:$AC$208,10, FALSE), "")</f>
        <v/>
      </c>
      <c r="O58" s="26">
        <f>IFERROR(VLOOKUP(ROWS($O$39:U57),'SelloutPlan v1Main'!$E$5:$AC$208,2,FALSE),"")</f>
        <v/>
      </c>
      <c r="P58" s="30">
        <f>IFERROR(VLOOKUP(ROWS($O$39:U57),'SelloutPlan v1Main'!$E$5:$AC$208,12,FALSE),"")</f>
        <v/>
      </c>
      <c r="Q58" s="81">
        <f>IFERROR(VLOOKUP(ROWS($O$39:V57),'SelloutPlan v1Main'!$E$5:$AC$208,13,FALSE),"")</f>
        <v/>
      </c>
      <c r="R58" s="27">
        <f>IFERROR(VLOOKUP(ROWS($O$39:U57),'SelloutPlan v1Main'!$E$5:$AC$208,7,FALSE),"")</f>
        <v/>
      </c>
      <c r="S58" s="39">
        <f>IFERROR(VLOOKUP(ROWS($O$39:U57),'SelloutPlan v1Main'!$E$5:$AC$208,11,FALSE),"")</f>
        <v/>
      </c>
      <c r="T58" s="26">
        <f>IFERROR(VLOOKUP(ROWS($O$39:U57),'SelloutPlan v1Main'!$E$5:$AC$208,10,FALSE),"")</f>
        <v/>
      </c>
      <c r="U58" s="82">
        <f>IFERROR(VLOOKUP(ROWS($O$39:U57),'SelloutPlan v1Main'!$E$5:$AC$208,16,FALSE),"")</f>
        <v/>
      </c>
      <c r="V58" s="27">
        <f>IFERROR(IF(_xlfn.XLOOKUP(ROWS($O$39:W58), 'SelloutPlan v1Main'!$E$5:$E$208, 'SelloutPlan v1Main'!$X$5:$X$208) = 0, "", _xlfn.XLOOKUP(ROWS($O$39:W58), 'SelloutPlan v1Main'!$E$5:$E$208, 'SelloutPlan v1Main'!$X$5:$X$208)), "")</f>
        <v/>
      </c>
      <c r="W58" s="82">
        <f>IFERROR(IF(VLOOKUP(ROWS($O$39:X57), 'SelloutPlan v1Main'!$E$5:$AP$209, 25, FALSE) = 0, "", VLOOKUP(ROWS($O$39:X57), 'SelloutPlan v1Main'!$E$5:$AP$209, 24, FALSE)), "")</f>
        <v/>
      </c>
    </row>
    <row r="59" ht="17.4" customHeight="1" s="287">
      <c r="B59" s="15" t="n">
        <v>20</v>
      </c>
      <c r="C59" s="89">
        <f>IFERROR(VLOOKUP(ROWS($C$39:C58), 'SelloutPlan v1Main'!$D$5:$AC$208,12, FALSE), "")</f>
        <v/>
      </c>
      <c r="D59" s="17">
        <f>IFERROR(VLOOKUP(ROWS($C$39:D58), 'SelloutPlan v1Main'!$D$5:$AC$208,11, FALSE), "")</f>
        <v/>
      </c>
      <c r="E59" s="17">
        <f>IFERROR(VLOOKUP(ROWS($C$39:E58), 'SelloutPlan v1Main'!$D$5:$AC$208,9, FALSE), "")</f>
        <v/>
      </c>
      <c r="F59" s="89">
        <f>IFERROR(VLOOKUP(ROWS($C$39:F58), 'SelloutPlan v1Main'!$D$5:$AC$208,7, FALSE), "")</f>
        <v/>
      </c>
      <c r="G59" s="90">
        <f>IFERROR(VLOOKUP(ROWS($C$39:G58), 'SelloutPlan v1Main'!$D$5:$AC$208,16, FALSE), "")</f>
        <v/>
      </c>
      <c r="H59" s="122">
        <f>IFERROR(VLOOKUP(ROWS($C$39:G58), 'SelloutPlan v1Main'!$D$5:$AC$208,17, FALSE), "")</f>
        <v/>
      </c>
      <c r="I59" s="91">
        <f>IFERROR(VLOOKUP(ROWS($C$39:H58), 'SelloutPlan v1Main'!$D$5:$AC$208,3, FALSE), "")</f>
        <v/>
      </c>
      <c r="J59" s="91">
        <f>IFERROR(VLOOKUP(ROWS($C$39:I58), 'SelloutPlan v1Main'!$D$5:$AC$208,10, FALSE), "")</f>
        <v/>
      </c>
      <c r="K59" s="91">
        <f>IFERROR(VLOOKUP(ROWS($C$39:J58), 'SelloutPlan v1Main'!$D$5:$AC$208,14, FALSE), "")</f>
        <v/>
      </c>
      <c r="L59" s="128">
        <f>IFERROR(VLOOKUP(ROWS($C$39:K58), 'SelloutPlan v1Main'!$D$5:$AC$208,10, FALSE), "")</f>
        <v/>
      </c>
      <c r="O59" s="26">
        <f>IFERROR(VLOOKUP(ROWS($O$39:U58),'SelloutPlan v1Main'!$E$5:$AC$208,2,FALSE),"")</f>
        <v/>
      </c>
      <c r="P59" s="30">
        <f>IFERROR(VLOOKUP(ROWS($O$39:U58),'SelloutPlan v1Main'!$E$5:$AC$208,12,FALSE),"")</f>
        <v/>
      </c>
      <c r="Q59" s="81">
        <f>IFERROR(VLOOKUP(ROWS($O$39:V58),'SelloutPlan v1Main'!$E$5:$AC$208,13,FALSE),"")</f>
        <v/>
      </c>
      <c r="R59" s="27">
        <f>IFERROR(VLOOKUP(ROWS($O$39:U58),'SelloutPlan v1Main'!$E$5:$AC$208,7,FALSE),"")</f>
        <v/>
      </c>
      <c r="S59" s="39">
        <f>IFERROR(VLOOKUP(ROWS($O$39:U58),'SelloutPlan v1Main'!$E$5:$AC$208,11,FALSE),"")</f>
        <v/>
      </c>
      <c r="T59" s="26">
        <f>IFERROR(VLOOKUP(ROWS($O$39:U58),'SelloutPlan v1Main'!$E$5:$AC$208,10,FALSE),"")</f>
        <v/>
      </c>
      <c r="U59" s="82">
        <f>IFERROR(VLOOKUP(ROWS($O$39:U58),'SelloutPlan v1Main'!$E$5:$AC$208,16,FALSE),"")</f>
        <v/>
      </c>
      <c r="V59" s="27">
        <f>IFERROR(IF(_xlfn.XLOOKUP(ROWS($O$39:W59), 'SelloutPlan v1Main'!$E$5:$E$208, 'SelloutPlan v1Main'!$X$5:$X$208) = 0, "", _xlfn.XLOOKUP(ROWS($O$39:W59), 'SelloutPlan v1Main'!$E$5:$E$208, 'SelloutPlan v1Main'!$X$5:$X$208)), "")</f>
        <v/>
      </c>
      <c r="W59" s="82">
        <f>IFERROR(IF(VLOOKUP(ROWS($O$39:X58), 'SelloutPlan v1Main'!$E$5:$AP$209, 25, FALSE) = 0, "", VLOOKUP(ROWS($O$39:X58), 'SelloutPlan v1Main'!$E$5:$AP$209, 24, FALSE)), "")</f>
        <v/>
      </c>
    </row>
    <row r="60" ht="25.5" customHeight="1" s="287">
      <c r="B60" s="15" t="n">
        <v>21</v>
      </c>
      <c r="C60" s="89">
        <f>IFERROR(VLOOKUP(ROWS($C$39:C59), 'SelloutPlan v1Main'!$D$5:$AC$208,12, FALSE), "")</f>
        <v/>
      </c>
      <c r="D60" s="17">
        <f>IFERROR(VLOOKUP(ROWS($C$39:D59), 'SelloutPlan v1Main'!$D$5:$AC$208,11, FALSE), "")</f>
        <v/>
      </c>
      <c r="E60" s="17">
        <f>IFERROR(VLOOKUP(ROWS($C$39:E59), 'SelloutPlan v1Main'!$D$5:$AC$208,9, FALSE), "")</f>
        <v/>
      </c>
      <c r="F60" s="89">
        <f>IFERROR(VLOOKUP(ROWS($C$39:F59), 'SelloutPlan v1Main'!$D$5:$AC$208,7, FALSE), "")</f>
        <v/>
      </c>
      <c r="G60" s="90">
        <f>IFERROR(VLOOKUP(ROWS($C$39:G59), 'SelloutPlan v1Main'!$D$5:$AC$208,16, FALSE), "")</f>
        <v/>
      </c>
      <c r="H60" s="122">
        <f>IFERROR(VLOOKUP(ROWS($C$39:G59), 'SelloutPlan v1Main'!$D$5:$AC$208,17, FALSE), "")</f>
        <v/>
      </c>
      <c r="I60" s="91">
        <f>IFERROR(VLOOKUP(ROWS($C$39:H59), 'SelloutPlan v1Main'!$D$5:$AC$208,3, FALSE), "")</f>
        <v/>
      </c>
      <c r="J60" s="91">
        <f>IFERROR(VLOOKUP(ROWS($C$39:I59), 'SelloutPlan v1Main'!$D$5:$AC$208,10, FALSE), "")</f>
        <v/>
      </c>
      <c r="K60" s="91">
        <f>IFERROR(VLOOKUP(ROWS($C$39:J59), 'SelloutPlan v1Main'!$D$5:$AC$208,14, FALSE), "")</f>
        <v/>
      </c>
      <c r="L60" s="128">
        <f>IFERROR(VLOOKUP(ROWS($C$39:K59), 'SelloutPlan v1Main'!$D$5:$AC$208,10, FALSE), "")</f>
        <v/>
      </c>
      <c r="O60" s="26">
        <f>IFERROR(VLOOKUP(ROWS($O$39:U59),'SelloutPlan v1Main'!$E$5:$AC$208,2,FALSE),"")</f>
        <v/>
      </c>
      <c r="P60" s="30">
        <f>IFERROR(VLOOKUP(ROWS($O$39:U59),'SelloutPlan v1Main'!$E$5:$AC$208,12,FALSE),"")</f>
        <v/>
      </c>
      <c r="Q60" s="81">
        <f>IFERROR(VLOOKUP(ROWS($O$39:V59),'SelloutPlan v1Main'!$E$5:$AC$208,13,FALSE),"")</f>
        <v/>
      </c>
      <c r="R60" s="27">
        <f>IFERROR(VLOOKUP(ROWS($O$39:U59),'SelloutPlan v1Main'!$E$5:$AC$208,7,FALSE),"")</f>
        <v/>
      </c>
      <c r="S60" s="39">
        <f>IFERROR(VLOOKUP(ROWS($O$39:U59),'SelloutPlan v1Main'!$E$5:$AC$208,11,FALSE),"")</f>
        <v/>
      </c>
      <c r="T60" s="26">
        <f>IFERROR(VLOOKUP(ROWS($O$39:U59),'SelloutPlan v1Main'!$E$5:$AC$208,10,FALSE),"")</f>
        <v/>
      </c>
      <c r="U60" s="82">
        <f>IFERROR(VLOOKUP(ROWS($O$39:U59),'SelloutPlan v1Main'!$E$5:$AC$208,16,FALSE),"")</f>
        <v/>
      </c>
      <c r="V60" s="27">
        <f>IFERROR(IF(_xlfn.XLOOKUP(ROWS($O$39:W60), 'SelloutPlan v1Main'!$E$5:$E$208, 'SelloutPlan v1Main'!$X$5:$X$208) = 0, "", _xlfn.XLOOKUP(ROWS($O$39:W60), 'SelloutPlan v1Main'!$E$5:$E$208, 'SelloutPlan v1Main'!$X$5:$X$208)), "")</f>
        <v/>
      </c>
      <c r="W60" s="82">
        <f>IFERROR(IF(VLOOKUP(ROWS($O$39:X59), 'SelloutPlan v1Main'!$E$5:$AP$209, 25, FALSE) = 0, "", VLOOKUP(ROWS($O$39:X59), 'SelloutPlan v1Main'!$E$5:$AP$209, 24, FALSE)), "")</f>
        <v/>
      </c>
    </row>
    <row r="61" ht="17.4" customHeight="1" s="287">
      <c r="B61" s="15" t="n">
        <v>22</v>
      </c>
      <c r="C61" s="89">
        <f>IFERROR(VLOOKUP(ROWS($C$39:C60), 'SelloutPlan v1Main'!$D$5:$AC$208,12, FALSE), "")</f>
        <v/>
      </c>
      <c r="D61" s="17">
        <f>IFERROR(VLOOKUP(ROWS($C$39:D60), 'SelloutPlan v1Main'!$D$5:$AC$208,11, FALSE), "")</f>
        <v/>
      </c>
      <c r="E61" s="17">
        <f>IFERROR(VLOOKUP(ROWS($C$39:E60), 'SelloutPlan v1Main'!$D$5:$AC$208,9, FALSE), "")</f>
        <v/>
      </c>
      <c r="F61" s="89">
        <f>IFERROR(VLOOKUP(ROWS($C$39:F60), 'SelloutPlan v1Main'!$D$5:$AC$208,7, FALSE), "")</f>
        <v/>
      </c>
      <c r="G61" s="90">
        <f>IFERROR(VLOOKUP(ROWS($C$39:G60), 'SelloutPlan v1Main'!$D$5:$AC$208,16, FALSE), "")</f>
        <v/>
      </c>
      <c r="H61" s="122">
        <f>IFERROR(VLOOKUP(ROWS($C$39:G60), 'SelloutPlan v1Main'!$D$5:$AC$208,17, FALSE), "")</f>
        <v/>
      </c>
      <c r="I61" s="91">
        <f>IFERROR(VLOOKUP(ROWS($C$39:H60), 'SelloutPlan v1Main'!$D$5:$AC$208,3, FALSE), "")</f>
        <v/>
      </c>
      <c r="J61" s="91">
        <f>IFERROR(VLOOKUP(ROWS($C$39:I60), 'SelloutPlan v1Main'!$D$5:$AC$208,10, FALSE), "")</f>
        <v/>
      </c>
      <c r="K61" s="91">
        <f>IFERROR(VLOOKUP(ROWS($C$39:J60), 'SelloutPlan v1Main'!$D$5:$AC$208,14, FALSE), "")</f>
        <v/>
      </c>
      <c r="L61" s="128">
        <f>IFERROR(VLOOKUP(ROWS($C$39:K60), 'SelloutPlan v1Main'!$D$5:$AC$208,10, FALSE), "")</f>
        <v/>
      </c>
      <c r="O61" s="26">
        <f>IFERROR(VLOOKUP(ROWS($O$39:U60),'SelloutPlan v1Main'!$E$5:$AC$208,2,FALSE),"")</f>
        <v/>
      </c>
      <c r="P61" s="30">
        <f>IFERROR(VLOOKUP(ROWS($O$39:U60),'SelloutPlan v1Main'!$E$5:$AC$208,12,FALSE),"")</f>
        <v/>
      </c>
      <c r="Q61" s="81">
        <f>IFERROR(VLOOKUP(ROWS($O$39:V60),'SelloutPlan v1Main'!$E$5:$AC$208,13,FALSE),"")</f>
        <v/>
      </c>
      <c r="R61" s="27">
        <f>IFERROR(VLOOKUP(ROWS($O$39:U60),'SelloutPlan v1Main'!$E$5:$AC$208,7,FALSE),"")</f>
        <v/>
      </c>
      <c r="S61" s="39">
        <f>IFERROR(VLOOKUP(ROWS($O$39:U60),'SelloutPlan v1Main'!$E$5:$AC$208,11,FALSE),"")</f>
        <v/>
      </c>
      <c r="T61" s="26">
        <f>IFERROR(VLOOKUP(ROWS($O$39:U60),'SelloutPlan v1Main'!$E$5:$AC$208,10,FALSE),"")</f>
        <v/>
      </c>
      <c r="U61" s="82">
        <f>IFERROR(VLOOKUP(ROWS($O$39:U60),'SelloutPlan v1Main'!$E$5:$AC$208,16,FALSE),"")</f>
        <v/>
      </c>
      <c r="V61" s="27">
        <f>IFERROR(IF(_xlfn.XLOOKUP(ROWS($O$39:W61), 'SelloutPlan v1Main'!$E$5:$E$208, 'SelloutPlan v1Main'!$X$5:$X$208) = 0, "", _xlfn.XLOOKUP(ROWS($O$39:W61), 'SelloutPlan v1Main'!$E$5:$E$208, 'SelloutPlan v1Main'!$X$5:$X$208)), "")</f>
        <v/>
      </c>
      <c r="W61" s="82">
        <f>IFERROR(IF(VLOOKUP(ROWS($O$39:X60), 'SelloutPlan v1Main'!$E$5:$AP$209, 25, FALSE) = 0, "", VLOOKUP(ROWS($O$39:X60), 'SelloutPlan v1Main'!$E$5:$AP$209, 24, FALSE)), "")</f>
        <v/>
      </c>
    </row>
    <row r="62" ht="17.4" customHeight="1" s="287">
      <c r="B62" s="15" t="n">
        <v>23</v>
      </c>
      <c r="C62" s="89">
        <f>IFERROR(VLOOKUP(ROWS($C$39:C61), 'SelloutPlan v1Main'!$D$5:$AC$208,12, FALSE), "")</f>
        <v/>
      </c>
      <c r="D62" s="17">
        <f>IFERROR(VLOOKUP(ROWS($C$39:D61), 'SelloutPlan v1Main'!$D$5:$AC$208,11, FALSE), "")</f>
        <v/>
      </c>
      <c r="E62" s="17">
        <f>IFERROR(VLOOKUP(ROWS($C$39:E61), 'SelloutPlan v1Main'!$D$5:$AC$208,9, FALSE), "")</f>
        <v/>
      </c>
      <c r="F62" s="89">
        <f>IFERROR(VLOOKUP(ROWS($C$39:F61), 'SelloutPlan v1Main'!$D$5:$AC$208,7, FALSE), "")</f>
        <v/>
      </c>
      <c r="G62" s="90">
        <f>IFERROR(VLOOKUP(ROWS($C$39:G61), 'SelloutPlan v1Main'!$D$5:$AC$208,16, FALSE), "")</f>
        <v/>
      </c>
      <c r="H62" s="122">
        <f>IFERROR(VLOOKUP(ROWS($C$39:G61), 'SelloutPlan v1Main'!$D$5:$AC$208,17, FALSE), "")</f>
        <v/>
      </c>
      <c r="I62" s="91">
        <f>IFERROR(VLOOKUP(ROWS($C$39:H61), 'SelloutPlan v1Main'!$D$5:$AC$208,3, FALSE), "")</f>
        <v/>
      </c>
      <c r="J62" s="91">
        <f>IFERROR(VLOOKUP(ROWS($C$39:I61), 'SelloutPlan v1Main'!$D$5:$AC$208,10, FALSE), "")</f>
        <v/>
      </c>
      <c r="K62" s="91">
        <f>IFERROR(VLOOKUP(ROWS($C$39:J61), 'SelloutPlan v1Main'!$D$5:$AC$208,14, FALSE), "")</f>
        <v/>
      </c>
      <c r="L62" s="128">
        <f>IFERROR(VLOOKUP(ROWS($C$39:K61), 'SelloutPlan v1Main'!$D$5:$AC$208,10, FALSE), "")</f>
        <v/>
      </c>
      <c r="O62" s="26">
        <f>IFERROR(VLOOKUP(ROWS($O$39:U61),'SelloutPlan v1Main'!$E$5:$AC$208,2,FALSE),"")</f>
        <v/>
      </c>
      <c r="P62" s="30">
        <f>IFERROR(VLOOKUP(ROWS($O$39:U61),'SelloutPlan v1Main'!$E$5:$AC$208,12,FALSE),"")</f>
        <v/>
      </c>
      <c r="Q62" s="81">
        <f>IFERROR(VLOOKUP(ROWS($O$39:V61),'SelloutPlan v1Main'!$E$5:$AC$208,13,FALSE),"")</f>
        <v/>
      </c>
      <c r="R62" s="27">
        <f>IFERROR(VLOOKUP(ROWS($O$39:U61),'SelloutPlan v1Main'!$E$5:$AC$208,7,FALSE),"")</f>
        <v/>
      </c>
      <c r="S62" s="39">
        <f>IFERROR(VLOOKUP(ROWS($O$39:U61),'SelloutPlan v1Main'!$E$5:$AC$208,11,FALSE),"")</f>
        <v/>
      </c>
      <c r="T62" s="26">
        <f>IFERROR(VLOOKUP(ROWS($O$39:U61),'SelloutPlan v1Main'!$E$5:$AC$208,10,FALSE),"")</f>
        <v/>
      </c>
      <c r="U62" s="82">
        <f>IFERROR(VLOOKUP(ROWS($O$39:U61),'SelloutPlan v1Main'!$E$5:$AC$208,16,FALSE),"")</f>
        <v/>
      </c>
      <c r="V62" s="27">
        <f>IFERROR(IF(_xlfn.XLOOKUP(ROWS($O$39:W62), 'SelloutPlan v1Main'!$E$5:$E$208, 'SelloutPlan v1Main'!$X$5:$X$208) = 0, "", _xlfn.XLOOKUP(ROWS($O$39:W62), 'SelloutPlan v1Main'!$E$5:$E$208, 'SelloutPlan v1Main'!$X$5:$X$208)), "")</f>
        <v/>
      </c>
      <c r="W62" s="82">
        <f>IFERROR(IF(VLOOKUP(ROWS($O$39:X61), 'SelloutPlan v1Main'!$E$5:$AP$209, 25, FALSE) = 0, "", VLOOKUP(ROWS($O$39:X61), 'SelloutPlan v1Main'!$E$5:$AP$209, 24, FALSE)), "")</f>
        <v/>
      </c>
    </row>
    <row r="63" ht="17.4" customHeight="1" s="287">
      <c r="B63" s="15" t="n">
        <v>24</v>
      </c>
      <c r="C63" s="89">
        <f>IFERROR(VLOOKUP(ROWS($C$39:C62), 'SelloutPlan v1Main'!$D$5:$AC$208,12, FALSE), "")</f>
        <v/>
      </c>
      <c r="D63" s="17">
        <f>IFERROR(VLOOKUP(ROWS($C$39:D62), 'SelloutPlan v1Main'!$D$5:$AC$208,11, FALSE), "")</f>
        <v/>
      </c>
      <c r="E63" s="17">
        <f>IFERROR(VLOOKUP(ROWS($C$39:E62), 'SelloutPlan v1Main'!$D$5:$AC$208,9, FALSE), "")</f>
        <v/>
      </c>
      <c r="F63" s="89">
        <f>IFERROR(VLOOKUP(ROWS($C$39:F62), 'SelloutPlan v1Main'!$D$5:$AC$208,7, FALSE), "")</f>
        <v/>
      </c>
      <c r="G63" s="90">
        <f>IFERROR(VLOOKUP(ROWS($C$39:G62), 'SelloutPlan v1Main'!$D$5:$AC$208,16, FALSE), "")</f>
        <v/>
      </c>
      <c r="H63" s="122">
        <f>IFERROR(VLOOKUP(ROWS($C$39:G62), 'SelloutPlan v1Main'!$D$5:$AC$208,17, FALSE), "")</f>
        <v/>
      </c>
      <c r="I63" s="91">
        <f>IFERROR(VLOOKUP(ROWS($C$39:H62), 'SelloutPlan v1Main'!$D$5:$AC$208,3, FALSE), "")</f>
        <v/>
      </c>
      <c r="J63" s="91">
        <f>IFERROR(VLOOKUP(ROWS($C$39:I62), 'SelloutPlan v1Main'!$D$5:$AC$208,10, FALSE), "")</f>
        <v/>
      </c>
      <c r="K63" s="91">
        <f>IFERROR(VLOOKUP(ROWS($C$39:J62), 'SelloutPlan v1Main'!$D$5:$AC$208,14, FALSE), "")</f>
        <v/>
      </c>
      <c r="L63" s="128">
        <f>IFERROR(VLOOKUP(ROWS($C$39:K62), 'SelloutPlan v1Main'!$D$5:$AC$208,10, FALSE), "")</f>
        <v/>
      </c>
      <c r="O63" s="26">
        <f>IFERROR(VLOOKUP(ROWS($O$39:U62),'SelloutPlan v1Main'!$E$5:$AC$208,2,FALSE),"")</f>
        <v/>
      </c>
      <c r="P63" s="30">
        <f>IFERROR(VLOOKUP(ROWS($O$39:U62),'SelloutPlan v1Main'!$E$5:$AC$208,12,FALSE),"")</f>
        <v/>
      </c>
      <c r="Q63" s="81">
        <f>IFERROR(VLOOKUP(ROWS($O$39:V62),'SelloutPlan v1Main'!$E$5:$AC$208,13,FALSE),"")</f>
        <v/>
      </c>
      <c r="R63" s="27">
        <f>IFERROR(VLOOKUP(ROWS($O$39:U62),'SelloutPlan v1Main'!$E$5:$AC$208,7,FALSE),"")</f>
        <v/>
      </c>
      <c r="S63" s="39">
        <f>IFERROR(VLOOKUP(ROWS($O$39:U62),'SelloutPlan v1Main'!$E$5:$AC$208,11,FALSE),"")</f>
        <v/>
      </c>
      <c r="T63" s="26">
        <f>IFERROR(VLOOKUP(ROWS($O$39:U62),'SelloutPlan v1Main'!$E$5:$AC$208,10,FALSE),"")</f>
        <v/>
      </c>
      <c r="U63" s="82">
        <f>IFERROR(VLOOKUP(ROWS($O$39:U62),'SelloutPlan v1Main'!$E$5:$AC$208,16,FALSE),"")</f>
        <v/>
      </c>
      <c r="V63" s="27">
        <f>IFERROR(IF(_xlfn.XLOOKUP(ROWS($O$39:W63), 'SelloutPlan v1Main'!$E$5:$E$208, 'SelloutPlan v1Main'!$X$5:$X$208) = 0, "", _xlfn.XLOOKUP(ROWS($O$39:W63), 'SelloutPlan v1Main'!$E$5:$E$208, 'SelloutPlan v1Main'!$X$5:$X$208)), "")</f>
        <v/>
      </c>
      <c r="W63" s="82">
        <f>IFERROR(IF(VLOOKUP(ROWS($O$39:X62), 'SelloutPlan v1Main'!$E$5:$AP$209, 25, FALSE) = 0, "", VLOOKUP(ROWS($O$39:X62), 'SelloutPlan v1Main'!$E$5:$AP$209, 24, FALSE)), "")</f>
        <v/>
      </c>
    </row>
    <row r="64" ht="17.4" customHeight="1" s="287">
      <c r="B64" s="15" t="n">
        <v>25</v>
      </c>
      <c r="C64" s="89">
        <f>IFERROR(VLOOKUP(ROWS($C$39:C63), 'SelloutPlan v1Main'!$D$5:$AC$208,12, FALSE), "")</f>
        <v/>
      </c>
      <c r="D64" s="17">
        <f>IFERROR(VLOOKUP(ROWS($C$39:D63), 'SelloutPlan v1Main'!$D$5:$AC$208,11, FALSE), "")</f>
        <v/>
      </c>
      <c r="E64" s="17">
        <f>IFERROR(VLOOKUP(ROWS($C$39:E63), 'SelloutPlan v1Main'!$D$5:$AC$208,9, FALSE), "")</f>
        <v/>
      </c>
      <c r="F64" s="89">
        <f>IFERROR(VLOOKUP(ROWS($C$39:F63), 'SelloutPlan v1Main'!$D$5:$AC$208,7, FALSE), "")</f>
        <v/>
      </c>
      <c r="G64" s="90">
        <f>IFERROR(VLOOKUP(ROWS($C$39:G63), 'SelloutPlan v1Main'!$D$5:$AC$208,16, FALSE), "")</f>
        <v/>
      </c>
      <c r="H64" s="122">
        <f>IFERROR(VLOOKUP(ROWS($C$39:G63), 'SelloutPlan v1Main'!$D$5:$AC$208,17, FALSE), "")</f>
        <v/>
      </c>
      <c r="I64" s="91">
        <f>IFERROR(VLOOKUP(ROWS($C$39:H63), 'SelloutPlan v1Main'!$D$5:$AC$208,3, FALSE), "")</f>
        <v/>
      </c>
      <c r="J64" s="91">
        <f>IFERROR(VLOOKUP(ROWS($C$39:I63), 'SelloutPlan v1Main'!$D$5:$AC$208,10, FALSE), "")</f>
        <v/>
      </c>
      <c r="K64" s="91">
        <f>IFERROR(VLOOKUP(ROWS($C$39:J63), 'SelloutPlan v1Main'!$D$5:$AC$208,14, FALSE), "")</f>
        <v/>
      </c>
      <c r="L64" s="128">
        <f>IFERROR(VLOOKUP(ROWS($C$39:K63), 'SelloutPlan v1Main'!$D$5:$AC$208,10, FALSE), "")</f>
        <v/>
      </c>
      <c r="O64" s="26">
        <f>IFERROR(VLOOKUP(ROWS($O$39:U63),'SelloutPlan v1Main'!$E$5:$AC$208,2,FALSE),"")</f>
        <v/>
      </c>
      <c r="P64" s="30">
        <f>IFERROR(VLOOKUP(ROWS($O$39:U63),'SelloutPlan v1Main'!$E$5:$AC$208,12,FALSE),"")</f>
        <v/>
      </c>
      <c r="Q64" s="81">
        <f>IFERROR(VLOOKUP(ROWS($O$39:V63),'SelloutPlan v1Main'!$E$5:$AC$208,13,FALSE),"")</f>
        <v/>
      </c>
      <c r="R64" s="27">
        <f>IFERROR(VLOOKUP(ROWS($O$39:U63),'SelloutPlan v1Main'!$E$5:$AC$208,7,FALSE),"")</f>
        <v/>
      </c>
      <c r="S64" s="39">
        <f>IFERROR(VLOOKUP(ROWS($O$39:U63),'SelloutPlan v1Main'!$E$5:$AC$208,11,FALSE),"")</f>
        <v/>
      </c>
      <c r="T64" s="26">
        <f>IFERROR(VLOOKUP(ROWS($O$39:U63),'SelloutPlan v1Main'!$E$5:$AC$208,10,FALSE),"")</f>
        <v/>
      </c>
      <c r="U64" s="82">
        <f>IFERROR(VLOOKUP(ROWS($O$39:U63),'SelloutPlan v1Main'!$E$5:$AC$208,16,FALSE),"")</f>
        <v/>
      </c>
      <c r="V64" s="27">
        <f>IFERROR(IF(_xlfn.XLOOKUP(ROWS($O$39:W64), 'SelloutPlan v1Main'!$E$5:$E$208, 'SelloutPlan v1Main'!$X$5:$X$208) = 0, "", _xlfn.XLOOKUP(ROWS($O$39:W64), 'SelloutPlan v1Main'!$E$5:$E$208, 'SelloutPlan v1Main'!$X$5:$X$208)), "")</f>
        <v/>
      </c>
      <c r="W64" s="82">
        <f>IFERROR(IF(VLOOKUP(ROWS($O$39:X63), 'SelloutPlan v1Main'!$E$5:$AP$209, 25, FALSE) = 0, "", VLOOKUP(ROWS($O$39:X63), 'SelloutPlan v1Main'!$E$5:$AP$209, 24, FALSE)), "")</f>
        <v/>
      </c>
    </row>
    <row r="65" ht="17.4" customHeight="1" s="287">
      <c r="B65" s="15" t="n">
        <v>26</v>
      </c>
      <c r="C65" s="89">
        <f>IFERROR(VLOOKUP(ROWS($C$39:C64), 'SelloutPlan v1Main'!$D$5:$AC$208,12, FALSE), "")</f>
        <v/>
      </c>
      <c r="D65" s="17">
        <f>IFERROR(VLOOKUP(ROWS($C$39:D64), 'SelloutPlan v1Main'!$D$5:$AC$208,11, FALSE), "")</f>
        <v/>
      </c>
      <c r="E65" s="17">
        <f>IFERROR(VLOOKUP(ROWS($C$39:E64), 'SelloutPlan v1Main'!$D$5:$AC$208,9, FALSE), "")</f>
        <v/>
      </c>
      <c r="F65" s="35">
        <f>IFERROR(VLOOKUP(ROWS($C$39:F64), 'SelloutPlan v1Main'!$D$5:$AC$208,7, FALSE), "")</f>
        <v/>
      </c>
      <c r="G65" s="90">
        <f>IFERROR(VLOOKUP(ROWS($C$39:G64), 'SelloutPlan v1Main'!$D$5:$AC$208,16, FALSE), "")</f>
        <v/>
      </c>
      <c r="H65" s="122">
        <f>IFERROR(VLOOKUP(ROWS($C$39:G64), 'SelloutPlan v1Main'!$D$5:$AC$208,17, FALSE), "")</f>
        <v/>
      </c>
      <c r="I65" s="36">
        <f>IFERROR(VLOOKUP(ROWS($C$39:H64), 'SelloutPlan v1Main'!$D$5:$AC$208,3, FALSE), "")</f>
        <v/>
      </c>
      <c r="J65" s="36">
        <f>IFERROR(VLOOKUP(ROWS($C$39:I64), 'SelloutPlan v1Main'!$D$5:$AC$208,10, FALSE), "")</f>
        <v/>
      </c>
      <c r="K65" s="91">
        <f>IFERROR(VLOOKUP(ROWS($C$39:J64), 'SelloutPlan v1Main'!$D$5:$AC$208,14, FALSE), "")</f>
        <v/>
      </c>
      <c r="L65" s="50">
        <f>IFERROR(VLOOKUP(ROWS($C$39:K64), 'SelloutPlan v1Main'!$D$5:$AC$208,10, FALSE), "")</f>
        <v/>
      </c>
      <c r="O65" s="26">
        <f>IFERROR(VLOOKUP(ROWS($O$39:U64),'SelloutPlan v1Main'!$E$5:$AC$208,2,FALSE),"")</f>
        <v/>
      </c>
      <c r="P65" s="30">
        <f>IFERROR(VLOOKUP(ROWS($O$39:U64),'SelloutPlan v1Main'!$E$5:$AC$208,12,FALSE),"")</f>
        <v/>
      </c>
      <c r="Q65" s="81">
        <f>IFERROR(VLOOKUP(ROWS($O$39:V64),'SelloutPlan v1Main'!$E$5:$AC$208,13,FALSE),"")</f>
        <v/>
      </c>
      <c r="R65" s="27">
        <f>IFERROR(VLOOKUP(ROWS($O$39:U64),'SelloutPlan v1Main'!$E$5:$AC$208,7,FALSE),"")</f>
        <v/>
      </c>
      <c r="S65" s="39">
        <f>IFERROR(VLOOKUP(ROWS($O$39:U64),'SelloutPlan v1Main'!$E$5:$AC$208,11,FALSE),"")</f>
        <v/>
      </c>
      <c r="T65" s="26">
        <f>IFERROR(VLOOKUP(ROWS($O$39:U64),'SelloutPlan v1Main'!$E$5:$AC$208,10,FALSE),"")</f>
        <v/>
      </c>
      <c r="U65" s="82">
        <f>IFERROR(VLOOKUP(ROWS($O$39:U64),'SelloutPlan v1Main'!$E$5:$AC$208,16,FALSE),"")</f>
        <v/>
      </c>
      <c r="V65" s="27">
        <f>IFERROR(IF(_xlfn.XLOOKUP(ROWS($O$39:W65), 'SelloutPlan v1Main'!$E$5:$E$208, 'SelloutPlan v1Main'!$X$5:$X$208) = 0, "", _xlfn.XLOOKUP(ROWS($O$39:W65), 'SelloutPlan v1Main'!$E$5:$E$208, 'SelloutPlan v1Main'!$X$5:$X$208)), "")</f>
        <v/>
      </c>
      <c r="W65" s="82">
        <f>IFERROR(IF(VLOOKUP(ROWS($O$39:X64), 'SelloutPlan v1Main'!$E$5:$AP$209, 25, FALSE) = 0, "", VLOOKUP(ROWS($O$39:X64), 'SelloutPlan v1Main'!$E$5:$AP$209, 24, FALSE)), "")</f>
        <v/>
      </c>
    </row>
    <row r="66" ht="25.5" customHeight="1" s="287">
      <c r="B66" s="15" t="n">
        <v>27</v>
      </c>
      <c r="C66" s="89">
        <f>IFERROR(VLOOKUP(ROWS($C$39:C65), 'SelloutPlan v1Main'!$D$5:$AC$208,12, FALSE), "")</f>
        <v/>
      </c>
      <c r="D66" s="17">
        <f>IFERROR(VLOOKUP(ROWS($C$39:D65), 'SelloutPlan v1Main'!$D$5:$AC$208,11, FALSE), "")</f>
        <v/>
      </c>
      <c r="E66" s="17">
        <f>IFERROR(VLOOKUP(ROWS($C$39:E65), 'SelloutPlan v1Main'!$D$5:$AC$208,9, FALSE), "")</f>
        <v/>
      </c>
      <c r="F66" s="35">
        <f>IFERROR(VLOOKUP(ROWS($C$39:F65), 'SelloutPlan v1Main'!$D$5:$AC$208,7, FALSE), "")</f>
        <v/>
      </c>
      <c r="G66" s="90">
        <f>IFERROR(VLOOKUP(ROWS($C$39:G65), 'SelloutPlan v1Main'!$D$5:$AC$208,16, FALSE), "")</f>
        <v/>
      </c>
      <c r="H66" s="122">
        <f>IFERROR(VLOOKUP(ROWS($C$39:G65), 'SelloutPlan v1Main'!$D$5:$AC$208,17, FALSE), "")</f>
        <v/>
      </c>
      <c r="I66" s="36">
        <f>IFERROR(VLOOKUP(ROWS($C$39:H65), 'SelloutPlan v1Main'!$D$5:$AC$208,3, FALSE), "")</f>
        <v/>
      </c>
      <c r="J66" s="36">
        <f>IFERROR(VLOOKUP(ROWS($C$39:I65), 'SelloutPlan v1Main'!$D$5:$AC$208,10, FALSE), "")</f>
        <v/>
      </c>
      <c r="K66" s="91">
        <f>IFERROR(VLOOKUP(ROWS($C$39:J65), 'SelloutPlan v1Main'!$D$5:$AC$208,14, FALSE), "")</f>
        <v/>
      </c>
      <c r="L66" s="50">
        <f>IFERROR(VLOOKUP(ROWS($C$39:K65), 'SelloutPlan v1Main'!$D$5:$AC$208,10, FALSE), "")</f>
        <v/>
      </c>
      <c r="O66" s="26">
        <f>IFERROR(VLOOKUP(ROWS($O$39:U65),'SelloutPlan v1Main'!$E$5:$AC$208,2,FALSE),"")</f>
        <v/>
      </c>
      <c r="P66" s="30">
        <f>IFERROR(VLOOKUP(ROWS($O$39:U65),'SelloutPlan v1Main'!$E$5:$AC$208,12,FALSE),"")</f>
        <v/>
      </c>
      <c r="Q66" s="81">
        <f>IFERROR(VLOOKUP(ROWS($O$39:V65),'SelloutPlan v1Main'!$E$5:$AC$208,13,FALSE),"")</f>
        <v/>
      </c>
      <c r="R66" s="27">
        <f>IFERROR(VLOOKUP(ROWS($O$39:U65),'SelloutPlan v1Main'!$E$5:$AC$208,7,FALSE),"")</f>
        <v/>
      </c>
      <c r="S66" s="39">
        <f>IFERROR(VLOOKUP(ROWS($O$39:U65),'SelloutPlan v1Main'!$E$5:$AC$208,11,FALSE),"")</f>
        <v/>
      </c>
      <c r="T66" s="26">
        <f>IFERROR(VLOOKUP(ROWS($O$39:T65), 'SelloutPlan v1Main'!$E$5:$AC$208, 14, FALSE), "")</f>
        <v/>
      </c>
      <c r="U66" s="82">
        <f>IFERROR(VLOOKUP(ROWS($O$39:U65),'SelloutPlan v1Main'!$E$5:$AC$208,16,FALSE),"")</f>
        <v/>
      </c>
      <c r="V66" s="27">
        <f>IFERROR(IF(_xlfn.XLOOKUP(ROWS($O$39:W66), 'SelloutPlan v1Main'!$E$5:$E$208, 'SelloutPlan v1Main'!$X$5:$X$208) = 0, "", _xlfn.XLOOKUP(ROWS($O$39:W66), 'SelloutPlan v1Main'!$E$5:$E$208, 'SelloutPlan v1Main'!$X$5:$X$208)), "")</f>
        <v/>
      </c>
      <c r="W66" s="82">
        <f>IFERROR(IF(VLOOKUP(ROWS($O$39:X65), 'SelloutPlan v1Main'!$E$5:$AP$209, 25, FALSE) = 0, "", VLOOKUP(ROWS($O$39:X65), 'SelloutPlan v1Main'!$E$5:$AP$209, 24, FALSE)), "")</f>
        <v/>
      </c>
    </row>
    <row r="67" ht="25.5" customHeight="1" s="287">
      <c r="B67" s="15" t="n">
        <v>28</v>
      </c>
      <c r="C67" s="89">
        <f>IFERROR(VLOOKUP(ROWS($C$39:C66), 'SelloutPlan v1Main'!$D$5:$AC$208,12, FALSE), "")</f>
        <v/>
      </c>
      <c r="D67" s="17">
        <f>IFERROR(VLOOKUP(ROWS($C$39:D66), 'SelloutPlan v1Main'!$D$5:$AC$208,11, FALSE), "")</f>
        <v/>
      </c>
      <c r="E67" s="17">
        <f>IFERROR(VLOOKUP(ROWS($C$39:E66), 'SelloutPlan v1Main'!$D$5:$AC$208,9, FALSE), "")</f>
        <v/>
      </c>
      <c r="F67" s="35">
        <f>IFERROR(VLOOKUP(ROWS($C$39:F66), 'SelloutPlan v1Main'!$D$5:$AC$208,7, FALSE), "")</f>
        <v/>
      </c>
      <c r="G67" s="90">
        <f>IFERROR(VLOOKUP(ROWS($C$39:G66), 'SelloutPlan v1Main'!$D$5:$AC$208,16, FALSE), "")</f>
        <v/>
      </c>
      <c r="H67" s="122">
        <f>IFERROR(VLOOKUP(ROWS($C$39:G66), 'SelloutPlan v1Main'!$D$5:$AC$208,17, FALSE), "")</f>
        <v/>
      </c>
      <c r="I67" s="36">
        <f>IFERROR(VLOOKUP(ROWS($C$39:H66), 'SelloutPlan v1Main'!$D$5:$AC$208,3, FALSE), "")</f>
        <v/>
      </c>
      <c r="J67" s="36">
        <f>IFERROR(VLOOKUP(ROWS($C$39:I66), 'SelloutPlan v1Main'!$D$5:$AC$208,10, FALSE), "")</f>
        <v/>
      </c>
      <c r="K67" s="91">
        <f>IFERROR(VLOOKUP(ROWS($C$39:J66), 'SelloutPlan v1Main'!$D$5:$AC$208,14, FALSE), "")</f>
        <v/>
      </c>
      <c r="L67" s="50">
        <f>IFERROR(VLOOKUP(ROWS($C$39:K66), 'SelloutPlan v1Main'!$D$5:$AC$208,10, FALSE), "")</f>
        <v/>
      </c>
      <c r="O67" s="26">
        <f>IFERROR(VLOOKUP(ROWS($O$39:U66),'SelloutPlan v1Main'!$E$5:$AC$208,2,FALSE),"")</f>
        <v/>
      </c>
      <c r="P67" s="30">
        <f>IFERROR(VLOOKUP(ROWS($O$39:U66),'SelloutPlan v1Main'!$E$5:$AC$208,12,FALSE),"")</f>
        <v/>
      </c>
      <c r="Q67" s="81">
        <f>IFERROR(VLOOKUP(ROWS($O$39:V66),'SelloutPlan v1Main'!$E$5:$AC$208,13,FALSE),"")</f>
        <v/>
      </c>
      <c r="R67" s="27">
        <f>IFERROR(VLOOKUP(ROWS($O$39:U66),'SelloutPlan v1Main'!$E$5:$AC$208,7,FALSE),"")</f>
        <v/>
      </c>
      <c r="S67" s="39">
        <f>IFERROR(VLOOKUP(ROWS($O$39:U66),'SelloutPlan v1Main'!$E$5:$AC$208,11,FALSE),"")</f>
        <v/>
      </c>
      <c r="T67" s="26">
        <f>IFERROR(VLOOKUP(ROWS($O$39:T66), 'SelloutPlan v1Main'!$E$5:$AC$208, 14, FALSE), "")</f>
        <v/>
      </c>
      <c r="U67" s="82">
        <f>IFERROR(VLOOKUP(ROWS($O$39:U66),'SelloutPlan v1Main'!$E$5:$AC$208,16,FALSE),"")</f>
        <v/>
      </c>
      <c r="V67" s="27">
        <f>IFERROR(IF(_xlfn.XLOOKUP(ROWS($O$39:W67), 'SelloutPlan v1Main'!$E$5:$E$208, 'SelloutPlan v1Main'!$X$5:$X$208) = 0, "", _xlfn.XLOOKUP(ROWS($O$39:W67), 'SelloutPlan v1Main'!$E$5:$E$208, 'SelloutPlan v1Main'!$X$5:$X$208)), "")</f>
        <v/>
      </c>
      <c r="W67" s="82">
        <f>IFERROR(IF(VLOOKUP(ROWS($O$39:X66), 'SelloutPlan v1Main'!$E$5:$AP$209, 25, FALSE) = 0, "", VLOOKUP(ROWS($O$39:X66), 'SelloutPlan v1Main'!$E$5:$AP$209, 24, FALSE)), "")</f>
        <v/>
      </c>
    </row>
    <row r="68" ht="25.5" customHeight="1" s="287">
      <c r="B68" s="15" t="n">
        <v>29</v>
      </c>
      <c r="C68" s="89">
        <f>IFERROR(VLOOKUP(ROWS($C$39:C67), 'SelloutPlan v1Main'!$D$5:$AC$208,12, FALSE), "")</f>
        <v/>
      </c>
      <c r="D68" s="17">
        <f>IFERROR(VLOOKUP(ROWS($C$39:D67), 'SelloutPlan v1Main'!$D$5:$AC$208,11, FALSE), "")</f>
        <v/>
      </c>
      <c r="E68" s="17">
        <f>IFERROR(VLOOKUP(ROWS($C$39:E67), 'SelloutPlan v1Main'!$D$5:$AC$208,9, FALSE), "")</f>
        <v/>
      </c>
      <c r="F68" s="35">
        <f>IFERROR(VLOOKUP(ROWS($C$39:F67), 'SelloutPlan v1Main'!$D$5:$AC$208,7, FALSE), "")</f>
        <v/>
      </c>
      <c r="G68" s="90">
        <f>IFERROR(VLOOKUP(ROWS($C$39:G67), 'SelloutPlan v1Main'!$D$5:$AC$208,16, FALSE), "")</f>
        <v/>
      </c>
      <c r="H68" s="122">
        <f>IFERROR(VLOOKUP(ROWS($C$39:G67), 'SelloutPlan v1Main'!$D$5:$AC$208,17, FALSE), "")</f>
        <v/>
      </c>
      <c r="I68" s="36">
        <f>IFERROR(VLOOKUP(ROWS($C$39:H67), 'SelloutPlan v1Main'!$D$5:$AC$208,3, FALSE), "")</f>
        <v/>
      </c>
      <c r="J68" s="36">
        <f>IFERROR(VLOOKUP(ROWS($C$39:I67), 'SelloutPlan v1Main'!$D$5:$AC$208,10, FALSE), "")</f>
        <v/>
      </c>
      <c r="K68" s="91">
        <f>IFERROR(VLOOKUP(ROWS($C$39:J67), 'SelloutPlan v1Main'!$D$5:$AC$208,14, FALSE), "")</f>
        <v/>
      </c>
      <c r="L68" s="50">
        <f>IFERROR(VLOOKUP(ROWS($C$39:K67), 'SelloutPlan v1Main'!$D$5:$AC$208,10, FALSE), "")</f>
        <v/>
      </c>
      <c r="O68" s="26">
        <f>IFERROR(IF(VLOOKUP(ROWS($O$39:$O67), 'SelloutPlan v1Main'!$D$5:$AC$499, 12, FALSE)="Open", VLOOKUP(ROWS($O$39:$O67), 'SelloutPlan v1Main'!$D$5:$AC$499, 3, FALSE), ""), "")</f>
        <v/>
      </c>
      <c r="P68" s="30">
        <f>IFERROR(VLOOKUP(ROWS($O$39:U67),'SelloutPlan v1Main'!$E$5:$AC$208,12,FALSE),"")</f>
        <v/>
      </c>
      <c r="Q68" s="81">
        <f>IFERROR(VLOOKUP(ROWS($O$39:V67),'SelloutPlan v1Main'!$E$5:$AC$208,13,FALSE),"")</f>
        <v/>
      </c>
      <c r="R68" s="27">
        <f>IFERROR(VLOOKUP(ROWS($O$39:U67),'SelloutPlan v1Main'!$E$5:$AC$208,7,FALSE),"")</f>
        <v/>
      </c>
      <c r="S68" s="39">
        <f>IFERROR(VLOOKUP(ROWS($O$39:S67), 'SelloutPlan v1Main'!$E$5:$AC$208, 14, FALSE), "")</f>
        <v/>
      </c>
      <c r="T68" s="26">
        <f>IFERROR(VLOOKUP(ROWS($O$39:T67), 'SelloutPlan v1Main'!$E$5:$AC$208, 14, FALSE), "")</f>
        <v/>
      </c>
      <c r="U68" s="82">
        <f>IFERROR(VLOOKUP(ROWS($O$39:U67),'SelloutPlan v1Main'!$E$5:$AC$208,16,FALSE),"")</f>
        <v/>
      </c>
      <c r="V68" s="27">
        <f>IFERROR(IF(_xlfn.XLOOKUP(ROWS($O$39:W68), 'SelloutPlan v1Main'!$E$5:$E$208, 'SelloutPlan v1Main'!$X$5:$X$208) = 0, "", _xlfn.XLOOKUP(ROWS($O$39:W68), 'SelloutPlan v1Main'!$E$5:$E$208, 'SelloutPlan v1Main'!$X$5:$X$208)), "")</f>
        <v/>
      </c>
      <c r="W68" s="82">
        <f>IFERROR(IF(VLOOKUP(ROWS($O$39:X67), 'SelloutPlan v1Main'!$E$5:$AP$209, 25, FALSE) = 0, "", VLOOKUP(ROWS($O$39:X67), 'SelloutPlan v1Main'!$E$5:$AP$209, 24, FALSE)), "")</f>
        <v/>
      </c>
    </row>
    <row r="69" ht="17.4" customHeight="1" s="287">
      <c r="B69" s="15" t="n">
        <v>30</v>
      </c>
      <c r="C69" s="89">
        <f>IFERROR(VLOOKUP(ROWS($C$39:C68), 'SelloutPlan v1Main'!$D$5:$AC$208,12, FALSE), "")</f>
        <v/>
      </c>
      <c r="D69" s="17">
        <f>IFERROR(VLOOKUP(ROWS($C$39:D68), 'SelloutPlan v1Main'!$D$5:$AC$208,11, FALSE), "")</f>
        <v/>
      </c>
      <c r="E69" s="17">
        <f>IFERROR(VLOOKUP(ROWS($C$39:E68), 'SelloutPlan v1Main'!$D$5:$AC$208,9, FALSE), "")</f>
        <v/>
      </c>
      <c r="F69" s="35">
        <f>IFERROR(VLOOKUP(ROWS($C$39:F68), 'SelloutPlan v1Main'!$D$5:$AC$208,7, FALSE), "")</f>
        <v/>
      </c>
      <c r="G69" s="90">
        <f>IFERROR(VLOOKUP(ROWS($C$39:G68), 'SelloutPlan v1Main'!$D$5:$AC$208,16, FALSE), "")</f>
        <v/>
      </c>
      <c r="H69" s="122">
        <f>IFERROR(VLOOKUP(ROWS($C$39:G68), 'SelloutPlan v1Main'!$D$5:$AC$208,17, FALSE), "")</f>
        <v/>
      </c>
      <c r="I69" s="36">
        <f>IFERROR(VLOOKUP(ROWS($C$39:H68), 'SelloutPlan v1Main'!$D$5:$AC$208,3, FALSE), "")</f>
        <v/>
      </c>
      <c r="J69" s="36">
        <f>IFERROR(VLOOKUP(ROWS($C$39:I68), 'SelloutPlan v1Main'!$D$5:$AC$208,10, FALSE), "")</f>
        <v/>
      </c>
      <c r="K69" s="91">
        <f>IFERROR(VLOOKUP(ROWS($C$39:J68), 'SelloutPlan v1Main'!$D$5:$AC$208,14, FALSE), "")</f>
        <v/>
      </c>
      <c r="L69" s="50">
        <f>IFERROR(VLOOKUP(ROWS($C$39:K68), 'SelloutPlan v1Main'!$D$5:$AC$208,10, FALSE), "")</f>
        <v/>
      </c>
      <c r="O69" s="26">
        <f>IFERROR(IF(VLOOKUP(ROWS($O$39:$O68), 'SelloutPlan v1Main'!$D$5:$AC$499, 12, FALSE)="Open", VLOOKUP(ROWS($O$39:$O68), 'SelloutPlan v1Main'!$D$5:$AC$499, 3, FALSE), ""), "")</f>
        <v/>
      </c>
      <c r="P69" s="30">
        <f>IFERROR(VLOOKUP(ROWS($O$39:U68),'SelloutPlan v1Main'!$E$5:$AC$208,12,FALSE),"")</f>
        <v/>
      </c>
      <c r="Q69" s="81">
        <f>IFERROR(VLOOKUP(ROWS($O$39:V68),'SelloutPlan v1Main'!$E$5:$AC$208,13,FALSE),"")</f>
        <v/>
      </c>
      <c r="R69" s="27">
        <f>IFERROR(VLOOKUP(ROWS($O$39:U68),'SelloutPlan v1Main'!$E$5:$AC$208,7,FALSE),"")</f>
        <v/>
      </c>
      <c r="S69" s="39">
        <f>IFERROR(VLOOKUP(ROWS($O$39:S68), 'SelloutPlan v1Main'!$E$5:$AC$208, 14, FALSE), "")</f>
        <v/>
      </c>
      <c r="T69" s="26">
        <f>IFERROR(VLOOKUP(ROWS($O$39:T68), 'SelloutPlan v1Main'!$E$5:$AC$208, 14, FALSE), "")</f>
        <v/>
      </c>
      <c r="U69" s="82">
        <f>IFERROR(VLOOKUP(ROWS($O$39:U68),'SelloutPlan v1Main'!$E$5:$AC$208,16,FALSE),"")</f>
        <v/>
      </c>
      <c r="V69" s="27">
        <f>IFERROR(IF(_xlfn.XLOOKUP(ROWS($O$39:W69), 'SelloutPlan v1Main'!$E$5:$E$208, 'SelloutPlan v1Main'!$X$5:$X$208) = 0, "", _xlfn.XLOOKUP(ROWS($O$39:W69), 'SelloutPlan v1Main'!$E$5:$E$208, 'SelloutPlan v1Main'!$X$5:$X$208)), "")</f>
        <v/>
      </c>
      <c r="W69" s="82">
        <f>IFERROR(IF(VLOOKUP(ROWS($O$39:X68), 'SelloutPlan v1Main'!$E$5:$AP$209, 25, FALSE) = 0, "", VLOOKUP(ROWS($O$39:X68), 'SelloutPlan v1Main'!$E$5:$AP$209, 24, FALSE)), "")</f>
        <v/>
      </c>
    </row>
    <row r="70" ht="17.4" customHeight="1" s="287">
      <c r="B70" s="15" t="n">
        <v>31</v>
      </c>
      <c r="C70" s="89">
        <f>IFERROR(VLOOKUP(ROWS($C$39:C69), 'SelloutPlan v1Main'!$D$5:$AC$208,12, FALSE), "")</f>
        <v/>
      </c>
      <c r="D70" s="17">
        <f>IFERROR(VLOOKUP(ROWS($C$39:D69), 'SelloutPlan v1Main'!$D$5:$AC$208,11, FALSE), "")</f>
        <v/>
      </c>
      <c r="E70" s="17">
        <f>IFERROR(VLOOKUP(ROWS($C$39:E69), 'SelloutPlan v1Main'!$D$5:$AC$208,9, FALSE), "")</f>
        <v/>
      </c>
      <c r="F70" s="35">
        <f>IFERROR(VLOOKUP(ROWS($C$39:F69), 'SelloutPlan v1Main'!$D$5:$AC$208,7, FALSE), "")</f>
        <v/>
      </c>
      <c r="G70" s="90">
        <f>IFERROR(VLOOKUP(ROWS($C$39:G69), 'SelloutPlan v1Main'!$D$5:$AC$208,16, FALSE), "")</f>
        <v/>
      </c>
      <c r="H70" s="122">
        <f>IFERROR(VLOOKUP(ROWS($C$39:G69), 'SelloutPlan v1Main'!$D$5:$AC$208,17, FALSE), "")</f>
        <v/>
      </c>
      <c r="I70" s="36">
        <f>IFERROR(VLOOKUP(ROWS($C$39:H69), 'SelloutPlan v1Main'!$D$5:$AC$208,3, FALSE), "")</f>
        <v/>
      </c>
      <c r="J70" s="36">
        <f>IFERROR(VLOOKUP(ROWS($C$39:I69), 'SelloutPlan v1Main'!$D$5:$AC$208,10, FALSE), "")</f>
        <v/>
      </c>
      <c r="K70" s="91">
        <f>IFERROR(VLOOKUP(ROWS($C$39:J69), 'SelloutPlan v1Main'!$D$5:$AC$208,14, FALSE), "")</f>
        <v/>
      </c>
      <c r="L70" s="50">
        <f>IFERROR(VLOOKUP(ROWS($C$39:K69), 'SelloutPlan v1Main'!$D$5:$AC$208,10, FALSE), "")</f>
        <v/>
      </c>
      <c r="O70" s="26">
        <f>IFERROR(IF(VLOOKUP(ROWS($O$39:$O69), 'SelloutPlan v1Main'!$D$5:$AC$499, 12, FALSE)="Open", VLOOKUP(ROWS($O$39:$O69), 'SelloutPlan v1Main'!$D$5:$AC$499, 3, FALSE), ""), "")</f>
        <v/>
      </c>
      <c r="P70" s="30">
        <f>IFERROR(VLOOKUP(ROWS($O$39:U69),'SelloutPlan v1Main'!$E$5:$AC$208,12,FALSE),"")</f>
        <v/>
      </c>
      <c r="Q70" s="81">
        <f>IFERROR(VLOOKUP(ROWS($O$39:V69),'SelloutPlan v1Main'!$E$5:$AC$208,13,FALSE),"")</f>
        <v/>
      </c>
      <c r="R70" s="27">
        <f>IFERROR(VLOOKUP(ROWS($O$39:U69),'SelloutPlan v1Main'!$E$5:$AC$208,7,FALSE),"")</f>
        <v/>
      </c>
      <c r="S70" s="39">
        <f>IFERROR(VLOOKUP(ROWS($O$39:S69), 'SelloutPlan v1Main'!$E$5:$AC$208, 14, FALSE), "")</f>
        <v/>
      </c>
      <c r="T70" s="26">
        <f>IFERROR(VLOOKUP(ROWS($O$39:T69), 'SelloutPlan v1Main'!$E$5:$AC$208, 14, FALSE), "")</f>
        <v/>
      </c>
      <c r="U70" s="82">
        <f>IFERROR(VLOOKUP(ROWS($O$39:U69),'SelloutPlan v1Main'!$E$5:$AC$208,16,FALSE),"")</f>
        <v/>
      </c>
      <c r="V70" s="27">
        <f>IFERROR(IF(_xlfn.XLOOKUP(ROWS($O$39:W70), 'SelloutPlan v1Main'!$E$5:$E$208, 'SelloutPlan v1Main'!$X$5:$X$208) = 0, "", _xlfn.XLOOKUP(ROWS($O$39:W70), 'SelloutPlan v1Main'!$E$5:$E$208, 'SelloutPlan v1Main'!$X$5:$X$208)), "")</f>
        <v/>
      </c>
      <c r="W70" s="82">
        <f>IFERROR(IF(VLOOKUP(ROWS($O$39:X69), 'SelloutPlan v1Main'!$E$5:$AP$209, 25, FALSE) = 0, "", VLOOKUP(ROWS($O$39:X69), 'SelloutPlan v1Main'!$E$5:$AP$209, 24, FALSE)), "")</f>
        <v/>
      </c>
    </row>
    <row r="71" ht="17.4" customHeight="1" s="287">
      <c r="B71" s="15" t="n">
        <v>32</v>
      </c>
      <c r="C71" s="89">
        <f>IFERROR(VLOOKUP(ROWS($C$39:C70), 'SelloutPlan v1Main'!$D$5:$AC$208,12, FALSE), "")</f>
        <v/>
      </c>
      <c r="D71" s="17">
        <f>IFERROR(VLOOKUP(ROWS($C$39:D70), 'SelloutPlan v1Main'!$D$5:$AC$208,11, FALSE), "")</f>
        <v/>
      </c>
      <c r="E71" s="17">
        <f>IFERROR(VLOOKUP(ROWS($C$39:E70), 'SelloutPlan v1Main'!$D$5:$AC$208,9, FALSE), "")</f>
        <v/>
      </c>
      <c r="F71" s="35">
        <f>IFERROR(VLOOKUP(ROWS($C$39:F70), 'SelloutPlan v1Main'!$D$5:$AC$208,7, FALSE), "")</f>
        <v/>
      </c>
      <c r="G71" s="90">
        <f>IFERROR(VLOOKUP(ROWS($C$39:G70), 'SelloutPlan v1Main'!$D$5:$AC$208,16, FALSE), "")</f>
        <v/>
      </c>
      <c r="H71" s="122">
        <f>IFERROR(VLOOKUP(ROWS($C$39:G70), 'SelloutPlan v1Main'!$D$5:$AC$208,17, FALSE), "")</f>
        <v/>
      </c>
      <c r="I71" s="36">
        <f>IFERROR(VLOOKUP(ROWS($C$39:H70), 'SelloutPlan v1Main'!$D$5:$AC$208,3, FALSE), "")</f>
        <v/>
      </c>
      <c r="J71" s="36">
        <f>IFERROR(VLOOKUP(ROWS($C$39:I70), 'SelloutPlan v1Main'!$D$5:$AC$208,10, FALSE), "")</f>
        <v/>
      </c>
      <c r="K71" s="91">
        <f>IFERROR(VLOOKUP(ROWS($C$39:J70), 'SelloutPlan v1Main'!$D$5:$AC$208,14, FALSE), "")</f>
        <v/>
      </c>
      <c r="L71" s="50">
        <f>IFERROR(VLOOKUP(ROWS($C$39:K70), 'SelloutPlan v1Main'!$D$5:$AC$208,10, FALSE), "")</f>
        <v/>
      </c>
      <c r="O71" s="26">
        <f>IFERROR(IF(VLOOKUP(ROWS($O$39:$O70), 'SelloutPlan v1Main'!$D$5:$AC$499, 12, FALSE)="Open", VLOOKUP(ROWS($O$39:$O70), 'SelloutPlan v1Main'!$D$5:$AC$499, 3, FALSE), ""), "")</f>
        <v/>
      </c>
      <c r="P71" s="30">
        <f>IFERROR(VLOOKUP(ROWS($O$39:U70),'SelloutPlan v1Main'!$E$5:$AC$208,12,FALSE),"")</f>
        <v/>
      </c>
      <c r="Q71" s="81">
        <f>IFERROR(VLOOKUP(ROWS($O$39:V70),'SelloutPlan v1Main'!$E$5:$AC$208,13,FALSE),"")</f>
        <v/>
      </c>
      <c r="R71" s="27">
        <f>IFERROR(VLOOKUP(ROWS($O$39:U70),'SelloutPlan v1Main'!$E$5:$AC$208,5,FALSE),"")</f>
        <v/>
      </c>
      <c r="S71" s="39">
        <f>IFERROR(VLOOKUP(ROWS($O$39:S70), 'SelloutPlan v1Main'!$E$5:$AC$208, 14, FALSE), "")</f>
        <v/>
      </c>
      <c r="T71" s="26">
        <f>IFERROR(VLOOKUP(ROWS($O$39:T70), 'SelloutPlan v1Main'!$E$5:$AC$208, 14, FALSE), "")</f>
        <v/>
      </c>
      <c r="U71" s="82">
        <f>IFERROR(VLOOKUP(ROWS($O$39:U70),'SelloutPlan v1Main'!$E$5:$AC$208,16,FALSE),"")</f>
        <v/>
      </c>
      <c r="V71" s="27">
        <f>IFERROR(IF(_xlfn.XLOOKUP(ROWS($O$39:W71), 'SelloutPlan v1Main'!$E$5:$E$208, 'SelloutPlan v1Main'!$X$5:$X$208) = 0, "", _xlfn.XLOOKUP(ROWS($O$39:W71), 'SelloutPlan v1Main'!$E$5:$E$208, 'SelloutPlan v1Main'!$X$5:$X$208)), "")</f>
        <v/>
      </c>
      <c r="W71" s="82">
        <f>IFERROR(IF(VLOOKUP(ROWS($O$39:X70), 'SelloutPlan v1Main'!$E$5:$AP$209, 25, FALSE) = 0, "", VLOOKUP(ROWS($O$39:X70), 'SelloutPlan v1Main'!$E$5:$AP$209, 24, FALSE)), "")</f>
        <v/>
      </c>
    </row>
    <row r="72" ht="17.4" customHeight="1" s="287">
      <c r="B72" s="15" t="n">
        <v>33</v>
      </c>
      <c r="C72" s="89">
        <f>IFERROR(VLOOKUP(ROWS($C$39:C71), 'SelloutPlan v1Main'!$D$5:$AC$208,12, FALSE), "")</f>
        <v/>
      </c>
      <c r="D72" s="17">
        <f>IFERROR(VLOOKUP(ROWS($C$39:D71), 'SelloutPlan v1Main'!$D$5:$AC$208,11, FALSE), "")</f>
        <v/>
      </c>
      <c r="E72" s="17">
        <f>IFERROR(VLOOKUP(ROWS($C$39:E71), 'SelloutPlan v1Main'!$D$5:$AC$208,9, FALSE), "")</f>
        <v/>
      </c>
      <c r="F72" s="35">
        <f>IFERROR(VLOOKUP(ROWS($C$39:F71), 'SelloutPlan v1Main'!$D$5:$AC$208,7, FALSE), "")</f>
        <v/>
      </c>
      <c r="G72" s="90">
        <f>IFERROR(VLOOKUP(ROWS($C$39:G71), 'SelloutPlan v1Main'!$D$5:$AC$208,16, FALSE), "")</f>
        <v/>
      </c>
      <c r="H72" s="122">
        <f>IFERROR(VLOOKUP(ROWS($C$39:G71), 'SelloutPlan v1Main'!$D$5:$AC$208,17, FALSE), "")</f>
        <v/>
      </c>
      <c r="I72" s="36">
        <f>IFERROR(VLOOKUP(ROWS($C$39:H71), 'SelloutPlan v1Main'!$D$5:$AC$208,3, FALSE), "")</f>
        <v/>
      </c>
      <c r="J72" s="36">
        <f>IFERROR(VLOOKUP(ROWS($C$39:I71), 'SelloutPlan v1Main'!$D$5:$AC$208,10, FALSE), "")</f>
        <v/>
      </c>
      <c r="K72" s="91">
        <f>IFERROR(VLOOKUP(ROWS($C$39:J71), 'SelloutPlan v1Main'!$D$5:$AC$208,14, FALSE), "")</f>
        <v/>
      </c>
      <c r="L72" s="50">
        <f>IFERROR(VLOOKUP(ROWS($C$39:K71), 'SelloutPlan v1Main'!$D$5:$AC$208,10, FALSE), "")</f>
        <v/>
      </c>
      <c r="O72" s="26">
        <f>IFERROR(IF(VLOOKUP(ROWS($O$39:$O71), 'SelloutPlan v1Main'!$D$5:$AC$499, 12, FALSE)="Open", VLOOKUP(ROWS($O$39:$O71), 'SelloutPlan v1Main'!$D$5:$AC$499, 3, FALSE), ""), "")</f>
        <v/>
      </c>
      <c r="P72" s="30">
        <f>IFERROR(VLOOKUP(ROWS($O$39:U71),'SelloutPlan v1Main'!$E$5:$AC$208,12,FALSE),"")</f>
        <v/>
      </c>
      <c r="Q72" s="81">
        <f>IFERROR(VLOOKUP(ROWS($O$39:V71),'SelloutPlan v1Main'!$E$5:$AC$208,13,FALSE),"")</f>
        <v/>
      </c>
      <c r="R72" s="27">
        <f>IFERROR(VLOOKUP(ROWS($O$39:U71),'SelloutPlan v1Main'!$E$5:$AC$208,5,FALSE),"")</f>
        <v/>
      </c>
      <c r="S72" s="39">
        <f>IFERROR(VLOOKUP(ROWS($O$39:S71), 'SelloutPlan v1Main'!$E$5:$AC$208, 14, FALSE), "")</f>
        <v/>
      </c>
      <c r="T72" s="26">
        <f>IFERROR(VLOOKUP(ROWS($O$39:T71), 'SelloutPlan v1Main'!$E$5:$AC$208, 14, FALSE), "")</f>
        <v/>
      </c>
      <c r="U72" s="82">
        <f>IFERROR(VLOOKUP(ROWS($O$39:U71),'SelloutPlan v1Main'!$E$5:$AC$208,16,FALSE),"")</f>
        <v/>
      </c>
      <c r="V72" s="27">
        <f>IFERROR(IF(_xlfn.XLOOKUP(ROWS($O$39:W72), 'SelloutPlan v1Main'!$E$5:$E$208, 'SelloutPlan v1Main'!$X$5:$X$208) = 0, "", _xlfn.XLOOKUP(ROWS($O$39:W72), 'SelloutPlan v1Main'!$E$5:$E$208, 'SelloutPlan v1Main'!$X$5:$X$208)), "")</f>
        <v/>
      </c>
      <c r="W72" s="82">
        <f>IFERROR(IF(VLOOKUP(ROWS($O$39:X71), 'SelloutPlan v1Main'!$E$5:$AP$209, 25, FALSE) = 0, "", VLOOKUP(ROWS($O$39:X71), 'SelloutPlan v1Main'!$E$5:$AP$209, 24, FALSE)), "")</f>
        <v/>
      </c>
    </row>
    <row r="73" ht="17.4" customHeight="1" s="287">
      <c r="B73" s="15" t="n">
        <v>34</v>
      </c>
      <c r="C73" s="89">
        <f>IFERROR(VLOOKUP(ROWS($C$39:C72), 'SelloutPlan v1Main'!$D$5:$AC$208,12, FALSE), "")</f>
        <v/>
      </c>
      <c r="D73" s="17">
        <f>IFERROR(VLOOKUP(ROWS($C$39:D72), 'SelloutPlan v1Main'!$D$5:$AC$208,11, FALSE), "")</f>
        <v/>
      </c>
      <c r="E73" s="17">
        <f>IFERROR(VLOOKUP(ROWS($C$39:E72), 'SelloutPlan v1Main'!$D$5:$AC$208,9, FALSE), "")</f>
        <v/>
      </c>
      <c r="F73" s="35">
        <f>IFERROR(VLOOKUP(ROWS($C$39:F72), 'SelloutPlan v1Main'!$D$5:$AC$208,7, FALSE), "")</f>
        <v/>
      </c>
      <c r="G73" s="90">
        <f>IFERROR(VLOOKUP(ROWS($C$39:G72), 'SelloutPlan v1Main'!$D$5:$AC$208,16, FALSE), "")</f>
        <v/>
      </c>
      <c r="H73" s="122">
        <f>IFERROR(VLOOKUP(ROWS($C$39:G72), 'SelloutPlan v1Main'!$D$5:$AC$208,17, FALSE), "")</f>
        <v/>
      </c>
      <c r="I73" s="36">
        <f>IFERROR(VLOOKUP(ROWS($C$39:H72), 'SelloutPlan v1Main'!$D$5:$AC$208,3, FALSE), "")</f>
        <v/>
      </c>
      <c r="J73" s="36">
        <f>IFERROR(VLOOKUP(ROWS($C$39:I72), 'SelloutPlan v1Main'!$D$5:$AC$208,10, FALSE), "")</f>
        <v/>
      </c>
      <c r="K73" s="91">
        <f>IFERROR(VLOOKUP(ROWS($C$39:J72), 'SelloutPlan v1Main'!$D$5:$AC$208,14, FALSE), "")</f>
        <v/>
      </c>
      <c r="L73" s="50">
        <f>IFERROR(VLOOKUP(ROWS($C$39:K72), 'SelloutPlan v1Main'!$D$5:$AC$208,10, FALSE), "")</f>
        <v/>
      </c>
      <c r="O73" s="26">
        <f>IFERROR(IF(VLOOKUP(ROWS($O$39:$O72), 'SelloutPlan v1Main'!$D$5:$AC$499, 12, FALSE)="Open", VLOOKUP(ROWS($O$39:$O72), 'SelloutPlan v1Main'!$D$5:$AC$499, 3, FALSE), ""), "")</f>
        <v/>
      </c>
      <c r="P73" s="30">
        <f>IFERROR(VLOOKUP(ROWS($O$39:U72),'SelloutPlan v1Main'!$E$5:$AC$208,12,FALSE),"")</f>
        <v/>
      </c>
      <c r="Q73" s="81">
        <f>IFERROR(VLOOKUP(ROWS($O$39:V72),'SelloutPlan v1Main'!$E$5:$AC$208,13,FALSE),"")</f>
        <v/>
      </c>
      <c r="R73" s="27">
        <f>IFERROR(VLOOKUP(ROWS($O$39:U72),'SelloutPlan v1Main'!$E$5:$AC$208,5,FALSE),"")</f>
        <v/>
      </c>
      <c r="S73" s="39">
        <f>IFERROR(VLOOKUP(ROWS($O$39:S72), 'SelloutPlan v1Main'!$E$5:$AC$208, 14, FALSE), "")</f>
        <v/>
      </c>
      <c r="T73" s="26">
        <f>IFERROR(VLOOKUP(ROWS($O$39:T72), 'SelloutPlan v1Main'!$E$5:$AC$208, 14, FALSE), "")</f>
        <v/>
      </c>
      <c r="U73" s="82">
        <f>IFERROR(VLOOKUP(ROWS($O$39:U72),'SelloutPlan v1Main'!$E$5:$AC$208,16,FALSE),"")</f>
        <v/>
      </c>
      <c r="V73" s="27">
        <f>IFERROR(IF(_xlfn.XLOOKUP(ROWS($O$39:W73), 'SelloutPlan v1Main'!$E$5:$E$208, 'SelloutPlan v1Main'!$X$5:$X$208) = 0, "", _xlfn.XLOOKUP(ROWS($O$39:W73), 'SelloutPlan v1Main'!$E$5:$E$208, 'SelloutPlan v1Main'!$X$5:$X$208)), "")</f>
        <v/>
      </c>
      <c r="W73" s="82">
        <f>IFERROR(IF(VLOOKUP(ROWS($O$39:X72), 'SelloutPlan v1Main'!$E$5:$AP$209, 25, FALSE) = 0, "", VLOOKUP(ROWS($O$39:X72), 'SelloutPlan v1Main'!$E$5:$AP$209, 24, FALSE)), "")</f>
        <v/>
      </c>
    </row>
    <row r="74" ht="17.4" customHeight="1" s="287">
      <c r="B74" s="15" t="n">
        <v>35</v>
      </c>
      <c r="C74" s="89">
        <f>IFERROR(VLOOKUP(ROWS($C$39:C73), 'SelloutPlan v1Main'!$D$5:$AC$208,12, FALSE), "")</f>
        <v/>
      </c>
      <c r="D74" s="17">
        <f>IFERROR(VLOOKUP(ROWS($C$39:D73), 'SelloutPlan v1Main'!$D$5:$AC$208,11, FALSE), "")</f>
        <v/>
      </c>
      <c r="E74" s="17">
        <f>IFERROR(VLOOKUP(ROWS($C$39:E73), 'SelloutPlan v1Main'!$D$5:$AC$208,9, FALSE), "")</f>
        <v/>
      </c>
      <c r="F74" s="35">
        <f>IFERROR(VLOOKUP(ROWS($C$39:F73), 'SelloutPlan v1Main'!$D$5:$AC$208,7, FALSE), "")</f>
        <v/>
      </c>
      <c r="G74" s="90">
        <f>IFERROR(VLOOKUP(ROWS($C$39:G73), 'SelloutPlan v1Main'!$D$5:$AC$208,16, FALSE), "")</f>
        <v/>
      </c>
      <c r="H74" s="122">
        <f>IFERROR(VLOOKUP(ROWS($C$39:G73), 'SelloutPlan v1Main'!$D$5:$AC$208,17, FALSE), "")</f>
        <v/>
      </c>
      <c r="I74" s="36">
        <f>IFERROR(VLOOKUP(ROWS($C$39:H73), 'SelloutPlan v1Main'!$D$5:$AC$208,3, FALSE), "")</f>
        <v/>
      </c>
      <c r="J74" s="36">
        <f>IFERROR(VLOOKUP(ROWS($C$39:I73), 'SelloutPlan v1Main'!$D$5:$AC$208,10, FALSE), "")</f>
        <v/>
      </c>
      <c r="K74" s="91">
        <f>IFERROR(VLOOKUP(ROWS($C$39:J73), 'SelloutPlan v1Main'!$D$5:$AC$208,14, FALSE), "")</f>
        <v/>
      </c>
      <c r="L74" s="50">
        <f>IFERROR(VLOOKUP(ROWS($C$39:K73), 'SelloutPlan v1Main'!$D$5:$AC$208,10, FALSE), "")</f>
        <v/>
      </c>
      <c r="O74" s="26">
        <f>IFERROR(IF(VLOOKUP(ROWS($O$39:$O73), 'SelloutPlan v1Main'!$D$5:$AC$499, 12, FALSE)="Open", VLOOKUP(ROWS($O$39:$O73), 'SelloutPlan v1Main'!$D$5:$AC$499, 3, FALSE), ""), "")</f>
        <v/>
      </c>
      <c r="P74" s="30">
        <f>IFERROR(VLOOKUP(ROWS($O$39:U73),'SelloutPlan v1Main'!$E$5:$AC$208,12,FALSE),"")</f>
        <v/>
      </c>
      <c r="Q74" s="81">
        <f>IFERROR(VLOOKUP(ROWS($O$39:V73),'SelloutPlan v1Main'!$E$5:$AC$208,13,FALSE),"")</f>
        <v/>
      </c>
      <c r="R74" s="27">
        <f>IFERROR(VLOOKUP(ROWS($O$39:U73),'SelloutPlan v1Main'!$E$5:$AC$208,5,FALSE),"")</f>
        <v/>
      </c>
      <c r="S74" s="39">
        <f>IFERROR(VLOOKUP(ROWS($O$39:S73), 'SelloutPlan v1Main'!$E$5:$AC$208, 14, FALSE), "")</f>
        <v/>
      </c>
      <c r="T74" s="26">
        <f>IFERROR(VLOOKUP(ROWS($O$39:T73), 'SelloutPlan v1Main'!$E$5:$AC$208, 14, FALSE), "")</f>
        <v/>
      </c>
      <c r="U74" s="82">
        <f>IFERROR(VLOOKUP(ROWS($O$39:U73),'SelloutPlan v1Main'!$E$5:$AC$208,16,FALSE),"")</f>
        <v/>
      </c>
      <c r="V74" s="27">
        <f>IFERROR(IF(_xlfn.XLOOKUP(ROWS($O$39:W74), 'SelloutPlan v1Main'!$E$5:$E$208, 'SelloutPlan v1Main'!$X$5:$X$208) = 0, "", _xlfn.XLOOKUP(ROWS($O$39:W74), 'SelloutPlan v1Main'!$E$5:$E$208, 'SelloutPlan v1Main'!$X$5:$X$208)), "")</f>
        <v/>
      </c>
      <c r="W74" s="82">
        <f>IFERROR(IF(VLOOKUP(ROWS($O$39:X73), 'SelloutPlan v1Main'!$E$5:$AP$209, 25, FALSE) = 0, "", VLOOKUP(ROWS($O$39:X73), 'SelloutPlan v1Main'!$E$5:$AP$209, 24, FALSE)), "")</f>
        <v/>
      </c>
    </row>
    <row r="75" ht="17.4" customHeight="1" s="287">
      <c r="B75" s="15" t="n">
        <v>36</v>
      </c>
      <c r="C75" s="89">
        <f>IFERROR(VLOOKUP(ROWS($C$39:C74), 'SelloutPlan v1Main'!$D$5:$AC$208,12, FALSE), "")</f>
        <v/>
      </c>
      <c r="D75" s="17">
        <f>IFERROR(VLOOKUP(ROWS($C$39:D74), 'SelloutPlan v1Main'!$D$5:$AC$208,11, FALSE), "")</f>
        <v/>
      </c>
      <c r="E75" s="17">
        <f>IFERROR(VLOOKUP(ROWS($C$39:E74), 'SelloutPlan v1Main'!$D$5:$AC$208,9, FALSE), "")</f>
        <v/>
      </c>
      <c r="F75" s="35">
        <f>IFERROR(VLOOKUP(ROWS($C$39:F74), 'SelloutPlan v1Main'!$D$5:$AC$208,7, FALSE), "")</f>
        <v/>
      </c>
      <c r="G75" s="90">
        <f>IFERROR(VLOOKUP(ROWS($C$39:G74), 'SelloutPlan v1Main'!$D$5:$AC$208,16, FALSE), "")</f>
        <v/>
      </c>
      <c r="H75" s="122">
        <f>IFERROR(VLOOKUP(ROWS($C$39:G74), 'SelloutPlan v1Main'!$D$5:$AC$208,17, FALSE), "")</f>
        <v/>
      </c>
      <c r="I75" s="36">
        <f>IFERROR(VLOOKUP(ROWS($C$39:H74), 'SelloutPlan v1Main'!$D$5:$AC$208,3, FALSE), "")</f>
        <v/>
      </c>
      <c r="J75" s="36">
        <f>IFERROR(VLOOKUP(ROWS($C$39:I74), 'SelloutPlan v1Main'!$D$5:$AC$208,10, FALSE), "")</f>
        <v/>
      </c>
      <c r="K75" s="91">
        <f>IFERROR(VLOOKUP(ROWS($C$39:J74), 'SelloutPlan v1Main'!$D$5:$AC$208,14, FALSE), "")</f>
        <v/>
      </c>
      <c r="L75" s="50">
        <f>IFERROR(VLOOKUP(ROWS($C$39:K74), 'SelloutPlan v1Main'!$D$5:$AC$208,10, FALSE), "")</f>
        <v/>
      </c>
      <c r="O75" s="26">
        <f>IFERROR(IF(VLOOKUP(ROWS($O$39:$O74), 'SelloutPlan v1Main'!$D$5:$AC$499, 12, FALSE)="Open", VLOOKUP(ROWS($O$39:$O74), 'SelloutPlan v1Main'!$D$5:$AC$499, 3, FALSE), ""), "")</f>
        <v/>
      </c>
      <c r="P75" s="30">
        <f>IFERROR(VLOOKUP(ROWS($O$39:U74),'SelloutPlan v1Main'!$E$5:$AC$208,12,FALSE),"")</f>
        <v/>
      </c>
      <c r="Q75" s="81">
        <f>IFERROR(VLOOKUP(ROWS($O$39:V74),'SelloutPlan v1Main'!$E$5:$AC$208,13,FALSE),"")</f>
        <v/>
      </c>
      <c r="R75" s="27">
        <f>IFERROR(VLOOKUP(ROWS($O$39:U74),'SelloutPlan v1Main'!$E$5:$AC$208,5,FALSE),"")</f>
        <v/>
      </c>
      <c r="S75" s="39">
        <f>IFERROR(VLOOKUP(ROWS($O$39:S74), 'SelloutPlan v1Main'!$E$5:$AC$208, 14, FALSE), "")</f>
        <v/>
      </c>
      <c r="T75" s="26">
        <f>IFERROR(VLOOKUP(ROWS($O$39:T74), 'SelloutPlan v1Main'!$E$5:$AC$208, 14, FALSE), "")</f>
        <v/>
      </c>
      <c r="U75" s="82">
        <f>IFERROR(VLOOKUP(ROWS($O$39:U74),'SelloutPlan v1Main'!$E$5:$AC$208,16,FALSE),"")</f>
        <v/>
      </c>
      <c r="V75" s="27">
        <f>IFERROR(IF(_xlfn.XLOOKUP(ROWS($O$39:W75), 'SelloutPlan v1Main'!$E$5:$E$208, 'SelloutPlan v1Main'!$X$5:$X$208) = 0, "", _xlfn.XLOOKUP(ROWS($O$39:W75), 'SelloutPlan v1Main'!$E$5:$E$208, 'SelloutPlan v1Main'!$X$5:$X$208)), "")</f>
        <v/>
      </c>
      <c r="W75" s="82">
        <f>IFERROR(IF(VLOOKUP(ROWS($O$39:X74), 'SelloutPlan v1Main'!$E$5:$AP$209, 25, FALSE) = 0, "", VLOOKUP(ROWS($O$39:X74), 'SelloutPlan v1Main'!$E$5:$AP$209, 24, FALSE)), "")</f>
        <v/>
      </c>
    </row>
    <row r="76" ht="17.4" customHeight="1" s="287">
      <c r="B76" s="15" t="n">
        <v>37</v>
      </c>
      <c r="C76" s="89">
        <f>IFERROR(VLOOKUP(ROWS($C$39:C75), 'SelloutPlan v1Main'!$D$5:$AC$208,12, FALSE), "")</f>
        <v/>
      </c>
      <c r="D76" s="17">
        <f>IFERROR(VLOOKUP(ROWS($C$39:D75), 'SelloutPlan v1Main'!$D$5:$AC$208,11, FALSE), "")</f>
        <v/>
      </c>
      <c r="E76" s="17">
        <f>IFERROR(VLOOKUP(ROWS($C$39:E75), 'SelloutPlan v1Main'!$D$5:$AC$208,9, FALSE), "")</f>
        <v/>
      </c>
      <c r="F76" s="35">
        <f>IFERROR(VLOOKUP(ROWS($C$39:F75), 'SelloutPlan v1Main'!$D$5:$AC$208,7, FALSE), "")</f>
        <v/>
      </c>
      <c r="G76" s="90">
        <f>IFERROR(VLOOKUP(ROWS($C$39:G75), 'SelloutPlan v1Main'!$D$5:$AC$208,16, FALSE), "")</f>
        <v/>
      </c>
      <c r="H76" s="122">
        <f>IFERROR(VLOOKUP(ROWS($C$39:G75), 'SelloutPlan v1Main'!$D$5:$AC$208,17, FALSE), "")</f>
        <v/>
      </c>
      <c r="I76" s="36">
        <f>IFERROR(VLOOKUP(ROWS($C$39:H75), 'SelloutPlan v1Main'!$D$5:$AC$208,3, FALSE), "")</f>
        <v/>
      </c>
      <c r="J76" s="36">
        <f>IFERROR(VLOOKUP(ROWS($C$39:I75), 'SelloutPlan v1Main'!$D$5:$AC$208,10, FALSE), "")</f>
        <v/>
      </c>
      <c r="K76" s="91">
        <f>IFERROR(VLOOKUP(ROWS($C$39:J75), 'SelloutPlan v1Main'!$D$5:$AC$208,14, FALSE), "")</f>
        <v/>
      </c>
      <c r="L76" s="50">
        <f>IFERROR(VLOOKUP(ROWS($C$39:K75), 'SelloutPlan v1Main'!$D$5:$AC$208,10, FALSE), "")</f>
        <v/>
      </c>
      <c r="O76" s="26">
        <f>IFERROR(IF(VLOOKUP(ROWS($O$39:$O75), 'SelloutPlan v1Main'!$D$5:$AC$499, 12, FALSE)="Open", VLOOKUP(ROWS($O$39:$O75), 'SelloutPlan v1Main'!$D$5:$AC$499, 3, FALSE), ""), "")</f>
        <v/>
      </c>
      <c r="P76" s="30">
        <f>IFERROR(VLOOKUP(ROWS($O$39:U75),'SelloutPlan v1Main'!$E$5:$AC$208,12,FALSE),"")</f>
        <v/>
      </c>
      <c r="Q76" s="81">
        <f>IFERROR(VLOOKUP(ROWS($O$39:V75),'SelloutPlan v1Main'!$E$5:$AC$208,13,FALSE),"")</f>
        <v/>
      </c>
      <c r="R76" s="27">
        <f>IFERROR(VLOOKUP(ROWS($O$39:U75),'SelloutPlan v1Main'!$E$5:$AC$208,5,FALSE),"")</f>
        <v/>
      </c>
      <c r="S76" s="39">
        <f>IFERROR(VLOOKUP(ROWS($O$39:S75), 'SelloutPlan v1Main'!$E$5:$AC$208, 14, FALSE), "")</f>
        <v/>
      </c>
      <c r="T76" s="26">
        <f>IFERROR(VLOOKUP(ROWS($O$39:T75), 'SelloutPlan v1Main'!$E$5:$AC$208, 14, FALSE), "")</f>
        <v/>
      </c>
      <c r="U76" s="82">
        <f>IFERROR(VLOOKUP(ROWS($O$39:U75),'SelloutPlan v1Main'!$E$5:$AC$208,16,FALSE),"")</f>
        <v/>
      </c>
      <c r="V76" s="27">
        <f>IFERROR(IF(_xlfn.XLOOKUP(ROWS($O$39:W76), 'SelloutPlan v1Main'!$E$5:$E$208, 'SelloutPlan v1Main'!$X$5:$X$208) = 0, "", _xlfn.XLOOKUP(ROWS($O$39:W76), 'SelloutPlan v1Main'!$E$5:$E$208, 'SelloutPlan v1Main'!$X$5:$X$208)), "")</f>
        <v/>
      </c>
      <c r="W76" s="27">
        <f>IFERROR(IF(VLOOKUP(ROWS($O$39:X75), 'SelloutPlan v1Main'!$E$5:$AP$209, 25, FALSE) = 0, "", VLOOKUP(ROWS($O$39:X75), 'SelloutPlan v1Main'!$E$5:$AP$209, 25, FALSE)), "")</f>
        <v/>
      </c>
    </row>
    <row r="77" ht="17.4" customHeight="1" s="287">
      <c r="B77" s="15" t="n">
        <v>38</v>
      </c>
      <c r="C77" s="89">
        <f>IFERROR(VLOOKUP(ROWS($C$39:C76), 'SelloutPlan v1Main'!$D$5:$AC$208,12, FALSE), "")</f>
        <v/>
      </c>
      <c r="D77" s="17">
        <f>IFERROR(VLOOKUP(ROWS($C$39:D76), 'SelloutPlan v1Main'!$D$5:$AC$208,11, FALSE), "")</f>
        <v/>
      </c>
      <c r="E77" s="17">
        <f>IFERROR(VLOOKUP(ROWS($C$39:E76), 'SelloutPlan v1Main'!$D$5:$AC$208,9, FALSE), "")</f>
        <v/>
      </c>
      <c r="F77" s="35">
        <f>IFERROR(VLOOKUP(ROWS($C$39:F76), 'SelloutPlan v1Main'!$D$5:$AC$208,7, FALSE), "")</f>
        <v/>
      </c>
      <c r="G77" s="90">
        <f>IFERROR(VLOOKUP(ROWS($C$39:G76), 'SelloutPlan v1Main'!$D$5:$AC$208,16, FALSE), "")</f>
        <v/>
      </c>
      <c r="H77" s="122">
        <f>IFERROR(VLOOKUP(ROWS($C$39:G76), 'SelloutPlan v1Main'!$D$5:$AC$208,17, FALSE), "")</f>
        <v/>
      </c>
      <c r="I77" s="36">
        <f>IFERROR(VLOOKUP(ROWS($C$39:H76), 'SelloutPlan v1Main'!$D$5:$AC$208,3, FALSE), "")</f>
        <v/>
      </c>
      <c r="J77" s="36">
        <f>IFERROR(VLOOKUP(ROWS($C$39:I76), 'SelloutPlan v1Main'!$D$5:$AC$208,10, FALSE), "")</f>
        <v/>
      </c>
      <c r="K77" s="91">
        <f>IFERROR(VLOOKUP(ROWS($C$39:J76), 'SelloutPlan v1Main'!$D$5:$AC$208,14, FALSE), "")</f>
        <v/>
      </c>
      <c r="L77" s="50">
        <f>IFERROR(VLOOKUP(ROWS($C$39:K76), 'SelloutPlan v1Main'!$D$5:$AC$208,10, FALSE), "")</f>
        <v/>
      </c>
      <c r="O77" s="26">
        <f>IFERROR(IF(VLOOKUP(ROWS($O$39:$O76), 'SelloutPlan v1Main'!$D$5:$AC$499, 12, FALSE)="Open", VLOOKUP(ROWS($O$39:$O76), 'SelloutPlan v1Main'!$D$5:$AC$499, 3, FALSE), ""), "")</f>
        <v/>
      </c>
      <c r="P77" s="30">
        <f>IFERROR(VLOOKUP(ROWS($O$39:U76),'SelloutPlan v1Main'!$E$5:$AC$208,12,FALSE),"")</f>
        <v/>
      </c>
      <c r="Q77" s="81">
        <f>IFERROR(VLOOKUP(ROWS($O$39:V76),'SelloutPlan v1Main'!$E$5:$AC$208,13,FALSE),"")</f>
        <v/>
      </c>
      <c r="R77" s="27">
        <f>IFERROR(VLOOKUP(ROWS($O$39:U76),'SelloutPlan v1Main'!$E$5:$AC$208,5,FALSE),"")</f>
        <v/>
      </c>
      <c r="S77" s="39">
        <f>IFERROR(VLOOKUP(ROWS($O$39:S76), 'SelloutPlan v1Main'!$E$5:$AC$208, 14, FALSE), "")</f>
        <v/>
      </c>
      <c r="T77" s="26">
        <f>IFERROR(VLOOKUP(ROWS($O$39:T76), 'SelloutPlan v1Main'!$E$5:$AC$208, 14, FALSE), "")</f>
        <v/>
      </c>
      <c r="U77" s="82">
        <f>IFERROR(VLOOKUP(ROWS($O$39:U76),'SelloutPlan v1Main'!$E$5:$AC$208,16,FALSE),"")</f>
        <v/>
      </c>
      <c r="V77" s="27">
        <f>IFERROR(IF(_xlfn.XLOOKUP(ROWS($O$39:W77), 'SelloutPlan v1Main'!$E$5:$E$208, 'SelloutPlan v1Main'!$X$5:$X$208) = 0, "", _xlfn.XLOOKUP(ROWS($O$39:W77), 'SelloutPlan v1Main'!$E$5:$E$208, 'SelloutPlan v1Main'!$X$5:$X$208)), "")</f>
        <v/>
      </c>
      <c r="W77" s="27">
        <f>IFERROR(IF(VLOOKUP(ROWS($O$39:X76), 'SelloutPlan v1Main'!$E$5:$AP$209, 25, FALSE) = 0, "", VLOOKUP(ROWS($O$39:X76), 'SelloutPlan v1Main'!$E$5:$AP$209, 25, FALSE)), "")</f>
        <v/>
      </c>
    </row>
    <row r="78" ht="17.4" customHeight="1" s="287">
      <c r="B78" s="15" t="n">
        <v>39</v>
      </c>
      <c r="C78" s="89">
        <f>IFERROR(VLOOKUP(ROWS($C$39:C77), 'SelloutPlan v1Main'!$D$5:$AC$208,12, FALSE), "")</f>
        <v/>
      </c>
      <c r="D78" s="17">
        <f>IFERROR(VLOOKUP(ROWS($C$39:D77), 'SelloutPlan v1Main'!$D$5:$AC$208,11, FALSE), "")</f>
        <v/>
      </c>
      <c r="E78" s="17">
        <f>IFERROR(VLOOKUP(ROWS($C$39:E77), 'SelloutPlan v1Main'!$D$5:$AC$208,9, FALSE), "")</f>
        <v/>
      </c>
      <c r="F78" s="35">
        <f>IFERROR(VLOOKUP(ROWS($C$39:F77), 'SelloutPlan v1Main'!$D$5:$AC$208,7, FALSE), "")</f>
        <v/>
      </c>
      <c r="G78" s="90">
        <f>IFERROR(VLOOKUP(ROWS($C$39:G77), 'SelloutPlan v1Main'!$D$5:$AC$208,16, FALSE), "")</f>
        <v/>
      </c>
      <c r="H78" s="122">
        <f>IFERROR(VLOOKUP(ROWS($C$39:G77), 'SelloutPlan v1Main'!$D$5:$AC$208,17, FALSE), "")</f>
        <v/>
      </c>
      <c r="I78" s="36">
        <f>IFERROR(VLOOKUP(ROWS($C$39:H77), 'SelloutPlan v1Main'!$D$5:$AC$208,3, FALSE), "")</f>
        <v/>
      </c>
      <c r="J78" s="36">
        <f>IFERROR(VLOOKUP(ROWS($C$39:I77), 'SelloutPlan v1Main'!$D$5:$AC$208,10, FALSE), "")</f>
        <v/>
      </c>
      <c r="K78" s="91">
        <f>IFERROR(VLOOKUP(ROWS($C$39:J77), 'SelloutPlan v1Main'!$D$5:$AC$208,14, FALSE), "")</f>
        <v/>
      </c>
      <c r="L78" s="50">
        <f>IFERROR(VLOOKUP(ROWS($C$39:K77), 'SelloutPlan v1Main'!$D$5:$AC$208,10, FALSE), "")</f>
        <v/>
      </c>
      <c r="O78" s="26">
        <f>IFERROR(IF(VLOOKUP(ROWS($O$39:$O77), 'SelloutPlan v1Main'!$D$5:$AC$499, 12, FALSE)="Open", VLOOKUP(ROWS($O$39:$O77), 'SelloutPlan v1Main'!$D$5:$AC$499, 3, FALSE), ""), "")</f>
        <v/>
      </c>
      <c r="P78" s="30">
        <f>IFERROR(VLOOKUP(ROWS($O$39:U77),'SelloutPlan v1Main'!$E$5:$AC$208,12,FALSE),"")</f>
        <v/>
      </c>
      <c r="Q78" s="81">
        <f>IFERROR(VLOOKUP(ROWS($O$39:V77),'SelloutPlan v1Main'!$E$5:$AC$208,13,FALSE),"")</f>
        <v/>
      </c>
      <c r="R78" s="27">
        <f>IFERROR(VLOOKUP(ROWS($O$39:U77),'SelloutPlan v1Main'!$E$5:$AC$208,5,FALSE),"")</f>
        <v/>
      </c>
      <c r="S78" s="39">
        <f>IFERROR(VLOOKUP(ROWS($O$39:S77), 'SelloutPlan v1Main'!$E$5:$AC$208, 14, FALSE), "")</f>
        <v/>
      </c>
      <c r="T78" s="26">
        <f>IFERROR(VLOOKUP(ROWS($O$39:T77), 'SelloutPlan v1Main'!$E$5:$AC$208, 14, FALSE), "")</f>
        <v/>
      </c>
      <c r="U78" s="82">
        <f>IFERROR(VLOOKUP(ROWS($O$39:U77),'SelloutPlan v1Main'!$E$5:$AC$208,16,FALSE),"")</f>
        <v/>
      </c>
      <c r="V78" s="27">
        <f>IFERROR(IF(_xlfn.XLOOKUP(ROWS($O$39:W78), 'SelloutPlan v1Main'!$E$5:$E$208, 'SelloutPlan v1Main'!$X$5:$X$208) = 0, "", _xlfn.XLOOKUP(ROWS($O$39:W78), 'SelloutPlan v1Main'!$E$5:$E$208, 'SelloutPlan v1Main'!$X$5:$X$208)), "")</f>
        <v/>
      </c>
      <c r="W78" s="27">
        <f>IFERROR(IF(VLOOKUP(ROWS($O$39:X77), 'SelloutPlan v1Main'!$E$5:$AP$209, 25, FALSE) = 0, "", VLOOKUP(ROWS($O$39:X77), 'SelloutPlan v1Main'!$E$5:$AP$209, 25, FALSE)), "")</f>
        <v/>
      </c>
    </row>
    <row r="79" ht="17.4" customHeight="1" s="287">
      <c r="B79" s="15" t="n">
        <v>40</v>
      </c>
      <c r="C79" s="89">
        <f>IFERROR(VLOOKUP(ROWS($C$39:C78), 'SelloutPlan v1Main'!$D$5:$AC$208,12, FALSE), "")</f>
        <v/>
      </c>
      <c r="D79" s="17">
        <f>IFERROR(VLOOKUP(ROWS($C$39:D78), 'SelloutPlan v1Main'!$D$5:$AC$208,11, FALSE), "")</f>
        <v/>
      </c>
      <c r="E79" s="17">
        <f>IFERROR(VLOOKUP(ROWS($C$39:E78), 'SelloutPlan v1Main'!$D$5:$AC$208,9, FALSE), "")</f>
        <v/>
      </c>
      <c r="F79" s="35">
        <f>IFERROR(VLOOKUP(ROWS($C$39:F78), 'SelloutPlan v1Main'!$D$5:$AC$208,7, FALSE), "")</f>
        <v/>
      </c>
      <c r="G79" s="90">
        <f>IFERROR(VLOOKUP(ROWS($C$39:G78), 'SelloutPlan v1Main'!$D$5:$AC$208,16, FALSE), "")</f>
        <v/>
      </c>
      <c r="H79" s="122">
        <f>IFERROR(VLOOKUP(ROWS($C$39:G78), 'SelloutPlan v1Main'!$D$5:$AC$208,17, FALSE), "")</f>
        <v/>
      </c>
      <c r="I79" s="36">
        <f>IFERROR(VLOOKUP(ROWS($C$39:H78), 'SelloutPlan v1Main'!$D$5:$AC$208,3, FALSE), "")</f>
        <v/>
      </c>
      <c r="J79" s="36">
        <f>IFERROR(VLOOKUP(ROWS($C$39:I78), 'SelloutPlan v1Main'!$D$5:$AC$208,10, FALSE), "")</f>
        <v/>
      </c>
      <c r="K79" s="91">
        <f>IFERROR(VLOOKUP(ROWS($C$39:J78), 'SelloutPlan v1Main'!$D$5:$AC$208,14, FALSE), "")</f>
        <v/>
      </c>
      <c r="L79" s="50">
        <f>IFERROR(VLOOKUP(ROWS($C$39:K78), 'SelloutPlan v1Main'!$D$5:$AC$208,10, FALSE), "")</f>
        <v/>
      </c>
      <c r="O79" s="26">
        <f>IFERROR(IF(VLOOKUP(ROWS($O$39:$O78), 'SelloutPlan v1Main'!$D$5:$AC$499, 12, FALSE)="Open", VLOOKUP(ROWS($O$39:$O78), 'SelloutPlan v1Main'!$D$5:$AC$499, 3, FALSE), ""), "")</f>
        <v/>
      </c>
      <c r="P79" s="30">
        <f>IFERROR(VLOOKUP(ROWS($O$39:U78),'SelloutPlan v1Main'!$E$5:$AC$208,12,FALSE),"")</f>
        <v/>
      </c>
      <c r="Q79" s="81">
        <f>IFERROR(VLOOKUP(ROWS($O$39:V78),'SelloutPlan v1Main'!$E$5:$AC$208,13,FALSE),"")</f>
        <v/>
      </c>
      <c r="R79" s="27">
        <f>IFERROR(VLOOKUP(ROWS($O$39:U78),'SelloutPlan v1Main'!$E$5:$AC$208,5,FALSE),"")</f>
        <v/>
      </c>
      <c r="S79" s="39">
        <f>IFERROR(VLOOKUP(ROWS($O$39:S78), 'SelloutPlan v1Main'!$E$5:$AC$208, 14, FALSE), "")</f>
        <v/>
      </c>
      <c r="T79" s="26">
        <f>IFERROR(VLOOKUP(ROWS($O$39:T78), 'SelloutPlan v1Main'!$E$5:$AC$208, 14, FALSE), "")</f>
        <v/>
      </c>
      <c r="U79" s="82">
        <f>IFERROR(VLOOKUP(ROWS($O$39:U78),'SelloutPlan v1Main'!$E$5:$AC$208,16,FALSE),"")</f>
        <v/>
      </c>
      <c r="V79" s="27">
        <f>IFERROR(IF(_xlfn.XLOOKUP(ROWS($O$39:W79), 'SelloutPlan v1Main'!$E$5:$E$208, 'SelloutPlan v1Main'!$X$5:$X$208) = 0, "", _xlfn.XLOOKUP(ROWS($O$39:W79), 'SelloutPlan v1Main'!$E$5:$E$208, 'SelloutPlan v1Main'!$X$5:$X$208)), "")</f>
        <v/>
      </c>
      <c r="W79" s="27">
        <f>IFERROR(IF(VLOOKUP(ROWS($O$39:X78), 'SelloutPlan v1Main'!$E$5:$AP$209, 25, FALSE) = 0, "", VLOOKUP(ROWS($O$39:X78), 'SelloutPlan v1Main'!$E$5:$AP$209, 25, FALSE)), "")</f>
        <v/>
      </c>
    </row>
    <row r="80" ht="17.4" customHeight="1" s="287">
      <c r="B80" s="15" t="n">
        <v>41</v>
      </c>
      <c r="C80" s="17">
        <f>IFERROR(VLOOKUP(ROWS($C$39:C79), 'SelloutPlan v1Main'!$D$5:$AC$208,12, FALSE), "")</f>
        <v/>
      </c>
      <c r="D80" s="17">
        <f>IFERROR(VLOOKUP(ROWS($C$39:D79), 'SelloutPlan v1Main'!$D$5:$AC$208,11, FALSE), "")</f>
        <v/>
      </c>
      <c r="E80" s="17">
        <f>IFERROR(VLOOKUP(ROWS($C$39:E79), 'SelloutPlan v1Main'!$D$5:$AC$208,9, FALSE), "")</f>
        <v/>
      </c>
      <c r="F80" s="35">
        <f>IFERROR(VLOOKUP(ROWS($C$39:F79), 'SelloutPlan v1Main'!$D$5:$AC$208,7, FALSE), "")</f>
        <v/>
      </c>
      <c r="G80" s="90">
        <f>IFERROR(VLOOKUP(ROWS($C$39:G79), 'SelloutPlan v1Main'!$D$5:$AC$208,16, FALSE), "")</f>
        <v/>
      </c>
      <c r="H80" s="122">
        <f>IFERROR(VLOOKUP(ROWS($C$39:G79), 'SelloutPlan v1Main'!$D$5:$AC$208,17, FALSE), "")</f>
        <v/>
      </c>
      <c r="I80" s="36">
        <f>IFERROR(VLOOKUP(ROWS($C$39:H79), 'SelloutPlan v1Main'!$D$5:$AC$208,3, FALSE), "")</f>
        <v/>
      </c>
      <c r="J80" s="36">
        <f>IFERROR(VLOOKUP(ROWS($C$39:I79), 'SelloutPlan v1Main'!$D$5:$AC$208,10, FALSE), "")</f>
        <v/>
      </c>
      <c r="K80" s="91">
        <f>IFERROR(VLOOKUP(ROWS($C$39:J79), 'SelloutPlan v1Main'!$D$5:$AC$208,14, FALSE), "")</f>
        <v/>
      </c>
      <c r="L80" s="50">
        <f>IFERROR(VLOOKUP(ROWS($C$39:K79), 'SelloutPlan v1Main'!$D$5:$AC$208,10, FALSE), "")</f>
        <v/>
      </c>
      <c r="O80" s="26">
        <f>IFERROR(IF(VLOOKUP(ROWS($O$39:$O79), 'SelloutPlan v1Main'!$D$5:$AC$499, 12, FALSE)="Open", VLOOKUP(ROWS($O$39:$O79), 'SelloutPlan v1Main'!$D$5:$AC$499, 3, FALSE), ""), "")</f>
        <v/>
      </c>
      <c r="P80" s="30">
        <f>IFERROR(VLOOKUP(ROWS($O$39:U79),'SelloutPlan v1Main'!$E$5:$AC$208,12,FALSE),"")</f>
        <v/>
      </c>
      <c r="Q80" s="81">
        <f>IFERROR(VLOOKUP(ROWS($O$39:V79),'SelloutPlan v1Main'!$E$5:$AC$208,13,FALSE),"")</f>
        <v/>
      </c>
      <c r="R80" s="27">
        <f>IFERROR(VLOOKUP(ROWS($O$39:U79),'SelloutPlan v1Main'!$E$5:$AC$208,5,FALSE),"")</f>
        <v/>
      </c>
      <c r="S80" s="39">
        <f>IFERROR(VLOOKUP(ROWS($O$39:S79), 'SelloutPlan v1Main'!$E$5:$AC$208, 14, FALSE), "")</f>
        <v/>
      </c>
      <c r="T80" s="26">
        <f>IFERROR(VLOOKUP(ROWS($O$39:T79), 'SelloutPlan v1Main'!$E$5:$AC$208, 14, FALSE), "")</f>
        <v/>
      </c>
      <c r="U80" s="82">
        <f>IFERROR(VLOOKUP(ROWS($O$39:U79),'SelloutPlan v1Main'!$E$5:$AC$208,16,FALSE),"")</f>
        <v/>
      </c>
      <c r="V80" s="27">
        <f>IFERROR(IF(_xlfn.XLOOKUP(ROWS($O$39:W80), 'SelloutPlan v1Main'!$E$5:$E$208, 'SelloutPlan v1Main'!$X$5:$X$208) = 0, "", _xlfn.XLOOKUP(ROWS($O$39:W80), 'SelloutPlan v1Main'!$E$5:$E$208, 'SelloutPlan v1Main'!$X$5:$X$208)), "")</f>
        <v/>
      </c>
      <c r="W80" s="27">
        <f>IFERROR(IF(VLOOKUP(ROWS($O$39:X79), 'SelloutPlan v1Main'!$E$5:$AP$209, 25, FALSE) = 0, "", VLOOKUP(ROWS($O$39:X79), 'SelloutPlan v1Main'!$E$5:$AP$209, 25, FALSE)), "")</f>
        <v/>
      </c>
    </row>
    <row r="81" ht="17.4" customHeight="1" s="287">
      <c r="B81" s="15" t="n">
        <v>42</v>
      </c>
      <c r="C81" s="17">
        <f>IFERROR(VLOOKUP(ROWS($C$39:C80), 'SelloutPlan v1Main'!$D$5:$AC$208,12, FALSE), "")</f>
        <v/>
      </c>
      <c r="D81" s="17">
        <f>IFERROR(VLOOKUP(ROWS($C$39:D80), 'SelloutPlan v1Main'!$D$5:$AC$208,11, FALSE), "")</f>
        <v/>
      </c>
      <c r="E81" s="17">
        <f>IFERROR(VLOOKUP(ROWS($C$39:E80), 'SelloutPlan v1Main'!$D$5:$AC$208,9, FALSE), "")</f>
        <v/>
      </c>
      <c r="F81" s="35">
        <f>IFERROR(VLOOKUP(ROWS($C$39:F80), 'SelloutPlan v1Main'!$D$5:$AC$208,7, FALSE), "")</f>
        <v/>
      </c>
      <c r="G81" s="90">
        <f>IFERROR(VLOOKUP(ROWS($C$39:G80), 'SelloutPlan v1Main'!$D$5:$AC$208,16, FALSE), "")</f>
        <v/>
      </c>
      <c r="H81" s="122">
        <f>IFERROR(VLOOKUP(ROWS($C$39:G80), 'SelloutPlan v1Main'!$D$5:$AC$208,17, FALSE), "")</f>
        <v/>
      </c>
      <c r="I81" s="36">
        <f>IFERROR(VLOOKUP(ROWS($C$39:H80), 'SelloutPlan v1Main'!$D$5:$AC$208,3, FALSE), "")</f>
        <v/>
      </c>
      <c r="J81" s="36">
        <f>IFERROR(VLOOKUP(ROWS($C$39:I80), 'SelloutPlan v1Main'!$D$5:$AC$208,10, FALSE), "")</f>
        <v/>
      </c>
      <c r="K81" s="91">
        <f>IFERROR(VLOOKUP(ROWS($C$39:J80), 'SelloutPlan v1Main'!$D$5:$AC$208,14, FALSE), "")</f>
        <v/>
      </c>
      <c r="L81" s="50">
        <f>IFERROR(VLOOKUP(ROWS($C$39:K80), 'SelloutPlan v1Main'!$D$5:$AC$208,10, FALSE), "")</f>
        <v/>
      </c>
      <c r="O81" s="26">
        <f>IFERROR(IF(VLOOKUP(ROWS($O$39:$O80), 'SelloutPlan v1Main'!$D$5:$AC$499, 12, FALSE)="Open", VLOOKUP(ROWS($O$39:$O80), 'SelloutPlan v1Main'!$D$5:$AC$499, 3, FALSE), ""), "")</f>
        <v/>
      </c>
      <c r="P81" s="30">
        <f>IFERROR(VLOOKUP(ROWS($O$39:U80),'SelloutPlan v1Main'!$E$5:$AC$208,12,FALSE),"")</f>
        <v/>
      </c>
      <c r="Q81" s="81">
        <f>IFERROR(VLOOKUP(ROWS($O$39:V80),'SelloutPlan v1Main'!$E$5:$AC$208,13,FALSE),"")</f>
        <v/>
      </c>
      <c r="R81" s="27">
        <f>IFERROR(VLOOKUP(ROWS($O$39:U80),'SelloutPlan v1Main'!$E$5:$AC$208,5,FALSE),"")</f>
        <v/>
      </c>
      <c r="S81" s="39">
        <f>IFERROR(VLOOKUP(ROWS($O$39:S80), 'SelloutPlan v1Main'!$E$5:$AC$208, 14, FALSE), "")</f>
        <v/>
      </c>
      <c r="T81" s="26">
        <f>IFERROR(VLOOKUP(ROWS($O$39:T80), 'SelloutPlan v1Main'!$E$5:$AC$208, 14, FALSE), "")</f>
        <v/>
      </c>
      <c r="U81" s="82">
        <f>IFERROR(VLOOKUP(ROWS($O$39:U80),'SelloutPlan v1Main'!$E$5:$AC$208,16,FALSE),"")</f>
        <v/>
      </c>
      <c r="V81" s="27">
        <f>IFERROR(IF(_xlfn.XLOOKUP(ROWS($O$39:W81), 'SelloutPlan v1Main'!$E$5:$E$208, 'SelloutPlan v1Main'!$X$5:$X$208) = 0, "", _xlfn.XLOOKUP(ROWS($O$39:W81), 'SelloutPlan v1Main'!$E$5:$E$208, 'SelloutPlan v1Main'!$X$5:$X$208)), "")</f>
        <v/>
      </c>
      <c r="W81" s="27">
        <f>IFERROR(IF(VLOOKUP(ROWS($O$39:X80), 'SelloutPlan v1Main'!$E$5:$AP$209, 25, FALSE) = 0, "", VLOOKUP(ROWS($O$39:X80), 'SelloutPlan v1Main'!$E$5:$AP$209, 25, FALSE)), "")</f>
        <v/>
      </c>
    </row>
    <row r="82" ht="17.4" customHeight="1" s="287">
      <c r="B82" s="15" t="n">
        <v>43</v>
      </c>
      <c r="C82" s="17">
        <f>IFERROR(VLOOKUP(ROWS($C$39:C81), 'SelloutPlan v1Main'!$D$5:$AC$208,12, FALSE), "")</f>
        <v/>
      </c>
      <c r="D82" s="17">
        <f>IFERROR(VLOOKUP(ROWS($C$39:D81), 'SelloutPlan v1Main'!$D$5:$AC$208,11, FALSE), "")</f>
        <v/>
      </c>
      <c r="E82" s="17">
        <f>IFERROR(VLOOKUP(ROWS($C$39:E81), 'SelloutPlan v1Main'!$D$5:$AC$208,9, FALSE), "")</f>
        <v/>
      </c>
      <c r="F82" s="35">
        <f>IFERROR(VLOOKUP(ROWS($C$39:F81), 'SelloutPlan v1Main'!$D$5:$AC$208,7, FALSE), "")</f>
        <v/>
      </c>
      <c r="G82" s="90">
        <f>IFERROR(VLOOKUP(ROWS($C$39:G81), 'SelloutPlan v1Main'!$D$5:$AC$208,16, FALSE), "")</f>
        <v/>
      </c>
      <c r="H82" s="122">
        <f>IFERROR(VLOOKUP(ROWS($C$39:G81), 'SelloutPlan v1Main'!$D$5:$AC$208,17, FALSE), "")</f>
        <v/>
      </c>
      <c r="I82" s="36">
        <f>IFERROR(VLOOKUP(ROWS($C$39:H81), 'SelloutPlan v1Main'!$D$5:$AC$208,3, FALSE), "")</f>
        <v/>
      </c>
      <c r="J82" s="36">
        <f>IFERROR(VLOOKUP(ROWS($C$39:I81), 'SelloutPlan v1Main'!$D$5:$AC$208,10, FALSE), "")</f>
        <v/>
      </c>
      <c r="K82" s="91">
        <f>IFERROR(VLOOKUP(ROWS($C$39:J81), 'SelloutPlan v1Main'!$D$5:$AC$208,14, FALSE), "")</f>
        <v/>
      </c>
      <c r="L82" s="50">
        <f>IFERROR(VLOOKUP(ROWS($C$39:K81), 'SelloutPlan v1Main'!$D$5:$AC$208,10, FALSE), "")</f>
        <v/>
      </c>
      <c r="O82" s="26">
        <f>IFERROR(IF(VLOOKUP(ROWS($O$39:$O81), 'SelloutPlan v1Main'!$D$5:$AC$499, 12, FALSE)="Open", VLOOKUP(ROWS($O$39:$O81), 'SelloutPlan v1Main'!$D$5:$AC$499, 3, FALSE), ""), "")</f>
        <v/>
      </c>
      <c r="P82" s="30">
        <f>IFERROR(VLOOKUP(ROWS($O$39:U81),'SelloutPlan v1Main'!$E$5:$AC$208,12,FALSE),"")</f>
        <v/>
      </c>
      <c r="Q82" s="81">
        <f>IFERROR(VLOOKUP(ROWS($O$39:V81),'SelloutPlan v1Main'!$E$5:$AC$208,13,FALSE),"")</f>
        <v/>
      </c>
      <c r="R82" s="27">
        <f>IFERROR(VLOOKUP(ROWS($O$39:U81),'SelloutPlan v1Main'!$E$5:$AC$208,5,FALSE),"")</f>
        <v/>
      </c>
      <c r="S82" s="39">
        <f>IFERROR(VLOOKUP(ROWS($O$39:S81), 'SelloutPlan v1Main'!$E$5:$AC$208, 14, FALSE), "")</f>
        <v/>
      </c>
      <c r="T82" s="26">
        <f>IFERROR(VLOOKUP(ROWS($O$39:T81), 'SelloutPlan v1Main'!$E$5:$AC$208, 14, FALSE), "")</f>
        <v/>
      </c>
      <c r="U82" s="82">
        <f>IFERROR(VLOOKUP(ROWS($O$39:U81),'SelloutPlan v1Main'!$E$5:$AC$208,16,FALSE),"")</f>
        <v/>
      </c>
      <c r="V82" s="27">
        <f>IFERROR(IF(_xlfn.XLOOKUP(ROWS($O$39:W82), 'SelloutPlan v1Main'!$E$5:$E$208, 'SelloutPlan v1Main'!$X$5:$X$208) = 0, "", _xlfn.XLOOKUP(ROWS($O$39:W82), 'SelloutPlan v1Main'!$E$5:$E$208, 'SelloutPlan v1Main'!$X$5:$X$208)), "")</f>
        <v/>
      </c>
      <c r="W82" s="27">
        <f>IFERROR(IF(VLOOKUP(ROWS($O$39:X81), 'SelloutPlan v1Main'!$E$5:$AP$209, 25, FALSE) = 0, "", VLOOKUP(ROWS($O$39:X81), 'SelloutPlan v1Main'!$E$5:$AP$209, 25, FALSE)), "")</f>
        <v/>
      </c>
    </row>
    <row r="83" ht="17.4" customHeight="1" s="287">
      <c r="B83" s="15" t="n">
        <v>44</v>
      </c>
      <c r="C83" s="17">
        <f>IFERROR(VLOOKUP(ROWS($C$39:C82), 'SelloutPlan v1Main'!$D$5:$AC$208,12, FALSE), "")</f>
        <v/>
      </c>
      <c r="D83" s="17">
        <f>IFERROR(VLOOKUP(ROWS($C$39:D82), 'SelloutPlan v1Main'!$D$5:$AC$208,11, FALSE), "")</f>
        <v/>
      </c>
      <c r="E83" s="17">
        <f>IFERROR(VLOOKUP(ROWS($C$39:E82), 'SelloutPlan v1Main'!$D$5:$AC$208,9, FALSE), "")</f>
        <v/>
      </c>
      <c r="F83" s="35">
        <f>IFERROR(VLOOKUP(ROWS($C$39:F82), 'SelloutPlan v1Main'!$D$5:$AC$208,7, FALSE), "")</f>
        <v/>
      </c>
      <c r="G83" s="90">
        <f>IFERROR(VLOOKUP(ROWS($C$39:G82), 'SelloutPlan v1Main'!$D$5:$AC$208,16, FALSE), "")</f>
        <v/>
      </c>
      <c r="H83" s="122">
        <f>IFERROR(VLOOKUP(ROWS($C$39:G82), 'SelloutPlan v1Main'!$D$5:$AC$208,17, FALSE), "")</f>
        <v/>
      </c>
      <c r="I83" s="36">
        <f>IFERROR(VLOOKUP(ROWS($C$39:H82), 'SelloutPlan v1Main'!$D$5:$AC$208,3, FALSE), "")</f>
        <v/>
      </c>
      <c r="J83" s="36">
        <f>IFERROR(VLOOKUP(ROWS($C$39:I82), 'SelloutPlan v1Main'!$D$5:$AC$208,10, FALSE), "")</f>
        <v/>
      </c>
      <c r="K83" s="36">
        <f>IFERROR(VLOOKUP(ROWS($C$39:J82), 'SelloutPlan v1Main'!$D$5:$AC$208,14, FALSE), "")</f>
        <v/>
      </c>
      <c r="L83" s="50">
        <f>IFERROR(VLOOKUP(ROWS($C$39:K82), 'SelloutPlan v1Main'!$D$5:$AC$208,10, FALSE), "")</f>
        <v/>
      </c>
      <c r="O83" s="26">
        <f>IFERROR(IF(VLOOKUP(ROWS($O$39:$O82), 'SelloutPlan v1Main'!$D$5:$AC$499, 12, FALSE)="Open", VLOOKUP(ROWS($O$39:$O82), 'SelloutPlan v1Main'!$D$5:$AC$499, 3, FALSE), ""), "")</f>
        <v/>
      </c>
      <c r="P83" s="30">
        <f>IFERROR(VLOOKUP(ROWS($O$39:U82),'SelloutPlan v1Main'!$E$5:$AC$208,12,FALSE),"")</f>
        <v/>
      </c>
      <c r="Q83" s="81">
        <f>IFERROR(VLOOKUP(ROWS($O$39:V82),'SelloutPlan v1Main'!$E$5:$AC$208,13,FALSE),"")</f>
        <v/>
      </c>
      <c r="R83" s="27">
        <f>IFERROR(VLOOKUP(ROWS($O$39:U82),'SelloutPlan v1Main'!$E$5:$AC$208,5,FALSE),"")</f>
        <v/>
      </c>
      <c r="S83" s="39">
        <f>IFERROR(VLOOKUP(ROWS($O$39:S82), 'SelloutPlan v1Main'!$E$5:$AC$208, 14, FALSE), "")</f>
        <v/>
      </c>
      <c r="T83" s="26">
        <f>IFERROR(VLOOKUP(ROWS($O$39:T82), 'SelloutPlan v1Main'!$E$5:$AC$208, 14, FALSE), "")</f>
        <v/>
      </c>
      <c r="U83" s="82">
        <f>IFERROR(VLOOKUP(ROWS($O$39:U82),'SelloutPlan v1Main'!$E$5:$AC$208,16,FALSE),"")</f>
        <v/>
      </c>
      <c r="V83" s="27">
        <f>IFERROR(IF(_xlfn.XLOOKUP(ROWS($O$39:W83), 'SelloutPlan v1Main'!$E$5:$E$208, 'SelloutPlan v1Main'!$X$5:$X$208) = 0, "", _xlfn.XLOOKUP(ROWS($O$39:W83), 'SelloutPlan v1Main'!$E$5:$E$208, 'SelloutPlan v1Main'!$X$5:$X$208)), "")</f>
        <v/>
      </c>
      <c r="W83" s="27">
        <f>IFERROR(IF(VLOOKUP(ROWS($O$39:X82), 'SelloutPlan v1Main'!$E$5:$AP$209, 25, FALSE) = 0, "", VLOOKUP(ROWS($O$39:X82), 'SelloutPlan v1Main'!$E$5:$AP$209, 25, FALSE)), "")</f>
        <v/>
      </c>
    </row>
    <row r="84" ht="17.4" customHeight="1" s="287">
      <c r="B84" s="15" t="n">
        <v>45</v>
      </c>
      <c r="C84" s="17">
        <f>IFERROR(VLOOKUP(ROWS($C$39:C83), 'SelloutPlan v1Main'!$D$5:$AC$208,12, FALSE), "")</f>
        <v/>
      </c>
      <c r="D84" s="17">
        <f>IFERROR(VLOOKUP(ROWS($C$39:D83), 'SelloutPlan v1Main'!$D$5:$AC$208,11, FALSE), "")</f>
        <v/>
      </c>
      <c r="E84" s="17">
        <f>IFERROR(VLOOKUP(ROWS($C$39:E83), 'SelloutPlan v1Main'!$D$5:$AC$208,9, FALSE), "")</f>
        <v/>
      </c>
      <c r="F84" s="35">
        <f>IFERROR(VLOOKUP(ROWS($C$39:F83), 'SelloutPlan v1Main'!$D$5:$AC$208,7, FALSE), "")</f>
        <v/>
      </c>
      <c r="G84" s="90">
        <f>IFERROR(VLOOKUP(ROWS($C$39:G83), 'SelloutPlan v1Main'!$D$5:$AC$208,16, FALSE), "")</f>
        <v/>
      </c>
      <c r="H84" s="122">
        <f>IFERROR(VLOOKUP(ROWS($C$39:G83), 'SelloutPlan v1Main'!$D$5:$AC$208,17, FALSE), "")</f>
        <v/>
      </c>
      <c r="I84" s="36">
        <f>IFERROR(VLOOKUP(ROWS($C$39:H83), 'SelloutPlan v1Main'!$D$5:$AC$208,3, FALSE), "")</f>
        <v/>
      </c>
      <c r="J84" s="36">
        <f>IFERROR(VLOOKUP(ROWS($C$39:I83), 'SelloutPlan v1Main'!$D$5:$AC$208,10, FALSE), "")</f>
        <v/>
      </c>
      <c r="K84" s="36">
        <f>IFERROR(VLOOKUP(ROWS($C$39:J83), 'SelloutPlan v1Main'!$D$5:$AC$208,14, FALSE), "")</f>
        <v/>
      </c>
      <c r="L84" s="50">
        <f>IFERROR(VLOOKUP(ROWS($C$39:K83), 'SelloutPlan v1Main'!$D$5:$AC$208,10, FALSE), "")</f>
        <v/>
      </c>
      <c r="O84" s="26">
        <f>IFERROR(IF(VLOOKUP(ROWS($O$39:$O83), 'SelloutPlan v1Main'!$D$5:$AC$499, 12, FALSE)="Open", VLOOKUP(ROWS($O$39:$O83), 'SelloutPlan v1Main'!$D$5:$AC$499, 3, FALSE), ""), "")</f>
        <v/>
      </c>
      <c r="P84" s="30">
        <f>IFERROR(VLOOKUP(ROWS($O$39:U83),'SelloutPlan v1Main'!$E$5:$AC$208,12,FALSE),"")</f>
        <v/>
      </c>
      <c r="Q84" s="81">
        <f>IFERROR(VLOOKUP(ROWS($O$39:V83),'SelloutPlan v1Main'!$E$5:$AC$208,13,FALSE),"")</f>
        <v/>
      </c>
      <c r="R84" s="27">
        <f>IFERROR(VLOOKUP(ROWS($O$39:U83),'SelloutPlan v1Main'!$E$5:$AC$208,5,FALSE),"")</f>
        <v/>
      </c>
      <c r="S84" s="39">
        <f>IFERROR(VLOOKUP(ROWS($O$39:S83), 'SelloutPlan v1Main'!$E$5:$AC$208, 14, FALSE), "")</f>
        <v/>
      </c>
      <c r="T84" s="26">
        <f>IFERROR(VLOOKUP(ROWS($O$39:T83), 'SelloutPlan v1Main'!$E$5:$AC$208, 14, FALSE), "")</f>
        <v/>
      </c>
      <c r="U84" s="82">
        <f>IFERROR(VLOOKUP(ROWS($O$39:U83),'SelloutPlan v1Main'!$E$5:$AC$208,16,FALSE),"")</f>
        <v/>
      </c>
      <c r="V84" s="27">
        <f>IFERROR(IF(_xlfn.XLOOKUP(ROWS($O$39:W84), 'SelloutPlan v1Main'!$E$5:$E$208, 'SelloutPlan v1Main'!$X$5:$X$208) = 0, "", _xlfn.XLOOKUP(ROWS($O$39:W84), 'SelloutPlan v1Main'!$E$5:$E$208, 'SelloutPlan v1Main'!$X$5:$X$208)), "")</f>
        <v/>
      </c>
      <c r="W84" s="27">
        <f>IFERROR(IF(VLOOKUP(ROWS($O$39:X83), 'SelloutPlan v1Main'!$E$5:$AP$209, 25, FALSE) = 0, "", VLOOKUP(ROWS($O$39:X83), 'SelloutPlan v1Main'!$E$5:$AP$209, 25, FALSE)), "")</f>
        <v/>
      </c>
    </row>
    <row r="85" ht="17.4" customHeight="1" s="287">
      <c r="B85" s="15" t="n">
        <v>46</v>
      </c>
      <c r="C85" s="17">
        <f>IFERROR(VLOOKUP(ROWS($C$39:C84), 'SelloutPlan v1Main'!$D$5:$AC$208,12, FALSE), "")</f>
        <v/>
      </c>
      <c r="D85" s="17">
        <f>IFERROR(VLOOKUP(ROWS($C$39:D84), 'SelloutPlan v1Main'!$D$5:$AC$208,11, FALSE), "")</f>
        <v/>
      </c>
      <c r="E85" s="17">
        <f>IFERROR(VLOOKUP(ROWS($C$39:E84), 'SelloutPlan v1Main'!$D$5:$AC$208,9, FALSE), "")</f>
        <v/>
      </c>
      <c r="F85" s="35">
        <f>IFERROR(VLOOKUP(ROWS($C$39:F84), 'SelloutPlan v1Main'!$D$5:$AC$208,7, FALSE), "")</f>
        <v/>
      </c>
      <c r="G85" s="90">
        <f>IFERROR(VLOOKUP(ROWS($C$39:G84), 'SelloutPlan v1Main'!$D$5:$AC$208,16, FALSE), "")</f>
        <v/>
      </c>
      <c r="H85" s="122">
        <f>IFERROR(VLOOKUP(ROWS($C$39:G84), 'SelloutPlan v1Main'!$D$5:$AC$208,17, FALSE), "")</f>
        <v/>
      </c>
      <c r="I85" s="36">
        <f>IFERROR(VLOOKUP(ROWS($C$39:H84), 'SelloutPlan v1Main'!$D$5:$AC$208,3, FALSE), "")</f>
        <v/>
      </c>
      <c r="J85" s="36">
        <f>IFERROR(VLOOKUP(ROWS($C$39:I84), 'SelloutPlan v1Main'!$D$5:$AC$208,10, FALSE), "")</f>
        <v/>
      </c>
      <c r="K85" s="36">
        <f>IFERROR(VLOOKUP(ROWS($C$39:J84), 'SelloutPlan v1Main'!$D$5:$AC$208,14, FALSE), "")</f>
        <v/>
      </c>
      <c r="L85" s="50">
        <f>IFERROR(VLOOKUP(ROWS($C$39:K84), 'SelloutPlan v1Main'!$D$5:$AC$208,10, FALSE), "")</f>
        <v/>
      </c>
      <c r="O85" s="26">
        <f>IFERROR(IF(VLOOKUP(ROWS($O$39:$O84), 'SelloutPlan v1Main'!$D$5:$AC$499, 12, FALSE)="Open", VLOOKUP(ROWS($O$39:$O84), 'SelloutPlan v1Main'!$D$5:$AC$499, 3, FALSE), ""), "")</f>
        <v/>
      </c>
      <c r="P85" s="30">
        <f>IFERROR(VLOOKUP(ROWS($O$39:U84),'SelloutPlan v1Main'!$E$5:$AC$208,12,FALSE),"")</f>
        <v/>
      </c>
      <c r="Q85" s="81">
        <f>IFERROR(VLOOKUP(ROWS($O$39:V84),'SelloutPlan v1Main'!$E$5:$AC$208,13,FALSE),"")</f>
        <v/>
      </c>
      <c r="R85" s="27">
        <f>IFERROR(VLOOKUP(ROWS($O$39:U84),'SelloutPlan v1Main'!$E$5:$AC$208,5,FALSE),"")</f>
        <v/>
      </c>
      <c r="S85" s="39">
        <f>IFERROR(VLOOKUP(ROWS($O$39:S84), 'SelloutPlan v1Main'!$E$5:$AC$208, 14, FALSE), "")</f>
        <v/>
      </c>
      <c r="T85" s="26">
        <f>IFERROR(VLOOKUP(ROWS($O$39:T84), 'SelloutPlan v1Main'!$E$5:$AC$208, 14, FALSE), "")</f>
        <v/>
      </c>
      <c r="U85" s="82">
        <f>IFERROR(VLOOKUP(ROWS($O$39:U84),'SelloutPlan v1Main'!$E$5:$AC$208,16,FALSE),"")</f>
        <v/>
      </c>
      <c r="V85" s="27">
        <f>IFERROR(IF(_xlfn.XLOOKUP(ROWS($O$39:W85), 'SelloutPlan v1Main'!$E$5:$E$208, 'SelloutPlan v1Main'!$X$5:$X$208) = 0, "", _xlfn.XLOOKUP(ROWS($O$39:W85), 'SelloutPlan v1Main'!$E$5:$E$208, 'SelloutPlan v1Main'!$X$5:$X$208)), "")</f>
        <v/>
      </c>
      <c r="W85" s="27">
        <f>IFERROR(IF(VLOOKUP(ROWS($O$39:X84), 'SelloutPlan v1Main'!$E$5:$AP$209, 25, FALSE) = 0, "", VLOOKUP(ROWS($O$39:X84), 'SelloutPlan v1Main'!$E$5:$AP$209, 25, FALSE)), "")</f>
        <v/>
      </c>
    </row>
    <row r="86" ht="17.4" customHeight="1" s="287">
      <c r="B86" s="15" t="n">
        <v>47</v>
      </c>
      <c r="C86" s="17">
        <f>IFERROR(VLOOKUP(ROWS($C$39:C85), 'SelloutPlan v1Main'!$D$5:$AC$208,12, FALSE), "")</f>
        <v/>
      </c>
      <c r="D86" s="17">
        <f>IFERROR(VLOOKUP(ROWS($C$39:D85), 'SelloutPlan v1Main'!$D$5:$AC$208,11, FALSE), "")</f>
        <v/>
      </c>
      <c r="E86" s="17">
        <f>IFERROR(VLOOKUP(ROWS($C$39:E85), 'SelloutPlan v1Main'!$D$5:$AC$208,9, FALSE), "")</f>
        <v/>
      </c>
      <c r="F86" s="35">
        <f>IFERROR(VLOOKUP(ROWS($C$39:F85), 'SelloutPlan v1Main'!$D$5:$AC$208,7, FALSE), "")</f>
        <v/>
      </c>
      <c r="G86" s="90">
        <f>IFERROR(VLOOKUP(ROWS($C$39:G85), 'SelloutPlan v1Main'!$D$5:$AC$208,16, FALSE), "")</f>
        <v/>
      </c>
      <c r="H86" s="122">
        <f>IFERROR(VLOOKUP(ROWS($C$39:G85), 'SelloutPlan v1Main'!$D$5:$AC$208,17, FALSE), "")</f>
        <v/>
      </c>
      <c r="I86" s="36">
        <f>IFERROR(VLOOKUP(ROWS($C$39:H85), 'SelloutPlan v1Main'!$D$5:$AC$208,3, FALSE), "")</f>
        <v/>
      </c>
      <c r="J86" s="36">
        <f>IFERROR(VLOOKUP(ROWS($C$39:I85), 'SelloutPlan v1Main'!$D$5:$AC$208,10, FALSE), "")</f>
        <v/>
      </c>
      <c r="K86" s="36">
        <f>IFERROR(VLOOKUP(ROWS($C$39:J85), 'SelloutPlan v1Main'!$D$5:$AC$208,14, FALSE), "")</f>
        <v/>
      </c>
      <c r="L86" s="50">
        <f>IFERROR(VLOOKUP(ROWS($C$39:K85), 'SelloutPlan v1Main'!$D$5:$AC$208,10, FALSE), "")</f>
        <v/>
      </c>
      <c r="O86" s="26">
        <f>IFERROR(IF(VLOOKUP(ROWS($O$39:$O85), 'SelloutPlan v1Main'!$D$5:$AC$499, 12, FALSE)="Open", VLOOKUP(ROWS($O$39:$O85), 'SelloutPlan v1Main'!$D$5:$AC$499, 3, FALSE), ""), "")</f>
        <v/>
      </c>
      <c r="P86" s="30">
        <f>IFERROR(VLOOKUP(ROWS($O$39:U85),'SelloutPlan v1Main'!$E$5:$AC$208,12,FALSE),"")</f>
        <v/>
      </c>
      <c r="Q86" s="81">
        <f>IFERROR(VLOOKUP(ROWS($O$39:V85),'SelloutPlan v1Main'!$E$5:$AC$208,13,FALSE),"")</f>
        <v/>
      </c>
      <c r="R86" s="27">
        <f>IFERROR(VLOOKUP(ROWS($O$39:U85),'SelloutPlan v1Main'!$E$5:$AC$208,5,FALSE),"")</f>
        <v/>
      </c>
      <c r="S86" s="39">
        <f>IFERROR(VLOOKUP(ROWS($O$39:S85), 'SelloutPlan v1Main'!$E$5:$AC$208, 14, FALSE), "")</f>
        <v/>
      </c>
      <c r="T86" s="26">
        <f>IFERROR(VLOOKUP(ROWS($O$39:T85), 'SelloutPlan v1Main'!$E$5:$AC$208, 14, FALSE), "")</f>
        <v/>
      </c>
      <c r="U86" s="82">
        <f>IFERROR(VLOOKUP(ROWS($O$39:U85),'SelloutPlan v1Main'!$E$5:$AC$208,16,FALSE),"")</f>
        <v/>
      </c>
      <c r="V86" s="27">
        <f>IFERROR(IF(_xlfn.XLOOKUP(ROWS($O$39:W86), 'SelloutPlan v1Main'!$E$5:$E$208, 'SelloutPlan v1Main'!$X$5:$X$208) = 0, "", _xlfn.XLOOKUP(ROWS($O$39:W86), 'SelloutPlan v1Main'!$E$5:$E$208, 'SelloutPlan v1Main'!$X$5:$X$208)), "")</f>
        <v/>
      </c>
      <c r="W86" s="27">
        <f>IFERROR(IF(VLOOKUP(ROWS($O$39:X85), 'SelloutPlan v1Main'!$E$5:$AP$209, 25, FALSE) = 0, "", VLOOKUP(ROWS($O$39:X85), 'SelloutPlan v1Main'!$E$5:$AP$209, 25, FALSE)), "")</f>
        <v/>
      </c>
    </row>
    <row r="87" ht="17.4" customHeight="1" s="287">
      <c r="B87" s="15" t="n">
        <v>48</v>
      </c>
      <c r="C87" s="17">
        <f>IFERROR(VLOOKUP(ROWS($C$39:C86), 'SelloutPlan v1Main'!$D$5:$AC$208,12, FALSE), "")</f>
        <v/>
      </c>
      <c r="D87" s="17">
        <f>IFERROR(VLOOKUP(ROWS($C$39:D86), 'SelloutPlan v1Main'!$D$5:$AC$208,11, FALSE), "")</f>
        <v/>
      </c>
      <c r="E87" s="17">
        <f>IFERROR(VLOOKUP(ROWS($C$39:E86), 'SelloutPlan v1Main'!$D$5:$AC$208,9, FALSE), "")</f>
        <v/>
      </c>
      <c r="F87" s="35">
        <f>IFERROR(VLOOKUP(ROWS($C$39:F86), 'SelloutPlan v1Main'!$D$5:$AC$208,7, FALSE), "")</f>
        <v/>
      </c>
      <c r="G87" s="90">
        <f>IFERROR(VLOOKUP(ROWS($C$39:G86), 'SelloutPlan v1Main'!$D$5:$AC$208,16, FALSE), "")</f>
        <v/>
      </c>
      <c r="H87" s="122">
        <f>IFERROR(VLOOKUP(ROWS($C$39:G86), 'SelloutPlan v1Main'!$D$5:$AC$208,17, FALSE), "")</f>
        <v/>
      </c>
      <c r="I87" s="36">
        <f>IFERROR(VLOOKUP(ROWS($C$39:H86), 'SelloutPlan v1Main'!$D$5:$AC$208,3, FALSE), "")</f>
        <v/>
      </c>
      <c r="J87" s="36">
        <f>IFERROR(VLOOKUP(ROWS($C$39:I86), 'SelloutPlan v1Main'!$D$5:$AC$208,10, FALSE), "")</f>
        <v/>
      </c>
      <c r="K87" s="36">
        <f>IFERROR(VLOOKUP(ROWS($C$39:J86), 'SelloutPlan v1Main'!$D$5:$AC$208,14, FALSE), "")</f>
        <v/>
      </c>
      <c r="L87" s="50">
        <f>IFERROR(VLOOKUP(ROWS($C$39:K86), 'SelloutPlan v1Main'!$D$5:$AC$208,10, FALSE), "")</f>
        <v/>
      </c>
      <c r="O87" s="26">
        <f>IFERROR(IF(VLOOKUP(ROWS($O$39:$O86), 'SelloutPlan v1Main'!$D$5:$AC$499, 12, FALSE)="Open", VLOOKUP(ROWS($O$39:$O86), 'SelloutPlan v1Main'!$D$5:$AC$499, 3, FALSE), ""), "")</f>
        <v/>
      </c>
      <c r="P87" s="30">
        <f>IFERROR(VLOOKUP(ROWS($O$39:U86),'SelloutPlan v1Main'!$E$5:$AC$208,12,FALSE),"")</f>
        <v/>
      </c>
      <c r="Q87" s="81">
        <f>IFERROR(VLOOKUP(ROWS($O$39:V86),'SelloutPlan v1Main'!$E$5:$AC$208,13,FALSE),"")</f>
        <v/>
      </c>
      <c r="R87" s="27">
        <f>IFERROR(VLOOKUP(ROWS($O$39:U86),'SelloutPlan v1Main'!$E$5:$AC$208,5,FALSE),"")</f>
        <v/>
      </c>
      <c r="S87" s="39">
        <f>IFERROR(VLOOKUP(ROWS($O$39:S86), 'SelloutPlan v1Main'!$E$5:$AC$208, 14, FALSE), "")</f>
        <v/>
      </c>
      <c r="T87" s="26">
        <f>IFERROR(VLOOKUP(ROWS($O$39:T86), 'SelloutPlan v1Main'!$E$5:$AC$208, 14, FALSE), "")</f>
        <v/>
      </c>
      <c r="U87" s="82">
        <f>IFERROR(VLOOKUP(ROWS($O$39:U86),'SelloutPlan v1Main'!$E$5:$AC$208,16,FALSE),"")</f>
        <v/>
      </c>
      <c r="V87" s="27">
        <f>IFERROR(IF(_xlfn.XLOOKUP(ROWS($O$39:W87), 'SelloutPlan v1Main'!$E$5:$E$208, 'SelloutPlan v1Main'!$X$5:$X$208) = 0, "", _xlfn.XLOOKUP(ROWS($O$39:W87), 'SelloutPlan v1Main'!$E$5:$E$208, 'SelloutPlan v1Main'!$X$5:$X$208)), "")</f>
        <v/>
      </c>
      <c r="W87" s="27">
        <f>IFERROR(IF(VLOOKUP(ROWS($O$39:X86), 'SelloutPlan v1Main'!$E$5:$AP$209, 25, FALSE) = 0, "", VLOOKUP(ROWS($O$39:X86), 'SelloutPlan v1Main'!$E$5:$AP$209, 25, FALSE)), "")</f>
        <v/>
      </c>
    </row>
    <row r="88" ht="17.4" customHeight="1" s="287">
      <c r="B88" s="15" t="n">
        <v>49</v>
      </c>
      <c r="C88" s="17">
        <f>IFERROR(VLOOKUP(ROWS($C$39:C87), 'SelloutPlan v1Main'!$D$5:$AC$208,12, FALSE), "")</f>
        <v/>
      </c>
      <c r="D88" s="17">
        <f>IFERROR(VLOOKUP(ROWS($C$39:D87), 'SelloutPlan v1Main'!$D$5:$AC$208,11, FALSE), "")</f>
        <v/>
      </c>
      <c r="E88" s="17">
        <f>IFERROR(VLOOKUP(ROWS($C$39:E87), 'SelloutPlan v1Main'!$D$5:$AC$208,9, FALSE), "")</f>
        <v/>
      </c>
      <c r="F88" s="35">
        <f>IFERROR(VLOOKUP(ROWS($C$39:F87), 'SelloutPlan v1Main'!$D$5:$AC$208,7, FALSE), "")</f>
        <v/>
      </c>
      <c r="G88" s="90">
        <f>IFERROR(VLOOKUP(ROWS($C$39:G87), 'SelloutPlan v1Main'!$D$5:$AC$208,16, FALSE), "")</f>
        <v/>
      </c>
      <c r="H88" s="122">
        <f>IFERROR(VLOOKUP(ROWS($C$39:G87), 'SelloutPlan v1Main'!$D$5:$AC$208,17, FALSE), "")</f>
        <v/>
      </c>
      <c r="I88" s="36">
        <f>IFERROR(VLOOKUP(ROWS($C$39:H87), 'SelloutPlan v1Main'!$D$5:$AC$208,3, FALSE), "")</f>
        <v/>
      </c>
      <c r="J88" s="36">
        <f>IFERROR(VLOOKUP(ROWS($C$39:I87), 'SelloutPlan v1Main'!$D$5:$AC$208,10, FALSE), "")</f>
        <v/>
      </c>
      <c r="K88" s="36">
        <f>IFERROR(VLOOKUP(ROWS($C$39:J87), 'SelloutPlan v1Main'!$D$5:$AC$208,14, FALSE), "")</f>
        <v/>
      </c>
      <c r="L88" s="50">
        <f>IFERROR(VLOOKUP(ROWS($C$39:K87), 'SelloutPlan v1Main'!$D$5:$AC$208,10, FALSE), "")</f>
        <v/>
      </c>
      <c r="O88" s="26">
        <f>IFERROR(IF(VLOOKUP(ROWS($O$39:$O87), 'SelloutPlan v1Main'!$D$5:$AC$499, 12, FALSE)="Open", VLOOKUP(ROWS($O$39:$O87), 'SelloutPlan v1Main'!$D$5:$AC$499, 3, FALSE), ""), "")</f>
        <v/>
      </c>
      <c r="P88" s="30">
        <f>IFERROR(VLOOKUP(ROWS($O$39:U87),'SelloutPlan v1Main'!$E$5:$AC$208,12,FALSE),"")</f>
        <v/>
      </c>
      <c r="Q88" s="81">
        <f>IFERROR(VLOOKUP(ROWS($O$39:V87),'SelloutPlan v1Main'!$E$5:$AC$208,13,FALSE),"")</f>
        <v/>
      </c>
      <c r="R88" s="27">
        <f>IFERROR(VLOOKUP(ROWS($O$39:U87),'SelloutPlan v1Main'!$E$5:$AC$208,5,FALSE),"")</f>
        <v/>
      </c>
      <c r="S88" s="39">
        <f>IFERROR(VLOOKUP(ROWS($O$39:S87), 'SelloutPlan v1Main'!$E$5:$AC$208, 14, FALSE), "")</f>
        <v/>
      </c>
      <c r="T88" s="26">
        <f>IFERROR(VLOOKUP(ROWS($O$39:T87), 'SelloutPlan v1Main'!$E$5:$AC$208, 14, FALSE), "")</f>
        <v/>
      </c>
      <c r="U88" s="82">
        <f>IFERROR(VLOOKUP(ROWS($O$39:U87),'SelloutPlan v1Main'!$E$5:$AC$208,16,FALSE),"")</f>
        <v/>
      </c>
      <c r="V88" s="27">
        <f>IFERROR(IF(_xlfn.XLOOKUP(ROWS($O$39:W88), 'SelloutPlan v1Main'!$E$5:$E$208, 'SelloutPlan v1Main'!$X$5:$X$208) = 0, "", _xlfn.XLOOKUP(ROWS($O$39:W88), 'SelloutPlan v1Main'!$E$5:$E$208, 'SelloutPlan v1Main'!$X$5:$X$208)), "")</f>
        <v/>
      </c>
      <c r="W88" s="27">
        <f>IFERROR(IF(VLOOKUP(ROWS($O$39:X87), 'SelloutPlan v1Main'!$E$5:$AP$209, 25, FALSE) = 0, "", VLOOKUP(ROWS($O$39:X87), 'SelloutPlan v1Main'!$E$5:$AP$209, 25, FALSE)), "")</f>
        <v/>
      </c>
    </row>
    <row r="89" ht="25.5" customHeight="1" s="287">
      <c r="B89" s="15" t="n">
        <v>50</v>
      </c>
      <c r="C89" s="17">
        <f>IFERROR(VLOOKUP(ROWS($C$39:C88), 'SelloutPlan v1Main'!$D$5:$AC$208,12, FALSE), "")</f>
        <v/>
      </c>
      <c r="D89" s="17">
        <f>IFERROR(VLOOKUP(ROWS($C$39:D88), 'SelloutPlan v1Main'!$D$5:$AC$208,11, FALSE), "")</f>
        <v/>
      </c>
      <c r="E89" s="17">
        <f>IFERROR(VLOOKUP(ROWS($C$39:E88), 'SelloutPlan v1Main'!$D$5:$AC$208,9, FALSE), "")</f>
        <v/>
      </c>
      <c r="F89" s="35">
        <f>IFERROR(VLOOKUP(ROWS($C$39:F88), 'SelloutPlan v1Main'!$D$5:$AC$208,7, FALSE), "")</f>
        <v/>
      </c>
      <c r="G89" s="90">
        <f>IFERROR(VLOOKUP(ROWS($C$39:G88), 'SelloutPlan v1Main'!$D$5:$AC$208,16, FALSE), "")</f>
        <v/>
      </c>
      <c r="H89" s="122">
        <f>IFERROR(VLOOKUP(ROWS($C$39:G88), 'SelloutPlan v1Main'!$D$5:$AC$208,17, FALSE), "")</f>
        <v/>
      </c>
      <c r="I89" s="36">
        <f>IFERROR(VLOOKUP(ROWS($C$39:H88), 'SelloutPlan v1Main'!$D$5:$AC$208,3, FALSE), "")</f>
        <v/>
      </c>
      <c r="J89" s="36">
        <f>IFERROR(VLOOKUP(ROWS($C$39:I88), 'SelloutPlan v1Main'!$D$5:$AC$208,10, FALSE), "")</f>
        <v/>
      </c>
      <c r="K89" s="36">
        <f>IFERROR(VLOOKUP(ROWS($C$39:J88), 'SelloutPlan v1Main'!$D$5:$AC$208,14, FALSE), "")</f>
        <v/>
      </c>
      <c r="L89" s="50">
        <f>IFERROR(VLOOKUP(ROWS($C$39:K88), 'SelloutPlan v1Main'!$D$5:$AC$208,10, FALSE), "")</f>
        <v/>
      </c>
      <c r="O89" s="26">
        <f>IFERROR(IF(VLOOKUP(ROWS($O$39:$O88), 'SelloutPlan v1Main'!$D$5:$AC$499, 12, FALSE)="Open", VLOOKUP(ROWS($O$39:$O88), 'SelloutPlan v1Main'!$D$5:$AC$499, 3, FALSE), ""), "")</f>
        <v/>
      </c>
      <c r="P89" s="30">
        <f>IFERROR(VLOOKUP(ROWS($O$39:U88),'SelloutPlan v1Main'!$E$5:$AC$208,12,FALSE),"")</f>
        <v/>
      </c>
      <c r="Q89" s="81">
        <f>IFERROR(VLOOKUP(ROWS($O$39:V88),'SelloutPlan v1Main'!$E$5:$AC$208,13,FALSE),"")</f>
        <v/>
      </c>
      <c r="R89" s="27">
        <f>IFERROR(VLOOKUP(ROWS($O$39:U88),'SelloutPlan v1Main'!$E$5:$AC$208,5,FALSE),"")</f>
        <v/>
      </c>
      <c r="S89" s="39">
        <f>IFERROR(VLOOKUP(ROWS($O$39:S88), 'SelloutPlan v1Main'!$E$5:$AC$208, 14, FALSE), "")</f>
        <v/>
      </c>
      <c r="T89" s="26">
        <f>IFERROR(VLOOKUP(ROWS($O$39:T88), 'SelloutPlan v1Main'!$E$5:$AC$208, 14, FALSE), "")</f>
        <v/>
      </c>
      <c r="U89" s="82">
        <f>IFERROR(VLOOKUP(ROWS($O$39:U88),'SelloutPlan v1Main'!$E$5:$AC$208,16,FALSE),"")</f>
        <v/>
      </c>
      <c r="V89" s="27">
        <f>IFERROR(IF(_xlfn.XLOOKUP(ROWS($O$39:W89), 'SelloutPlan v1Main'!$E$5:$E$208, 'SelloutPlan v1Main'!$X$5:$X$208) = 0, "", _xlfn.XLOOKUP(ROWS($O$39:W89), 'SelloutPlan v1Main'!$E$5:$E$208, 'SelloutPlan v1Main'!$X$5:$X$208)), "")</f>
        <v/>
      </c>
      <c r="W89" s="27">
        <f>IFERROR(IF(VLOOKUP(ROWS($O$39:X88), 'SelloutPlan v1Main'!$E$5:$AP$209, 25, FALSE) = 0, "", VLOOKUP(ROWS($O$39:X88), 'SelloutPlan v1Main'!$E$5:$AP$209, 25, FALSE)), "")</f>
        <v/>
      </c>
    </row>
    <row r="90" ht="25.5" customHeight="1" s="287">
      <c r="B90" s="15" t="n">
        <v>51</v>
      </c>
      <c r="C90" s="17">
        <f>IFERROR(VLOOKUP(ROWS($C$39:C89), 'SelloutPlan v1Main'!$D$5:$AC$208,12, FALSE), "")</f>
        <v/>
      </c>
      <c r="D90" s="17">
        <f>IFERROR(VLOOKUP(ROWS($C$39:D89), 'SelloutPlan v1Main'!$D$5:$AC$208,11, FALSE), "")</f>
        <v/>
      </c>
      <c r="E90" s="17">
        <f>IFERROR(VLOOKUP(ROWS($C$39:E89), 'SelloutPlan v1Main'!$D$5:$AC$208,9, FALSE), "")</f>
        <v/>
      </c>
      <c r="F90" s="35">
        <f>IFERROR(VLOOKUP(ROWS($C$39:F89), 'SelloutPlan v1Main'!$D$5:$AC$208,7, FALSE), "")</f>
        <v/>
      </c>
      <c r="G90" s="90">
        <f>IFERROR(VLOOKUP(ROWS($C$39:G89), 'SelloutPlan v1Main'!$D$5:$AC$208,16, FALSE), "")</f>
        <v/>
      </c>
      <c r="H90" s="122">
        <f>IFERROR(VLOOKUP(ROWS($C$39:G89), 'SelloutPlan v1Main'!$D$5:$AC$208,17, FALSE), "")</f>
        <v/>
      </c>
      <c r="I90" s="36">
        <f>IFERROR(VLOOKUP(ROWS($C$39:H89), 'SelloutPlan v1Main'!$D$5:$AC$208,3, FALSE), "")</f>
        <v/>
      </c>
      <c r="J90" s="36">
        <f>IFERROR(VLOOKUP(ROWS($C$39:I89), 'SelloutPlan v1Main'!$D$5:$AC$208,10, FALSE), "")</f>
        <v/>
      </c>
      <c r="K90" s="36">
        <f>IFERROR(VLOOKUP(ROWS($C$39:J89), 'SelloutPlan v1Main'!$D$5:$AC$208,14, FALSE), "")</f>
        <v/>
      </c>
      <c r="L90" s="50">
        <f>IFERROR(VLOOKUP(ROWS($C$39:K89), 'SelloutPlan v1Main'!$D$5:$AC$208,10, FALSE), "")</f>
        <v/>
      </c>
      <c r="O90" s="26">
        <f>IFERROR(IF(VLOOKUP(ROWS($O$39:$O89), 'SelloutPlan v1Main'!$D$5:$AC$499, 12, FALSE)="Open", VLOOKUP(ROWS($O$39:$O89), 'SelloutPlan v1Main'!$D$5:$AC$499, 3, FALSE), ""), "")</f>
        <v/>
      </c>
      <c r="P90" s="30">
        <f>IFERROR(VLOOKUP(ROWS($O$39:U89),'SelloutPlan v1Main'!$E$5:$AC$208,12,FALSE),"")</f>
        <v/>
      </c>
      <c r="Q90" s="81">
        <f>IFERROR(VLOOKUP(ROWS($O$39:V89),'SelloutPlan v1Main'!$E$5:$AC$208,13,FALSE),"")</f>
        <v/>
      </c>
      <c r="R90" s="27">
        <f>IFERROR(VLOOKUP(ROWS($O$39:U89),'SelloutPlan v1Main'!$E$5:$AC$208,5,FALSE),"")</f>
        <v/>
      </c>
      <c r="S90" s="39">
        <f>IFERROR(VLOOKUP(ROWS($O$39:S89), 'SelloutPlan v1Main'!$E$5:$AC$208, 14, FALSE), "")</f>
        <v/>
      </c>
      <c r="T90" s="26">
        <f>IFERROR(VLOOKUP(ROWS($O$39:T89), 'SelloutPlan v1Main'!$E$5:$AC$208, 14, FALSE), "")</f>
        <v/>
      </c>
      <c r="U90" s="82">
        <f>IFERROR(VLOOKUP(ROWS($O$39:U89),'SelloutPlan v1Main'!$E$5:$AC$208,16,FALSE),"")</f>
        <v/>
      </c>
      <c r="V90" s="27">
        <f>IFERROR(IF(_xlfn.XLOOKUP(ROWS($O$39:W90), 'SelloutPlan v1Main'!$E$5:$E$208, 'SelloutPlan v1Main'!$X$5:$X$208) = 0, "", _xlfn.XLOOKUP(ROWS($O$39:W90), 'SelloutPlan v1Main'!$E$5:$E$208, 'SelloutPlan v1Main'!$X$5:$X$208)), "")</f>
        <v/>
      </c>
      <c r="W90" s="27">
        <f>IFERROR(IF(VLOOKUP(ROWS($O$39:X89), 'SelloutPlan v1Main'!$E$5:$AP$209, 25, FALSE) = 0, "", VLOOKUP(ROWS($O$39:X89), 'SelloutPlan v1Main'!$E$5:$AP$209, 25, FALSE)), "")</f>
        <v/>
      </c>
    </row>
    <row r="91" ht="25.5" customHeight="1" s="287">
      <c r="B91" s="15" t="n">
        <v>52</v>
      </c>
      <c r="C91" s="17">
        <f>IFERROR(VLOOKUP(ROWS($C$39:C90), 'SelloutPlan v1Main'!$D$5:$AC$208,12, FALSE), "")</f>
        <v/>
      </c>
      <c r="D91" s="17">
        <f>IFERROR(VLOOKUP(ROWS($C$39:D90), 'SelloutPlan v1Main'!$D$5:$AC$208,11, FALSE), "")</f>
        <v/>
      </c>
      <c r="E91" s="17">
        <f>IFERROR(VLOOKUP(ROWS($C$39:E90), 'SelloutPlan v1Main'!$D$5:$AC$208,9, FALSE), "")</f>
        <v/>
      </c>
      <c r="F91" s="35">
        <f>IFERROR(VLOOKUP(ROWS($C$39:F90), 'SelloutPlan v1Main'!$D$5:$AC$208,7, FALSE), "")</f>
        <v/>
      </c>
      <c r="G91" s="90">
        <f>IFERROR(VLOOKUP(ROWS($C$39:G90), 'SelloutPlan v1Main'!$D$5:$AC$208,16, FALSE), "")</f>
        <v/>
      </c>
      <c r="H91" s="122">
        <f>IFERROR(VLOOKUP(ROWS($C$39:G90), 'SelloutPlan v1Main'!$D$5:$AC$208,17, FALSE), "")</f>
        <v/>
      </c>
      <c r="I91" s="36">
        <f>IFERROR(VLOOKUP(ROWS($C$39:H90), 'SelloutPlan v1Main'!$D$5:$AC$208,3, FALSE), "")</f>
        <v/>
      </c>
      <c r="J91" s="36">
        <f>IFERROR(VLOOKUP(ROWS($C$39:I90), 'SelloutPlan v1Main'!$D$5:$AC$208,10, FALSE), "")</f>
        <v/>
      </c>
      <c r="K91" s="36">
        <f>IFERROR(VLOOKUP(ROWS($C$39:J90), 'SelloutPlan v1Main'!$D$5:$AC$208,14, FALSE), "")</f>
        <v/>
      </c>
      <c r="L91" s="50">
        <f>IFERROR(VLOOKUP(ROWS($C$39:K90), 'SelloutPlan v1Main'!$D$5:$AC$208,10, FALSE), "")</f>
        <v/>
      </c>
      <c r="O91" s="26">
        <f>IFERROR(IF(VLOOKUP(ROWS($O$39:$O90), 'SelloutPlan v1Main'!$D$5:$AC$499, 12, FALSE)="Open", VLOOKUP(ROWS($O$39:$O90), 'SelloutPlan v1Main'!$D$5:$AC$499, 3, FALSE), ""), "")</f>
        <v/>
      </c>
      <c r="P91" s="30">
        <f>IFERROR(VLOOKUP(ROWS($O$39:U90),'SelloutPlan v1Main'!$E$5:$AC$208,12,FALSE),"")</f>
        <v/>
      </c>
      <c r="Q91" s="81">
        <f>IFERROR(VLOOKUP(ROWS($O$39:V90),'SelloutPlan v1Main'!$E$5:$AC$208,13,FALSE),"")</f>
        <v/>
      </c>
      <c r="R91" s="27">
        <f>IFERROR(VLOOKUP(ROWS($O$39:U90),'SelloutPlan v1Main'!$E$5:$AC$208,5,FALSE),"")</f>
        <v/>
      </c>
      <c r="S91" s="39">
        <f>IFERROR(VLOOKUP(ROWS($O$39:S90), 'SelloutPlan v1Main'!$E$5:$AC$208, 14, FALSE), "")</f>
        <v/>
      </c>
      <c r="T91" s="26">
        <f>IFERROR(VLOOKUP(ROWS($O$39:T90), 'SelloutPlan v1Main'!$E$5:$AC$208, 14, FALSE), "")</f>
        <v/>
      </c>
      <c r="U91" s="82">
        <f>IFERROR(VLOOKUP(ROWS($O$39:U90),'SelloutPlan v1Main'!$E$5:$AC$208,16,FALSE),"")</f>
        <v/>
      </c>
      <c r="V91" s="27">
        <f>IFERROR(IF(_xlfn.XLOOKUP(ROWS($O$39:W91), 'SelloutPlan v1Main'!$E$5:$E$208, 'SelloutPlan v1Main'!$X$5:$X$208) = 0, "", _xlfn.XLOOKUP(ROWS($O$39:W91), 'SelloutPlan v1Main'!$E$5:$E$208, 'SelloutPlan v1Main'!$X$5:$X$208)), "")</f>
        <v/>
      </c>
      <c r="W91" s="27">
        <f>IFERROR(IF(VLOOKUP(ROWS($O$39:X90), 'SelloutPlan v1Main'!$E$5:$AP$209, 25, FALSE) = 0, "", VLOOKUP(ROWS($O$39:X90), 'SelloutPlan v1Main'!$E$5:$AP$209, 25, FALSE)), "")</f>
        <v/>
      </c>
    </row>
    <row r="92" ht="25.5" customHeight="1" s="287">
      <c r="B92" s="15" t="n">
        <v>53</v>
      </c>
      <c r="C92" s="17">
        <f>IFERROR(VLOOKUP(ROWS($C$39:C91), 'SelloutPlan v1Main'!$D$5:$AC$208,12, FALSE), "")</f>
        <v/>
      </c>
      <c r="D92" s="17">
        <f>IFERROR(VLOOKUP(ROWS($C$39:D91), 'SelloutPlan v1Main'!$D$5:$AC$208,11, FALSE), "")</f>
        <v/>
      </c>
      <c r="E92" s="17">
        <f>IFERROR(VLOOKUP(ROWS($C$39:E91), 'SelloutPlan v1Main'!$D$5:$AC$208,9, FALSE), "")</f>
        <v/>
      </c>
      <c r="F92" s="35">
        <f>IFERROR(VLOOKUP(ROWS($C$39:F91), 'SelloutPlan v1Main'!$D$5:$AC$208,7, FALSE), "")</f>
        <v/>
      </c>
      <c r="G92" s="90">
        <f>IFERROR(VLOOKUP(ROWS($C$39:G91), 'SelloutPlan v1Main'!$D$5:$AC$208,16, FALSE), "")</f>
        <v/>
      </c>
      <c r="H92" s="122">
        <f>IFERROR(VLOOKUP(ROWS($C$39:G91), 'SelloutPlan v1Main'!$D$5:$AC$208,17, FALSE), "")</f>
        <v/>
      </c>
      <c r="I92" s="36">
        <f>IFERROR(VLOOKUP(ROWS($C$39:H91), 'SelloutPlan v1Main'!$D$5:$AC$208,3, FALSE), "")</f>
        <v/>
      </c>
      <c r="J92" s="36">
        <f>IFERROR(VLOOKUP(ROWS($C$39:I91), 'SelloutPlan v1Main'!$D$5:$AC$208,10, FALSE), "")</f>
        <v/>
      </c>
      <c r="K92" s="36">
        <f>IFERROR(VLOOKUP(ROWS($C$39:J91), 'SelloutPlan v1Main'!$D$5:$AC$208,14, FALSE), "")</f>
        <v/>
      </c>
      <c r="L92" s="50">
        <f>IFERROR(VLOOKUP(ROWS($C$39:K91), 'SelloutPlan v1Main'!$D$5:$AC$208,10, FALSE), "")</f>
        <v/>
      </c>
      <c r="O92" s="26">
        <f>IFERROR(IF(VLOOKUP(ROWS($O$39:$O91), 'SelloutPlan v1Main'!$D$5:$AC$499, 12, FALSE)="Open", VLOOKUP(ROWS($O$39:$O91), 'SelloutPlan v1Main'!$D$5:$AC$499, 3, FALSE), ""), "")</f>
        <v/>
      </c>
      <c r="P92" s="30">
        <f>IFERROR(VLOOKUP(ROWS($O$39:U91),'SelloutPlan v1Main'!$E$5:$AC$208,12,FALSE),"")</f>
        <v/>
      </c>
      <c r="Q92" s="30" t="n"/>
      <c r="R92" s="27">
        <f>IFERROR(VLOOKUP(ROWS($O$39:U91),'SelloutPlan v1Main'!$E$5:$AC$208,5,FALSE),"")</f>
        <v/>
      </c>
      <c r="S92" s="39">
        <f>IFERROR(VLOOKUP(ROWS($O$39:S91), 'SelloutPlan v1Main'!$E$5:$AC$208, 14, FALSE), "")</f>
        <v/>
      </c>
      <c r="T92" s="26">
        <f>IFERROR(VLOOKUP(ROWS($O$39:T91), 'SelloutPlan v1Main'!$E$5:$AC$208, 14, FALSE), "")</f>
        <v/>
      </c>
      <c r="U92" s="82">
        <f>IFERROR(VLOOKUP(ROWS($O$39:U91),'SelloutPlan v1Main'!$E$5:$AC$208,16,FALSE),"")</f>
        <v/>
      </c>
      <c r="V92" s="27">
        <f>IFERROR(IF(_xlfn.XLOOKUP(ROWS($O$39:W92), 'SelloutPlan v1Main'!$E$5:$E$208, 'SelloutPlan v1Main'!$X$5:$X$208) = 0, "", _xlfn.XLOOKUP(ROWS($O$39:W92), 'SelloutPlan v1Main'!$E$5:$E$208, 'SelloutPlan v1Main'!$X$5:$X$208)), "")</f>
        <v/>
      </c>
      <c r="W92" s="27">
        <f>IFERROR(IF(VLOOKUP(ROWS($O$39:X91), 'SelloutPlan v1Main'!$E$5:$AP$209, 25, FALSE) = 0, "", VLOOKUP(ROWS($O$39:X91), 'SelloutPlan v1Main'!$E$5:$AP$209, 25, FALSE)), "")</f>
        <v/>
      </c>
    </row>
    <row r="93" ht="25.5" customHeight="1" s="287">
      <c r="B93" s="15" t="n">
        <v>54</v>
      </c>
      <c r="C93" s="17">
        <f>IFERROR(VLOOKUP(ROWS($C$39:C92), 'SelloutPlan v1Main'!$D$5:$AC$208,12, FALSE), "")</f>
        <v/>
      </c>
      <c r="D93" s="17">
        <f>IFERROR(VLOOKUP(ROWS($C$39:D92), 'SelloutPlan v1Main'!$D$5:$AC$208,11, FALSE), "")</f>
        <v/>
      </c>
      <c r="E93" s="17">
        <f>IFERROR(VLOOKUP(ROWS($C$39:E92), 'SelloutPlan v1Main'!$D$5:$AC$208,9, FALSE), "")</f>
        <v/>
      </c>
      <c r="F93" s="35">
        <f>IFERROR(VLOOKUP(ROWS($C$39:F92), 'SelloutPlan v1Main'!$D$5:$AC$208,7, FALSE), "")</f>
        <v/>
      </c>
      <c r="G93" s="90">
        <f>IFERROR(VLOOKUP(ROWS($C$39:G92), 'SelloutPlan v1Main'!$D$5:$AC$208,16, FALSE), "")</f>
        <v/>
      </c>
      <c r="H93" s="91">
        <f>IFERROR(VLOOKUP(ROWS($C$39:G92), 'SelloutPlan v1Main'!$D$5:$AC$208,22, FALSE), "")</f>
        <v/>
      </c>
      <c r="I93" s="36">
        <f>IFERROR(VLOOKUP(ROWS($C$39:H92), 'SelloutPlan v1Main'!$D$5:$AC$208,3, FALSE), "")</f>
        <v/>
      </c>
      <c r="J93" s="36">
        <f>IFERROR(VLOOKUP(ROWS($C$39:I92), 'SelloutPlan v1Main'!$D$5:$AC$208,10, FALSE), "")</f>
        <v/>
      </c>
      <c r="K93" s="36">
        <f>IFERROR(VLOOKUP(ROWS($C$39:J92), 'SelloutPlan v1Main'!$D$5:$AC$208,14, FALSE), "")</f>
        <v/>
      </c>
      <c r="L93" s="50">
        <f>IFERROR(VLOOKUP(ROWS($C$39:K92), 'SelloutPlan v1Main'!$D$5:$AC$208,10, FALSE), "")</f>
        <v/>
      </c>
      <c r="O93" s="26">
        <f>IFERROR(IF(VLOOKUP(ROWS($O$39:$O92), 'SelloutPlan v1Main'!$D$5:$AC$499, 12, FALSE)="Open", VLOOKUP(ROWS($O$39:$O92), 'SelloutPlan v1Main'!$D$5:$AC$499, 3, FALSE), ""), "")</f>
        <v/>
      </c>
      <c r="P93" s="30">
        <f>IFERROR(VLOOKUP(ROWS($O$39:U92),'SelloutPlan v1Main'!$E$5:$AC$208,12,FALSE),"")</f>
        <v/>
      </c>
      <c r="Q93" s="30" t="n"/>
      <c r="R93" s="27">
        <f>IFERROR(VLOOKUP(ROWS($O$39:U92),'SelloutPlan v1Main'!$E$5:$AC$208,5,FALSE),"")</f>
        <v/>
      </c>
      <c r="S93" s="39">
        <f>IFERROR(VLOOKUP(ROWS($O$39:S92), 'SelloutPlan v1Main'!$E$5:$AC$208, 14, FALSE), "")</f>
        <v/>
      </c>
      <c r="T93" s="26">
        <f>IFERROR(VLOOKUP(ROWS($O$39:T92), 'SelloutPlan v1Main'!$E$5:$AC$208, 14, FALSE), "")</f>
        <v/>
      </c>
      <c r="U93" s="82">
        <f>IFERROR(VLOOKUP(ROWS($O$39:U92),'SelloutPlan v1Main'!$E$5:$AC$208,16,FALSE),"")</f>
        <v/>
      </c>
      <c r="V93" s="27">
        <f>IFERROR(IF(_xlfn.XLOOKUP(ROWS($O$39:W93), 'SelloutPlan v1Main'!$E$5:$E$208, 'SelloutPlan v1Main'!$X$5:$X$208) = 0, "", _xlfn.XLOOKUP(ROWS($O$39:W93), 'SelloutPlan v1Main'!$E$5:$E$208, 'SelloutPlan v1Main'!$X$5:$X$208)), "")</f>
        <v/>
      </c>
      <c r="W93" s="27">
        <f>IFERROR(IF(VLOOKUP(ROWS($O$39:X92), 'SelloutPlan v1Main'!$E$5:$AP$209, 25, FALSE) = 0, "", VLOOKUP(ROWS($O$39:X92), 'SelloutPlan v1Main'!$E$5:$AP$209, 25, FALSE)), "")</f>
        <v/>
      </c>
    </row>
    <row r="94" ht="25.5" customHeight="1" s="287">
      <c r="B94" s="15" t="n">
        <v>55</v>
      </c>
      <c r="C94" s="17">
        <f>IFERROR(VLOOKUP(ROWS($C$39:C93), 'SelloutPlan v1Main'!$D$5:$AC$208,12, FALSE), "")</f>
        <v/>
      </c>
      <c r="D94" s="17">
        <f>IFERROR(VLOOKUP(ROWS($C$39:D93), 'SelloutPlan v1Main'!$D$5:$AC$208,11, FALSE), "")</f>
        <v/>
      </c>
      <c r="E94" s="17">
        <f>IFERROR(VLOOKUP(ROWS($C$39:E93), 'SelloutPlan v1Main'!$D$5:$AC$208,9, FALSE), "")</f>
        <v/>
      </c>
      <c r="F94" s="35">
        <f>IFERROR(VLOOKUP(ROWS($C$39:F93), 'SelloutPlan v1Main'!$D$5:$AC$208,7, FALSE), "")</f>
        <v/>
      </c>
      <c r="G94" s="90">
        <f>IFERROR(VLOOKUP(ROWS($C$39:G93), 'SelloutPlan v1Main'!$D$5:$AC$208,16, FALSE), "")</f>
        <v/>
      </c>
      <c r="H94" s="91">
        <f>IFERROR(VLOOKUP(ROWS($C$39:G93), 'SelloutPlan v1Main'!$D$5:$AC$208,22, FALSE), "")</f>
        <v/>
      </c>
      <c r="I94" s="36">
        <f>IFERROR(VLOOKUP(ROWS($C$39:H93), 'SelloutPlan v1Main'!$D$5:$AC$208,3, FALSE), "")</f>
        <v/>
      </c>
      <c r="J94" s="36">
        <f>IFERROR(VLOOKUP(ROWS($C$39:I93), 'SelloutPlan v1Main'!$D$5:$AC$208,10, FALSE), "")</f>
        <v/>
      </c>
      <c r="K94" s="36">
        <f>IFERROR(VLOOKUP(ROWS($C$39:J93), 'SelloutPlan v1Main'!$D$5:$AC$208,14, FALSE), "")</f>
        <v/>
      </c>
      <c r="L94" s="50">
        <f>IFERROR(VLOOKUP(ROWS($C$39:K93), 'SelloutPlan v1Main'!$D$5:$AC$208,10, FALSE), "")</f>
        <v/>
      </c>
      <c r="O94" s="26">
        <f>IFERROR(IF(VLOOKUP(ROWS($O$39:$O93), 'SelloutPlan v1Main'!$D$5:$AC$499, 12, FALSE)="Open", VLOOKUP(ROWS($O$39:$O93), 'SelloutPlan v1Main'!$D$5:$AC$499, 3, FALSE), ""), "")</f>
        <v/>
      </c>
      <c r="P94" s="30">
        <f>IFERROR(VLOOKUP(ROWS($O$39:U93),'SelloutPlan v1Main'!$E$5:$AC$208,12,FALSE),"")</f>
        <v/>
      </c>
      <c r="Q94" s="30" t="n"/>
      <c r="R94" s="27">
        <f>IFERROR(VLOOKUP(ROWS($O$39:U93),'SelloutPlan v1Main'!$E$5:$AC$208,5,FALSE),"")</f>
        <v/>
      </c>
      <c r="S94" s="39">
        <f>IFERROR(VLOOKUP(ROWS($O$39:S93), 'SelloutPlan v1Main'!$E$5:$AC$208, 14, FALSE), "")</f>
        <v/>
      </c>
      <c r="T94" s="26">
        <f>IFERROR(VLOOKUP(ROWS($O$39:T93), 'SelloutPlan v1Main'!$E$5:$AC$208, 14, FALSE), "")</f>
        <v/>
      </c>
      <c r="U94" s="82">
        <f>IFERROR(VLOOKUP(ROWS($O$39:U93),'SelloutPlan v1Main'!$E$5:$AC$208,16,FALSE),"")</f>
        <v/>
      </c>
      <c r="V94" s="27">
        <f>IFERROR(IF(_xlfn.XLOOKUP(ROWS($O$39:W94), 'SelloutPlan v1Main'!$E$5:$E$208, 'SelloutPlan v1Main'!$X$5:$X$208) = 0, "", _xlfn.XLOOKUP(ROWS($O$39:W94), 'SelloutPlan v1Main'!$E$5:$E$208, 'SelloutPlan v1Main'!$X$5:$X$208)), "")</f>
        <v/>
      </c>
      <c r="W94" s="27">
        <f>IFERROR(IF(VLOOKUP(ROWS($O$39:X93), 'SelloutPlan v1Main'!$E$5:$AP$209, 25, FALSE) = 0, "", VLOOKUP(ROWS($O$39:X93), 'SelloutPlan v1Main'!$E$5:$AP$209, 25, FALSE)), "")</f>
        <v/>
      </c>
    </row>
    <row r="95" ht="25.5" customHeight="1" s="287">
      <c r="B95" s="15" t="n">
        <v>56</v>
      </c>
      <c r="C95" s="17">
        <f>IFERROR(VLOOKUP(ROWS($C$39:C94), 'SelloutPlan v1Main'!$D$5:$AC$208,12, FALSE), "")</f>
        <v/>
      </c>
      <c r="D95" s="17">
        <f>IFERROR(VLOOKUP(ROWS($C$39:D94), 'SelloutPlan v1Main'!$D$5:$AC$208,11, FALSE), "")</f>
        <v/>
      </c>
      <c r="E95" s="17">
        <f>IFERROR(VLOOKUP(ROWS($C$39:E94), 'SelloutPlan v1Main'!$D$5:$AC$208,9, FALSE), "")</f>
        <v/>
      </c>
      <c r="F95" s="35">
        <f>IFERROR(VLOOKUP(ROWS($C$39:F94), 'SelloutPlan v1Main'!$D$5:$AC$208,7, FALSE), "")</f>
        <v/>
      </c>
      <c r="G95" s="90">
        <f>IFERROR(VLOOKUP(ROWS($C$39:G94), 'SelloutPlan v1Main'!$D$5:$AC$208,16, FALSE), "")</f>
        <v/>
      </c>
      <c r="H95" s="91">
        <f>IFERROR(VLOOKUP(ROWS($C$39:G94), 'SelloutPlan v1Main'!$D$5:$AC$208,22, FALSE), "")</f>
        <v/>
      </c>
      <c r="I95" s="36">
        <f>IFERROR(VLOOKUP(ROWS($C$39:H94), 'SelloutPlan v1Main'!$D$5:$AC$208,3, FALSE), "")</f>
        <v/>
      </c>
      <c r="J95" s="36">
        <f>IFERROR(VLOOKUP(ROWS($C$39:I94), 'SelloutPlan v1Main'!$D$5:$AC$208,10, FALSE), "")</f>
        <v/>
      </c>
      <c r="K95" s="36">
        <f>IFERROR(VLOOKUP(ROWS($C$39:J94), 'SelloutPlan v1Main'!$D$5:$AC$208,14, FALSE), "")</f>
        <v/>
      </c>
      <c r="L95" s="50">
        <f>IFERROR(VLOOKUP(ROWS($C$39:K94), 'SelloutPlan v1Main'!$D$5:$AC$208,10, FALSE), "")</f>
        <v/>
      </c>
      <c r="O95" s="26">
        <f>IFERROR(IF(VLOOKUP(ROWS($O$39:$O94), 'SelloutPlan v1Main'!$D$5:$AC$499, 12, FALSE)="Open", VLOOKUP(ROWS($O$39:$O94), 'SelloutPlan v1Main'!$D$5:$AC$499, 3, FALSE), ""), "")</f>
        <v/>
      </c>
      <c r="P95" s="30">
        <f>IFERROR(VLOOKUP(ROWS($O$39:U94),'SelloutPlan v1Main'!$E$5:$AC$208,12,FALSE),"")</f>
        <v/>
      </c>
      <c r="Q95" s="30" t="n"/>
      <c r="R95" s="27">
        <f>IFERROR(VLOOKUP(ROWS($O$39:U94),'SelloutPlan v1Main'!$E$5:$AC$208,5,FALSE),"")</f>
        <v/>
      </c>
      <c r="S95" s="39">
        <f>IFERROR(VLOOKUP(ROWS($O$39:S94), 'SelloutPlan v1Main'!$E$5:$AC$208, 14, FALSE), "")</f>
        <v/>
      </c>
      <c r="T95" s="26">
        <f>IFERROR(VLOOKUP(ROWS($O$39:T94), 'SelloutPlan v1Main'!$E$5:$AC$208, 14, FALSE), "")</f>
        <v/>
      </c>
      <c r="U95" s="82">
        <f>IFERROR(VLOOKUP(ROWS($O$39:U94),'SelloutPlan v1Main'!$E$5:$AC$208,16,FALSE),"")</f>
        <v/>
      </c>
      <c r="V95" s="27">
        <f>IFERROR(IF(_xlfn.XLOOKUP(ROWS($O$39:W95), 'SelloutPlan v1Main'!$E$5:$E$208, 'SelloutPlan v1Main'!$X$5:$X$208) = 0, "", _xlfn.XLOOKUP(ROWS($O$39:W95), 'SelloutPlan v1Main'!$E$5:$E$208, 'SelloutPlan v1Main'!$X$5:$X$208)), "")</f>
        <v/>
      </c>
      <c r="W95" s="27">
        <f>IFERROR(IF(VLOOKUP(ROWS($O$39:X94), 'SelloutPlan v1Main'!$E$5:$AP$209, 25, FALSE) = 0, "", VLOOKUP(ROWS($O$39:X94), 'SelloutPlan v1Main'!$E$5:$AP$209, 25, FALSE)), "")</f>
        <v/>
      </c>
    </row>
    <row r="96" ht="25.5" customHeight="1" s="287">
      <c r="B96" s="15" t="n">
        <v>57</v>
      </c>
      <c r="C96" s="17">
        <f>IFERROR(VLOOKUP(ROWS($C$39:C95), 'SelloutPlan v1Main'!$D$5:$AC$208,12, FALSE), "")</f>
        <v/>
      </c>
      <c r="D96" s="17">
        <f>IFERROR(VLOOKUP(ROWS($C$39:D95), 'SelloutPlan v1Main'!$D$5:$AC$208,11, FALSE), "")</f>
        <v/>
      </c>
      <c r="E96" s="17">
        <f>IFERROR(VLOOKUP(ROWS($C$39:E95), 'SelloutPlan v1Main'!$D$5:$AC$208,9, FALSE), "")</f>
        <v/>
      </c>
      <c r="F96" s="35">
        <f>IFERROR(VLOOKUP(ROWS($C$39:F95), 'SelloutPlan v1Main'!$D$5:$AC$208,7, FALSE), "")</f>
        <v/>
      </c>
      <c r="G96" s="90">
        <f>IFERROR(VLOOKUP(ROWS($C$39:G95), 'SelloutPlan v1Main'!$D$5:$AC$208,16, FALSE), "")</f>
        <v/>
      </c>
      <c r="H96" s="91">
        <f>IFERROR(VLOOKUP(ROWS($C$39:G95), 'SelloutPlan v1Main'!$D$5:$AC$208,22, FALSE), "")</f>
        <v/>
      </c>
      <c r="I96" s="36">
        <f>IFERROR(VLOOKUP(ROWS($C$39:H95), 'SelloutPlan v1Main'!$D$5:$AC$208,3, FALSE), "")</f>
        <v/>
      </c>
      <c r="J96" s="36">
        <f>IFERROR(VLOOKUP(ROWS($C$39:I95), 'SelloutPlan v1Main'!$D$5:$AC$208,10, FALSE), "")</f>
        <v/>
      </c>
      <c r="K96" s="36">
        <f>IFERROR(VLOOKUP(ROWS($C$39:J95), 'SelloutPlan v1Main'!$D$5:$AC$208,14, FALSE), "")</f>
        <v/>
      </c>
      <c r="L96" s="50">
        <f>IFERROR(VLOOKUP(ROWS($C$39:K95), 'SelloutPlan v1Main'!$D$5:$AC$208,10, FALSE), "")</f>
        <v/>
      </c>
      <c r="O96" s="26">
        <f>IFERROR(IF(VLOOKUP(ROWS($O$39:$O95), 'SelloutPlan v1Main'!$D$5:$AC$499, 12, FALSE)="Open", VLOOKUP(ROWS($O$39:$O95), 'SelloutPlan v1Main'!$D$5:$AC$499, 3, FALSE), ""), "")</f>
        <v/>
      </c>
      <c r="P96" s="30">
        <f>IFERROR(VLOOKUP(ROWS($O$39:U95),'SelloutPlan v1Main'!$E$5:$AC$208,12,FALSE),"")</f>
        <v/>
      </c>
      <c r="Q96" s="30" t="n"/>
      <c r="R96" s="27">
        <f>IFERROR(VLOOKUP(ROWS($O$39:U95),'SelloutPlan v1Main'!$E$5:$AC$208,5,FALSE),"")</f>
        <v/>
      </c>
      <c r="S96" s="39">
        <f>IFERROR(VLOOKUP(ROWS($O$39:S95), 'SelloutPlan v1Main'!$E$5:$AC$208, 14, FALSE), "")</f>
        <v/>
      </c>
      <c r="T96" s="26">
        <f>IFERROR(VLOOKUP(ROWS($O$39:T95), 'SelloutPlan v1Main'!$E$5:$AC$208, 14, FALSE), "")</f>
        <v/>
      </c>
      <c r="U96" s="82">
        <f>IFERROR(VLOOKUP(ROWS($O$39:U95),'SelloutPlan v1Main'!$E$5:$AC$208,16,FALSE),"")</f>
        <v/>
      </c>
      <c r="V96" s="27">
        <f>IFERROR(IF(_xlfn.XLOOKUP(ROWS($O$39:W96), 'SelloutPlan v1Main'!$E$5:$E$208, 'SelloutPlan v1Main'!$X$5:$X$208) = 0, "", _xlfn.XLOOKUP(ROWS($O$39:W96), 'SelloutPlan v1Main'!$E$5:$E$208, 'SelloutPlan v1Main'!$X$5:$X$208)), "")</f>
        <v/>
      </c>
      <c r="W96" s="27">
        <f>IFERROR(IF(VLOOKUP(ROWS($O$39:X95), 'SelloutPlan v1Main'!$E$5:$AP$209, 25, FALSE) = 0, "", VLOOKUP(ROWS($O$39:X95), 'SelloutPlan v1Main'!$E$5:$AP$209, 25, FALSE)), "")</f>
        <v/>
      </c>
    </row>
    <row r="97" ht="25.5" customHeight="1" s="287">
      <c r="B97" s="15" t="n">
        <v>58</v>
      </c>
      <c r="C97" s="17">
        <f>IFERROR(VLOOKUP(ROWS($C$39:C96), 'SelloutPlan v1Main'!$D$5:$AC$208,12, FALSE), "")</f>
        <v/>
      </c>
      <c r="D97" s="17">
        <f>IFERROR(VLOOKUP(ROWS($C$39:D96), 'SelloutPlan v1Main'!$D$5:$AC$208,11, FALSE), "")</f>
        <v/>
      </c>
      <c r="E97" s="17">
        <f>IFERROR(VLOOKUP(ROWS($C$39:E96), 'SelloutPlan v1Main'!$D$5:$AC$208,9, FALSE), "")</f>
        <v/>
      </c>
      <c r="F97" s="35">
        <f>IFERROR(VLOOKUP(ROWS($C$39:F96), 'SelloutPlan v1Main'!$D$5:$AC$208,7, FALSE), "")</f>
        <v/>
      </c>
      <c r="G97" s="90">
        <f>IFERROR(VLOOKUP(ROWS($C$39:G96), 'SelloutPlan v1Main'!$D$5:$AC$208,16, FALSE), "")</f>
        <v/>
      </c>
      <c r="H97" s="91">
        <f>IFERROR(VLOOKUP(ROWS($C$39:G96), 'SelloutPlan v1Main'!$D$5:$AC$208,22, FALSE), "")</f>
        <v/>
      </c>
      <c r="I97" s="36">
        <f>IFERROR(VLOOKUP(ROWS($C$39:H96), 'SelloutPlan v1Main'!$D$5:$AC$208,3, FALSE), "")</f>
        <v/>
      </c>
      <c r="J97" s="36">
        <f>IFERROR(VLOOKUP(ROWS($C$39:I96), 'SelloutPlan v1Main'!$D$5:$AC$208,10, FALSE), "")</f>
        <v/>
      </c>
      <c r="K97" s="36">
        <f>IFERROR(VLOOKUP(ROWS($C$39:J96), 'SelloutPlan v1Main'!$D$5:$AC$208,14, FALSE), "")</f>
        <v/>
      </c>
      <c r="L97" s="50">
        <f>IFERROR(VLOOKUP(ROWS($C$39:K96), 'SelloutPlan v1Main'!$D$5:$AC$208,10, FALSE), "")</f>
        <v/>
      </c>
      <c r="O97" s="26">
        <f>IFERROR(IF(VLOOKUP(ROWS($O$39:$O96), 'SelloutPlan v1Main'!$D$5:$AC$499, 12, FALSE)="Open", VLOOKUP(ROWS($O$39:$O96), 'SelloutPlan v1Main'!$D$5:$AC$499, 3, FALSE), ""), "")</f>
        <v/>
      </c>
      <c r="P97" s="30">
        <f>IFERROR(VLOOKUP(ROWS($O$39:U96),'SelloutPlan v1Main'!$E$5:$AC$208,12,FALSE),"")</f>
        <v/>
      </c>
      <c r="Q97" s="30" t="n"/>
      <c r="R97" s="27">
        <f>IFERROR(VLOOKUP(ROWS($O$39:U96),'SelloutPlan v1Main'!$E$5:$AC$208,5,FALSE),"")</f>
        <v/>
      </c>
      <c r="S97" s="39">
        <f>IFERROR(VLOOKUP(ROWS($O$39:S96), 'SelloutPlan v1Main'!$E$5:$AC$208, 14, FALSE), "")</f>
        <v/>
      </c>
      <c r="T97" s="26">
        <f>IFERROR(VLOOKUP(ROWS($O$39:T96), 'SelloutPlan v1Main'!$E$5:$AC$208, 14, FALSE), "")</f>
        <v/>
      </c>
      <c r="U97" s="82">
        <f>IFERROR(VLOOKUP(ROWS($O$39:U96),'SelloutPlan v1Main'!$E$5:$AC$208,16,FALSE),"")</f>
        <v/>
      </c>
      <c r="V97" s="27">
        <f>IFERROR(IF(_xlfn.XLOOKUP(ROWS($O$39:W97), 'SelloutPlan v1Main'!$E$5:$E$208, 'SelloutPlan v1Main'!$X$5:$X$208) = 0, "", _xlfn.XLOOKUP(ROWS($O$39:W97), 'SelloutPlan v1Main'!$E$5:$E$208, 'SelloutPlan v1Main'!$X$5:$X$208)), "")</f>
        <v/>
      </c>
      <c r="W97" s="27">
        <f>IFERROR(IF(VLOOKUP(ROWS($O$39:X96), 'SelloutPlan v1Main'!$E$5:$AP$209, 25, FALSE) = 0, "", VLOOKUP(ROWS($O$39:X96), 'SelloutPlan v1Main'!$E$5:$AP$209, 25, FALSE)), "")</f>
        <v/>
      </c>
    </row>
    <row r="98" ht="25.5" customHeight="1" s="287">
      <c r="B98" s="15" t="n">
        <v>59</v>
      </c>
      <c r="C98" s="17">
        <f>IFERROR(VLOOKUP(ROWS($C$39:C97), 'SelloutPlan v1Main'!$D$5:$AC$208,12, FALSE), "")</f>
        <v/>
      </c>
      <c r="D98" s="17">
        <f>IFERROR(VLOOKUP(ROWS($C$39:D97), 'SelloutPlan v1Main'!$D$5:$AC$208,11, FALSE), "")</f>
        <v/>
      </c>
      <c r="E98" s="17">
        <f>IFERROR(VLOOKUP(ROWS($C$39:E97), 'SelloutPlan v1Main'!$D$5:$AC$208,9, FALSE), "")</f>
        <v/>
      </c>
      <c r="F98" s="35">
        <f>IFERROR(VLOOKUP(ROWS($C$39:F97), 'SelloutPlan v1Main'!$D$5:$AC$208,7, FALSE), "")</f>
        <v/>
      </c>
      <c r="G98" s="90">
        <f>IFERROR(VLOOKUP(ROWS($C$39:G97), 'SelloutPlan v1Main'!$D$5:$AC$208,16, FALSE), "")</f>
        <v/>
      </c>
      <c r="H98" s="91">
        <f>IFERROR(VLOOKUP(ROWS($C$39:G97), 'SelloutPlan v1Main'!$D$5:$AC$208,22, FALSE), "")</f>
        <v/>
      </c>
      <c r="I98" s="36">
        <f>IFERROR(VLOOKUP(ROWS($C$39:H97), 'SelloutPlan v1Main'!$D$5:$AC$208,3, FALSE), "")</f>
        <v/>
      </c>
      <c r="J98" s="36">
        <f>IFERROR(VLOOKUP(ROWS($C$39:I97), 'SelloutPlan v1Main'!$D$5:$AC$208,10, FALSE), "")</f>
        <v/>
      </c>
      <c r="K98" s="36">
        <f>IFERROR(VLOOKUP(ROWS($C$39:J97), 'SelloutPlan v1Main'!$D$5:$AC$208,14, FALSE), "")</f>
        <v/>
      </c>
      <c r="L98" s="50">
        <f>IFERROR(VLOOKUP(ROWS($C$39:K97), 'SelloutPlan v1Main'!$D$5:$AC$208,10, FALSE), "")</f>
        <v/>
      </c>
      <c r="O98" s="26">
        <f>IFERROR(IF(VLOOKUP(ROWS($O$39:$O97), 'SelloutPlan v1Main'!$D$5:$AC$499, 12, FALSE)="Open", VLOOKUP(ROWS($O$39:$O97), 'SelloutPlan v1Main'!$D$5:$AC$499, 3, FALSE), ""), "")</f>
        <v/>
      </c>
      <c r="P98" s="30">
        <f>IFERROR(VLOOKUP(ROWS($O$39:U97),'SelloutPlan v1Main'!$E$5:$AC$208,12,FALSE),"")</f>
        <v/>
      </c>
      <c r="Q98" s="30" t="n"/>
      <c r="R98" s="27">
        <f>IFERROR(VLOOKUP(ROWS($O$39:U97),'SelloutPlan v1Main'!$E$5:$AC$208,5,FALSE),"")</f>
        <v/>
      </c>
      <c r="S98" s="39">
        <f>IFERROR(VLOOKUP(ROWS($O$39:S97), 'SelloutPlan v1Main'!$E$5:$AC$208, 14, FALSE), "")</f>
        <v/>
      </c>
      <c r="T98" s="26">
        <f>IFERROR(VLOOKUP(ROWS($O$39:T97), 'SelloutPlan v1Main'!$E$5:$AC$208, 14, FALSE), "")</f>
        <v/>
      </c>
      <c r="U98" s="82">
        <f>IFERROR(VLOOKUP(ROWS($O$39:U97),'SelloutPlan v1Main'!$E$5:$AC$208,16,FALSE),"")</f>
        <v/>
      </c>
      <c r="V98" s="27">
        <f>IFERROR(IF(_xlfn.XLOOKUP(ROWS($O$39:W98), 'SelloutPlan v1Main'!$E$5:$E$208, 'SelloutPlan v1Main'!$X$5:$X$208) = 0, "", _xlfn.XLOOKUP(ROWS($O$39:W98), 'SelloutPlan v1Main'!$E$5:$E$208, 'SelloutPlan v1Main'!$X$5:$X$208)), "")</f>
        <v/>
      </c>
      <c r="W98" s="27">
        <f>IFERROR(IF(VLOOKUP(ROWS($O$39:X97), 'SelloutPlan v1Main'!$E$5:$AP$209, 25, FALSE) = 0, "", VLOOKUP(ROWS($O$39:X97), 'SelloutPlan v1Main'!$E$5:$AP$209, 25, FALSE)), "")</f>
        <v/>
      </c>
    </row>
    <row r="99" ht="25.5" customHeight="1" s="287">
      <c r="B99" s="15" t="n">
        <v>60</v>
      </c>
      <c r="C99" s="17">
        <f>IFERROR(VLOOKUP(ROWS($C$39:C98), 'SelloutPlan v1Main'!$D$5:$AC$208,12, FALSE), "")</f>
        <v/>
      </c>
      <c r="D99" s="17">
        <f>IFERROR(VLOOKUP(ROWS($C$39:D98), 'SelloutPlan v1Main'!$D$5:$AC$208,11, FALSE), "")</f>
        <v/>
      </c>
      <c r="E99" s="17">
        <f>IFERROR(VLOOKUP(ROWS($C$39:E98), 'SelloutPlan v1Main'!$D$5:$AC$208,9, FALSE), "")</f>
        <v/>
      </c>
      <c r="F99" s="35">
        <f>IFERROR(VLOOKUP(ROWS($C$39:F98), 'SelloutPlan v1Main'!$D$5:$AC$208,7, FALSE), "")</f>
        <v/>
      </c>
      <c r="G99" s="90">
        <f>IFERROR(VLOOKUP(ROWS($C$39:G98), 'SelloutPlan v1Main'!$D$5:$AC$208,16, FALSE), "")</f>
        <v/>
      </c>
      <c r="H99" s="91">
        <f>IFERROR(VLOOKUP(ROWS($C$39:G98), 'SelloutPlan v1Main'!$D$5:$AC$208,22, FALSE), "")</f>
        <v/>
      </c>
      <c r="I99" s="36">
        <f>IFERROR(VLOOKUP(ROWS($C$39:H98), 'SelloutPlan v1Main'!$D$5:$AC$208,3, FALSE), "")</f>
        <v/>
      </c>
      <c r="J99" s="36">
        <f>IFERROR(VLOOKUP(ROWS($C$39:I98), 'SelloutPlan v1Main'!$D$5:$AC$208,10, FALSE), "")</f>
        <v/>
      </c>
      <c r="K99" s="36">
        <f>IFERROR(VLOOKUP(ROWS($C$39:J98), 'SelloutPlan v1Main'!$D$5:$AC$208,14, FALSE), "")</f>
        <v/>
      </c>
      <c r="L99" s="50">
        <f>IFERROR(VLOOKUP(ROWS($C$39:K98), 'SelloutPlan v1Main'!$D$5:$AC$208,10, FALSE), "")</f>
        <v/>
      </c>
      <c r="O99" s="84">
        <f>IFERROR(IF(VLOOKUP(ROWS($O$39:$O98), 'SelloutPlan v1Main'!$D$5:$AC$499, 12, FALSE)="Open", VLOOKUP(ROWS($O$39:$O98), 'SelloutPlan v1Main'!$D$5:$AC$499, 3, FALSE), ""), "")</f>
        <v/>
      </c>
      <c r="P99" s="85">
        <f>IFERROR(VLOOKUP(ROWS($O$39:U98),'SelloutPlan v1Main'!$E$5:$AC$208,12,FALSE),"")</f>
        <v/>
      </c>
      <c r="Q99" s="85" t="n"/>
      <c r="R99" s="53">
        <f>IFERROR(VLOOKUP(ROWS($O$39:U98),'SelloutPlan v1Main'!$E$5:$AC$208,5,FALSE),"")</f>
        <v/>
      </c>
      <c r="S99" s="86">
        <f>IFERROR(VLOOKUP(ROWS($O$39:S98), 'SelloutPlan v1Main'!$E$5:$AC$208, 14, FALSE), "")</f>
        <v/>
      </c>
      <c r="T99" s="84">
        <f>IFERROR(VLOOKUP(ROWS($O$39:T98), 'SelloutPlan v1Main'!$E$5:$AC$208, 14, FALSE), "")</f>
        <v/>
      </c>
      <c r="U99" s="82">
        <f>IFERROR(VLOOKUP(ROWS($O$39:U98),'SelloutPlan v1Main'!$E$5:$AC$208,16,FALSE),"")</f>
        <v/>
      </c>
      <c r="V99" s="53">
        <f>IFERROR(IF(_xlfn.XLOOKUP(ROWS($O$39:W99), 'SelloutPlan v1Main'!$E$5:$E$208, 'SelloutPlan v1Main'!$X$5:$X$208) = 0, "", _xlfn.XLOOKUP(ROWS($O$39:W99), 'SelloutPlan v1Main'!$E$5:$E$208, 'SelloutPlan v1Main'!$X$5:$X$208)), "")</f>
        <v/>
      </c>
      <c r="W99" s="53">
        <f>IFERROR(IF(VLOOKUP(ROWS($O$39:X98), 'SelloutPlan v1Main'!$E$5:$AP$209, 25, FALSE) = 0, "", VLOOKUP(ROWS($O$39:X98), 'SelloutPlan v1Main'!$E$5:$AP$209, 25, FALSE)), "")</f>
        <v/>
      </c>
    </row>
    <row r="100" ht="25.5" customHeight="1" s="287">
      <c r="B100" s="15" t="n">
        <v>61</v>
      </c>
      <c r="C100" s="17">
        <f>IFERROR(VLOOKUP(ROWS($C$39:C99), 'SelloutPlan v1Main'!$D$5:$AC$208,12, FALSE), "")</f>
        <v/>
      </c>
      <c r="D100" s="17">
        <f>IFERROR(VLOOKUP(ROWS($C$39:D99), 'SelloutPlan v1Main'!$D$5:$AC$208,11, FALSE), "")</f>
        <v/>
      </c>
      <c r="E100" s="17">
        <f>IFERROR(VLOOKUP(ROWS($C$39:E99), 'SelloutPlan v1Main'!$D$5:$AC$208,9, FALSE), "")</f>
        <v/>
      </c>
      <c r="F100" s="35">
        <f>IFERROR(VLOOKUP(ROWS($C$39:F99), 'SelloutPlan v1Main'!$D$5:$AC$208,7, FALSE), "")</f>
        <v/>
      </c>
      <c r="G100" s="90">
        <f>IFERROR(VLOOKUP(ROWS($C$39:G99), 'SelloutPlan v1Main'!$D$5:$AC$208,16, FALSE), "")</f>
        <v/>
      </c>
      <c r="H100" s="91">
        <f>IFERROR(VLOOKUP(ROWS($C$39:G99), 'SelloutPlan v1Main'!$D$5:$AC$208,22, FALSE), "")</f>
        <v/>
      </c>
      <c r="I100" s="36">
        <f>IFERROR(VLOOKUP(ROWS($C$39:H99), 'SelloutPlan v1Main'!$D$5:$AC$208,3, FALSE), "")</f>
        <v/>
      </c>
      <c r="J100" s="36">
        <f>IFERROR(VLOOKUP(ROWS($C$39:I99), 'SelloutPlan v1Main'!$D$5:$AC$208,10, FALSE), "")</f>
        <v/>
      </c>
      <c r="K100" s="36">
        <f>IFERROR(VLOOKUP(ROWS($C$39:J99), 'SelloutPlan v1Main'!$D$5:$AC$208,14, FALSE), "")</f>
        <v/>
      </c>
      <c r="L100" s="50">
        <f>IFERROR(VLOOKUP(ROWS($C$39:K99), 'SelloutPlan v1Main'!$D$5:$AC$208,10, FALSE), "")</f>
        <v/>
      </c>
      <c r="O100" s="19" t="n"/>
    </row>
    <row r="101" ht="25.5" customHeight="1" s="287">
      <c r="B101" s="15" t="n">
        <v>62</v>
      </c>
      <c r="C101" s="17">
        <f>IFERROR(VLOOKUP(ROWS($C$39:C100), 'SelloutPlan v1Main'!$D$5:$AC$208,12, FALSE), "")</f>
        <v/>
      </c>
      <c r="D101" s="17">
        <f>IFERROR(VLOOKUP(ROWS($C$39:D100), 'SelloutPlan v1Main'!$D$5:$AC$208,11, FALSE), "")</f>
        <v/>
      </c>
      <c r="E101" s="17">
        <f>IFERROR(VLOOKUP(ROWS($C$39:E100), 'SelloutPlan v1Main'!$D$5:$AC$208,9, FALSE), "")</f>
        <v/>
      </c>
      <c r="F101" s="35">
        <f>IFERROR(VLOOKUP(ROWS($C$39:F100), 'SelloutPlan v1Main'!$D$5:$AC$208,7, FALSE), "")</f>
        <v/>
      </c>
      <c r="G101" s="90">
        <f>IFERROR(VLOOKUP(ROWS($C$39:G100), 'SelloutPlan v1Main'!$D$5:$AC$208,16, FALSE), "")</f>
        <v/>
      </c>
      <c r="H101" s="91">
        <f>IFERROR(VLOOKUP(ROWS($C$39:G100), 'SelloutPlan v1Main'!$D$5:$AC$208,22, FALSE), "")</f>
        <v/>
      </c>
      <c r="I101" s="36">
        <f>IFERROR(VLOOKUP(ROWS($C$39:H100), 'SelloutPlan v1Main'!$D$5:$AC$208,3, FALSE), "")</f>
        <v/>
      </c>
      <c r="J101" s="36">
        <f>IFERROR(VLOOKUP(ROWS($C$39:I100), 'SelloutPlan v1Main'!$D$5:$AC$208,10, FALSE), "")</f>
        <v/>
      </c>
      <c r="K101" s="36">
        <f>IFERROR(VLOOKUP(ROWS($C$39:J100), 'SelloutPlan v1Main'!$D$5:$AC$208,14, FALSE), "")</f>
        <v/>
      </c>
      <c r="L101" s="50">
        <f>IFERROR(VLOOKUP(ROWS($C$39:K100), 'SelloutPlan v1Main'!$D$5:$AC$208,10, FALSE), "")</f>
        <v/>
      </c>
    </row>
    <row r="102" ht="25.5" customHeight="1" s="287">
      <c r="B102" s="15" t="n">
        <v>63</v>
      </c>
      <c r="C102" s="17">
        <f>IFERROR(VLOOKUP(ROWS($C$39:C101), 'SelloutPlan v1Main'!$D$5:$AC$208,12, FALSE), "")</f>
        <v/>
      </c>
      <c r="D102" s="17">
        <f>IFERROR(VLOOKUP(ROWS($C$39:D101), 'SelloutPlan v1Main'!$D$5:$AC$208,11, FALSE), "")</f>
        <v/>
      </c>
      <c r="E102" s="17">
        <f>IFERROR(VLOOKUP(ROWS($C$39:E101), 'SelloutPlan v1Main'!$D$5:$AC$208,9, FALSE), "")</f>
        <v/>
      </c>
      <c r="F102" s="35">
        <f>IFERROR(VLOOKUP(ROWS($C$39:F101), 'SelloutPlan v1Main'!$D$5:$AC$208,7, FALSE), "")</f>
        <v/>
      </c>
      <c r="G102" s="90">
        <f>IFERROR(VLOOKUP(ROWS($C$39:G101), 'SelloutPlan v1Main'!$D$5:$AC$208,16, FALSE), "")</f>
        <v/>
      </c>
      <c r="H102" s="91">
        <f>IFERROR(VLOOKUP(ROWS($C$39:G101), 'SelloutPlan v1Main'!$D$5:$AC$208,22, FALSE), "")</f>
        <v/>
      </c>
      <c r="I102" s="36">
        <f>IFERROR(VLOOKUP(ROWS($C$39:H101), 'SelloutPlan v1Main'!$D$5:$AC$208,3, FALSE), "")</f>
        <v/>
      </c>
      <c r="J102" s="36">
        <f>IFERROR(VLOOKUP(ROWS($C$39:I101), 'SelloutPlan v1Main'!$D$5:$AC$208,10, FALSE), "")</f>
        <v/>
      </c>
      <c r="K102" s="36">
        <f>IFERROR(VLOOKUP(ROWS($C$39:J101), 'SelloutPlan v1Main'!$D$5:$AC$208,14, FALSE), "")</f>
        <v/>
      </c>
      <c r="L102" s="50">
        <f>IFERROR(VLOOKUP(ROWS($C$39:K101), 'SelloutPlan v1Main'!$D$5:$AC$208,10, FALSE), "")</f>
        <v/>
      </c>
    </row>
    <row r="103" ht="25.5" customHeight="1" s="287">
      <c r="B103" s="15" t="n">
        <v>64</v>
      </c>
      <c r="D103" s="17">
        <f>IFERROR(VLOOKUP(ROWS($C$39:D102), 'SelloutPlan v1Main'!$D$5:$AC$208,11, FALSE), "")</f>
        <v/>
      </c>
      <c r="E103" s="17">
        <f>IFERROR(VLOOKUP(ROWS($C$39:E102), 'SelloutPlan v1Main'!$D$5:$AC$208,9, FALSE), "")</f>
        <v/>
      </c>
      <c r="F103" s="35">
        <f>IFERROR(VLOOKUP(ROWS($C$39:F102), 'SelloutPlan v1Main'!$D$5:$AC$208,7, FALSE), "")</f>
        <v/>
      </c>
      <c r="G103" s="90">
        <f>IFERROR(VLOOKUP(ROWS($C$39:G102), 'SelloutPlan v1Main'!$D$5:$AC$208,16, FALSE), "")</f>
        <v/>
      </c>
      <c r="H103" s="91">
        <f>IFERROR(VLOOKUP(ROWS($C$39:G102), 'SelloutPlan v1Main'!$D$5:$AC$208,22, FALSE), "")</f>
        <v/>
      </c>
      <c r="I103" s="36">
        <f>IFERROR(VLOOKUP(ROWS($C$39:H102), 'SelloutPlan v1Main'!$D$5:$AC$208,3, FALSE), "")</f>
        <v/>
      </c>
      <c r="J103" s="36">
        <f>IFERROR(VLOOKUP(ROWS($C$39:I102), 'SelloutPlan v1Main'!$D$5:$AC$208,10, FALSE), "")</f>
        <v/>
      </c>
      <c r="K103" s="36">
        <f>IFERROR(VLOOKUP(ROWS($C$39:J102), 'SelloutPlan v1Main'!$D$5:$AC$208,14, FALSE), "")</f>
        <v/>
      </c>
      <c r="L103" s="50">
        <f>IFERROR(VLOOKUP(ROWS($C$39:K102), 'SelloutPlan v1Main'!$D$5:$AC$208,10, FALSE), "")</f>
        <v/>
      </c>
    </row>
    <row r="104" ht="25.5" customHeight="1" s="287">
      <c r="B104" s="15" t="n">
        <v>65</v>
      </c>
      <c r="D104" s="17">
        <f>IFERROR(VLOOKUP(ROWS($C$39:D103), 'SelloutPlan v1Main'!$D$5:$AC$208,11, FALSE), "")</f>
        <v/>
      </c>
      <c r="E104" s="17">
        <f>IFERROR(VLOOKUP(ROWS($C$39:E103), 'SelloutPlan v1Main'!$D$5:$AC$208,9, FALSE), "")</f>
        <v/>
      </c>
      <c r="F104" s="35">
        <f>IFERROR(VLOOKUP(ROWS($C$39:F103), 'SelloutPlan v1Main'!$D$5:$AC$208,7, FALSE), "")</f>
        <v/>
      </c>
      <c r="G104" s="90">
        <f>IFERROR(VLOOKUP(ROWS($C$39:G103), 'SelloutPlan v1Main'!$D$5:$AC$208,16, FALSE), "")</f>
        <v/>
      </c>
      <c r="H104" s="91">
        <f>IFERROR(VLOOKUP(ROWS($C$39:G103), 'SelloutPlan v1Main'!$D$5:$AC$208,22, FALSE), "")</f>
        <v/>
      </c>
      <c r="I104" s="36">
        <f>IFERROR(VLOOKUP(ROWS($C$39:H103), 'SelloutPlan v1Main'!$D$5:$AC$208,3, FALSE), "")</f>
        <v/>
      </c>
      <c r="J104" s="36">
        <f>IFERROR(VLOOKUP(ROWS($C$39:I103), 'SelloutPlan v1Main'!$D$5:$AC$208,10, FALSE), "")</f>
        <v/>
      </c>
      <c r="K104" s="36">
        <f>IFERROR(VLOOKUP(ROWS($C$39:J103), 'SelloutPlan v1Main'!$D$5:$AC$208,14, FALSE), "")</f>
        <v/>
      </c>
      <c r="L104" s="50">
        <f>IFERROR(VLOOKUP(ROWS($C$39:K103), 'SelloutPlan v1Main'!$D$5:$AC$208,10, FALSE), "")</f>
        <v/>
      </c>
    </row>
    <row r="105" ht="25.5" customHeight="1" s="287">
      <c r="B105" s="15" t="n">
        <v>66</v>
      </c>
      <c r="D105" s="17">
        <f>IFERROR(VLOOKUP(ROWS($C$39:D104), 'SelloutPlan v1Main'!$D$5:$AC$208,11, FALSE), "")</f>
        <v/>
      </c>
      <c r="E105" s="17">
        <f>IFERROR(VLOOKUP(ROWS($C$39:E104), 'SelloutPlan v1Main'!$D$5:$AC$208,9, FALSE), "")</f>
        <v/>
      </c>
      <c r="F105" s="35">
        <f>IFERROR(VLOOKUP(ROWS($C$39:F104), 'SelloutPlan v1Main'!$D$5:$AC$208,7, FALSE), "")</f>
        <v/>
      </c>
      <c r="G105" s="90">
        <f>IFERROR(VLOOKUP(ROWS($C$39:G104), 'SelloutPlan v1Main'!$D$5:$AC$208,16, FALSE), "")</f>
        <v/>
      </c>
      <c r="H105" s="91">
        <f>IFERROR(VLOOKUP(ROWS($C$39:G104), 'SelloutPlan v1Main'!$D$5:$AC$208,22, FALSE), "")</f>
        <v/>
      </c>
      <c r="I105" s="36">
        <f>IFERROR(VLOOKUP(ROWS($C$39:H104), 'SelloutPlan v1Main'!$D$5:$AC$208,3, FALSE), "")</f>
        <v/>
      </c>
      <c r="J105" s="36">
        <f>IFERROR(VLOOKUP(ROWS($C$39:I104), 'SelloutPlan v1Main'!$D$5:$AC$208,10, FALSE), "")</f>
        <v/>
      </c>
      <c r="K105" s="36">
        <f>IFERROR(VLOOKUP(ROWS($C$39:J104), 'SelloutPlan v1Main'!$D$5:$AC$208,14, FALSE), "")</f>
        <v/>
      </c>
      <c r="L105" s="50">
        <f>IFERROR(VLOOKUP(ROWS($C$39:K104), 'SelloutPlan v1Main'!$D$5:$AC$208,10, FALSE), "")</f>
        <v/>
      </c>
    </row>
    <row r="106" ht="25.5" customHeight="1" s="287">
      <c r="B106" s="15" t="n">
        <v>67</v>
      </c>
      <c r="D106" s="17">
        <f>IFERROR(VLOOKUP(ROWS($C$39:D105), 'SelloutPlan v1Main'!$D$5:$AC$208,11, FALSE), "")</f>
        <v/>
      </c>
      <c r="E106" s="17">
        <f>IFERROR(VLOOKUP(ROWS($C$39:E105), 'SelloutPlan v1Main'!$D$5:$AC$208,9, FALSE), "")</f>
        <v/>
      </c>
      <c r="F106" s="35">
        <f>IFERROR(VLOOKUP(ROWS($C$39:F105), 'SelloutPlan v1Main'!$D$5:$AC$208,7, FALSE), "")</f>
        <v/>
      </c>
      <c r="G106" s="90">
        <f>IFERROR(VLOOKUP(ROWS($C$39:G105), 'SelloutPlan v1Main'!$D$5:$AC$208,16, FALSE), "")</f>
        <v/>
      </c>
      <c r="H106" s="91">
        <f>IFERROR(VLOOKUP(ROWS($C$39:G105), 'SelloutPlan v1Main'!$D$5:$AC$208,22, FALSE), "")</f>
        <v/>
      </c>
      <c r="I106" s="36">
        <f>IFERROR(VLOOKUP(ROWS($C$39:H105), 'SelloutPlan v1Main'!$D$5:$AC$208,3, FALSE), "")</f>
        <v/>
      </c>
      <c r="J106" s="36">
        <f>IFERROR(VLOOKUP(ROWS($C$39:I105), 'SelloutPlan v1Main'!$D$5:$AC$208,10, FALSE), "")</f>
        <v/>
      </c>
      <c r="K106" s="36">
        <f>IFERROR(VLOOKUP(ROWS($C$39:J105), 'SelloutPlan v1Main'!$D$5:$AC$208,14, FALSE), "")</f>
        <v/>
      </c>
      <c r="L106" s="50">
        <f>IFERROR(VLOOKUP(ROWS($C$39:K105), 'SelloutPlan v1Main'!$D$5:$AC$208,10, FALSE), "")</f>
        <v/>
      </c>
    </row>
    <row r="107" ht="25.5" customHeight="1" s="287">
      <c r="B107" s="15" t="n">
        <v>68</v>
      </c>
      <c r="E107" s="17">
        <f>IFERROR(VLOOKUP(ROWS($C$39:E106), 'SelloutPlan v1Main'!$D$5:$AC$208,9, FALSE), "")</f>
        <v/>
      </c>
      <c r="F107" s="35">
        <f>IFERROR(VLOOKUP(ROWS($C$39:F106), 'SelloutPlan v1Main'!$D$5:$AC$208,7, FALSE), "")</f>
        <v/>
      </c>
      <c r="G107" s="90">
        <f>IFERROR(VLOOKUP(ROWS($C$39:G106), 'SelloutPlan v1Main'!$D$5:$AC$208,16, FALSE), "")</f>
        <v/>
      </c>
      <c r="H107" s="91">
        <f>IFERROR(VLOOKUP(ROWS($C$39:G106), 'SelloutPlan v1Main'!$D$5:$AC$208,22, FALSE), "")</f>
        <v/>
      </c>
      <c r="I107" s="36">
        <f>IFERROR(VLOOKUP(ROWS($C$39:H106), 'SelloutPlan v1Main'!$D$5:$AC$208,3, FALSE), "")</f>
        <v/>
      </c>
      <c r="J107" s="36">
        <f>IFERROR(VLOOKUP(ROWS($C$39:I106), 'SelloutPlan v1Main'!$D$5:$AC$208,10, FALSE), "")</f>
        <v/>
      </c>
      <c r="K107" s="36">
        <f>IFERROR(VLOOKUP(ROWS($C$39:J106), 'SelloutPlan v1Main'!$D$5:$AC$208,14, FALSE), "")</f>
        <v/>
      </c>
      <c r="L107" s="50">
        <f>IFERROR(VLOOKUP(ROWS($C$39:K106), 'SelloutPlan v1Main'!$D$5:$AC$208,10, FALSE), "")</f>
        <v/>
      </c>
    </row>
    <row r="108" ht="25.5" customHeight="1" s="287">
      <c r="B108" s="15" t="n">
        <v>69</v>
      </c>
      <c r="F108" s="35">
        <f>IFERROR(VLOOKUP(ROWS($C$39:F107), 'SelloutPlan v1Main'!$D$5:$AC$208,7, FALSE), "")</f>
        <v/>
      </c>
      <c r="G108" s="90">
        <f>IFERROR(VLOOKUP(ROWS($C$39:G107), 'SelloutPlan v1Main'!$D$5:$AC$208,16, FALSE), "")</f>
        <v/>
      </c>
      <c r="H108" s="91">
        <f>IFERROR(VLOOKUP(ROWS($C$39:G107), 'SelloutPlan v1Main'!$D$5:$AC$208,22, FALSE), "")</f>
        <v/>
      </c>
      <c r="K108" s="36">
        <f>IFERROR(VLOOKUP(ROWS($C$39:J107), 'SelloutPlan v1Main'!$D$5:$AC$208,14, FALSE), "")</f>
        <v/>
      </c>
      <c r="L108" s="50">
        <f>IFERROR(VLOOKUP(ROWS($C$39:K107), 'SelloutPlan v1Main'!$D$5:$AC$208,10, FALSE), "")</f>
        <v/>
      </c>
    </row>
    <row r="109" ht="25.5" customHeight="1" s="287">
      <c r="B109" s="15" t="n">
        <v>70</v>
      </c>
      <c r="F109" s="35">
        <f>IFERROR(VLOOKUP(ROWS($C$39:F108), 'SelloutPlan v1Main'!$D$5:$AC$208,7, FALSE), "")</f>
        <v/>
      </c>
      <c r="G109" s="90">
        <f>IFERROR(VLOOKUP(ROWS($C$39:G108), 'SelloutPlan v1Main'!$D$5:$AC$208,16, FALSE), "")</f>
        <v/>
      </c>
      <c r="H109" s="91">
        <f>IFERROR(VLOOKUP(ROWS($C$39:G108), 'SelloutPlan v1Main'!$D$5:$AC$208,22, FALSE), "")</f>
        <v/>
      </c>
      <c r="K109" s="36">
        <f>IFERROR(VLOOKUP(ROWS($C$39:J108), 'SelloutPlan v1Main'!$D$5:$AC$208,14, FALSE), "")</f>
        <v/>
      </c>
      <c r="L109" s="50">
        <f>IFERROR(VLOOKUP(ROWS($C$39:K108), 'SelloutPlan v1Main'!$D$5:$AC$208,10, FALSE), "")</f>
        <v/>
      </c>
    </row>
    <row r="110" ht="25.5" customHeight="1" s="287">
      <c r="B110" s="15" t="n">
        <v>71</v>
      </c>
      <c r="F110" s="35">
        <f>IFERROR(VLOOKUP(ROWS($C$39:F109), 'SelloutPlan v1Main'!$D$5:$AC$208,7, FALSE), "")</f>
        <v/>
      </c>
      <c r="G110" s="90">
        <f>IFERROR(VLOOKUP(ROWS($C$39:G109), 'SelloutPlan v1Main'!$D$5:$AC$208,16, FALSE), "")</f>
        <v/>
      </c>
      <c r="H110" s="91">
        <f>IFERROR(VLOOKUP(ROWS($C$39:G109), 'SelloutPlan v1Main'!$D$5:$AC$208,22, FALSE), "")</f>
        <v/>
      </c>
      <c r="K110" s="36">
        <f>IFERROR(VLOOKUP(ROWS($C$39:J109), 'SelloutPlan v1Main'!$D$5:$AC$208,14, FALSE), "")</f>
        <v/>
      </c>
      <c r="L110" s="50">
        <f>IFERROR(VLOOKUP(ROWS($C$39:K109), 'SelloutPlan v1Main'!$D$5:$AC$208,10, FALSE), "")</f>
        <v/>
      </c>
    </row>
    <row r="111" ht="25.5" customHeight="1" s="287">
      <c r="B111" s="15" t="n">
        <v>72</v>
      </c>
      <c r="F111" s="35">
        <f>IFERROR(VLOOKUP(ROWS($C$39:F110), 'SelloutPlan v1Main'!$D$5:$AC$208,7, FALSE), "")</f>
        <v/>
      </c>
      <c r="G111" s="90">
        <f>IFERROR(VLOOKUP(ROWS($C$39:G110), 'SelloutPlan v1Main'!$D$5:$AC$208,16, FALSE), "")</f>
        <v/>
      </c>
      <c r="H111" s="91">
        <f>IFERROR(VLOOKUP(ROWS($C$39:G110), 'SelloutPlan v1Main'!$D$5:$AC$208,22, FALSE), "")</f>
        <v/>
      </c>
      <c r="K111" s="36">
        <f>IFERROR(VLOOKUP(ROWS($C$39:J110), 'SelloutPlan v1Main'!$D$5:$AC$208,14, FALSE), "")</f>
        <v/>
      </c>
      <c r="L111" s="50">
        <f>IFERROR(VLOOKUP(ROWS($C$39:K110), 'SelloutPlan v1Main'!$D$5:$AC$208,10, FALSE), "")</f>
        <v/>
      </c>
    </row>
    <row r="112" ht="25.5" customHeight="1" s="287">
      <c r="B112" s="15" t="n">
        <v>73</v>
      </c>
      <c r="F112" s="35">
        <f>IFERROR(VLOOKUP(ROWS($C$39:F111), 'SelloutPlan v1Main'!$D$5:$AC$208,7, FALSE), "")</f>
        <v/>
      </c>
      <c r="G112" s="90">
        <f>IFERROR(VLOOKUP(ROWS($C$39:G111), 'SelloutPlan v1Main'!$D$5:$AC$208,16, FALSE), "")</f>
        <v/>
      </c>
      <c r="H112" s="91">
        <f>IFERROR(VLOOKUP(ROWS($C$39:G111), 'SelloutPlan v1Main'!$D$5:$AC$208,22, FALSE), "")</f>
        <v/>
      </c>
      <c r="K112" s="36">
        <f>IFERROR(VLOOKUP(ROWS($C$39:J111), 'SelloutPlan v1Main'!$D$5:$AC$208,14, FALSE), "")</f>
        <v/>
      </c>
      <c r="L112" s="50">
        <f>IFERROR(VLOOKUP(ROWS($C$39:K111), 'SelloutPlan v1Main'!$D$5:$AC$208,10, FALSE), "")</f>
        <v/>
      </c>
    </row>
    <row r="113" ht="25.5" customHeight="1" s="287">
      <c r="B113" s="15" t="n">
        <v>74</v>
      </c>
      <c r="F113" s="35">
        <f>IFERROR(VLOOKUP(ROWS($C$39:F112), 'SelloutPlan v1Main'!$D$5:$AC$208,7, FALSE), "")</f>
        <v/>
      </c>
      <c r="G113" s="90">
        <f>IFERROR(VLOOKUP(ROWS($C$39:G112), 'SelloutPlan v1Main'!$D$5:$AC$208,16, FALSE), "")</f>
        <v/>
      </c>
      <c r="H113" s="91">
        <f>IFERROR(VLOOKUP(ROWS($C$39:G112), 'SelloutPlan v1Main'!$D$5:$AC$208,22, FALSE), "")</f>
        <v/>
      </c>
      <c r="K113" s="36">
        <f>IFERROR(VLOOKUP(ROWS($C$39:J112), 'SelloutPlan v1Main'!$D$5:$AC$208,14, FALSE), "")</f>
        <v/>
      </c>
      <c r="L113" s="50">
        <f>IFERROR(VLOOKUP(ROWS($C$39:K112), 'SelloutPlan v1Main'!$D$5:$AC$208,10, FALSE), "")</f>
        <v/>
      </c>
    </row>
    <row r="114" ht="25.5" customHeight="1" s="287">
      <c r="B114" s="15" t="n">
        <v>75</v>
      </c>
      <c r="F114" s="35">
        <f>IFERROR(VLOOKUP(ROWS($C$39:F113), 'SelloutPlan v1Main'!$D$5:$AC$208,7, FALSE), "")</f>
        <v/>
      </c>
      <c r="G114" s="90">
        <f>IFERROR(VLOOKUP(ROWS($C$39:G113), 'SelloutPlan v1Main'!$D$5:$AC$208,16, FALSE), "")</f>
        <v/>
      </c>
      <c r="H114" s="91">
        <f>IFERROR(VLOOKUP(ROWS($C$39:G113), 'SelloutPlan v1Main'!$D$5:$AC$208,22, FALSE), "")</f>
        <v/>
      </c>
      <c r="K114" s="36">
        <f>IFERROR(VLOOKUP(ROWS($C$39:J113), 'SelloutPlan v1Main'!$D$5:$AC$208,14, FALSE), "")</f>
        <v/>
      </c>
      <c r="L114" s="50">
        <f>IFERROR(VLOOKUP(ROWS($C$39:K113), 'SelloutPlan v1Main'!$D$5:$AC$208,10, FALSE), "")</f>
        <v/>
      </c>
    </row>
    <row r="115" ht="25.5" customHeight="1" s="287">
      <c r="B115" s="15" t="n">
        <v>76</v>
      </c>
      <c r="F115" s="35">
        <f>IFERROR(VLOOKUP(ROWS($C$39:F114), 'SelloutPlan v1Main'!$D$5:$AC$208,7, FALSE), "")</f>
        <v/>
      </c>
      <c r="G115" s="90">
        <f>IFERROR(VLOOKUP(ROWS($C$39:G114), 'SelloutPlan v1Main'!$D$5:$AC$208,16, FALSE), "")</f>
        <v/>
      </c>
      <c r="H115" s="91">
        <f>IFERROR(VLOOKUP(ROWS($C$39:G114), 'SelloutPlan v1Main'!$D$5:$AC$208,22, FALSE), "")</f>
        <v/>
      </c>
      <c r="K115" s="36">
        <f>IFERROR(VLOOKUP(ROWS($C$39:J114), 'SelloutPlan v1Main'!$D$5:$AC$208,14, FALSE), "")</f>
        <v/>
      </c>
      <c r="L115" s="50">
        <f>IFERROR(VLOOKUP(ROWS($C$39:K114), 'SelloutPlan v1Main'!$D$5:$AC$208,10, FALSE), "")</f>
        <v/>
      </c>
    </row>
    <row r="116" ht="25.5" customHeight="1" s="287">
      <c r="B116" s="15" t="n">
        <v>77</v>
      </c>
      <c r="G116" s="90">
        <f>IFERROR(VLOOKUP(ROWS($C$39:G115), 'SelloutPlan v1Main'!$D$5:$AC$208,16, FALSE), "")</f>
        <v/>
      </c>
      <c r="H116" s="91">
        <f>IFERROR(VLOOKUP(ROWS($C$39:G115), 'SelloutPlan v1Main'!$D$5:$AC$208,22, FALSE), "")</f>
        <v/>
      </c>
      <c r="K116" s="36">
        <f>IFERROR(VLOOKUP(ROWS($C$39:J115), 'SelloutPlan v1Main'!$D$5:$AC$208,14, FALSE), "")</f>
        <v/>
      </c>
      <c r="L116" s="50">
        <f>IFERROR(VLOOKUP(ROWS($C$39:K115), 'SelloutPlan v1Main'!$D$5:$AC$208,10, FALSE), "")</f>
        <v/>
      </c>
    </row>
    <row r="117" ht="25.5" customHeight="1" s="287">
      <c r="B117" s="15" t="n">
        <v>78</v>
      </c>
      <c r="G117" s="90">
        <f>IFERROR(VLOOKUP(ROWS($C$39:G116), 'SelloutPlan v1Main'!$D$5:$AC$208,16, FALSE), "")</f>
        <v/>
      </c>
      <c r="H117" s="91">
        <f>IFERROR(VLOOKUP(ROWS($C$39:G116), 'SelloutPlan v1Main'!$D$5:$AC$208,22, FALSE), "")</f>
        <v/>
      </c>
      <c r="K117" s="36">
        <f>IFERROR(VLOOKUP(ROWS($C$39:J116), 'SelloutPlan v1Main'!$D$5:$AC$208,14, FALSE), "")</f>
        <v/>
      </c>
      <c r="L117" s="50">
        <f>IFERROR(VLOOKUP(ROWS($C$39:K116), 'SelloutPlan v1Main'!$D$5:$AC$208,10, FALSE), "")</f>
        <v/>
      </c>
    </row>
    <row r="118" ht="25.5" customHeight="1" s="287">
      <c r="B118" s="15" t="n">
        <v>79</v>
      </c>
      <c r="G118" s="90">
        <f>IFERROR(VLOOKUP(ROWS($C$39:G117), 'SelloutPlan v1Main'!$D$5:$AC$208,16, FALSE), "")</f>
        <v/>
      </c>
      <c r="H118" s="91">
        <f>IFERROR(VLOOKUP(ROWS($C$39:G117), 'SelloutPlan v1Main'!$D$5:$AC$208,22, FALSE), "")</f>
        <v/>
      </c>
      <c r="K118" s="36">
        <f>IFERROR(VLOOKUP(ROWS($C$39:J117), 'SelloutPlan v1Main'!$D$5:$AC$208,14, FALSE), "")</f>
        <v/>
      </c>
      <c r="L118" s="50">
        <f>IFERROR(VLOOKUP(ROWS($C$39:K117), 'SelloutPlan v1Main'!$D$5:$AC$208,10, FALSE), "")</f>
        <v/>
      </c>
    </row>
    <row r="119" ht="25.5" customHeight="1" s="287">
      <c r="B119" s="15" t="n">
        <v>80</v>
      </c>
      <c r="G119" s="90">
        <f>IFERROR(VLOOKUP(ROWS($C$39:G118), 'SelloutPlan v1Main'!$D$5:$AC$208,16, FALSE), "")</f>
        <v/>
      </c>
      <c r="H119" s="91">
        <f>IFERROR(VLOOKUP(ROWS($C$39:G118), 'SelloutPlan v1Main'!$D$5:$AC$208,22, FALSE), "")</f>
        <v/>
      </c>
      <c r="K119" s="36">
        <f>IFERROR(VLOOKUP(ROWS($C$39:J118), 'SelloutPlan v1Main'!$D$5:$AC$208,14, FALSE), "")</f>
        <v/>
      </c>
      <c r="L119" s="50">
        <f>IFERROR(VLOOKUP(ROWS($C$39:K118), 'SelloutPlan v1Main'!$D$5:$AC$208,10, FALSE), "")</f>
        <v/>
      </c>
    </row>
    <row r="120" ht="25.5" customHeight="1" s="287">
      <c r="B120" s="15" t="n">
        <v>81</v>
      </c>
      <c r="G120" s="90">
        <f>IFERROR(VLOOKUP(ROWS($C$39:G119), 'SelloutPlan v1Main'!$D$5:$AC$208,16, FALSE), "")</f>
        <v/>
      </c>
      <c r="H120" s="91">
        <f>IFERROR(VLOOKUP(ROWS($C$39:G119), 'SelloutPlan v1Main'!$D$5:$AC$208,22, FALSE), "")</f>
        <v/>
      </c>
      <c r="K120" s="36">
        <f>IFERROR(VLOOKUP(ROWS($C$39:J119), 'SelloutPlan v1Main'!$D$5:$AC$208,14, FALSE), "")</f>
        <v/>
      </c>
      <c r="L120" s="50">
        <f>IFERROR(VLOOKUP(ROWS($C$39:K119), 'SelloutPlan v1Main'!$D$5:$AC$208,10, FALSE), "")</f>
        <v/>
      </c>
    </row>
    <row r="121" ht="25.5" customHeight="1" s="287">
      <c r="G121" s="90">
        <f>IFERROR(VLOOKUP(ROWS($C$39:G120), 'SelloutPlan v1Main'!$D$5:$AC$208,16, FALSE), "")</f>
        <v/>
      </c>
      <c r="H121" s="91">
        <f>IFERROR(VLOOKUP(ROWS($C$39:G120), 'SelloutPlan v1Main'!$D$5:$AC$208,22, FALSE), "")</f>
        <v/>
      </c>
      <c r="K121" s="36">
        <f>IFERROR(VLOOKUP(ROWS($C$39:J120), 'SelloutPlan v1Main'!$D$5:$AC$208,14, FALSE), "")</f>
        <v/>
      </c>
      <c r="L121" s="50">
        <f>IFERROR(VLOOKUP(ROWS($C$39:K120), 'SelloutPlan v1Main'!$D$5:$AC$208,10, FALSE), "")</f>
        <v/>
      </c>
    </row>
    <row r="122" ht="25.5" customHeight="1" s="287">
      <c r="G122" s="90">
        <f>IFERROR(VLOOKUP(ROWS($C$39:G121), 'SelloutPlan v1Main'!$D$5:$AC$208,16, FALSE), "")</f>
        <v/>
      </c>
      <c r="H122" s="91">
        <f>IFERROR(VLOOKUP(ROWS($C$39:G121), 'SelloutPlan v1Main'!$D$5:$AC$208,22, FALSE), "")</f>
        <v/>
      </c>
      <c r="K122" s="36">
        <f>IFERROR(VLOOKUP(ROWS($C$39:J121), 'SelloutPlan v1Main'!$D$5:$AC$208,14, FALSE), "")</f>
        <v/>
      </c>
      <c r="L122" s="50">
        <f>IFERROR(VLOOKUP(ROWS($C$39:K121), 'SelloutPlan v1Main'!$D$5:$AC$208,10, FALSE), "")</f>
        <v/>
      </c>
    </row>
    <row r="123" ht="25.5" customHeight="1" s="287">
      <c r="G123" s="90">
        <f>IFERROR(VLOOKUP(ROWS($C$39:G122), 'SelloutPlan v1Main'!$D$5:$AC$208,16, FALSE), "")</f>
        <v/>
      </c>
      <c r="H123" s="91">
        <f>IFERROR(VLOOKUP(ROWS($C$39:G122), 'SelloutPlan v1Main'!$D$5:$AC$208,22, FALSE), "")</f>
        <v/>
      </c>
      <c r="K123" s="36">
        <f>IFERROR(VLOOKUP(ROWS($C$39:J122), 'SelloutPlan v1Main'!$D$5:$AC$208,14, FALSE), "")</f>
        <v/>
      </c>
      <c r="L123" s="50">
        <f>IFERROR(VLOOKUP(ROWS($C$39:K122), 'SelloutPlan v1Main'!$D$5:$AC$208,10, FALSE), "")</f>
        <v/>
      </c>
    </row>
    <row r="124" ht="25.5" customHeight="1" s="287">
      <c r="G124" s="90">
        <f>IFERROR(VLOOKUP(ROWS($C$39:G123), 'SelloutPlan v1Main'!$D$5:$AC$208,16, FALSE), "")</f>
        <v/>
      </c>
      <c r="H124" s="91">
        <f>IFERROR(VLOOKUP(ROWS($C$39:G123), 'SelloutPlan v1Main'!$D$5:$AC$208,22, FALSE), "")</f>
        <v/>
      </c>
      <c r="K124" s="36">
        <f>IFERROR(VLOOKUP(ROWS($C$39:J123), 'SelloutPlan v1Main'!$D$5:$AC$208,14, FALSE), "")</f>
        <v/>
      </c>
      <c r="L124" s="50">
        <f>IFERROR(VLOOKUP(ROWS($C$39:K123), 'SelloutPlan v1Main'!$D$5:$AC$208,10, FALSE), "")</f>
        <v/>
      </c>
    </row>
    <row r="125" ht="25.5" customHeight="1" s="287">
      <c r="G125" s="90">
        <f>IFERROR(VLOOKUP(ROWS($C$39:G124), 'SelloutPlan v1Main'!$D$5:$AC$208,16, FALSE), "")</f>
        <v/>
      </c>
      <c r="H125" s="91">
        <f>IFERROR(VLOOKUP(ROWS($C$39:G124), 'SelloutPlan v1Main'!$D$5:$AC$208,22, FALSE), "")</f>
        <v/>
      </c>
      <c r="K125" s="36">
        <f>IFERROR(VLOOKUP(ROWS($C$39:J124), 'SelloutPlan v1Main'!$D$5:$AC$208,14, FALSE), "")</f>
        <v/>
      </c>
    </row>
    <row r="126" ht="25.5" customHeight="1" s="287">
      <c r="G126" s="90">
        <f>IFERROR(VLOOKUP(ROWS($C$39:G125), 'SelloutPlan v1Main'!$D$5:$AC$208,16, FALSE), "")</f>
        <v/>
      </c>
      <c r="H126" s="91">
        <f>IFERROR(VLOOKUP(ROWS($C$39:G125), 'SelloutPlan v1Main'!$D$5:$AC$208,22, FALSE), "")</f>
        <v/>
      </c>
      <c r="K126" s="36">
        <f>IFERROR(VLOOKUP(ROWS($C$39:J125), 'SelloutPlan v1Main'!$D$5:$AC$208,14, FALSE), "")</f>
        <v/>
      </c>
    </row>
    <row r="127" ht="25.5" customHeight="1" s="287">
      <c r="G127" s="90">
        <f>IFERROR(VLOOKUP(ROWS($C$39:G126), 'SelloutPlan v1Main'!$D$5:$AC$208,16, FALSE), "")</f>
        <v/>
      </c>
      <c r="H127" s="91">
        <f>IFERROR(VLOOKUP(ROWS($C$39:G126), 'SelloutPlan v1Main'!$D$5:$AC$208,22, FALSE), "")</f>
        <v/>
      </c>
      <c r="K127" s="36">
        <f>IFERROR(VLOOKUP(ROWS($C$39:J126), 'SelloutPlan v1Main'!$D$5:$AC$208,14, FALSE), "")</f>
        <v/>
      </c>
    </row>
    <row r="128" ht="25.5" customHeight="1" s="287">
      <c r="G128" s="90">
        <f>IFERROR(VLOOKUP(ROWS($C$39:G127), 'SelloutPlan v1Main'!$D$5:$AC$208,16, FALSE), "")</f>
        <v/>
      </c>
      <c r="H128" s="91">
        <f>IFERROR(VLOOKUP(ROWS($C$39:G127), 'SelloutPlan v1Main'!$D$5:$AC$208,22, FALSE), "")</f>
        <v/>
      </c>
      <c r="K128" s="36">
        <f>IFERROR(VLOOKUP(ROWS($C$39:J127), 'SelloutPlan v1Main'!$D$5:$AC$208,14, FALSE), "")</f>
        <v/>
      </c>
    </row>
    <row r="129" ht="25.5" customHeight="1" s="287">
      <c r="G129" s="90">
        <f>IFERROR(VLOOKUP(ROWS($C$39:G128), 'SelloutPlan v1Main'!$D$5:$AC$208,16, FALSE), "")</f>
        <v/>
      </c>
      <c r="H129" s="91">
        <f>IFERROR(VLOOKUP(ROWS($C$39:G128), 'SelloutPlan v1Main'!$D$5:$AC$208,22, FALSE), "")</f>
        <v/>
      </c>
      <c r="K129" s="36">
        <f>IFERROR(VLOOKUP(ROWS($C$39:J128), 'SelloutPlan v1Main'!$D$5:$AC$208,14, FALSE), "")</f>
        <v/>
      </c>
    </row>
    <row r="130" ht="25.5" customHeight="1" s="287">
      <c r="G130" s="90">
        <f>IFERROR(VLOOKUP(ROWS($C$39:G129), 'SelloutPlan v1Main'!$D$5:$AC$208,16, FALSE), "")</f>
        <v/>
      </c>
      <c r="H130" s="91">
        <f>IFERROR(VLOOKUP(ROWS($C$39:G129), 'SelloutPlan v1Main'!$D$5:$AC$208,22, FALSE), "")</f>
        <v/>
      </c>
      <c r="K130" s="36">
        <f>IFERROR(VLOOKUP(ROWS($C$39:J129), 'SelloutPlan v1Main'!$D$5:$AC$208,14, FALSE), "")</f>
        <v/>
      </c>
    </row>
    <row r="131" ht="25.5" customHeight="1" s="287">
      <c r="G131" s="90">
        <f>IFERROR(VLOOKUP(ROWS($C$39:G130), 'SelloutPlan v1Main'!$D$5:$AC$208,16, FALSE), "")</f>
        <v/>
      </c>
      <c r="H131" s="91">
        <f>IFERROR(VLOOKUP(ROWS($C$39:G130), 'SelloutPlan v1Main'!$D$5:$AC$208,22, FALSE), "")</f>
        <v/>
      </c>
      <c r="K131" s="36">
        <f>IFERROR(VLOOKUP(ROWS($C$39:J130), 'SelloutPlan v1Main'!$D$5:$AC$208,14, FALSE), "")</f>
        <v/>
      </c>
    </row>
    <row r="132" ht="25.5" customHeight="1" s="287">
      <c r="G132" s="90">
        <f>IFERROR(VLOOKUP(ROWS($C$39:G131), 'SelloutPlan v1Main'!$D$5:$AC$208,16, FALSE), "")</f>
        <v/>
      </c>
      <c r="K132" s="36">
        <f>IFERROR(VLOOKUP(ROWS($C$39:J131), 'SelloutPlan v1Main'!$D$5:$AC$208,14, FALSE), "")</f>
        <v/>
      </c>
    </row>
    <row r="133" ht="25.5" customHeight="1" s="287">
      <c r="G133" s="90">
        <f>IFERROR(VLOOKUP(ROWS($C$39:G132), 'SelloutPlan v1Main'!$D$5:$AC$208,16, FALSE), "")</f>
        <v/>
      </c>
      <c r="K133" s="36">
        <f>IFERROR(VLOOKUP(ROWS($C$39:J132), 'SelloutPlan v1Main'!$D$5:$AC$208,14, FALSE), "")</f>
        <v/>
      </c>
    </row>
  </sheetData>
  <mergeCells count="2">
    <mergeCell ref="B38:L38"/>
    <mergeCell ref="O38:W38"/>
  </mergeCells>
  <pageMargins left="0.7" right="0.7" top="0.75" bottom="0.75" header="0.3" footer="0.3"/>
  <pageSetup orientation="portrait"/>
  <tableParts count="2">
    <tablePart xmlns:r="http://schemas.openxmlformats.org/officeDocument/2006/relationships" r:id="rId1"/>
    <tablePart xmlns:r="http://schemas.openxmlformats.org/officeDocument/2006/relationships" r:id="rId2"/>
  </tableParts>
</worksheet>
</file>

<file path=xl/worksheets/sheet5.xml><?xml version="1.0" encoding="utf-8"?>
<worksheet xmlns="http://schemas.openxmlformats.org/spreadsheetml/2006/main">
  <sheetPr codeName="Sheet2">
    <outlinePr summaryBelow="1" summaryRight="1"/>
    <pageSetUpPr/>
  </sheetPr>
  <dimension ref="A1:R479"/>
  <sheetViews>
    <sheetView workbookViewId="0">
      <selection activeCell="R3" sqref="R3"/>
    </sheetView>
  </sheetViews>
  <sheetFormatPr baseColWidth="8" defaultRowHeight="14.4"/>
  <cols>
    <col width="10.44140625" bestFit="1" customWidth="1" style="287" min="1" max="1"/>
    <col hidden="1" width="23" customWidth="1" style="287" min="2" max="2"/>
    <col width="17.5546875" bestFit="1" customWidth="1" style="287" min="3" max="3"/>
    <col width="18.109375" bestFit="1" customWidth="1" style="287" min="4" max="4"/>
    <col width="18.109375" customWidth="1" style="287" min="5" max="5"/>
    <col width="12.6640625" bestFit="1" customWidth="1" style="287" min="6" max="6"/>
    <col hidden="1" width="12.6640625" customWidth="1" style="287" min="7" max="7"/>
    <col width="23.33203125" bestFit="1" customWidth="1" style="287" min="8" max="8"/>
    <col width="12.33203125" bestFit="1" customWidth="1" style="287" min="9" max="9"/>
    <col width="19.5546875" bestFit="1" customWidth="1" style="287" min="10" max="10"/>
    <col width="19.88671875" bestFit="1" customWidth="1" style="287" min="11" max="11"/>
    <col width="22.33203125" customWidth="1" style="287" min="12" max="12"/>
    <col width="11.44140625" bestFit="1" customWidth="1" style="287" min="13" max="13"/>
    <col width="36.5546875" bestFit="1" customWidth="1" style="287" min="18" max="18"/>
  </cols>
  <sheetData>
    <row r="1" ht="15.6" customHeight="1" s="287">
      <c r="A1" s="43" t="inlineStr">
        <is>
          <t>STATUS</t>
        </is>
      </c>
      <c r="B1" s="43" t="inlineStr">
        <is>
          <t>CLIENT FEEDBACK</t>
        </is>
      </c>
      <c r="C1" s="43" t="inlineStr">
        <is>
          <t>REQUEST DATE</t>
        </is>
      </c>
      <c r="D1" s="43" t="inlineStr">
        <is>
          <t>REFERENCE</t>
        </is>
      </c>
      <c r="E1" s="43" t="inlineStr">
        <is>
          <t>Collection Name</t>
        </is>
      </c>
      <c r="F1" s="43" t="inlineStr">
        <is>
          <t>Price</t>
        </is>
      </c>
      <c r="G1" s="43" t="inlineStr">
        <is>
          <t xml:space="preserve">Price 2 </t>
        </is>
      </c>
      <c r="H1" s="43" t="inlineStr">
        <is>
          <t>BOUTIQUE</t>
        </is>
      </c>
      <c r="I1" s="43" t="inlineStr">
        <is>
          <t>CLIENT ID</t>
        </is>
      </c>
      <c r="J1" s="43" t="inlineStr">
        <is>
          <t>CLIENT SEGMENT</t>
        </is>
      </c>
      <c r="K1" s="43" t="inlineStr">
        <is>
          <t>SALES ASSOCIATE</t>
        </is>
      </c>
      <c r="L1" s="42" t="inlineStr">
        <is>
          <t>COMMENTS</t>
        </is>
      </c>
      <c r="M1" s="42" t="inlineStr">
        <is>
          <t>Avalible?</t>
        </is>
      </c>
    </row>
    <row r="2" ht="31.2" customHeight="1" s="287">
      <c r="A2" s="45" t="inlineStr">
        <is>
          <t>Request</t>
        </is>
      </c>
      <c r="B2" s="45" t="inlineStr">
        <is>
          <t xml:space="preserve"> </t>
        </is>
      </c>
      <c r="C2" s="45" t="inlineStr">
        <is>
          <t>19/4/2025</t>
        </is>
      </c>
      <c r="D2" s="45" t="inlineStr">
        <is>
          <t>7920V/210A-B546</t>
        </is>
      </c>
      <c r="E2" s="45">
        <f>IFERROR(VLOOKUP(TRIM(D2), Collection!$B$2:$D$1001, 2, FALSE), "")</f>
        <v/>
      </c>
      <c r="F2" s="48">
        <f>IFERROR(VLOOKUP(TRIM(D2), Collection!$B$2:$D$1001, 3, FALSE), "")</f>
        <v/>
      </c>
      <c r="G2" s="48">
        <f>IFERROR(VALUE(SUBSTITUTE(SUBSTITUTE(F2, "Price", ""), "AED", "")), "")</f>
        <v/>
      </c>
      <c r="H2" s="45" t="inlineStr">
        <is>
          <t>Phone sales Middle East</t>
        </is>
      </c>
      <c r="I2" s="45" t="n">
        <v>101893659</v>
      </c>
      <c r="J2" s="45" t="inlineStr">
        <is>
          <t>Prospect</t>
        </is>
      </c>
      <c r="K2" s="45" t="inlineStr">
        <is>
          <t>TAHHAN Riham</t>
        </is>
      </c>
      <c r="L2" s="45" t="inlineStr">
        <is>
          <t xml:space="preserve"> </t>
        </is>
      </c>
      <c r="M2" s="45">
        <f>IF(COUNTIF($R$3:$R$100, D2) &gt; 0, TRUE, FALSE)</f>
        <v/>
      </c>
      <c r="R2" s="44" t="inlineStr">
        <is>
          <t>Availability – Paste only as a value below for any watch that is in stock.</t>
        </is>
      </c>
    </row>
    <row r="3" ht="46.95" customHeight="1" s="287">
      <c r="A3" s="45" t="inlineStr">
        <is>
          <t>Request</t>
        </is>
      </c>
      <c r="B3" s="45" t="inlineStr">
        <is>
          <t xml:space="preserve"> </t>
        </is>
      </c>
      <c r="C3" s="45" t="inlineStr">
        <is>
          <t>19/4/2025</t>
        </is>
      </c>
      <c r="D3" s="45" t="inlineStr">
        <is>
          <t>4000V/210A-B911</t>
        </is>
      </c>
      <c r="E3" s="45">
        <f>IFERROR(VLOOKUP(TRIM(D3), Collection!$B$2:$D$1001, 2, FALSE), "")</f>
        <v/>
      </c>
      <c r="F3" s="48">
        <f>IFERROR(VLOOKUP(TRIM(D3), Collection!$B$2:$D$1001, 3, FALSE), "")</f>
        <v/>
      </c>
      <c r="G3" s="48">
        <f>IFERROR(VALUE(SUBSTITUTE(SUBSTITUTE(F3, "Price", ""), "AED", "")), "")</f>
        <v/>
      </c>
      <c r="H3" s="45" t="inlineStr">
        <is>
          <t>Phone sales Middle East</t>
        </is>
      </c>
      <c r="I3" s="45" t="n">
        <v>105306744</v>
      </c>
      <c r="J3" s="45" t="inlineStr">
        <is>
          <t>Prospect</t>
        </is>
      </c>
      <c r="K3" s="45" t="inlineStr">
        <is>
          <t>SHARIF Maaz</t>
        </is>
      </c>
      <c r="L3" s="45" t="inlineStr">
        <is>
          <t>UAE - Collector AP, RM</t>
        </is>
      </c>
      <c r="M3" s="45">
        <f>IF(COUNTIF($R$3:$R$100, D3) &gt; 0, TRUE, FALSE)</f>
        <v/>
      </c>
      <c r="R3" t="inlineStr">
        <is>
          <t>4017C/000G-130C</t>
        </is>
      </c>
    </row>
    <row r="4" ht="31.2" customHeight="1" s="287">
      <c r="A4" s="45" t="inlineStr">
        <is>
          <t>Request</t>
        </is>
      </c>
      <c r="B4" s="45" t="inlineStr">
        <is>
          <t xml:space="preserve"> </t>
        </is>
      </c>
      <c r="C4" s="45" t="inlineStr">
        <is>
          <t>19/4/2025</t>
        </is>
      </c>
      <c r="D4" s="45" t="inlineStr">
        <is>
          <t>4520V/210A-B128</t>
        </is>
      </c>
      <c r="E4" s="45">
        <f>IFERROR(VLOOKUP(TRIM(D4), Collection!$B$2:$D$1001, 2, FALSE), "")</f>
        <v/>
      </c>
      <c r="F4" s="48">
        <f>IFERROR(VLOOKUP(TRIM(D4), Collection!$B$2:$D$1001, 3, FALSE), "")</f>
        <v/>
      </c>
      <c r="G4" s="48">
        <f>IFERROR(VALUE(SUBSTITUTE(SUBSTITUTE(F4, "Price", ""), "AED", "")), "")</f>
        <v/>
      </c>
      <c r="H4" s="45" t="inlineStr">
        <is>
          <t>Phone sales Middle East</t>
        </is>
      </c>
      <c r="I4" s="45" t="n">
        <v>105306744</v>
      </c>
      <c r="J4" s="45" t="inlineStr">
        <is>
          <t>Prospect</t>
        </is>
      </c>
      <c r="K4" s="45" t="inlineStr">
        <is>
          <t>SHARIF Maaz</t>
        </is>
      </c>
      <c r="L4" s="45" t="inlineStr">
        <is>
          <t xml:space="preserve"> </t>
        </is>
      </c>
      <c r="M4" s="45">
        <f>IF(COUNTIF($R$3:$R$100, D4) &gt; 0, TRUE, FALSE)</f>
        <v/>
      </c>
      <c r="R4" t="inlineStr">
        <is>
          <t>4200H/222J-B935</t>
        </is>
      </c>
    </row>
    <row r="5" ht="31.2" customHeight="1" s="287">
      <c r="A5" s="45" t="inlineStr">
        <is>
          <t>Request</t>
        </is>
      </c>
      <c r="B5" s="45" t="inlineStr">
        <is>
          <t xml:space="preserve"> </t>
        </is>
      </c>
      <c r="C5" s="45" t="inlineStr">
        <is>
          <t>19/4/2025</t>
        </is>
      </c>
      <c r="D5" s="45" t="inlineStr">
        <is>
          <t>4200H/222A-B934</t>
        </is>
      </c>
      <c r="E5" s="45">
        <f>IFERROR(VLOOKUP(TRIM(D5), Collection!$B$2:$D$1001, 2, FALSE), "")</f>
        <v/>
      </c>
      <c r="F5" s="48">
        <f>IFERROR(VLOOKUP(TRIM(D5), Collection!$B$2:$D$1001, 3, FALSE), "")</f>
        <v/>
      </c>
      <c r="G5" s="48">
        <f>IFERROR(VALUE(SUBSTITUTE(SUBSTITUTE(F5, "Price", ""), "AED", "")), "")</f>
        <v/>
      </c>
      <c r="H5" s="45" t="inlineStr">
        <is>
          <t>Phone sales Middle East</t>
        </is>
      </c>
      <c r="I5" s="45" t="n">
        <v>105306744</v>
      </c>
      <c r="J5" s="45" t="inlineStr">
        <is>
          <t>Prospect</t>
        </is>
      </c>
      <c r="K5" s="45" t="inlineStr">
        <is>
          <t>SHARIF Maaz</t>
        </is>
      </c>
      <c r="L5" s="45" t="inlineStr">
        <is>
          <t xml:space="preserve"> </t>
        </is>
      </c>
      <c r="M5" s="45">
        <f>IF(COUNTIF($R$3:$R$100, D5) &gt; 0, TRUE, FALSE)</f>
        <v/>
      </c>
      <c r="R5" t="inlineStr">
        <is>
          <t>4600E/000A-B442</t>
        </is>
      </c>
    </row>
    <row r="6" ht="31.2" customHeight="1" s="287">
      <c r="A6" s="45" t="inlineStr">
        <is>
          <t>Request</t>
        </is>
      </c>
      <c r="B6" s="45" t="inlineStr">
        <is>
          <t xml:space="preserve"> </t>
        </is>
      </c>
      <c r="C6" s="45" t="inlineStr">
        <is>
          <t>18/4/2025</t>
        </is>
      </c>
      <c r="D6" s="45" t="inlineStr">
        <is>
          <t>5520V/210A-B148</t>
        </is>
      </c>
      <c r="E6" s="45">
        <f>IFERROR(VLOOKUP(TRIM(D6), Collection!$B$2:$D$1001, 2, FALSE), "")</f>
        <v/>
      </c>
      <c r="F6" s="48">
        <f>IFERROR(VLOOKUP(TRIM(D6), Collection!$B$2:$D$1001, 3, FALSE), "")</f>
        <v/>
      </c>
      <c r="G6" s="48">
        <f>IFERROR(VALUE(SUBSTITUTE(SUBSTITUTE(F6, "Price", ""), "AED", "")), "")</f>
        <v/>
      </c>
      <c r="H6" s="45" t="inlineStr">
        <is>
          <t>Phone sales Middle East</t>
        </is>
      </c>
      <c r="I6" s="45" t="n">
        <v>105225518</v>
      </c>
      <c r="J6" s="45" t="inlineStr">
        <is>
          <t>Prospect</t>
        </is>
      </c>
      <c r="K6" s="45" t="inlineStr">
        <is>
          <t>TAHHAN Riham</t>
        </is>
      </c>
      <c r="L6" s="45" t="inlineStr">
        <is>
          <t xml:space="preserve"> </t>
        </is>
      </c>
      <c r="M6" s="45">
        <f>IF(COUNTIF($R$3:$R$100, D6) &gt; 0, TRUE, FALSE)</f>
        <v/>
      </c>
      <c r="R6" t="inlineStr">
        <is>
          <t xml:space="preserve">5520V/210A-B148 </t>
        </is>
      </c>
    </row>
    <row r="7" ht="31.2" customHeight="1" s="287">
      <c r="A7" s="45" t="inlineStr">
        <is>
          <t>Request</t>
        </is>
      </c>
      <c r="B7" s="45" t="inlineStr">
        <is>
          <t xml:space="preserve"> </t>
        </is>
      </c>
      <c r="C7" s="45" t="inlineStr">
        <is>
          <t>18/4/2025</t>
        </is>
      </c>
      <c r="D7" s="45" t="inlineStr">
        <is>
          <t>4520V/210A-B128</t>
        </is>
      </c>
      <c r="E7" s="45">
        <f>IFERROR(VLOOKUP(TRIM(D7), Collection!$B$2:$D$1001, 2, FALSE), "")</f>
        <v/>
      </c>
      <c r="F7" s="48">
        <f>IFERROR(VLOOKUP(TRIM(D7), Collection!$B$2:$D$1001, 3, FALSE), "")</f>
        <v/>
      </c>
      <c r="G7" s="48">
        <f>IFERROR(VALUE(SUBSTITUTE(SUBSTITUTE(F7, "Price", ""), "AED", "")), "")</f>
        <v/>
      </c>
      <c r="H7" s="45" t="inlineStr">
        <is>
          <t>Phone sales Middle East</t>
        </is>
      </c>
      <c r="I7" s="45" t="n">
        <v>105232635</v>
      </c>
      <c r="J7" s="45" t="inlineStr">
        <is>
          <t>Prospect</t>
        </is>
      </c>
      <c r="K7" s="45" t="inlineStr">
        <is>
          <t>OMARI Asma</t>
        </is>
      </c>
      <c r="L7" s="45" t="inlineStr">
        <is>
          <t>Erkan Kaya</t>
        </is>
      </c>
      <c r="M7" s="45">
        <f>IF(COUNTIF($R$3:$R$100, D7) &gt; 0, TRUE, FALSE)</f>
        <v/>
      </c>
      <c r="R7" t="inlineStr">
        <is>
          <t>5520V/210R-B966</t>
        </is>
      </c>
    </row>
    <row r="8" ht="46.95" customHeight="1" s="287">
      <c r="A8" s="45" t="inlineStr">
        <is>
          <t>Request</t>
        </is>
      </c>
      <c r="B8" s="45" t="inlineStr">
        <is>
          <t xml:space="preserve"> </t>
        </is>
      </c>
      <c r="C8" s="45" t="inlineStr">
        <is>
          <t>17/4/2025</t>
        </is>
      </c>
      <c r="D8" s="45" t="inlineStr">
        <is>
          <t>82172/000P-H062</t>
        </is>
      </c>
      <c r="E8" s="45">
        <f>IFERROR(VLOOKUP(TRIM(D8), Collection!$B$2:$D$1001, 2, FALSE), "")</f>
        <v/>
      </c>
      <c r="F8" s="48">
        <f>IFERROR(VLOOKUP(TRIM(D8), Collection!$B$2:$D$1001, 3, FALSE), "")</f>
        <v/>
      </c>
      <c r="G8" s="48">
        <f>IFERROR(VALUE(SUBSTITUTE(SUBSTITUTE(F8, "Price", ""), "AED", "")), "")</f>
        <v/>
      </c>
      <c r="H8" s="45" t="inlineStr">
        <is>
          <t>Phone sales Middle East</t>
        </is>
      </c>
      <c r="I8" s="45" t="n">
        <v>92425024</v>
      </c>
      <c r="J8" s="45" t="inlineStr">
        <is>
          <t>Client</t>
        </is>
      </c>
      <c r="K8" s="45" t="inlineStr">
        <is>
          <t>OMARI Asma</t>
        </is>
      </c>
      <c r="L8" s="45" t="inlineStr">
        <is>
          <t>Majid Rahman (intrested in Novelties)</t>
        </is>
      </c>
      <c r="M8" s="45">
        <f>IF(COUNTIF($R$3:$R$100, D8) &gt; 0, TRUE, FALSE)</f>
        <v/>
      </c>
      <c r="R8" t="inlineStr">
        <is>
          <t>6000V/210R-B934</t>
        </is>
      </c>
    </row>
    <row r="9" ht="31.2" customHeight="1" s="287">
      <c r="A9" s="45" t="inlineStr">
        <is>
          <t>Request</t>
        </is>
      </c>
      <c r="B9" s="45" t="inlineStr">
        <is>
          <t xml:space="preserve"> </t>
        </is>
      </c>
      <c r="C9" s="45" t="inlineStr">
        <is>
          <t>17/4/2025</t>
        </is>
      </c>
      <c r="D9" s="45" t="inlineStr">
        <is>
          <t>4200H/222A-B934</t>
        </is>
      </c>
      <c r="E9" s="45">
        <f>IFERROR(VLOOKUP(TRIM(D9), Collection!$B$2:$D$1001, 2, FALSE), "")</f>
        <v/>
      </c>
      <c r="F9" s="48">
        <f>IFERROR(VLOOKUP(TRIM(D9), Collection!$B$2:$D$1001, 3, FALSE), "")</f>
        <v/>
      </c>
      <c r="G9" s="48">
        <f>IFERROR(VALUE(SUBSTITUTE(SUBSTITUTE(F9, "Price", ""), "AED", "")), "")</f>
        <v/>
      </c>
      <c r="H9" s="45" t="inlineStr">
        <is>
          <t>Phone sales Middle East</t>
        </is>
      </c>
      <c r="I9" s="45" t="n">
        <v>105234569</v>
      </c>
      <c r="J9" s="45" t="inlineStr">
        <is>
          <t>Prospect</t>
        </is>
      </c>
      <c r="K9" s="45" t="inlineStr">
        <is>
          <t>SHARIF Maaz</t>
        </is>
      </c>
      <c r="L9" s="45" t="inlineStr">
        <is>
          <t>KSA 222</t>
        </is>
      </c>
      <c r="M9" s="45">
        <f>IF(COUNTIF($R$3:$R$100, D9) &gt; 0, TRUE, FALSE)</f>
        <v/>
      </c>
    </row>
    <row r="10" ht="46.95" customHeight="1" s="287">
      <c r="A10" s="45" t="inlineStr">
        <is>
          <t>Request</t>
        </is>
      </c>
      <c r="B10" s="45" t="inlineStr">
        <is>
          <t xml:space="preserve"> </t>
        </is>
      </c>
      <c r="C10" s="45" t="inlineStr">
        <is>
          <t>16/4/2025</t>
        </is>
      </c>
      <c r="D10" s="45" t="inlineStr">
        <is>
          <t>4520V/210A-B128</t>
        </is>
      </c>
      <c r="E10" s="45">
        <f>IFERROR(VLOOKUP(TRIM(D10), Collection!$B$2:$D$1001, 2, FALSE), "")</f>
        <v/>
      </c>
      <c r="F10" s="48">
        <f>IFERROR(VLOOKUP(TRIM(D10), Collection!$B$2:$D$1001, 3, FALSE), "")</f>
        <v/>
      </c>
      <c r="G10" s="48">
        <f>IFERROR(VALUE(SUBSTITUTE(SUBSTITUTE(F10, "Price", ""), "AED", "")), "")</f>
        <v/>
      </c>
      <c r="H10" s="45" t="inlineStr">
        <is>
          <t>Phone sales Middle East</t>
        </is>
      </c>
      <c r="I10" s="45" t="n">
        <v>105231885</v>
      </c>
      <c r="J10" s="45" t="inlineStr">
        <is>
          <t>Prospect</t>
        </is>
      </c>
      <c r="K10" s="45" t="inlineStr">
        <is>
          <t>OMARI Asma</t>
        </is>
      </c>
      <c r="L10" s="45" t="inlineStr">
        <is>
          <t>Ms. Theresa Jaeger : Gift for her husband birthday</t>
        </is>
      </c>
      <c r="M10" s="45">
        <f>IF(COUNTIF($R$3:$R$100, D10) &gt; 0, TRUE, FALSE)</f>
        <v/>
      </c>
    </row>
    <row r="11" ht="31.2" customHeight="1" s="287">
      <c r="A11" s="45" t="inlineStr">
        <is>
          <t>Request</t>
        </is>
      </c>
      <c r="B11" s="45" t="inlineStr">
        <is>
          <t xml:space="preserve"> </t>
        </is>
      </c>
      <c r="C11" s="45" t="inlineStr">
        <is>
          <t>16/4/2025</t>
        </is>
      </c>
      <c r="D11" s="45" t="inlineStr">
        <is>
          <t>4200H/222A-B934</t>
        </is>
      </c>
      <c r="E11" s="45">
        <f>IFERROR(VLOOKUP(TRIM(D11), Collection!$B$2:$D$1001, 2, FALSE), "")</f>
        <v/>
      </c>
      <c r="F11" s="48">
        <f>IFERROR(VLOOKUP(TRIM(D11), Collection!$B$2:$D$1001, 3, FALSE), "")</f>
        <v/>
      </c>
      <c r="G11" s="48">
        <f>IFERROR(VALUE(SUBSTITUTE(SUBSTITUTE(F11, "Price", ""), "AED", "")), "")</f>
        <v/>
      </c>
      <c r="H11" s="45" t="inlineStr">
        <is>
          <t>Phone sales Middle East</t>
        </is>
      </c>
      <c r="I11" s="45" t="n">
        <v>105224074</v>
      </c>
      <c r="J11" s="45" t="inlineStr">
        <is>
          <t>Prospect</t>
        </is>
      </c>
      <c r="K11" s="45" t="inlineStr">
        <is>
          <t>OMARI Asma</t>
        </is>
      </c>
      <c r="L11" s="45" t="inlineStr">
        <is>
          <t>Mr. Abdulelah Bineid : ksa</t>
        </is>
      </c>
      <c r="M11" s="45">
        <f>IF(COUNTIF($R$3:$R$100, D11) &gt; 0, TRUE, FALSE)</f>
        <v/>
      </c>
    </row>
    <row r="12" ht="62.4" customHeight="1" s="287">
      <c r="A12" s="45" t="inlineStr">
        <is>
          <t>Request</t>
        </is>
      </c>
      <c r="B12" s="45" t="inlineStr">
        <is>
          <t xml:space="preserve"> </t>
        </is>
      </c>
      <c r="C12" s="45" t="inlineStr">
        <is>
          <t>16/4/2025</t>
        </is>
      </c>
      <c r="D12" s="45" t="inlineStr">
        <is>
          <t>4300V/220G-B945</t>
        </is>
      </c>
      <c r="E12" s="45">
        <f>IFERROR(VLOOKUP(TRIM(D12), Collection!$B$2:$D$1001, 2, FALSE), "")</f>
        <v/>
      </c>
      <c r="F12" s="48">
        <f>IFERROR(VLOOKUP(TRIM(D12), Collection!$B$2:$D$1001, 3, FALSE), "")</f>
        <v/>
      </c>
      <c r="G12" s="48">
        <f>IFERROR(VALUE(SUBSTITUTE(SUBSTITUTE(F12, "Price", ""), "AED", "")), "")</f>
        <v/>
      </c>
      <c r="H12" s="45" t="inlineStr">
        <is>
          <t>Phone sales Middle East</t>
        </is>
      </c>
      <c r="I12" s="45" t="n">
        <v>105248739</v>
      </c>
      <c r="J12" s="45" t="inlineStr">
        <is>
          <t>Prospect</t>
        </is>
      </c>
      <c r="K12" s="45" t="inlineStr">
        <is>
          <t>SHARIF Maaz</t>
        </is>
      </c>
      <c r="L12" s="45" t="inlineStr">
        <is>
          <t>client showed interest</t>
        </is>
      </c>
      <c r="M12" s="45">
        <f>IF(COUNTIF($R$3:$R$100, D12) &gt; 0, TRUE, FALSE)</f>
        <v/>
      </c>
    </row>
    <row r="13" ht="31.2" customHeight="1" s="287">
      <c r="A13" s="45" t="inlineStr">
        <is>
          <t>Request</t>
        </is>
      </c>
      <c r="B13" s="45" t="inlineStr">
        <is>
          <t xml:space="preserve"> </t>
        </is>
      </c>
      <c r="C13" s="45" t="inlineStr">
        <is>
          <t>15/4/2025</t>
        </is>
      </c>
      <c r="D13" s="45" t="inlineStr">
        <is>
          <t>4200H/222A-B934</t>
        </is>
      </c>
      <c r="E13" s="45">
        <f>IFERROR(VLOOKUP(TRIM(D13), Collection!$B$2:$D$1001, 2, FALSE), "")</f>
        <v/>
      </c>
      <c r="F13" s="48">
        <f>IFERROR(VLOOKUP(TRIM(D13), Collection!$B$2:$D$1001, 3, FALSE), "")</f>
        <v/>
      </c>
      <c r="G13" s="48">
        <f>IFERROR(VALUE(SUBSTITUTE(SUBSTITUTE(F13, "Price", ""), "AED", "")), "")</f>
        <v/>
      </c>
      <c r="H13" s="45" t="inlineStr">
        <is>
          <t>Phone sales Middle East</t>
        </is>
      </c>
      <c r="I13" s="45" t="n">
        <v>105223407</v>
      </c>
      <c r="J13" s="45" t="inlineStr">
        <is>
          <t>Prospect</t>
        </is>
      </c>
      <c r="K13" s="45" t="inlineStr">
        <is>
          <t>TAHHAN Riham</t>
        </is>
      </c>
      <c r="L13" s="45" t="inlineStr">
        <is>
          <t xml:space="preserve"> </t>
        </is>
      </c>
      <c r="M13" s="45">
        <f>IF(COUNTIF($R$3:$R$100, D13) &gt; 0, TRUE, FALSE)</f>
        <v/>
      </c>
    </row>
    <row r="14" ht="31.2" customHeight="1" s="287">
      <c r="A14" s="45" t="inlineStr">
        <is>
          <t>Request</t>
        </is>
      </c>
      <c r="B14" s="45" t="inlineStr">
        <is>
          <t xml:space="preserve"> </t>
        </is>
      </c>
      <c r="C14" s="46" t="n">
        <v>45904</v>
      </c>
      <c r="D14" s="45" t="inlineStr">
        <is>
          <t>4200H/222A-B934</t>
        </is>
      </c>
      <c r="E14" s="45">
        <f>IFERROR(VLOOKUP(TRIM(D14), Collection!$B$2:$D$1001, 2, FALSE), "")</f>
        <v/>
      </c>
      <c r="F14" s="48">
        <f>IFERROR(VLOOKUP(TRIM(D14), Collection!$B$2:$D$1001, 3, FALSE), "")</f>
        <v/>
      </c>
      <c r="G14" s="48">
        <f>IFERROR(VALUE(SUBSTITUTE(SUBSTITUTE(F14, "Price", ""), "AED", "")), "")</f>
        <v/>
      </c>
      <c r="H14" s="45" t="inlineStr">
        <is>
          <t>Phone sales Middle East</t>
        </is>
      </c>
      <c r="I14" s="45" t="n">
        <v>105122031</v>
      </c>
      <c r="J14" s="45" t="inlineStr">
        <is>
          <t>Prospect</t>
        </is>
      </c>
      <c r="K14" s="45" t="inlineStr">
        <is>
          <t>OMARI Asma</t>
        </is>
      </c>
      <c r="L14" s="45" t="inlineStr">
        <is>
          <t>Ahmed El-Badawy</t>
        </is>
      </c>
      <c r="M14" s="45">
        <f>IF(COUNTIF($R$3:$R$100, D14) &gt; 0, TRUE, FALSE)</f>
        <v/>
      </c>
    </row>
    <row r="15" ht="31.2" customHeight="1" s="287">
      <c r="A15" s="45" t="inlineStr">
        <is>
          <t>Request</t>
        </is>
      </c>
      <c r="B15" s="45" t="inlineStr">
        <is>
          <t xml:space="preserve"> </t>
        </is>
      </c>
      <c r="C15" s="46" t="n">
        <v>45873</v>
      </c>
      <c r="D15" s="45" t="inlineStr">
        <is>
          <t>7920V/210A-B334</t>
        </is>
      </c>
      <c r="E15" s="45">
        <f>IFERROR(VLOOKUP(TRIM(D15), Collection!$B$2:$D$1001, 2, FALSE), "")</f>
        <v/>
      </c>
      <c r="F15" s="48">
        <f>IFERROR(VLOOKUP(TRIM(D15), Collection!$B$2:$D$1001, 3, FALSE), "")</f>
        <v/>
      </c>
      <c r="G15" s="48">
        <f>IFERROR(VALUE(SUBSTITUTE(SUBSTITUTE(F15, "Price", ""), "AED", "")), "")</f>
        <v/>
      </c>
      <c r="H15" s="45" t="inlineStr">
        <is>
          <t>Phone sales Middle East</t>
        </is>
      </c>
      <c r="I15" s="45" t="n">
        <v>105116801</v>
      </c>
      <c r="J15" s="45" t="inlineStr">
        <is>
          <t>Prospect</t>
        </is>
      </c>
      <c r="K15" s="45" t="inlineStr">
        <is>
          <t>SHARIF Maaz</t>
        </is>
      </c>
      <c r="L15" s="45" t="inlineStr">
        <is>
          <t>dual time ksa</t>
        </is>
      </c>
      <c r="M15" s="45">
        <f>IF(COUNTIF($R$3:$R$100, D15) &gt; 0, TRUE, FALSE)</f>
        <v/>
      </c>
    </row>
    <row r="16" ht="31.2" customHeight="1" s="287">
      <c r="A16" s="45" t="inlineStr">
        <is>
          <t>Request</t>
        </is>
      </c>
      <c r="B16" s="45" t="inlineStr">
        <is>
          <t xml:space="preserve"> </t>
        </is>
      </c>
      <c r="C16" s="46" t="n">
        <v>45873</v>
      </c>
      <c r="D16" s="45" t="inlineStr">
        <is>
          <t>4200H/222A-B934</t>
        </is>
      </c>
      <c r="E16" s="45">
        <f>IFERROR(VLOOKUP(TRIM(D16), Collection!$B$2:$D$1001, 2, FALSE), "")</f>
        <v/>
      </c>
      <c r="F16" s="48">
        <f>IFERROR(VLOOKUP(TRIM(D16), Collection!$B$2:$D$1001, 3, FALSE), "")</f>
        <v/>
      </c>
      <c r="G16" s="48">
        <f>IFERROR(VALUE(SUBSTITUTE(SUBSTITUTE(F16, "Price", ""), "AED", "")), "")</f>
        <v/>
      </c>
      <c r="H16" s="45" t="inlineStr">
        <is>
          <t>Phone sales Middle East</t>
        </is>
      </c>
      <c r="I16" s="45" t="n">
        <v>105117467</v>
      </c>
      <c r="J16" s="45" t="inlineStr">
        <is>
          <t>Prospect</t>
        </is>
      </c>
      <c r="K16" s="45" t="inlineStr">
        <is>
          <t>SHARIF Maaz</t>
        </is>
      </c>
      <c r="L16" s="45" t="inlineStr">
        <is>
          <t>222 KSA client - P</t>
        </is>
      </c>
      <c r="M16" s="45">
        <f>IF(COUNTIF($R$3:$R$100, D16) &gt; 0, TRUE, FALSE)</f>
        <v/>
      </c>
    </row>
    <row r="17" ht="31.2" customHeight="1" s="287">
      <c r="A17" s="45" t="inlineStr">
        <is>
          <t>Request</t>
        </is>
      </c>
      <c r="B17" s="45" t="inlineStr">
        <is>
          <t xml:space="preserve"> </t>
        </is>
      </c>
      <c r="C17" s="46" t="n">
        <v>45751</v>
      </c>
      <c r="D17" s="45" t="inlineStr">
        <is>
          <t>4200H/222A-B934</t>
        </is>
      </c>
      <c r="E17" s="45">
        <f>IFERROR(VLOOKUP(TRIM(D17), Collection!$B$2:$D$1001, 2, FALSE), "")</f>
        <v/>
      </c>
      <c r="F17" s="48">
        <f>IFERROR(VLOOKUP(TRIM(D17), Collection!$B$2:$D$1001, 3, FALSE), "")</f>
        <v/>
      </c>
      <c r="G17" s="48">
        <f>IFERROR(VALUE(SUBSTITUTE(SUBSTITUTE(F17, "Price", ""), "AED", "")), "")</f>
        <v/>
      </c>
      <c r="H17" s="45" t="inlineStr">
        <is>
          <t>Phone sales Middle East</t>
        </is>
      </c>
      <c r="I17" s="45" t="n">
        <v>105001985</v>
      </c>
      <c r="J17" s="45" t="inlineStr">
        <is>
          <t>Prospect</t>
        </is>
      </c>
      <c r="K17" s="45" t="inlineStr">
        <is>
          <t>OMARI Asma</t>
        </is>
      </c>
      <c r="L17" s="45" t="inlineStr">
        <is>
          <t>Mr. Sultan Al Saud ksa</t>
        </is>
      </c>
      <c r="M17" s="45">
        <f>IF(COUNTIF($R$3:$R$100, D17) &gt; 0, TRUE, FALSE)</f>
        <v/>
      </c>
    </row>
    <row r="18" ht="124.95" customHeight="1" s="287">
      <c r="A18" s="45" t="inlineStr">
        <is>
          <t>Request</t>
        </is>
      </c>
      <c r="B18" s="45" t="inlineStr">
        <is>
          <t xml:space="preserve"> </t>
        </is>
      </c>
      <c r="C18" s="46" t="n">
        <v>45751</v>
      </c>
      <c r="D18" s="45" t="inlineStr">
        <is>
          <t>4200H/222A-B934</t>
        </is>
      </c>
      <c r="E18" s="45">
        <f>IFERROR(VLOOKUP(TRIM(D18), Collection!$B$2:$D$1001, 2, FALSE), "")</f>
        <v/>
      </c>
      <c r="F18" s="48">
        <f>IFERROR(VLOOKUP(TRIM(D18), Collection!$B$2:$D$1001, 3, FALSE), "")</f>
        <v/>
      </c>
      <c r="G18" s="48">
        <f>IFERROR(VALUE(SUBSTITUTE(SUBSTITUTE(F18, "Price", ""), "AED", "")), "")</f>
        <v/>
      </c>
      <c r="H18" s="45" t="inlineStr">
        <is>
          <t>Phone sales Middle East</t>
        </is>
      </c>
      <c r="I18" s="45" t="n">
        <v>101108337</v>
      </c>
      <c r="J18" s="45" t="inlineStr">
        <is>
          <t>Client</t>
        </is>
      </c>
      <c r="K18" s="45" t="inlineStr">
        <is>
          <t>TAHHAN Riham</t>
        </is>
      </c>
      <c r="L18" s="45" t="inlineStr">
        <is>
          <t>0098845999 - 0101108337 client is an owner of OVS dual time. But now he is interested in 222 and requested to be added to the waiting list</t>
        </is>
      </c>
      <c r="M18" s="45">
        <f>IF(COUNTIF($R$3:$R$100, D18) &gt; 0, TRUE, FALSE)</f>
        <v/>
      </c>
    </row>
    <row r="19" ht="31.2" customHeight="1" s="287">
      <c r="A19" s="45" t="inlineStr">
        <is>
          <t>Request</t>
        </is>
      </c>
      <c r="B19" s="45" t="inlineStr">
        <is>
          <t xml:space="preserve"> </t>
        </is>
      </c>
      <c r="C19" s="46" t="n">
        <v>45720</v>
      </c>
      <c r="D19" s="45" t="inlineStr">
        <is>
          <t>4520V/210A-B483</t>
        </is>
      </c>
      <c r="E19" s="45">
        <f>IFERROR(VLOOKUP(TRIM(D19), Collection!$B$2:$D$1001, 2, FALSE), "")</f>
        <v/>
      </c>
      <c r="F19" s="48">
        <f>IFERROR(VLOOKUP(TRIM(D19), Collection!$B$2:$D$1001, 3, FALSE), "")</f>
        <v/>
      </c>
      <c r="G19" s="48">
        <f>IFERROR(VALUE(SUBSTITUTE(SUBSTITUTE(F19, "Price", ""), "AED", "")), "")</f>
        <v/>
      </c>
      <c r="H19" s="45" t="inlineStr">
        <is>
          <t>Phone sales Middle East</t>
        </is>
      </c>
      <c r="I19" s="45" t="n">
        <v>104989923</v>
      </c>
      <c r="J19" s="45" t="inlineStr">
        <is>
          <t>Prospect</t>
        </is>
      </c>
      <c r="K19" s="45" t="inlineStr">
        <is>
          <t>TAHHAN Riham</t>
        </is>
      </c>
      <c r="L19" s="45" t="inlineStr">
        <is>
          <t xml:space="preserve"> </t>
        </is>
      </c>
      <c r="M19" s="45">
        <f>IF(COUNTIF($R$3:$R$100, D19) &gt; 0, TRUE, FALSE)</f>
        <v/>
      </c>
    </row>
    <row r="20" ht="31.2" customHeight="1" s="287">
      <c r="A20" s="45" t="inlineStr">
        <is>
          <t>Request</t>
        </is>
      </c>
      <c r="B20" s="45" t="inlineStr">
        <is>
          <t xml:space="preserve"> </t>
        </is>
      </c>
      <c r="C20" s="46" t="n">
        <v>45720</v>
      </c>
      <c r="D20" s="45" t="inlineStr">
        <is>
          <t>4520V/210A-B128</t>
        </is>
      </c>
      <c r="E20" s="45">
        <f>IFERROR(VLOOKUP(TRIM(D20), Collection!$B$2:$D$1001, 2, FALSE), "")</f>
        <v/>
      </c>
      <c r="F20" s="48">
        <f>IFERROR(VLOOKUP(TRIM(D20), Collection!$B$2:$D$1001, 3, FALSE), "")</f>
        <v/>
      </c>
      <c r="G20" s="48">
        <f>IFERROR(VALUE(SUBSTITUTE(SUBSTITUTE(F20, "Price", ""), "AED", "")), "")</f>
        <v/>
      </c>
      <c r="H20" s="45" t="inlineStr">
        <is>
          <t>Phone sales Middle East</t>
        </is>
      </c>
      <c r="I20" s="45" t="n">
        <v>104977543</v>
      </c>
      <c r="J20" s="45" t="inlineStr">
        <is>
          <t>Prospect</t>
        </is>
      </c>
      <c r="K20" s="45" t="inlineStr">
        <is>
          <t>OMARI Asma</t>
        </is>
      </c>
      <c r="L20" s="45" t="inlineStr">
        <is>
          <t>Mr. Amit Agarwal (india)</t>
        </is>
      </c>
      <c r="M20" s="45">
        <f>IF(COUNTIF($R$3:$R$100, D20) &gt; 0, TRUE, FALSE)</f>
        <v/>
      </c>
    </row>
    <row r="21" ht="31.2" customHeight="1" s="287">
      <c r="A21" s="45" t="inlineStr">
        <is>
          <t>Request</t>
        </is>
      </c>
      <c r="B21" s="45" t="inlineStr">
        <is>
          <t xml:space="preserve"> </t>
        </is>
      </c>
      <c r="C21" s="46" t="n">
        <v>45720</v>
      </c>
      <c r="D21" s="45" t="inlineStr">
        <is>
          <t>4200H/222A-B934</t>
        </is>
      </c>
      <c r="E21" s="45">
        <f>IFERROR(VLOOKUP(TRIM(D21), Collection!$B$2:$D$1001, 2, FALSE), "")</f>
        <v/>
      </c>
      <c r="F21" s="48">
        <f>IFERROR(VLOOKUP(TRIM(D21), Collection!$B$2:$D$1001, 3, FALSE), "")</f>
        <v/>
      </c>
      <c r="G21" s="48">
        <f>IFERROR(VALUE(SUBSTITUTE(SUBSTITUTE(F21, "Price", ""), "AED", "")), "")</f>
        <v/>
      </c>
      <c r="H21" s="45" t="inlineStr">
        <is>
          <t>Phone sales Middle East</t>
        </is>
      </c>
      <c r="I21" s="45" t="n">
        <v>103771139</v>
      </c>
      <c r="J21" s="45" t="inlineStr">
        <is>
          <t>Prospect</t>
        </is>
      </c>
      <c r="K21" s="45" t="inlineStr">
        <is>
          <t>OMARI Asma</t>
        </is>
      </c>
      <c r="L21" s="45" t="inlineStr">
        <is>
          <t>Mr. Aliwavip Etowati (Egypt)</t>
        </is>
      </c>
      <c r="M21" s="45">
        <f>IF(COUNTIF($R$3:$R$100, D21) &gt; 0, TRUE, FALSE)</f>
        <v/>
      </c>
    </row>
    <row r="22" ht="31.2" customHeight="1" s="287">
      <c r="A22" s="45" t="inlineStr">
        <is>
          <t>Request</t>
        </is>
      </c>
      <c r="B22" s="45" t="inlineStr">
        <is>
          <t xml:space="preserve"> </t>
        </is>
      </c>
      <c r="C22" s="46" t="n">
        <v>45720</v>
      </c>
      <c r="D22" s="45" t="inlineStr">
        <is>
          <t>4200H/222J-B935</t>
        </is>
      </c>
      <c r="E22" s="45">
        <f>IFERROR(VLOOKUP(TRIM(D22), Collection!$B$2:$D$1001, 2, FALSE), "")</f>
        <v/>
      </c>
      <c r="F22" s="48">
        <f>IFERROR(VLOOKUP(TRIM(D22), Collection!$B$2:$D$1001, 3, FALSE), "")</f>
        <v/>
      </c>
      <c r="G22" s="48">
        <f>IFERROR(VALUE(SUBSTITUTE(SUBSTITUTE(F22, "Price", ""), "AED", "")), "")</f>
        <v/>
      </c>
      <c r="H22" s="45" t="inlineStr">
        <is>
          <t>Phone sales Middle East</t>
        </is>
      </c>
      <c r="I22" s="45" t="n">
        <v>104939061</v>
      </c>
      <c r="J22" s="45" t="inlineStr">
        <is>
          <t>Prospect</t>
        </is>
      </c>
      <c r="K22" s="45" t="inlineStr">
        <is>
          <t>SHARIF Maaz</t>
        </is>
      </c>
      <c r="L22" s="45" t="n">
        <v>222</v>
      </c>
      <c r="M22" s="45">
        <f>IF(COUNTIF($R$3:$R$100, D22) &gt; 0, TRUE, FALSE)</f>
        <v/>
      </c>
    </row>
    <row r="23" ht="62.4" customHeight="1" s="287">
      <c r="A23" s="45" t="inlineStr">
        <is>
          <t>Request</t>
        </is>
      </c>
      <c r="B23" s="45" t="inlineStr">
        <is>
          <t xml:space="preserve"> </t>
        </is>
      </c>
      <c r="C23" s="46" t="n">
        <v>45720</v>
      </c>
      <c r="D23" s="45" t="inlineStr">
        <is>
          <t>4200H/222A-B934</t>
        </is>
      </c>
      <c r="E23" s="45">
        <f>IFERROR(VLOOKUP(TRIM(D23), Collection!$B$2:$D$1001, 2, FALSE), "")</f>
        <v/>
      </c>
      <c r="F23" s="48">
        <f>IFERROR(VLOOKUP(TRIM(D23), Collection!$B$2:$D$1001, 3, FALSE), "")</f>
        <v/>
      </c>
      <c r="G23" s="48">
        <f>IFERROR(VALUE(SUBSTITUTE(SUBSTITUTE(F23, "Price", ""), "AED", "")), "")</f>
        <v/>
      </c>
      <c r="H23" s="45" t="inlineStr">
        <is>
          <t>Phone sales Middle East</t>
        </is>
      </c>
      <c r="I23" s="45" t="n">
        <v>105007242</v>
      </c>
      <c r="J23" s="45" t="inlineStr">
        <is>
          <t>Prospect</t>
        </is>
      </c>
      <c r="K23" s="45" t="inlineStr">
        <is>
          <t>SHARIF Maaz</t>
        </is>
      </c>
      <c r="L23" s="45" t="inlineStr">
        <is>
          <t>[Obaid Mubarak Al muhairi](mailto:Obaidmuhairi@gmail.com) | a collector</t>
        </is>
      </c>
      <c r="M23" s="45">
        <f>IF(COUNTIF($R$3:$R$100, D23) &gt; 0, TRUE, FALSE)</f>
        <v/>
      </c>
    </row>
    <row r="24" ht="31.2" customHeight="1" s="287">
      <c r="A24" s="45" t="inlineStr">
        <is>
          <t>Request</t>
        </is>
      </c>
      <c r="B24" s="45" t="inlineStr">
        <is>
          <t xml:space="preserve"> </t>
        </is>
      </c>
      <c r="C24" s="46" t="n">
        <v>45692</v>
      </c>
      <c r="D24" s="45" t="inlineStr">
        <is>
          <t>4520V/210A-B128</t>
        </is>
      </c>
      <c r="E24" s="45">
        <f>IFERROR(VLOOKUP(TRIM(D24), Collection!$B$2:$D$1001, 2, FALSE), "")</f>
        <v/>
      </c>
      <c r="F24" s="48">
        <f>IFERROR(VLOOKUP(TRIM(D24), Collection!$B$2:$D$1001, 3, FALSE), "")</f>
        <v/>
      </c>
      <c r="G24" s="48">
        <f>IFERROR(VALUE(SUBSTITUTE(SUBSTITUTE(F24, "Price", ""), "AED", "")), "")</f>
        <v/>
      </c>
      <c r="H24" s="45" t="inlineStr">
        <is>
          <t>Phone sales Middle East</t>
        </is>
      </c>
      <c r="I24" s="45" t="n">
        <v>92397772</v>
      </c>
      <c r="J24" s="45" t="inlineStr">
        <is>
          <t>Prospect</t>
        </is>
      </c>
      <c r="K24" s="45" t="inlineStr">
        <is>
          <t>OMARI Asma</t>
        </is>
      </c>
      <c r="L24" s="45" t="inlineStr">
        <is>
          <t>Mr. Sameer Rafique</t>
        </is>
      </c>
      <c r="M24" s="45">
        <f>IF(COUNTIF($R$3:$R$100, D24) &gt; 0, TRUE, FALSE)</f>
        <v/>
      </c>
    </row>
    <row r="25" ht="31.2" customHeight="1" s="287">
      <c r="A25" s="45" t="inlineStr">
        <is>
          <t>Request</t>
        </is>
      </c>
      <c r="B25" s="45" t="inlineStr">
        <is>
          <t xml:space="preserve"> </t>
        </is>
      </c>
      <c r="C25" s="46" t="n">
        <v>45692</v>
      </c>
      <c r="D25" s="45" t="inlineStr">
        <is>
          <t>4520V/210R-B705</t>
        </is>
      </c>
      <c r="E25" s="45">
        <f>IFERROR(VLOOKUP(TRIM(D25), Collection!$B$2:$D$1001, 2, FALSE), "")</f>
        <v/>
      </c>
      <c r="F25" s="48">
        <f>IFERROR(VLOOKUP(TRIM(D25), Collection!$B$2:$D$1001, 3, FALSE), "")</f>
        <v/>
      </c>
      <c r="G25" s="48">
        <f>IFERROR(VALUE(SUBSTITUTE(SUBSTITUTE(F25, "Price", ""), "AED", "")), "")</f>
        <v/>
      </c>
      <c r="H25" s="45" t="inlineStr">
        <is>
          <t>Phone sales Middle East</t>
        </is>
      </c>
      <c r="I25" s="45" t="n">
        <v>104908207</v>
      </c>
      <c r="J25" s="45" t="inlineStr">
        <is>
          <t>Prospect</t>
        </is>
      </c>
      <c r="K25" s="45" t="inlineStr">
        <is>
          <t>OMARI Asma</t>
        </is>
      </c>
      <c r="L25" s="45" t="inlineStr">
        <is>
          <t>Mr. Vincent Kedikilwe</t>
        </is>
      </c>
      <c r="M25" s="45">
        <f>IF(COUNTIF($R$3:$R$100, D25) &gt; 0, TRUE, FALSE)</f>
        <v/>
      </c>
    </row>
    <row r="26" ht="31.2" customHeight="1" s="287">
      <c r="A26" s="45" t="inlineStr">
        <is>
          <t>Request</t>
        </is>
      </c>
      <c r="B26" s="45" t="inlineStr">
        <is>
          <t xml:space="preserve"> </t>
        </is>
      </c>
      <c r="C26" s="46" t="n">
        <v>45692</v>
      </c>
      <c r="D26" s="45" t="inlineStr">
        <is>
          <t>4200H/222A-B934</t>
        </is>
      </c>
      <c r="E26" s="45">
        <f>IFERROR(VLOOKUP(TRIM(D26), Collection!$B$2:$D$1001, 2, FALSE), "")</f>
        <v/>
      </c>
      <c r="F26" s="48">
        <f>IFERROR(VLOOKUP(TRIM(D26), Collection!$B$2:$D$1001, 3, FALSE), "")</f>
        <v/>
      </c>
      <c r="G26" s="48">
        <f>IFERROR(VALUE(SUBSTITUTE(SUBSTITUTE(F26, "Price", ""), "AED", "")), "")</f>
        <v/>
      </c>
      <c r="H26" s="45" t="inlineStr">
        <is>
          <t>Phone sales Middle East</t>
        </is>
      </c>
      <c r="I26" s="45" t="n">
        <v>104994951</v>
      </c>
      <c r="J26" s="45" t="inlineStr">
        <is>
          <t>Prospect</t>
        </is>
      </c>
      <c r="K26" s="45" t="inlineStr">
        <is>
          <t>OMARI Asma</t>
        </is>
      </c>
      <c r="L26" s="45" t="inlineStr">
        <is>
          <t>Salman Almashari ksa</t>
        </is>
      </c>
      <c r="M26" s="45">
        <f>IF(COUNTIF($R$3:$R$100, D26) &gt; 0, TRUE, FALSE)</f>
        <v/>
      </c>
    </row>
    <row r="27" ht="31.2" customHeight="1" s="287">
      <c r="A27" s="45" t="inlineStr">
        <is>
          <t>Request</t>
        </is>
      </c>
      <c r="B27" s="45" t="inlineStr">
        <is>
          <t xml:space="preserve"> </t>
        </is>
      </c>
      <c r="C27" s="46" t="n">
        <v>45661</v>
      </c>
      <c r="D27" s="45" t="inlineStr">
        <is>
          <t>4200H/222A-B934</t>
        </is>
      </c>
      <c r="E27" s="45">
        <f>IFERROR(VLOOKUP(TRIM(D27), Collection!$B$2:$D$1001, 2, FALSE), "")</f>
        <v/>
      </c>
      <c r="F27" s="48">
        <f>IFERROR(VLOOKUP(TRIM(D27), Collection!$B$2:$D$1001, 3, FALSE), "")</f>
        <v/>
      </c>
      <c r="G27" s="48">
        <f>IFERROR(VALUE(SUBSTITUTE(SUBSTITUTE(F27, "Price", ""), "AED", "")), "")</f>
        <v/>
      </c>
      <c r="H27" s="45" t="inlineStr">
        <is>
          <t>Phone sales Middle East</t>
        </is>
      </c>
      <c r="I27" s="45" t="n">
        <v>104687880</v>
      </c>
      <c r="J27" s="45" t="inlineStr">
        <is>
          <t>Prospect</t>
        </is>
      </c>
      <c r="K27" s="45" t="inlineStr">
        <is>
          <t>TAHHAN Riham</t>
        </is>
      </c>
      <c r="L27" s="45" t="inlineStr">
        <is>
          <t xml:space="preserve"> </t>
        </is>
      </c>
      <c r="M27" s="45">
        <f>IF(COUNTIF($R$3:$R$100, D27) &gt; 0, TRUE, FALSE)</f>
        <v/>
      </c>
    </row>
    <row r="28" ht="62.4" customHeight="1" s="287">
      <c r="A28" s="45" t="inlineStr">
        <is>
          <t>Request</t>
        </is>
      </c>
      <c r="B28" s="45" t="inlineStr">
        <is>
          <t xml:space="preserve"> </t>
        </is>
      </c>
      <c r="C28" s="46" t="n">
        <v>45661</v>
      </c>
      <c r="D28" s="45" t="inlineStr">
        <is>
          <t>5520V/210R-B952</t>
        </is>
      </c>
      <c r="E28" s="45">
        <f>IFERROR(VLOOKUP(TRIM(D28), Collection!$B$2:$D$1001, 2, FALSE), "")</f>
        <v/>
      </c>
      <c r="F28" s="48">
        <f>IFERROR(VLOOKUP(TRIM(D28), Collection!$B$2:$D$1001, 3, FALSE), "")</f>
        <v/>
      </c>
      <c r="G28" s="48">
        <f>IFERROR(VALUE(SUBSTITUTE(SUBSTITUTE(F28, "Price", ""), "AED", "")), "")</f>
        <v/>
      </c>
      <c r="H28" s="45" t="inlineStr">
        <is>
          <t>Phone sales Middle East</t>
        </is>
      </c>
      <c r="I28" s="45" t="n">
        <v>104802404</v>
      </c>
      <c r="J28" s="45" t="inlineStr">
        <is>
          <t>Prospect</t>
        </is>
      </c>
      <c r="K28" s="45" t="inlineStr">
        <is>
          <t>TAHHAN Riham</t>
        </is>
      </c>
      <c r="L28" s="45" t="inlineStr">
        <is>
          <t>He will visiting the UAE end of April to purchase the Overseas (If available)</t>
        </is>
      </c>
      <c r="M28" s="45">
        <f>IF(COUNTIF($R$3:$R$100, D28) &gt; 0, TRUE, FALSE)</f>
        <v/>
      </c>
    </row>
    <row r="29" ht="31.2" customHeight="1" s="287">
      <c r="A29" s="45" t="inlineStr">
        <is>
          <t>Request</t>
        </is>
      </c>
      <c r="B29" s="45" t="inlineStr">
        <is>
          <t xml:space="preserve"> </t>
        </is>
      </c>
      <c r="C29" s="46" t="n">
        <v>45661</v>
      </c>
      <c r="D29" s="45" t="inlineStr">
        <is>
          <t>4200H/222A-B934</t>
        </is>
      </c>
      <c r="E29" s="45">
        <f>IFERROR(VLOOKUP(TRIM(D29), Collection!$B$2:$D$1001, 2, FALSE), "")</f>
        <v/>
      </c>
      <c r="F29" s="48">
        <f>IFERROR(VLOOKUP(TRIM(D29), Collection!$B$2:$D$1001, 3, FALSE), "")</f>
        <v/>
      </c>
      <c r="G29" s="48">
        <f>IFERROR(VALUE(SUBSTITUTE(SUBSTITUTE(F29, "Price", ""), "AED", "")), "")</f>
        <v/>
      </c>
      <c r="H29" s="45" t="inlineStr">
        <is>
          <t>Phone sales Middle East</t>
        </is>
      </c>
      <c r="I29" s="45" t="n">
        <v>104687223</v>
      </c>
      <c r="J29" s="45" t="inlineStr">
        <is>
          <t>Prospect</t>
        </is>
      </c>
      <c r="K29" s="45" t="inlineStr">
        <is>
          <t>TAHHAN Riham</t>
        </is>
      </c>
      <c r="L29" s="45" t="inlineStr">
        <is>
          <t xml:space="preserve"> </t>
        </is>
      </c>
      <c r="M29" s="45">
        <f>IF(COUNTIF($R$3:$R$100, D29) &gt; 0, TRUE, FALSE)</f>
        <v/>
      </c>
    </row>
    <row r="30" ht="31.2" customHeight="1" s="287">
      <c r="A30" s="45" t="inlineStr">
        <is>
          <t>Request</t>
        </is>
      </c>
      <c r="B30" s="45" t="inlineStr">
        <is>
          <t xml:space="preserve"> </t>
        </is>
      </c>
      <c r="C30" s="46" t="n">
        <v>45661</v>
      </c>
      <c r="D30" s="45" t="inlineStr">
        <is>
          <t>4520V/210A-B128</t>
        </is>
      </c>
      <c r="E30" s="45">
        <f>IFERROR(VLOOKUP(TRIM(D30), Collection!$B$2:$D$1001, 2, FALSE), "")</f>
        <v/>
      </c>
      <c r="F30" s="48">
        <f>IFERROR(VLOOKUP(TRIM(D30), Collection!$B$2:$D$1001, 3, FALSE), "")</f>
        <v/>
      </c>
      <c r="G30" s="48">
        <f>IFERROR(VALUE(SUBSTITUTE(SUBSTITUTE(F30, "Price", ""), "AED", "")), "")</f>
        <v/>
      </c>
      <c r="H30" s="45" t="inlineStr">
        <is>
          <t>Phone sales Middle East</t>
        </is>
      </c>
      <c r="I30" s="45" t="n">
        <v>104982295</v>
      </c>
      <c r="J30" s="45" t="inlineStr">
        <is>
          <t>Prospect</t>
        </is>
      </c>
      <c r="K30" s="45" t="inlineStr">
        <is>
          <t>OMARI Asma</t>
        </is>
      </c>
      <c r="L30" s="45" t="inlineStr">
        <is>
          <t>Ahmed Alhammadi</t>
        </is>
      </c>
      <c r="M30" s="45">
        <f>IF(COUNTIF($R$3:$R$100, D30) &gt; 0, TRUE, FALSE)</f>
        <v/>
      </c>
    </row>
    <row r="31" ht="31.2" customHeight="1" s="287">
      <c r="A31" s="45" t="inlineStr">
        <is>
          <t>Request</t>
        </is>
      </c>
      <c r="B31" s="45" t="inlineStr">
        <is>
          <t xml:space="preserve"> </t>
        </is>
      </c>
      <c r="C31" s="45" t="inlineStr">
        <is>
          <t>29/3/2025</t>
        </is>
      </c>
      <c r="D31" s="45" t="inlineStr">
        <is>
          <t>4200H/222A-B934</t>
        </is>
      </c>
      <c r="E31" s="45">
        <f>IFERROR(VLOOKUP(TRIM(D31), Collection!$B$2:$D$1001, 2, FALSE), "")</f>
        <v/>
      </c>
      <c r="F31" s="48">
        <f>IFERROR(VLOOKUP(TRIM(D31), Collection!$B$2:$D$1001, 3, FALSE), "")</f>
        <v/>
      </c>
      <c r="G31" s="48">
        <f>IFERROR(VALUE(SUBSTITUTE(SUBSTITUTE(F31, "Price", ""), "AED", "")), "")</f>
        <v/>
      </c>
      <c r="H31" s="45" t="inlineStr">
        <is>
          <t>Phone sales Middle East</t>
        </is>
      </c>
      <c r="I31" s="45" t="n">
        <v>101107205</v>
      </c>
      <c r="J31" s="45" t="inlineStr">
        <is>
          <t>Prospect</t>
        </is>
      </c>
      <c r="K31" s="45" t="inlineStr">
        <is>
          <t>OMARI Asma</t>
        </is>
      </c>
      <c r="L31" s="45" t="inlineStr">
        <is>
          <t>Mr. Mohamed Eljadi</t>
        </is>
      </c>
      <c r="M31" s="45">
        <f>IF(COUNTIF($R$3:$R$100, D31) &gt; 0, TRUE, FALSE)</f>
        <v/>
      </c>
    </row>
    <row r="32" ht="31.2" customHeight="1" s="287">
      <c r="A32" s="45" t="inlineStr">
        <is>
          <t>Request</t>
        </is>
      </c>
      <c r="B32" s="45" t="inlineStr">
        <is>
          <t xml:space="preserve"> </t>
        </is>
      </c>
      <c r="C32" s="45" t="inlineStr">
        <is>
          <t>29/3/2025</t>
        </is>
      </c>
      <c r="D32" s="45" t="inlineStr">
        <is>
          <t>4200H/222A-B934</t>
        </is>
      </c>
      <c r="E32" s="45">
        <f>IFERROR(VLOOKUP(TRIM(D32), Collection!$B$2:$D$1001, 2, FALSE), "")</f>
        <v/>
      </c>
      <c r="F32" s="48">
        <f>IFERROR(VLOOKUP(TRIM(D32), Collection!$B$2:$D$1001, 3, FALSE), "")</f>
        <v/>
      </c>
      <c r="G32" s="48">
        <f>IFERROR(VALUE(SUBSTITUTE(SUBSTITUTE(F32, "Price", ""), "AED", "")), "")</f>
        <v/>
      </c>
      <c r="H32" s="45" t="inlineStr">
        <is>
          <t>Phone sales Middle East</t>
        </is>
      </c>
      <c r="I32" s="45" t="n">
        <v>104922362</v>
      </c>
      <c r="J32" s="45" t="inlineStr">
        <is>
          <t>Prospect</t>
        </is>
      </c>
      <c r="K32" s="45" t="inlineStr">
        <is>
          <t>OMARI Asma</t>
        </is>
      </c>
      <c r="L32" s="45" t="inlineStr">
        <is>
          <t>Mr. Conrad Lee</t>
        </is>
      </c>
      <c r="M32" s="45">
        <f>IF(COUNTIF($R$3:$R$100, D32) &gt; 0, TRUE, FALSE)</f>
        <v/>
      </c>
    </row>
    <row r="33" ht="46.95" customHeight="1" s="287">
      <c r="A33" s="45" t="inlineStr">
        <is>
          <t>Request</t>
        </is>
      </c>
      <c r="B33" s="45" t="inlineStr">
        <is>
          <t xml:space="preserve"> </t>
        </is>
      </c>
      <c r="C33" s="45" t="inlineStr">
        <is>
          <t>28/3/2025</t>
        </is>
      </c>
      <c r="D33" s="45" t="inlineStr">
        <is>
          <t>4520V/210A-B128</t>
        </is>
      </c>
      <c r="E33" s="45">
        <f>IFERROR(VLOOKUP(TRIM(D33), Collection!$B$2:$D$1001, 2, FALSE), "")</f>
        <v/>
      </c>
      <c r="F33" s="48">
        <f>IFERROR(VLOOKUP(TRIM(D33), Collection!$B$2:$D$1001, 3, FALSE), "")</f>
        <v/>
      </c>
      <c r="G33" s="48">
        <f>IFERROR(VALUE(SUBSTITUTE(SUBSTITUTE(F33, "Price", ""), "AED", "")), "")</f>
        <v/>
      </c>
      <c r="H33" s="45" t="inlineStr">
        <is>
          <t>Phone sales Middle East</t>
        </is>
      </c>
      <c r="I33" s="45" t="n">
        <v>104181314</v>
      </c>
      <c r="J33" s="45" t="inlineStr">
        <is>
          <t>Prospect</t>
        </is>
      </c>
      <c r="K33" s="45" t="inlineStr">
        <is>
          <t>OMARI Asma</t>
        </is>
      </c>
      <c r="L33" s="45" t="inlineStr">
        <is>
          <t>For his graduation next year :Mr. Lakshya Gupta</t>
        </is>
      </c>
      <c r="M33" s="45">
        <f>IF(COUNTIF($R$3:$R$100, D33) &gt; 0, TRUE, FALSE)</f>
        <v/>
      </c>
    </row>
    <row r="34" ht="31.2" customHeight="1" s="287">
      <c r="A34" s="45" t="inlineStr">
        <is>
          <t>Request</t>
        </is>
      </c>
      <c r="B34" s="45" t="inlineStr">
        <is>
          <t xml:space="preserve"> </t>
        </is>
      </c>
      <c r="C34" s="45" t="inlineStr">
        <is>
          <t>27/3/2025</t>
        </is>
      </c>
      <c r="D34" s="45" t="inlineStr">
        <is>
          <t>4200H/222A-B934</t>
        </is>
      </c>
      <c r="E34" s="45">
        <f>IFERROR(VLOOKUP(TRIM(D34), Collection!$B$2:$D$1001, 2, FALSE), "")</f>
        <v/>
      </c>
      <c r="F34" s="48">
        <f>IFERROR(VLOOKUP(TRIM(D34), Collection!$B$2:$D$1001, 3, FALSE), "")</f>
        <v/>
      </c>
      <c r="G34" s="48">
        <f>IFERROR(VALUE(SUBSTITUTE(SUBSTITUTE(F34, "Price", ""), "AED", "")), "")</f>
        <v/>
      </c>
      <c r="H34" s="45" t="inlineStr">
        <is>
          <t>Phone sales Middle East</t>
        </is>
      </c>
      <c r="I34" s="45" t="n">
        <v>104908886</v>
      </c>
      <c r="J34" s="45" t="inlineStr">
        <is>
          <t>Prospect</t>
        </is>
      </c>
      <c r="K34" s="45" t="inlineStr">
        <is>
          <t>SHARIF Maaz</t>
        </is>
      </c>
      <c r="L34" s="45" t="n">
        <v>222</v>
      </c>
      <c r="M34" s="45">
        <f>IF(COUNTIF($R$3:$R$100, D34) &gt; 0, TRUE, FALSE)</f>
        <v/>
      </c>
    </row>
    <row r="35" ht="78" customHeight="1" s="287">
      <c r="A35" s="45" t="inlineStr">
        <is>
          <t>Request</t>
        </is>
      </c>
      <c r="B35" s="45" t="inlineStr">
        <is>
          <t xml:space="preserve"> </t>
        </is>
      </c>
      <c r="C35" s="45" t="inlineStr">
        <is>
          <t>25/3/2025</t>
        </is>
      </c>
      <c r="D35" s="45" t="inlineStr">
        <is>
          <t>7920V/210A-B334</t>
        </is>
      </c>
      <c r="E35" s="45">
        <f>IFERROR(VLOOKUP(TRIM(D35), Collection!$B$2:$D$1001, 2, FALSE), "")</f>
        <v/>
      </c>
      <c r="F35" s="48">
        <f>IFERROR(VLOOKUP(TRIM(D35), Collection!$B$2:$D$1001, 3, FALSE), "")</f>
        <v/>
      </c>
      <c r="G35" s="48">
        <f>IFERROR(VALUE(SUBSTITUTE(SUBSTITUTE(F35, "Price", ""), "AED", "")), "")</f>
        <v/>
      </c>
      <c r="H35" s="45" t="inlineStr">
        <is>
          <t>Phone sales Middle East</t>
        </is>
      </c>
      <c r="I35" s="45" t="n">
        <v>104849248</v>
      </c>
      <c r="J35" s="45" t="inlineStr">
        <is>
          <t>Client</t>
        </is>
      </c>
      <c r="K35" s="45" t="inlineStr">
        <is>
          <t>SHARIF Maaz</t>
        </is>
      </c>
      <c r="L35" s="45" t="inlineStr">
        <is>
          <t>the client is coming next week. already own the  \n Overseas chronograph  VMX55AV148</t>
        </is>
      </c>
      <c r="M35" s="45">
        <f>IF(COUNTIF($R$3:$R$100, D35) &gt; 0, TRUE, FALSE)</f>
        <v/>
      </c>
    </row>
    <row r="36" ht="31.2" customHeight="1" s="287">
      <c r="A36" s="45" t="inlineStr">
        <is>
          <t>Request</t>
        </is>
      </c>
      <c r="B36" s="45" t="inlineStr">
        <is>
          <t xml:space="preserve"> </t>
        </is>
      </c>
      <c r="C36" s="45" t="inlineStr">
        <is>
          <t>25/3/2025</t>
        </is>
      </c>
      <c r="D36" s="45" t="inlineStr">
        <is>
          <t>4200H/222A-B934</t>
        </is>
      </c>
      <c r="E36" s="45">
        <f>IFERROR(VLOOKUP(TRIM(D36), Collection!$B$2:$D$1001, 2, FALSE), "")</f>
        <v/>
      </c>
      <c r="F36" s="48">
        <f>IFERROR(VLOOKUP(TRIM(D36), Collection!$B$2:$D$1001, 3, FALSE), "")</f>
        <v/>
      </c>
      <c r="G36" s="48">
        <f>IFERROR(VALUE(SUBSTITUTE(SUBSTITUTE(F36, "Price", ""), "AED", "")), "")</f>
        <v/>
      </c>
      <c r="H36" s="45" t="inlineStr">
        <is>
          <t>Phone sales Middle East</t>
        </is>
      </c>
      <c r="I36" s="45" t="n">
        <v>93232291</v>
      </c>
      <c r="J36" s="45" t="inlineStr">
        <is>
          <t>Prospect</t>
        </is>
      </c>
      <c r="K36" s="45" t="inlineStr">
        <is>
          <t>SHARIF Maaz</t>
        </is>
      </c>
      <c r="L36" s="45" t="inlineStr">
        <is>
          <t>4200H/222A-B934 222</t>
        </is>
      </c>
      <c r="M36" s="45">
        <f>IF(COUNTIF($R$3:$R$100, D36) &gt; 0, TRUE, FALSE)</f>
        <v/>
      </c>
    </row>
    <row r="37" ht="31.2" customHeight="1" s="287">
      <c r="A37" s="45" t="inlineStr">
        <is>
          <t>Request</t>
        </is>
      </c>
      <c r="B37" s="45" t="inlineStr">
        <is>
          <t xml:space="preserve"> </t>
        </is>
      </c>
      <c r="C37" s="45" t="inlineStr">
        <is>
          <t>25/3/2025</t>
        </is>
      </c>
      <c r="D37" s="45" t="inlineStr">
        <is>
          <t>4200H/222A-B934</t>
        </is>
      </c>
      <c r="E37" s="45">
        <f>IFERROR(VLOOKUP(TRIM(D37), Collection!$B$2:$D$1001, 2, FALSE), "")</f>
        <v/>
      </c>
      <c r="F37" s="48">
        <f>IFERROR(VLOOKUP(TRIM(D37), Collection!$B$2:$D$1001, 3, FALSE), "")</f>
        <v/>
      </c>
      <c r="G37" s="48">
        <f>IFERROR(VALUE(SUBSTITUTE(SUBSTITUTE(F37, "Price", ""), "AED", "")), "")</f>
        <v/>
      </c>
      <c r="H37" s="45" t="inlineStr">
        <is>
          <t>Phone sales Middle East</t>
        </is>
      </c>
      <c r="I37" s="45" t="n">
        <v>103617532</v>
      </c>
      <c r="J37" s="45" t="inlineStr">
        <is>
          <t>Prospect</t>
        </is>
      </c>
      <c r="K37" s="45" t="inlineStr">
        <is>
          <t>TAHHAN Riham</t>
        </is>
      </c>
      <c r="L37" s="45" t="inlineStr">
        <is>
          <t xml:space="preserve"> </t>
        </is>
      </c>
      <c r="M37" s="45">
        <f>IF(COUNTIF($R$3:$R$100, D37) &gt; 0, TRUE, FALSE)</f>
        <v/>
      </c>
    </row>
    <row r="38" ht="31.2" customHeight="1" s="287">
      <c r="A38" s="45" t="inlineStr">
        <is>
          <t>Request</t>
        </is>
      </c>
      <c r="B38" s="45" t="inlineStr">
        <is>
          <t xml:space="preserve"> </t>
        </is>
      </c>
      <c r="C38" s="45" t="inlineStr">
        <is>
          <t>25/3/2025</t>
        </is>
      </c>
      <c r="D38" s="45" t="inlineStr">
        <is>
          <t>4200H/222A-B934</t>
        </is>
      </c>
      <c r="E38" s="45">
        <f>IFERROR(VLOOKUP(TRIM(D38), Collection!$B$2:$D$1001, 2, FALSE), "")</f>
        <v/>
      </c>
      <c r="F38" s="48">
        <f>IFERROR(VLOOKUP(TRIM(D38), Collection!$B$2:$D$1001, 3, FALSE), "")</f>
        <v/>
      </c>
      <c r="G38" s="48">
        <f>IFERROR(VALUE(SUBSTITUTE(SUBSTITUTE(F38, "Price", ""), "AED", "")), "")</f>
        <v/>
      </c>
      <c r="H38" s="45" t="inlineStr">
        <is>
          <t>Phone sales Middle East</t>
        </is>
      </c>
      <c r="I38" s="45" t="n">
        <v>104564947</v>
      </c>
      <c r="J38" s="45" t="inlineStr">
        <is>
          <t>Prospect</t>
        </is>
      </c>
      <c r="K38" s="45" t="inlineStr">
        <is>
          <t>SHARIF Maaz</t>
        </is>
      </c>
      <c r="L38" s="45" t="n">
        <v>222</v>
      </c>
      <c r="M38" s="45">
        <f>IF(COUNTIF($R$3:$R$100, D38) &gt; 0, TRUE, FALSE)</f>
        <v/>
      </c>
    </row>
    <row r="39" ht="31.2" customHeight="1" s="287">
      <c r="A39" s="45" t="inlineStr">
        <is>
          <t>Request</t>
        </is>
      </c>
      <c r="B39" s="45" t="inlineStr">
        <is>
          <t xml:space="preserve"> </t>
        </is>
      </c>
      <c r="C39" s="45" t="inlineStr">
        <is>
          <t>25/3/2025</t>
        </is>
      </c>
      <c r="D39" s="45" t="inlineStr">
        <is>
          <t>4520V/210A-B128</t>
        </is>
      </c>
      <c r="E39" s="45">
        <f>IFERROR(VLOOKUP(TRIM(D39), Collection!$B$2:$D$1001, 2, FALSE), "")</f>
        <v/>
      </c>
      <c r="F39" s="48">
        <f>IFERROR(VLOOKUP(TRIM(D39), Collection!$B$2:$D$1001, 3, FALSE), "")</f>
        <v/>
      </c>
      <c r="G39" s="48">
        <f>IFERROR(VALUE(SUBSTITUTE(SUBSTITUTE(F39, "Price", ""), "AED", "")), "")</f>
        <v/>
      </c>
      <c r="H39" s="45" t="inlineStr">
        <is>
          <t>Phone sales Middle East</t>
        </is>
      </c>
      <c r="I39" s="45" t="n">
        <v>104853731</v>
      </c>
      <c r="J39" s="45" t="inlineStr">
        <is>
          <t>Prospect</t>
        </is>
      </c>
      <c r="K39" s="45" t="inlineStr">
        <is>
          <t>TAHHAN Riham</t>
        </is>
      </c>
      <c r="L39" s="45" t="inlineStr">
        <is>
          <t xml:space="preserve"> </t>
        </is>
      </c>
      <c r="M39" s="45">
        <f>IF(COUNTIF($R$3:$R$100, D39) &gt; 0, TRUE, FALSE)</f>
        <v/>
      </c>
    </row>
    <row r="40" ht="46.95" customHeight="1" s="287">
      <c r="A40" s="45" t="inlineStr">
        <is>
          <t>Request</t>
        </is>
      </c>
      <c r="B40" s="45" t="inlineStr">
        <is>
          <t xml:space="preserve"> </t>
        </is>
      </c>
      <c r="C40" s="45" t="inlineStr">
        <is>
          <t>25/3/2025</t>
        </is>
      </c>
      <c r="D40" s="45" t="inlineStr">
        <is>
          <t>5520V/210R-B966</t>
        </is>
      </c>
      <c r="E40" s="45">
        <f>IFERROR(VLOOKUP(TRIM(D40), Collection!$B$2:$D$1001, 2, FALSE), "")</f>
        <v/>
      </c>
      <c r="F40" s="48">
        <f>IFERROR(VLOOKUP(TRIM(D40), Collection!$B$2:$D$1001, 3, FALSE), "")</f>
        <v/>
      </c>
      <c r="G40" s="48">
        <f>IFERROR(VALUE(SUBSTITUTE(SUBSTITUTE(F40, "Price", ""), "AED", "")), "")</f>
        <v/>
      </c>
      <c r="H40" s="45" t="inlineStr">
        <is>
          <t>Phone sales Middle East</t>
        </is>
      </c>
      <c r="I40" s="45" t="n">
        <v>104802404</v>
      </c>
      <c r="J40" s="45" t="inlineStr">
        <is>
          <t>Prospect</t>
        </is>
      </c>
      <c r="K40" s="45" t="inlineStr">
        <is>
          <t>TAHHAN Riham</t>
        </is>
      </c>
      <c r="L40" s="45" t="inlineStr">
        <is>
          <t xml:space="preserve"> </t>
        </is>
      </c>
      <c r="M40" s="45">
        <f>IF(COUNTIF($R$3:$R$100, D40) &gt; 0, TRUE, FALSE)</f>
        <v/>
      </c>
    </row>
    <row r="41" ht="31.2" customHeight="1" s="287">
      <c r="A41" s="45" t="inlineStr">
        <is>
          <t>Request</t>
        </is>
      </c>
      <c r="B41" s="45" t="inlineStr">
        <is>
          <t xml:space="preserve"> </t>
        </is>
      </c>
      <c r="C41" s="45" t="inlineStr">
        <is>
          <t>25/3/2025</t>
        </is>
      </c>
      <c r="D41" s="45" t="inlineStr">
        <is>
          <t>5520V/210A-B686</t>
        </is>
      </c>
      <c r="E41" s="45">
        <f>IFERROR(VLOOKUP(TRIM(D41), Collection!$B$2:$D$1001, 2, FALSE), "")</f>
        <v/>
      </c>
      <c r="F41" s="48">
        <f>IFERROR(VLOOKUP(TRIM(D41), Collection!$B$2:$D$1001, 3, FALSE), "")</f>
        <v/>
      </c>
      <c r="G41" s="48">
        <f>IFERROR(VALUE(SUBSTITUTE(SUBSTITUTE(F41, "Price", ""), "AED", "")), "")</f>
        <v/>
      </c>
      <c r="H41" s="45" t="inlineStr">
        <is>
          <t>Phone sales Middle East</t>
        </is>
      </c>
      <c r="I41" s="45" t="n">
        <v>104853450</v>
      </c>
      <c r="J41" s="45" t="inlineStr">
        <is>
          <t>Prospect</t>
        </is>
      </c>
      <c r="K41" s="45" t="inlineStr">
        <is>
          <t>TAHHAN Riham</t>
        </is>
      </c>
      <c r="L41" s="45" t="inlineStr">
        <is>
          <t xml:space="preserve"> </t>
        </is>
      </c>
      <c r="M41" s="45">
        <f>IF(COUNTIF($R$3:$R$100, D41) &gt; 0, TRUE, FALSE)</f>
        <v/>
      </c>
    </row>
    <row r="42" ht="31.2" customHeight="1" s="287">
      <c r="A42" s="45" t="inlineStr">
        <is>
          <t>Request</t>
        </is>
      </c>
      <c r="B42" s="45" t="inlineStr">
        <is>
          <t xml:space="preserve"> </t>
        </is>
      </c>
      <c r="C42" s="45" t="inlineStr">
        <is>
          <t>22/3/2025</t>
        </is>
      </c>
      <c r="D42" s="45" t="inlineStr">
        <is>
          <t>4200H/222A-B934</t>
        </is>
      </c>
      <c r="E42" s="45">
        <f>IFERROR(VLOOKUP(TRIM(D42), Collection!$B$2:$D$1001, 2, FALSE), "")</f>
        <v/>
      </c>
      <c r="F42" s="48">
        <f>IFERROR(VLOOKUP(TRIM(D42), Collection!$B$2:$D$1001, 3, FALSE), "")</f>
        <v/>
      </c>
      <c r="G42" s="48">
        <f>IFERROR(VALUE(SUBSTITUTE(SUBSTITUTE(F42, "Price", ""), "AED", "")), "")</f>
        <v/>
      </c>
      <c r="H42" s="45" t="inlineStr">
        <is>
          <t>Phone sales Middle East</t>
        </is>
      </c>
      <c r="I42" s="45" t="n">
        <v>104769573</v>
      </c>
      <c r="J42" s="45" t="inlineStr">
        <is>
          <t>Prospect</t>
        </is>
      </c>
      <c r="K42" s="45" t="inlineStr">
        <is>
          <t>OMARI Asma</t>
        </is>
      </c>
      <c r="L42" s="45" t="inlineStr">
        <is>
          <t>lives between Dubai and Geneva.</t>
        </is>
      </c>
      <c r="M42" s="45">
        <f>IF(COUNTIF($R$3:$R$100, D42) &gt; 0, TRUE, FALSE)</f>
        <v/>
      </c>
    </row>
    <row r="43" ht="31.2" customHeight="1" s="287">
      <c r="A43" s="45" t="inlineStr">
        <is>
          <t>Request</t>
        </is>
      </c>
      <c r="B43" s="45" t="inlineStr">
        <is>
          <t xml:space="preserve"> </t>
        </is>
      </c>
      <c r="C43" s="45" t="inlineStr">
        <is>
          <t>22/3/2025</t>
        </is>
      </c>
      <c r="D43" s="45" t="inlineStr">
        <is>
          <t>4200H/222A-B934</t>
        </is>
      </c>
      <c r="E43" s="45">
        <f>IFERROR(VLOOKUP(TRIM(D43), Collection!$B$2:$D$1001, 2, FALSE), "")</f>
        <v/>
      </c>
      <c r="F43" s="48">
        <f>IFERROR(VLOOKUP(TRIM(D43), Collection!$B$2:$D$1001, 3, FALSE), "")</f>
        <v/>
      </c>
      <c r="G43" s="48">
        <f>IFERROR(VALUE(SUBSTITUTE(SUBSTITUTE(F43, "Price", ""), "AED", "")), "")</f>
        <v/>
      </c>
      <c r="H43" s="45" t="inlineStr">
        <is>
          <t>Phone sales Middle East</t>
        </is>
      </c>
      <c r="I43" s="45" t="n">
        <v>99219912</v>
      </c>
      <c r="J43" s="45" t="inlineStr">
        <is>
          <t>Prospect</t>
        </is>
      </c>
      <c r="K43" s="45" t="inlineStr">
        <is>
          <t>OMARI Asma</t>
        </is>
      </c>
      <c r="L43" s="45" t="inlineStr">
        <is>
          <t>elrahmanhefny ksa</t>
        </is>
      </c>
      <c r="M43" s="45">
        <f>IF(COUNTIF($R$3:$R$100, D43) &gt; 0, TRUE, FALSE)</f>
        <v/>
      </c>
    </row>
    <row r="44" ht="187.2" customHeight="1" s="287">
      <c r="A44" s="45" t="inlineStr">
        <is>
          <t>Request</t>
        </is>
      </c>
      <c r="B44" s="45" t="inlineStr">
        <is>
          <t xml:space="preserve"> </t>
        </is>
      </c>
      <c r="C44" s="45" t="inlineStr">
        <is>
          <t>22/3/2025</t>
        </is>
      </c>
      <c r="D44" s="45" t="inlineStr">
        <is>
          <t>7920V/210A-B546</t>
        </is>
      </c>
      <c r="E44" s="45">
        <f>IFERROR(VLOOKUP(TRIM(D44), Collection!$B$2:$D$1001, 2, FALSE), "")</f>
        <v/>
      </c>
      <c r="F44" s="48">
        <f>IFERROR(VLOOKUP(TRIM(D44), Collection!$B$2:$D$1001, 3, FALSE), "")</f>
        <v/>
      </c>
      <c r="G44" s="48">
        <f>IFERROR(VALUE(SUBSTITUTE(SUBSTITUTE(F44, "Price", ""), "AED", "")), "")</f>
        <v/>
      </c>
      <c r="H44" s="45" t="inlineStr">
        <is>
          <t>Phone sales Middle East</t>
        </is>
      </c>
      <c r="I44" s="45" t="n">
        <v>104796476</v>
      </c>
      <c r="J44" s="45" t="inlineStr">
        <is>
          <t>Prospect</t>
        </is>
      </c>
      <c r="K44" s="45" t="inlineStr">
        <is>
          <t>TAHHAN Riham</t>
        </is>
      </c>
      <c r="L44" s="45" t="inlineStr">
        <is>
          <t>The client wishes to purchase his first Vacheron Constantin timepiece in Dubai, as he has a deep appreciation for the city and wants his first VC watch to hold a special connection to it. He is ready to purchase it right away.</t>
        </is>
      </c>
      <c r="M44" s="45">
        <f>IF(COUNTIF($R$3:$R$100, D44) &gt; 0, TRUE, FALSE)</f>
        <v/>
      </c>
    </row>
    <row r="45" ht="46.95" customHeight="1" s="287">
      <c r="A45" s="45" t="inlineStr">
        <is>
          <t>Request</t>
        </is>
      </c>
      <c r="B45" s="45" t="inlineStr">
        <is>
          <t xml:space="preserve"> </t>
        </is>
      </c>
      <c r="C45" s="45" t="inlineStr">
        <is>
          <t>19/3/2025</t>
        </is>
      </c>
      <c r="D45" s="45" t="inlineStr">
        <is>
          <t>6000V/210R-B934</t>
        </is>
      </c>
      <c r="E45" s="45">
        <f>IFERROR(VLOOKUP(TRIM(D45), Collection!$B$2:$D$1001, 2, FALSE), "")</f>
        <v/>
      </c>
      <c r="F45" s="48">
        <f>IFERROR(VLOOKUP(TRIM(D45), Collection!$B$2:$D$1001, 3, FALSE), "")</f>
        <v/>
      </c>
      <c r="G45" s="48">
        <f>IFERROR(VALUE(SUBSTITUTE(SUBSTITUTE(F45, "Price", ""), "AED", "")), "")</f>
        <v/>
      </c>
      <c r="H45" s="45" t="inlineStr">
        <is>
          <t>Phone sales Middle East</t>
        </is>
      </c>
      <c r="I45" s="45" t="n">
        <v>104689190</v>
      </c>
      <c r="J45" s="45" t="inlineStr">
        <is>
          <t>Prospect</t>
        </is>
      </c>
      <c r="K45" s="45" t="inlineStr">
        <is>
          <t>TAHHAN Riham</t>
        </is>
      </c>
      <c r="L45" s="45" t="inlineStr">
        <is>
          <t xml:space="preserve"> </t>
        </is>
      </c>
      <c r="M45" s="45">
        <f>IF(COUNTIF($R$3:$R$100, D45) &gt; 0, TRUE, FALSE)</f>
        <v/>
      </c>
    </row>
    <row r="46" ht="31.2" customHeight="1" s="287">
      <c r="A46" s="45" t="inlineStr">
        <is>
          <t>Request</t>
        </is>
      </c>
      <c r="B46" s="45" t="inlineStr">
        <is>
          <t xml:space="preserve"> </t>
        </is>
      </c>
      <c r="C46" s="45" t="inlineStr">
        <is>
          <t>18/3/2025</t>
        </is>
      </c>
      <c r="D46" s="45" t="inlineStr">
        <is>
          <t>7920V/210A-B334</t>
        </is>
      </c>
      <c r="E46" s="45">
        <f>IFERROR(VLOOKUP(TRIM(D46), Collection!$B$2:$D$1001, 2, FALSE), "")</f>
        <v/>
      </c>
      <c r="F46" s="48">
        <f>IFERROR(VLOOKUP(TRIM(D46), Collection!$B$2:$D$1001, 3, FALSE), "")</f>
        <v/>
      </c>
      <c r="G46" s="48">
        <f>IFERROR(VALUE(SUBSTITUTE(SUBSTITUTE(F46, "Price", ""), "AED", "")), "")</f>
        <v/>
      </c>
      <c r="H46" s="45" t="inlineStr">
        <is>
          <t>Phone sales Middle East</t>
        </is>
      </c>
      <c r="I46" s="45" t="n">
        <v>104687223</v>
      </c>
      <c r="J46" s="45" t="inlineStr">
        <is>
          <t>Prospect</t>
        </is>
      </c>
      <c r="K46" s="45" t="inlineStr">
        <is>
          <t>TAHHAN Riham</t>
        </is>
      </c>
      <c r="L46" s="45" t="inlineStr">
        <is>
          <t xml:space="preserve"> </t>
        </is>
      </c>
      <c r="M46" s="45">
        <f>IF(COUNTIF($R$3:$R$100, D46) &gt; 0, TRUE, FALSE)</f>
        <v/>
      </c>
    </row>
    <row r="47" ht="31.2" customHeight="1" s="287">
      <c r="A47" s="45" t="inlineStr">
        <is>
          <t>Request</t>
        </is>
      </c>
      <c r="B47" s="45" t="inlineStr">
        <is>
          <t xml:space="preserve"> </t>
        </is>
      </c>
      <c r="C47" s="45" t="inlineStr">
        <is>
          <t>15/3/2025</t>
        </is>
      </c>
      <c r="D47" s="45" t="inlineStr">
        <is>
          <t>4520V/210A-B128</t>
        </is>
      </c>
      <c r="E47" s="45">
        <f>IFERROR(VLOOKUP(TRIM(D47), Collection!$B$2:$D$1001, 2, FALSE), "")</f>
        <v/>
      </c>
      <c r="F47" s="48">
        <f>IFERROR(VLOOKUP(TRIM(D47), Collection!$B$2:$D$1001, 3, FALSE), "")</f>
        <v/>
      </c>
      <c r="G47" s="48">
        <f>IFERROR(VALUE(SUBSTITUTE(SUBSTITUTE(F47, "Price", ""), "AED", "")), "")</f>
        <v/>
      </c>
      <c r="H47" s="45" t="inlineStr">
        <is>
          <t>Phone sales Middle East</t>
        </is>
      </c>
      <c r="I47" s="45" t="n">
        <v>104609280</v>
      </c>
      <c r="J47" s="45" t="inlineStr">
        <is>
          <t>Prospect</t>
        </is>
      </c>
      <c r="K47" s="45" t="inlineStr">
        <is>
          <t>SHARIF Maaz</t>
        </is>
      </c>
      <c r="L47" s="45" t="inlineStr">
        <is>
          <t>b128 no history</t>
        </is>
      </c>
      <c r="M47" s="45">
        <f>IF(COUNTIF($R$3:$R$100, D47) &gt; 0, TRUE, FALSE)</f>
        <v/>
      </c>
    </row>
    <row r="48" ht="31.2" customHeight="1" s="287">
      <c r="A48" s="45" t="inlineStr">
        <is>
          <t>Request</t>
        </is>
      </c>
      <c r="B48" s="45" t="inlineStr">
        <is>
          <t xml:space="preserve"> </t>
        </is>
      </c>
      <c r="C48" s="45" t="inlineStr">
        <is>
          <t>13/3/2025</t>
        </is>
      </c>
      <c r="D48" s="45" t="inlineStr">
        <is>
          <t>4200H/222A-B934</t>
        </is>
      </c>
      <c r="E48" s="45">
        <f>IFERROR(VLOOKUP(TRIM(D48), Collection!$B$2:$D$1001, 2, FALSE), "")</f>
        <v/>
      </c>
      <c r="F48" s="48">
        <f>IFERROR(VLOOKUP(TRIM(D48), Collection!$B$2:$D$1001, 3, FALSE), "")</f>
        <v/>
      </c>
      <c r="G48" s="48">
        <f>IFERROR(VALUE(SUBSTITUTE(SUBSTITUTE(F48, "Price", ""), "AED", "")), "")</f>
        <v/>
      </c>
      <c r="H48" s="45" t="inlineStr">
        <is>
          <t>Phone sales Middle East</t>
        </is>
      </c>
      <c r="I48" s="45" t="n">
        <v>99351991</v>
      </c>
      <c r="J48" s="45" t="inlineStr">
        <is>
          <t>Prospect</t>
        </is>
      </c>
      <c r="K48" s="45" t="inlineStr">
        <is>
          <t>TAHHAN Riham</t>
        </is>
      </c>
      <c r="L48" s="45" t="inlineStr">
        <is>
          <t xml:space="preserve"> </t>
        </is>
      </c>
      <c r="M48" s="45">
        <f>IF(COUNTIF($R$3:$R$100, D48) &gt; 0, TRUE, FALSE)</f>
        <v/>
      </c>
    </row>
    <row r="49" ht="31.2" customHeight="1" s="287">
      <c r="A49" s="45" t="inlineStr">
        <is>
          <t>Request</t>
        </is>
      </c>
      <c r="B49" s="45" t="inlineStr">
        <is>
          <t xml:space="preserve"> </t>
        </is>
      </c>
      <c r="C49" s="45" t="inlineStr">
        <is>
          <t>13/3/2025</t>
        </is>
      </c>
      <c r="D49" s="45" t="inlineStr">
        <is>
          <t>4520V/210A-B483</t>
        </is>
      </c>
      <c r="E49" s="45">
        <f>IFERROR(VLOOKUP(TRIM(D49), Collection!$B$2:$D$1001, 2, FALSE), "")</f>
        <v/>
      </c>
      <c r="F49" s="48">
        <f>IFERROR(VLOOKUP(TRIM(D49), Collection!$B$2:$D$1001, 3, FALSE), "")</f>
        <v/>
      </c>
      <c r="G49" s="48">
        <f>IFERROR(VALUE(SUBSTITUTE(SUBSTITUTE(F49, "Price", ""), "AED", "")), "")</f>
        <v/>
      </c>
      <c r="H49" s="45" t="inlineStr">
        <is>
          <t>Phone sales Middle East</t>
        </is>
      </c>
      <c r="I49" s="45" t="n">
        <v>104572070</v>
      </c>
      <c r="J49" s="45" t="inlineStr">
        <is>
          <t>Prospect</t>
        </is>
      </c>
      <c r="K49" s="45" t="inlineStr">
        <is>
          <t>TAHHAN Riham</t>
        </is>
      </c>
      <c r="L49" s="45" t="inlineStr">
        <is>
          <t xml:space="preserve"> </t>
        </is>
      </c>
      <c r="M49" s="45">
        <f>IF(COUNTIF($R$3:$R$100, D49) &gt; 0, TRUE, FALSE)</f>
        <v/>
      </c>
    </row>
    <row r="50" ht="31.2" customHeight="1" s="287">
      <c r="A50" s="45" t="inlineStr">
        <is>
          <t>Request</t>
        </is>
      </c>
      <c r="B50" s="45" t="inlineStr">
        <is>
          <t xml:space="preserve"> </t>
        </is>
      </c>
      <c r="C50" s="45" t="inlineStr">
        <is>
          <t>13/3/2025</t>
        </is>
      </c>
      <c r="D50" s="45" t="inlineStr">
        <is>
          <t>4200H/222A-B934</t>
        </is>
      </c>
      <c r="E50" s="45">
        <f>IFERROR(VLOOKUP(TRIM(D50), Collection!$B$2:$D$1001, 2, FALSE), "")</f>
        <v/>
      </c>
      <c r="F50" s="48">
        <f>IFERROR(VLOOKUP(TRIM(D50), Collection!$B$2:$D$1001, 3, FALSE), "")</f>
        <v/>
      </c>
      <c r="G50" s="48">
        <f>IFERROR(VALUE(SUBSTITUTE(SUBSTITUTE(F50, "Price", ""), "AED", "")), "")</f>
        <v/>
      </c>
      <c r="H50" s="45" t="inlineStr">
        <is>
          <t>Phone sales Middle East</t>
        </is>
      </c>
      <c r="I50" s="45" t="n">
        <v>104576008</v>
      </c>
      <c r="J50" s="45" t="inlineStr">
        <is>
          <t>Prospect</t>
        </is>
      </c>
      <c r="K50" s="45" t="inlineStr">
        <is>
          <t>SHARIF Maaz</t>
        </is>
      </c>
      <c r="L50" s="45" t="n">
        <v>222</v>
      </c>
      <c r="M50" s="45">
        <f>IF(COUNTIF($R$3:$R$100, D50) &gt; 0, TRUE, FALSE)</f>
        <v/>
      </c>
    </row>
    <row r="51" ht="31.2" customHeight="1" s="287">
      <c r="A51" s="45" t="inlineStr">
        <is>
          <t>Request</t>
        </is>
      </c>
      <c r="B51" s="45" t="inlineStr">
        <is>
          <t xml:space="preserve"> </t>
        </is>
      </c>
      <c r="C51" s="46" t="n">
        <v>45964</v>
      </c>
      <c r="D51" s="45" t="inlineStr">
        <is>
          <t>4200H/222A-B934</t>
        </is>
      </c>
      <c r="E51" s="45">
        <f>IFERROR(VLOOKUP(TRIM(D51), Collection!$B$2:$D$1001, 2, FALSE), "")</f>
        <v/>
      </c>
      <c r="F51" s="48">
        <f>IFERROR(VLOOKUP(TRIM(D51), Collection!$B$2:$D$1001, 3, FALSE), "")</f>
        <v/>
      </c>
      <c r="G51" s="48">
        <f>IFERROR(VALUE(SUBSTITUTE(SUBSTITUTE(F51, "Price", ""), "AED", "")), "")</f>
        <v/>
      </c>
      <c r="H51" s="45" t="inlineStr">
        <is>
          <t>Phone sales Middle East</t>
        </is>
      </c>
      <c r="I51" s="45" t="n">
        <v>104513303</v>
      </c>
      <c r="J51" s="45" t="inlineStr">
        <is>
          <t>Prospect</t>
        </is>
      </c>
      <c r="K51" s="45" t="inlineStr">
        <is>
          <t>OMARI Asma</t>
        </is>
      </c>
      <c r="L51" s="45" t="inlineStr">
        <is>
          <t>Sultan Aldhaher (ksa)</t>
        </is>
      </c>
      <c r="M51" s="45">
        <f>IF(COUNTIF($R$3:$R$100, D51) &gt; 0, TRUE, FALSE)</f>
        <v/>
      </c>
    </row>
    <row r="52" ht="31.2" customHeight="1" s="287">
      <c r="A52" s="45" t="inlineStr">
        <is>
          <t>Request</t>
        </is>
      </c>
      <c r="B52" s="45" t="inlineStr">
        <is>
          <t xml:space="preserve"> </t>
        </is>
      </c>
      <c r="C52" s="46" t="n">
        <v>45964</v>
      </c>
      <c r="D52" s="45" t="inlineStr">
        <is>
          <t>4200H/222A-B934</t>
        </is>
      </c>
      <c r="E52" s="45">
        <f>IFERROR(VLOOKUP(TRIM(D52), Collection!$B$2:$D$1001, 2, FALSE), "")</f>
        <v/>
      </c>
      <c r="F52" s="48">
        <f>IFERROR(VLOOKUP(TRIM(D52), Collection!$B$2:$D$1001, 3, FALSE), "")</f>
        <v/>
      </c>
      <c r="G52" s="48">
        <f>IFERROR(VALUE(SUBSTITUTE(SUBSTITUTE(F52, "Price", ""), "AED", "")), "")</f>
        <v/>
      </c>
      <c r="H52" s="45" t="inlineStr">
        <is>
          <t>Phone sales Middle East</t>
        </is>
      </c>
      <c r="I52" s="45" t="n">
        <v>103058008</v>
      </c>
      <c r="J52" s="45" t="inlineStr">
        <is>
          <t>Prospect</t>
        </is>
      </c>
      <c r="K52" s="45" t="inlineStr">
        <is>
          <t>TAHHAN Riham</t>
        </is>
      </c>
      <c r="L52" s="45" t="inlineStr">
        <is>
          <t xml:space="preserve"> </t>
        </is>
      </c>
      <c r="M52" s="45">
        <f>IF(COUNTIF($R$3:$R$100, D52) &gt; 0, TRUE, FALSE)</f>
        <v/>
      </c>
    </row>
    <row r="53" ht="31.2" customHeight="1" s="287">
      <c r="A53" s="45" t="inlineStr">
        <is>
          <t>Request</t>
        </is>
      </c>
      <c r="B53" s="45" t="inlineStr">
        <is>
          <t xml:space="preserve"> </t>
        </is>
      </c>
      <c r="C53" s="46" t="n">
        <v>45964</v>
      </c>
      <c r="D53" s="45" t="inlineStr">
        <is>
          <t>4200H/222A-B934</t>
        </is>
      </c>
      <c r="E53" s="45">
        <f>IFERROR(VLOOKUP(TRIM(D53), Collection!$B$2:$D$1001, 2, FALSE), "")</f>
        <v/>
      </c>
      <c r="F53" s="48">
        <f>IFERROR(VLOOKUP(TRIM(D53), Collection!$B$2:$D$1001, 3, FALSE), "")</f>
        <v/>
      </c>
      <c r="G53" s="48">
        <f>IFERROR(VALUE(SUBSTITUTE(SUBSTITUTE(F53, "Price", ""), "AED", "")), "")</f>
        <v/>
      </c>
      <c r="H53" s="45" t="inlineStr">
        <is>
          <t>Phone sales Middle East</t>
        </is>
      </c>
      <c r="I53" s="45" t="n">
        <v>104075516</v>
      </c>
      <c r="J53" s="45" t="inlineStr">
        <is>
          <t>Client</t>
        </is>
      </c>
      <c r="K53" s="45" t="inlineStr">
        <is>
          <t>SHARIF Maaz</t>
        </is>
      </c>
      <c r="L53" s="45" t="inlineStr">
        <is>
          <t>interested in the 222</t>
        </is>
      </c>
      <c r="M53" s="45">
        <f>IF(COUNTIF($R$3:$R$100, D53) &gt; 0, TRUE, FALSE)</f>
        <v/>
      </c>
    </row>
    <row r="54" ht="31.2" customHeight="1" s="287">
      <c r="A54" s="45" t="inlineStr">
        <is>
          <t>Request</t>
        </is>
      </c>
      <c r="B54" s="45" t="inlineStr">
        <is>
          <t xml:space="preserve"> </t>
        </is>
      </c>
      <c r="C54" s="46" t="n">
        <v>45964</v>
      </c>
      <c r="D54" s="45" t="inlineStr">
        <is>
          <t>4200H/222A-B934</t>
        </is>
      </c>
      <c r="E54" s="45">
        <f>IFERROR(VLOOKUP(TRIM(D54), Collection!$B$2:$D$1001, 2, FALSE), "")</f>
        <v/>
      </c>
      <c r="F54" s="48">
        <f>IFERROR(VLOOKUP(TRIM(D54), Collection!$B$2:$D$1001, 3, FALSE), "")</f>
        <v/>
      </c>
      <c r="G54" s="48">
        <f>IFERROR(VALUE(SUBSTITUTE(SUBSTITUTE(F54, "Price", ""), "AED", "")), "")</f>
        <v/>
      </c>
      <c r="H54" s="45" t="inlineStr">
        <is>
          <t>Phone sales Middle East</t>
        </is>
      </c>
      <c r="I54" s="45" t="n">
        <v>101055665</v>
      </c>
      <c r="J54" s="45" t="inlineStr">
        <is>
          <t>Prospect</t>
        </is>
      </c>
      <c r="K54" s="45" t="inlineStr">
        <is>
          <t>TAHHAN Riham</t>
        </is>
      </c>
      <c r="L54" s="45" t="inlineStr">
        <is>
          <t xml:space="preserve"> </t>
        </is>
      </c>
      <c r="M54" s="45">
        <f>IF(COUNTIF($R$3:$R$100, D54) &gt; 0, TRUE, FALSE)</f>
        <v/>
      </c>
    </row>
    <row r="55" ht="31.2" customHeight="1" s="287">
      <c r="A55" s="45" t="inlineStr">
        <is>
          <t>Request</t>
        </is>
      </c>
      <c r="B55" s="45" t="inlineStr">
        <is>
          <t xml:space="preserve"> </t>
        </is>
      </c>
      <c r="C55" s="46" t="n">
        <v>45872</v>
      </c>
      <c r="D55" s="45" t="inlineStr">
        <is>
          <t>4200H/222A-B934</t>
        </is>
      </c>
      <c r="E55" s="45">
        <f>IFERROR(VLOOKUP(TRIM(D55), Collection!$B$2:$D$1001, 2, FALSE), "")</f>
        <v/>
      </c>
      <c r="F55" s="48">
        <f>IFERROR(VLOOKUP(TRIM(D55), Collection!$B$2:$D$1001, 3, FALSE), "")</f>
        <v/>
      </c>
      <c r="G55" s="48">
        <f>IFERROR(VALUE(SUBSTITUTE(SUBSTITUTE(F55, "Price", ""), "AED", "")), "")</f>
        <v/>
      </c>
      <c r="H55" s="45" t="inlineStr">
        <is>
          <t>Phone sales Middle East</t>
        </is>
      </c>
      <c r="I55" s="45" t="n">
        <v>104506669</v>
      </c>
      <c r="J55" s="45" t="inlineStr">
        <is>
          <t>Prospect</t>
        </is>
      </c>
      <c r="K55" s="45" t="inlineStr">
        <is>
          <t>SHARIF Maaz</t>
        </is>
      </c>
      <c r="L55" s="45" t="n">
        <v>222</v>
      </c>
      <c r="M55" s="45">
        <f>IF(COUNTIF($R$3:$R$100, D55) &gt; 0, TRUE, FALSE)</f>
        <v/>
      </c>
    </row>
    <row r="56" ht="31.2" customHeight="1" s="287">
      <c r="A56" s="45" t="inlineStr">
        <is>
          <t>Request</t>
        </is>
      </c>
      <c r="B56" s="45" t="inlineStr">
        <is>
          <t xml:space="preserve"> </t>
        </is>
      </c>
      <c r="C56" s="46" t="n">
        <v>45872</v>
      </c>
      <c r="D56" s="45" t="inlineStr">
        <is>
          <t>6000T/000R-B346</t>
        </is>
      </c>
      <c r="E56" s="45">
        <f>IFERROR(VLOOKUP(TRIM(D56), Collection!$B$2:$D$1001, 2, FALSE), "")</f>
        <v/>
      </c>
      <c r="F56" s="48">
        <f>IFERROR(VLOOKUP(TRIM(D56), Collection!$B$2:$D$1001, 3, FALSE), "")</f>
        <v/>
      </c>
      <c r="G56" s="48">
        <f>IFERROR(VALUE(SUBSTITUTE(SUBSTITUTE(F56, "Price", ""), "AED", "")), "")</f>
        <v/>
      </c>
      <c r="H56" s="45" t="inlineStr">
        <is>
          <t>Phone sales Middle East</t>
        </is>
      </c>
      <c r="I56" s="45" t="n">
        <v>104509438</v>
      </c>
      <c r="J56" s="45" t="inlineStr">
        <is>
          <t>Prospect</t>
        </is>
      </c>
      <c r="K56" s="45" t="inlineStr">
        <is>
          <t>SHARIF Maaz</t>
        </is>
      </c>
      <c r="L56" s="45" t="n"/>
      <c r="M56" s="45">
        <f>IF(COUNTIF($R$3:$R$100, D56) &gt; 0, TRUE, FALSE)</f>
        <v/>
      </c>
    </row>
    <row r="57" ht="31.2" customHeight="1" s="287">
      <c r="A57" s="45" t="inlineStr">
        <is>
          <t>Request</t>
        </is>
      </c>
      <c r="B57" s="45" t="inlineStr">
        <is>
          <t xml:space="preserve"> </t>
        </is>
      </c>
      <c r="C57" s="46" t="n">
        <v>45872</v>
      </c>
      <c r="D57" s="45" t="inlineStr">
        <is>
          <t>7920V/210R-B965</t>
        </is>
      </c>
      <c r="E57" s="45">
        <f>IFERROR(VLOOKUP(TRIM(D57), Collection!$B$2:$D$1001, 2, FALSE), "")</f>
        <v/>
      </c>
      <c r="F57" s="48">
        <f>IFERROR(VLOOKUP(TRIM(D57), Collection!$B$2:$D$1001, 3, FALSE), "")</f>
        <v/>
      </c>
      <c r="G57" s="48">
        <f>IFERROR(VALUE(SUBSTITUTE(SUBSTITUTE(F57, "Price", ""), "AED", "")), "")</f>
        <v/>
      </c>
      <c r="H57" s="45" t="inlineStr">
        <is>
          <t>Phone sales Middle East</t>
        </is>
      </c>
      <c r="I57" s="45" t="n">
        <v>105118480</v>
      </c>
      <c r="J57" s="45" t="inlineStr">
        <is>
          <t>Prospect</t>
        </is>
      </c>
      <c r="K57" s="45" t="inlineStr">
        <is>
          <t>SHARIF Maaz</t>
        </is>
      </c>
      <c r="L57" s="45" t="inlineStr">
        <is>
          <t>Dual time green</t>
        </is>
      </c>
      <c r="M57" s="45">
        <f>IF(COUNTIF($R$3:$R$100, D57) &gt; 0, TRUE, FALSE)</f>
        <v/>
      </c>
    </row>
    <row r="58" ht="31.2" customHeight="1" s="287">
      <c r="A58" s="45" t="inlineStr">
        <is>
          <t>Request</t>
        </is>
      </c>
      <c r="B58" s="45" t="inlineStr">
        <is>
          <t xml:space="preserve"> </t>
        </is>
      </c>
      <c r="C58" s="46" t="n">
        <v>45841</v>
      </c>
      <c r="D58" s="45" t="inlineStr">
        <is>
          <t>4200H/222A-B934</t>
        </is>
      </c>
      <c r="E58" s="45">
        <f>IFERROR(VLOOKUP(TRIM(D58), Collection!$B$2:$D$1001, 2, FALSE), "")</f>
        <v/>
      </c>
      <c r="F58" s="48">
        <f>IFERROR(VLOOKUP(TRIM(D58), Collection!$B$2:$D$1001, 3, FALSE), "")</f>
        <v/>
      </c>
      <c r="G58" s="48">
        <f>IFERROR(VALUE(SUBSTITUTE(SUBSTITUTE(F58, "Price", ""), "AED", "")), "")</f>
        <v/>
      </c>
      <c r="H58" s="45" t="inlineStr">
        <is>
          <t>Phone sales Middle East</t>
        </is>
      </c>
      <c r="I58" s="45" t="n">
        <v>102277427</v>
      </c>
      <c r="J58" s="45" t="inlineStr">
        <is>
          <t>Prospect</t>
        </is>
      </c>
      <c r="K58" s="45" t="inlineStr">
        <is>
          <t>OMARI Asma</t>
        </is>
      </c>
      <c r="L58" s="45" t="inlineStr">
        <is>
          <t>Mr. Fida Hussain</t>
        </is>
      </c>
      <c r="M58" s="45">
        <f>IF(COUNTIF($R$3:$R$100, D58) &gt; 0, TRUE, FALSE)</f>
        <v/>
      </c>
    </row>
    <row r="59" ht="31.2" customHeight="1" s="287">
      <c r="A59" s="45" t="inlineStr">
        <is>
          <t>Request</t>
        </is>
      </c>
      <c r="B59" s="45" t="inlineStr">
        <is>
          <t xml:space="preserve"> </t>
        </is>
      </c>
      <c r="C59" s="46" t="n">
        <v>45841</v>
      </c>
      <c r="D59" s="45" t="inlineStr">
        <is>
          <t>4200H/222A-B934</t>
        </is>
      </c>
      <c r="E59" s="45">
        <f>IFERROR(VLOOKUP(TRIM(D59), Collection!$B$2:$D$1001, 2, FALSE), "")</f>
        <v/>
      </c>
      <c r="F59" s="48">
        <f>IFERROR(VLOOKUP(TRIM(D59), Collection!$B$2:$D$1001, 3, FALSE), "")</f>
        <v/>
      </c>
      <c r="G59" s="48">
        <f>IFERROR(VALUE(SUBSTITUTE(SUBSTITUTE(F59, "Price", ""), "AED", "")), "")</f>
        <v/>
      </c>
      <c r="H59" s="45" t="inlineStr">
        <is>
          <t>Phone sales Middle East</t>
        </is>
      </c>
      <c r="I59" s="45" t="n">
        <v>91002249</v>
      </c>
      <c r="J59" s="45" t="inlineStr">
        <is>
          <t>Prospect</t>
        </is>
      </c>
      <c r="K59" s="45" t="inlineStr">
        <is>
          <t>OMARI Asma</t>
        </is>
      </c>
      <c r="L59" s="45" t="inlineStr">
        <is>
          <t>Abdullaziz Alshreef : KSA</t>
        </is>
      </c>
      <c r="M59" s="45">
        <f>IF(COUNTIF($R$3:$R$100, D59) &gt; 0, TRUE, FALSE)</f>
        <v/>
      </c>
    </row>
    <row r="60" ht="31.2" customHeight="1" s="287">
      <c r="A60" s="45" t="inlineStr">
        <is>
          <t>Request</t>
        </is>
      </c>
      <c r="B60" s="45" t="inlineStr">
        <is>
          <t xml:space="preserve"> </t>
        </is>
      </c>
      <c r="C60" s="46" t="n">
        <v>45841</v>
      </c>
      <c r="D60" s="45" t="inlineStr">
        <is>
          <t>4200H/222A-B934</t>
        </is>
      </c>
      <c r="E60" s="45">
        <f>IFERROR(VLOOKUP(TRIM(D60), Collection!$B$2:$D$1001, 2, FALSE), "")</f>
        <v/>
      </c>
      <c r="F60" s="48">
        <f>IFERROR(VLOOKUP(TRIM(D60), Collection!$B$2:$D$1001, 3, FALSE), "")</f>
        <v/>
      </c>
      <c r="G60" s="48">
        <f>IFERROR(VALUE(SUBSTITUTE(SUBSTITUTE(F60, "Price", ""), "AED", "")), "")</f>
        <v/>
      </c>
      <c r="H60" s="45" t="inlineStr">
        <is>
          <t>Phone sales Middle East</t>
        </is>
      </c>
      <c r="I60" s="45" t="n">
        <v>104481449</v>
      </c>
      <c r="J60" s="45" t="inlineStr">
        <is>
          <t>Prospect</t>
        </is>
      </c>
      <c r="K60" s="45" t="inlineStr">
        <is>
          <t>OMARI Asma</t>
        </is>
      </c>
      <c r="L60" s="45" t="inlineStr">
        <is>
          <t>Alhasan Alkindi</t>
        </is>
      </c>
      <c r="M60" s="45">
        <f>IF(COUNTIF($R$3:$R$100, D60) &gt; 0, TRUE, FALSE)</f>
        <v/>
      </c>
    </row>
    <row r="61" ht="31.2" customHeight="1" s="287">
      <c r="A61" s="45" t="inlineStr">
        <is>
          <t>Request</t>
        </is>
      </c>
      <c r="B61" s="45" t="inlineStr">
        <is>
          <t xml:space="preserve"> </t>
        </is>
      </c>
      <c r="C61" s="46" t="n">
        <v>45841</v>
      </c>
      <c r="D61" s="45" t="inlineStr">
        <is>
          <t>4200H/222A-B934</t>
        </is>
      </c>
      <c r="E61" s="45">
        <f>IFERROR(VLOOKUP(TRIM(D61), Collection!$B$2:$D$1001, 2, FALSE), "")</f>
        <v/>
      </c>
      <c r="F61" s="48">
        <f>IFERROR(VLOOKUP(TRIM(D61), Collection!$B$2:$D$1001, 3, FALSE), "")</f>
        <v/>
      </c>
      <c r="G61" s="48">
        <f>IFERROR(VALUE(SUBSTITUTE(SUBSTITUTE(F61, "Price", ""), "AED", "")), "")</f>
        <v/>
      </c>
      <c r="H61" s="45" t="inlineStr">
        <is>
          <t>Phone sales Middle East</t>
        </is>
      </c>
      <c r="I61" s="45" t="n">
        <v>104455540</v>
      </c>
      <c r="J61" s="45" t="inlineStr">
        <is>
          <t>Prospect</t>
        </is>
      </c>
      <c r="K61" s="45" t="inlineStr">
        <is>
          <t>OMARI Asma</t>
        </is>
      </c>
      <c r="L61" s="45" t="inlineStr">
        <is>
          <t>Andrey Karpov</t>
        </is>
      </c>
      <c r="M61" s="45">
        <f>IF(COUNTIF($R$3:$R$100, D61) &gt; 0, TRUE, FALSE)</f>
        <v/>
      </c>
    </row>
    <row r="62" ht="31.2" customHeight="1" s="287">
      <c r="A62" s="45" t="inlineStr">
        <is>
          <t>Request</t>
        </is>
      </c>
      <c r="B62" s="45" t="inlineStr">
        <is>
          <t xml:space="preserve"> </t>
        </is>
      </c>
      <c r="C62" s="46" t="n">
        <v>45841</v>
      </c>
      <c r="D62" s="45" t="inlineStr">
        <is>
          <t>4200H/222A-B934</t>
        </is>
      </c>
      <c r="E62" s="45">
        <f>IFERROR(VLOOKUP(TRIM(D62), Collection!$B$2:$D$1001, 2, FALSE), "")</f>
        <v/>
      </c>
      <c r="F62" s="48">
        <f>IFERROR(VLOOKUP(TRIM(D62), Collection!$B$2:$D$1001, 3, FALSE), "")</f>
        <v/>
      </c>
      <c r="G62" s="48">
        <f>IFERROR(VALUE(SUBSTITUTE(SUBSTITUTE(F62, "Price", ""), "AED", "")), "")</f>
        <v/>
      </c>
      <c r="H62" s="45" t="inlineStr">
        <is>
          <t>Phone sales Middle East</t>
        </is>
      </c>
      <c r="I62" s="45" t="n">
        <v>103831079</v>
      </c>
      <c r="J62" s="45" t="inlineStr">
        <is>
          <t>Prospect</t>
        </is>
      </c>
      <c r="K62" s="45" t="inlineStr">
        <is>
          <t>SHARIF Maaz</t>
        </is>
      </c>
      <c r="L62" s="45" t="n">
        <v>222</v>
      </c>
      <c r="M62" s="45">
        <f>IF(COUNTIF($R$3:$R$100, D62) &gt; 0, TRUE, FALSE)</f>
        <v/>
      </c>
    </row>
    <row r="63" ht="31.2" customHeight="1" s="287">
      <c r="A63" s="45" t="inlineStr">
        <is>
          <t>Request</t>
        </is>
      </c>
      <c r="B63" s="45" t="inlineStr">
        <is>
          <t xml:space="preserve"> </t>
        </is>
      </c>
      <c r="C63" s="46" t="n">
        <v>45841</v>
      </c>
      <c r="D63" s="45" t="inlineStr">
        <is>
          <t>4200H/222A-B934</t>
        </is>
      </c>
      <c r="E63" s="45">
        <f>IFERROR(VLOOKUP(TRIM(D63), Collection!$B$2:$D$1001, 2, FALSE), "")</f>
        <v/>
      </c>
      <c r="F63" s="48">
        <f>IFERROR(VLOOKUP(TRIM(D63), Collection!$B$2:$D$1001, 3, FALSE), "")</f>
        <v/>
      </c>
      <c r="G63" s="48">
        <f>IFERROR(VALUE(SUBSTITUTE(SUBSTITUTE(F63, "Price", ""), "AED", "")), "")</f>
        <v/>
      </c>
      <c r="H63" s="45" t="inlineStr">
        <is>
          <t>Phone sales Middle East</t>
        </is>
      </c>
      <c r="I63" s="45" t="n">
        <v>104909110</v>
      </c>
      <c r="J63" s="45" t="inlineStr">
        <is>
          <t>Prospect</t>
        </is>
      </c>
      <c r="K63" s="45" t="inlineStr">
        <is>
          <t>SHARIF Maaz</t>
        </is>
      </c>
      <c r="L63" s="45" t="n">
        <v>222</v>
      </c>
      <c r="M63" s="45">
        <f>IF(COUNTIF($R$3:$R$100, D63) &gt; 0, TRUE, FALSE)</f>
        <v/>
      </c>
    </row>
    <row r="64" ht="31.2" customHeight="1" s="287">
      <c r="A64" s="45" t="inlineStr">
        <is>
          <t>Request</t>
        </is>
      </c>
      <c r="B64" s="45" t="inlineStr">
        <is>
          <t xml:space="preserve"> </t>
        </is>
      </c>
      <c r="C64" s="46" t="n">
        <v>45811</v>
      </c>
      <c r="D64" s="45" t="inlineStr">
        <is>
          <t>4520V/210A-B128</t>
        </is>
      </c>
      <c r="E64" s="45">
        <f>IFERROR(VLOOKUP(TRIM(D64), Collection!$B$2:$D$1001, 2, FALSE), "")</f>
        <v/>
      </c>
      <c r="F64" s="48">
        <f>IFERROR(VLOOKUP(TRIM(D64), Collection!$B$2:$D$1001, 3, FALSE), "")</f>
        <v/>
      </c>
      <c r="G64" s="48">
        <f>IFERROR(VALUE(SUBSTITUTE(SUBSTITUTE(F64, "Price", ""), "AED", "")), "")</f>
        <v/>
      </c>
      <c r="H64" s="45" t="inlineStr">
        <is>
          <t>Phone sales Middle East</t>
        </is>
      </c>
      <c r="I64" s="45" t="n">
        <v>104241748</v>
      </c>
      <c r="J64" s="45" t="inlineStr">
        <is>
          <t>Prospect</t>
        </is>
      </c>
      <c r="K64" s="45" t="inlineStr">
        <is>
          <t>OMARI Asma</t>
        </is>
      </c>
      <c r="L64" s="45" t="inlineStr">
        <is>
          <t>DR Ali Aldhanhani</t>
        </is>
      </c>
      <c r="M64" s="45">
        <f>IF(COUNTIF($R$3:$R$100, D64) &gt; 0, TRUE, FALSE)</f>
        <v/>
      </c>
    </row>
    <row r="65" ht="31.2" customHeight="1" s="287">
      <c r="A65" s="45" t="inlineStr">
        <is>
          <t>Request</t>
        </is>
      </c>
      <c r="B65" s="45" t="inlineStr">
        <is>
          <t xml:space="preserve"> </t>
        </is>
      </c>
      <c r="C65" s="46" t="n">
        <v>45780</v>
      </c>
      <c r="D65" s="45" t="inlineStr">
        <is>
          <t>4200H/222A-B934</t>
        </is>
      </c>
      <c r="E65" s="45">
        <f>IFERROR(VLOOKUP(TRIM(D65), Collection!$B$2:$D$1001, 2, FALSE), "")</f>
        <v/>
      </c>
      <c r="F65" s="48">
        <f>IFERROR(VLOOKUP(TRIM(D65), Collection!$B$2:$D$1001, 3, FALSE), "")</f>
        <v/>
      </c>
      <c r="G65" s="48">
        <f>IFERROR(VALUE(SUBSTITUTE(SUBSTITUTE(F65, "Price", ""), "AED", "")), "")</f>
        <v/>
      </c>
      <c r="H65" s="45" t="inlineStr">
        <is>
          <t>Phone sales Middle East</t>
        </is>
      </c>
      <c r="I65" s="45" t="n">
        <v>104457258</v>
      </c>
      <c r="J65" s="45" t="inlineStr">
        <is>
          <t>Prospect</t>
        </is>
      </c>
      <c r="K65" s="45" t="inlineStr">
        <is>
          <t>SHARIF Maaz</t>
        </is>
      </c>
      <c r="L65" s="45" t="n">
        <v>222</v>
      </c>
      <c r="M65" s="45">
        <f>IF(COUNTIF($R$3:$R$100, D65) &gt; 0, TRUE, FALSE)</f>
        <v/>
      </c>
    </row>
    <row r="66" ht="31.2" customHeight="1" s="287">
      <c r="A66" s="45" t="inlineStr">
        <is>
          <t>Request</t>
        </is>
      </c>
      <c r="B66" s="45" t="inlineStr">
        <is>
          <t xml:space="preserve"> </t>
        </is>
      </c>
      <c r="C66" s="46" t="n">
        <v>45780</v>
      </c>
      <c r="D66" s="45" t="inlineStr">
        <is>
          <t>4200H/222A-B934</t>
        </is>
      </c>
      <c r="E66" s="45">
        <f>IFERROR(VLOOKUP(TRIM(D66), Collection!$B$2:$D$1001, 2, FALSE), "")</f>
        <v/>
      </c>
      <c r="F66" s="48">
        <f>IFERROR(VLOOKUP(TRIM(D66), Collection!$B$2:$D$1001, 3, FALSE), "")</f>
        <v/>
      </c>
      <c r="G66" s="48">
        <f>IFERROR(VALUE(SUBSTITUTE(SUBSTITUTE(F66, "Price", ""), "AED", "")), "")</f>
        <v/>
      </c>
      <c r="H66" s="45" t="inlineStr">
        <is>
          <t>Phone sales Middle East</t>
        </is>
      </c>
      <c r="I66" s="45" t="n">
        <v>104482467</v>
      </c>
      <c r="J66" s="45" t="inlineStr">
        <is>
          <t>Prospect</t>
        </is>
      </c>
      <c r="K66" s="45" t="inlineStr">
        <is>
          <t>SHARIF Maaz</t>
        </is>
      </c>
      <c r="L66" s="45" t="n">
        <v>222</v>
      </c>
      <c r="M66" s="45">
        <f>IF(COUNTIF($R$3:$R$100, D66) &gt; 0, TRUE, FALSE)</f>
        <v/>
      </c>
    </row>
    <row r="67" ht="31.2" customHeight="1" s="287">
      <c r="A67" s="45" t="inlineStr">
        <is>
          <t>Request</t>
        </is>
      </c>
      <c r="B67" s="45" t="inlineStr">
        <is>
          <t xml:space="preserve"> </t>
        </is>
      </c>
      <c r="C67" s="46" t="n">
        <v>45750</v>
      </c>
      <c r="D67" s="45" t="inlineStr">
        <is>
          <t>4200H/222A-B934</t>
        </is>
      </c>
      <c r="E67" s="45">
        <f>IFERROR(VLOOKUP(TRIM(D67), Collection!$B$2:$D$1001, 2, FALSE), "")</f>
        <v/>
      </c>
      <c r="F67" s="48">
        <f>IFERROR(VLOOKUP(TRIM(D67), Collection!$B$2:$D$1001, 3, FALSE), "")</f>
        <v/>
      </c>
      <c r="G67" s="48">
        <f>IFERROR(VALUE(SUBSTITUTE(SUBSTITUTE(F67, "Price", ""), "AED", "")), "")</f>
        <v/>
      </c>
      <c r="H67" s="45" t="inlineStr">
        <is>
          <t>Phone sales Middle East</t>
        </is>
      </c>
      <c r="I67" s="45" t="n">
        <v>104455380</v>
      </c>
      <c r="J67" s="45" t="inlineStr">
        <is>
          <t>Prospect</t>
        </is>
      </c>
      <c r="K67" s="45" t="inlineStr">
        <is>
          <t>OMARI Asma</t>
        </is>
      </c>
      <c r="L67" s="45" t="inlineStr">
        <is>
          <t>Mr. Peter AROKIANATHAN (ksa)</t>
        </is>
      </c>
      <c r="M67" s="45">
        <f>IF(COUNTIF($R$3:$R$100, D67) &gt; 0, TRUE, FALSE)</f>
        <v/>
      </c>
    </row>
    <row r="68" ht="46.95" customHeight="1" s="287">
      <c r="A68" s="45" t="inlineStr">
        <is>
          <t>Request</t>
        </is>
      </c>
      <c r="B68" s="45" t="inlineStr">
        <is>
          <t xml:space="preserve"> </t>
        </is>
      </c>
      <c r="C68" s="46" t="n">
        <v>45750</v>
      </c>
      <c r="D68" s="45" t="inlineStr">
        <is>
          <t>4520V/210R-B967</t>
        </is>
      </c>
      <c r="E68" s="45">
        <f>IFERROR(VLOOKUP(TRIM(D68), Collection!$B$2:$D$1001, 2, FALSE), "")</f>
        <v/>
      </c>
      <c r="F68" s="48">
        <f>IFERROR(VLOOKUP(TRIM(D68), Collection!$B$2:$D$1001, 3, FALSE), "")</f>
        <v/>
      </c>
      <c r="G68" s="48">
        <f>IFERROR(VALUE(SUBSTITUTE(SUBSTITUTE(F68, "Price", ""), "AED", "")), "")</f>
        <v/>
      </c>
      <c r="H68" s="45" t="inlineStr">
        <is>
          <t>Phone sales Middle East</t>
        </is>
      </c>
      <c r="I68" s="45" t="n">
        <v>104455689</v>
      </c>
      <c r="J68" s="45" t="inlineStr">
        <is>
          <t>Prospect</t>
        </is>
      </c>
      <c r="K68" s="45" t="inlineStr">
        <is>
          <t>TAHHAN Riham</t>
        </is>
      </c>
      <c r="L68" s="45" t="inlineStr">
        <is>
          <t>Would like the pick up to be end of Dec first of Jan</t>
        </is>
      </c>
      <c r="M68" s="45">
        <f>IF(COUNTIF($R$3:$R$100, D68) &gt; 0, TRUE, FALSE)</f>
        <v/>
      </c>
    </row>
    <row r="69" ht="31.2" customHeight="1" s="287">
      <c r="A69" s="45" t="inlineStr">
        <is>
          <t>Request</t>
        </is>
      </c>
      <c r="B69" s="45" t="inlineStr">
        <is>
          <t xml:space="preserve"> </t>
        </is>
      </c>
      <c r="C69" s="46" t="n">
        <v>45750</v>
      </c>
      <c r="D69" s="45" t="inlineStr">
        <is>
          <t>7920V/210R-B965</t>
        </is>
      </c>
      <c r="E69" s="45">
        <f>IFERROR(VLOOKUP(TRIM(D69), Collection!$B$2:$D$1001, 2, FALSE), "")</f>
        <v/>
      </c>
      <c r="F69" s="48">
        <f>IFERROR(VLOOKUP(TRIM(D69), Collection!$B$2:$D$1001, 3, FALSE), "")</f>
        <v/>
      </c>
      <c r="G69" s="48">
        <f>IFERROR(VALUE(SUBSTITUTE(SUBSTITUTE(F69, "Price", ""), "AED", "")), "")</f>
        <v/>
      </c>
      <c r="H69" s="45" t="inlineStr">
        <is>
          <t>Phone sales Middle East</t>
        </is>
      </c>
      <c r="I69" s="45" t="n">
        <v>104455689</v>
      </c>
      <c r="J69" s="45" t="inlineStr">
        <is>
          <t>Prospect</t>
        </is>
      </c>
      <c r="K69" s="45" t="inlineStr">
        <is>
          <t>TAHHAN Riham</t>
        </is>
      </c>
      <c r="L69" s="45" t="inlineStr">
        <is>
          <t xml:space="preserve"> </t>
        </is>
      </c>
      <c r="M69" s="45">
        <f>IF(COUNTIF($R$3:$R$100, D69) &gt; 0, TRUE, FALSE)</f>
        <v/>
      </c>
    </row>
    <row r="70" ht="31.2" customHeight="1" s="287">
      <c r="A70" s="45" t="inlineStr">
        <is>
          <t>Request</t>
        </is>
      </c>
      <c r="B70" s="45" t="inlineStr">
        <is>
          <t xml:space="preserve"> </t>
        </is>
      </c>
      <c r="C70" s="46" t="n">
        <v>45750</v>
      </c>
      <c r="D70" s="45" t="inlineStr">
        <is>
          <t>4200H/222A-B934</t>
        </is>
      </c>
      <c r="E70" s="45">
        <f>IFERROR(VLOOKUP(TRIM(D70), Collection!$B$2:$D$1001, 2, FALSE), "")</f>
        <v/>
      </c>
      <c r="F70" s="48">
        <f>IFERROR(VLOOKUP(TRIM(D70), Collection!$B$2:$D$1001, 3, FALSE), "")</f>
        <v/>
      </c>
      <c r="G70" s="48">
        <f>IFERROR(VALUE(SUBSTITUTE(SUBSTITUTE(F70, "Price", ""), "AED", "")), "")</f>
        <v/>
      </c>
      <c r="H70" s="45" t="inlineStr">
        <is>
          <t>Phone sales Middle East</t>
        </is>
      </c>
      <c r="I70" s="45" t="n">
        <v>104455472</v>
      </c>
      <c r="J70" s="45" t="inlineStr">
        <is>
          <t>Prospect</t>
        </is>
      </c>
      <c r="K70" s="45" t="inlineStr">
        <is>
          <t>TAHHAN Riham</t>
        </is>
      </c>
      <c r="L70" s="45" t="inlineStr">
        <is>
          <t xml:space="preserve"> </t>
        </is>
      </c>
      <c r="M70" s="45">
        <f>IF(COUNTIF($R$3:$R$100, D70) &gt; 0, TRUE, FALSE)</f>
        <v/>
      </c>
    </row>
    <row r="71" ht="31.2" customHeight="1" s="287">
      <c r="A71" s="45" t="inlineStr">
        <is>
          <t>Request</t>
        </is>
      </c>
      <c r="B71" s="45" t="inlineStr">
        <is>
          <t xml:space="preserve"> </t>
        </is>
      </c>
      <c r="C71" s="46" t="n">
        <v>45750</v>
      </c>
      <c r="D71" s="45" t="inlineStr">
        <is>
          <t>4200H/222A-B934</t>
        </is>
      </c>
      <c r="E71" s="45">
        <f>IFERROR(VLOOKUP(TRIM(D71), Collection!$B$2:$D$1001, 2, FALSE), "")</f>
        <v/>
      </c>
      <c r="F71" s="48">
        <f>IFERROR(VLOOKUP(TRIM(D71), Collection!$B$2:$D$1001, 3, FALSE), "")</f>
        <v/>
      </c>
      <c r="G71" s="48">
        <f>IFERROR(VALUE(SUBSTITUTE(SUBSTITUTE(F71, "Price", ""), "AED", "")), "")</f>
        <v/>
      </c>
      <c r="H71" s="45" t="inlineStr">
        <is>
          <t>Phone sales Middle East</t>
        </is>
      </c>
      <c r="I71" s="45" t="n">
        <v>91002262</v>
      </c>
      <c r="J71" s="45" t="inlineStr">
        <is>
          <t>Prospect</t>
        </is>
      </c>
      <c r="K71" s="45" t="inlineStr">
        <is>
          <t>TAHHAN Riham</t>
        </is>
      </c>
      <c r="L71" s="45" t="inlineStr">
        <is>
          <t xml:space="preserve"> </t>
        </is>
      </c>
      <c r="M71" s="45">
        <f>IF(COUNTIF($R$3:$R$100, D71) &gt; 0, TRUE, FALSE)</f>
        <v/>
      </c>
    </row>
    <row r="72" ht="62.4" customHeight="1" s="287">
      <c r="A72" s="45" t="inlineStr">
        <is>
          <t>Request</t>
        </is>
      </c>
      <c r="B72" s="45" t="inlineStr">
        <is>
          <t xml:space="preserve"> </t>
        </is>
      </c>
      <c r="C72" s="46" t="n">
        <v>45750</v>
      </c>
      <c r="D72" s="45" t="inlineStr">
        <is>
          <t>7920V/210A-B546</t>
        </is>
      </c>
      <c r="E72" s="45">
        <f>IFERROR(VLOOKUP(TRIM(D72), Collection!$B$2:$D$1001, 2, FALSE), "")</f>
        <v/>
      </c>
      <c r="F72" s="48">
        <f>IFERROR(VLOOKUP(TRIM(D72), Collection!$B$2:$D$1001, 3, FALSE), "")</f>
        <v/>
      </c>
      <c r="G72" s="48">
        <f>IFERROR(VALUE(SUBSTITUTE(SUBSTITUTE(F72, "Price", ""), "AED", "")), "")</f>
        <v/>
      </c>
      <c r="H72" s="45" t="inlineStr">
        <is>
          <t>Phone sales Middle East</t>
        </is>
      </c>
      <c r="I72" s="45" t="n">
        <v>104459323</v>
      </c>
      <c r="J72" s="45" t="inlineStr">
        <is>
          <t>Prospect</t>
        </is>
      </c>
      <c r="K72" s="45" t="inlineStr">
        <is>
          <t>SHARIF Maaz</t>
        </is>
      </c>
      <c r="L72" s="45" t="inlineStr">
        <is>
          <t>the client is interested in the dual and Chronograph black dial</t>
        </is>
      </c>
      <c r="M72" s="45">
        <f>IF(COUNTIF($R$3:$R$100, D72) &gt; 0, TRUE, FALSE)</f>
        <v/>
      </c>
    </row>
    <row r="73" ht="31.2" customHeight="1" s="287">
      <c r="A73" s="45" t="inlineStr">
        <is>
          <t>Request</t>
        </is>
      </c>
      <c r="B73" s="45" t="inlineStr">
        <is>
          <t xml:space="preserve"> </t>
        </is>
      </c>
      <c r="C73" s="46" t="n">
        <v>45660</v>
      </c>
      <c r="D73" s="45" t="inlineStr">
        <is>
          <t>4200H/222A-B934</t>
        </is>
      </c>
      <c r="E73" s="45">
        <f>IFERROR(VLOOKUP(TRIM(D73), Collection!$B$2:$D$1001, 2, FALSE), "")</f>
        <v/>
      </c>
      <c r="F73" s="48">
        <f>IFERROR(VLOOKUP(TRIM(D73), Collection!$B$2:$D$1001, 3, FALSE), "")</f>
        <v/>
      </c>
      <c r="G73" s="48">
        <f>IFERROR(VALUE(SUBSTITUTE(SUBSTITUTE(F73, "Price", ""), "AED", "")), "")</f>
        <v/>
      </c>
      <c r="H73" s="45" t="inlineStr">
        <is>
          <t>Phone sales Middle East</t>
        </is>
      </c>
      <c r="I73" s="45" t="n">
        <v>104397738</v>
      </c>
      <c r="J73" s="45" t="inlineStr">
        <is>
          <t>Prospect</t>
        </is>
      </c>
      <c r="K73" s="45" t="inlineStr">
        <is>
          <t>SHARIF Maaz</t>
        </is>
      </c>
      <c r="L73" s="45" t="inlineStr">
        <is>
          <t>interested in the 222 and dual time</t>
        </is>
      </c>
      <c r="M73" s="45">
        <f>IF(COUNTIF($R$3:$R$100, D73) &gt; 0, TRUE, FALSE)</f>
        <v/>
      </c>
    </row>
    <row r="74" ht="31.2" customHeight="1" s="287">
      <c r="A74" s="45" t="inlineStr">
        <is>
          <t>Request</t>
        </is>
      </c>
      <c r="B74" s="45" t="inlineStr">
        <is>
          <t xml:space="preserve"> </t>
        </is>
      </c>
      <c r="C74" s="46" t="n">
        <v>45660</v>
      </c>
      <c r="D74" s="45" t="inlineStr">
        <is>
          <t>4200H/222J-B935</t>
        </is>
      </c>
      <c r="E74" s="45">
        <f>IFERROR(VLOOKUP(TRIM(D74), Collection!$B$2:$D$1001, 2, FALSE), "")</f>
        <v/>
      </c>
      <c r="F74" s="48">
        <f>IFERROR(VLOOKUP(TRIM(D74), Collection!$B$2:$D$1001, 3, FALSE), "")</f>
        <v/>
      </c>
      <c r="G74" s="48">
        <f>IFERROR(VALUE(SUBSTITUTE(SUBSTITUTE(F74, "Price", ""), "AED", "")), "")</f>
        <v/>
      </c>
      <c r="H74" s="45" t="inlineStr">
        <is>
          <t>Phone sales Middle East</t>
        </is>
      </c>
      <c r="I74" s="45" t="n">
        <v>98874827</v>
      </c>
      <c r="J74" s="45" t="inlineStr">
        <is>
          <t>Prospect</t>
        </is>
      </c>
      <c r="K74" s="45" t="inlineStr">
        <is>
          <t>SHARIF Maaz</t>
        </is>
      </c>
      <c r="L74" s="45" t="inlineStr">
        <is>
          <t>the client intrested in the 222</t>
        </is>
      </c>
      <c r="M74" s="45">
        <f>IF(COUNTIF($R$3:$R$100, D74) &gt; 0, TRUE, FALSE)</f>
        <v/>
      </c>
    </row>
    <row r="75" ht="31.2" customHeight="1" s="287">
      <c r="A75" s="45" t="inlineStr">
        <is>
          <t>Request</t>
        </is>
      </c>
      <c r="B75" s="45" t="inlineStr">
        <is>
          <t xml:space="preserve"> </t>
        </is>
      </c>
      <c r="C75" s="46" t="n">
        <v>45660</v>
      </c>
      <c r="D75" s="45" t="inlineStr">
        <is>
          <t>4200H/222A-B934</t>
        </is>
      </c>
      <c r="E75" s="45">
        <f>IFERROR(VLOOKUP(TRIM(D75), Collection!$B$2:$D$1001, 2, FALSE), "")</f>
        <v/>
      </c>
      <c r="F75" s="48">
        <f>IFERROR(VLOOKUP(TRIM(D75), Collection!$B$2:$D$1001, 3, FALSE), "")</f>
        <v/>
      </c>
      <c r="G75" s="48">
        <f>IFERROR(VALUE(SUBSTITUTE(SUBSTITUTE(F75, "Price", ""), "AED", "")), "")</f>
        <v/>
      </c>
      <c r="H75" s="45" t="inlineStr">
        <is>
          <t>Phone sales Middle East</t>
        </is>
      </c>
      <c r="I75" s="45" t="n">
        <v>104457807</v>
      </c>
      <c r="J75" s="45" t="inlineStr">
        <is>
          <t>Prospect</t>
        </is>
      </c>
      <c r="K75" s="45" t="inlineStr">
        <is>
          <t>SHARIF Maaz</t>
        </is>
      </c>
      <c r="L75" s="45" t="inlineStr">
        <is>
          <t>the client is interested</t>
        </is>
      </c>
      <c r="M75" s="45">
        <f>IF(COUNTIF($R$3:$R$100, D75) &gt; 0, TRUE, FALSE)</f>
        <v/>
      </c>
    </row>
    <row r="76" ht="156" customHeight="1" s="287">
      <c r="A76" s="45" t="inlineStr">
        <is>
          <t>Request</t>
        </is>
      </c>
      <c r="B76" s="45" t="inlineStr">
        <is>
          <t xml:space="preserve"> </t>
        </is>
      </c>
      <c r="C76" s="46" t="n">
        <v>45660</v>
      </c>
      <c r="D76" s="45" t="inlineStr">
        <is>
          <t>6010T/000R-B638</t>
        </is>
      </c>
      <c r="E76" s="45">
        <f>IFERROR(VLOOKUP(TRIM(D76), Collection!$B$2:$D$1001, 2, FALSE), "")</f>
        <v/>
      </c>
      <c r="F76" s="48">
        <f>IFERROR(VLOOKUP(TRIM(D76), Collection!$B$2:$D$1001, 3, FALSE), "")</f>
        <v/>
      </c>
      <c r="G76" s="48">
        <f>IFERROR(VALUE(SUBSTITUTE(SUBSTITUTE(F76, "Price", ""), "AED", "")), "")</f>
        <v/>
      </c>
      <c r="H76" s="45" t="inlineStr">
        <is>
          <t>Phone sales Middle East</t>
        </is>
      </c>
      <c r="I76" s="45" t="n">
        <v>104509438</v>
      </c>
      <c r="J76" s="45" t="inlineStr">
        <is>
          <t>Prospect</t>
        </is>
      </c>
      <c r="K76" s="45" t="inlineStr">
        <is>
          <t>SHARIF Maaz</t>
        </is>
      </c>
      <c r="L76" s="45" t="inlineStr">
        <is>
          <t>The client specializes in auto tuning, automatic watches, and exclusive key fobs. His uncle has a strong interest in Traditionnelle and Overseas collections, particularly the tourbillon editions</t>
        </is>
      </c>
      <c r="M76" s="45">
        <f>IF(COUNTIF($R$3:$R$100, D76) &gt; 0, TRUE, FALSE)</f>
        <v/>
      </c>
    </row>
    <row r="77" ht="31.2" customHeight="1" s="287">
      <c r="A77" s="45" t="inlineStr">
        <is>
          <t>Request</t>
        </is>
      </c>
      <c r="B77" s="45" t="inlineStr">
        <is>
          <t xml:space="preserve"> </t>
        </is>
      </c>
      <c r="C77" s="46" t="n">
        <v>45660</v>
      </c>
      <c r="D77" s="45" t="inlineStr">
        <is>
          <t>4520V/210A-B128</t>
        </is>
      </c>
      <c r="E77" s="45">
        <f>IFERROR(VLOOKUP(TRIM(D77), Collection!$B$2:$D$1001, 2, FALSE), "")</f>
        <v/>
      </c>
      <c r="F77" s="48">
        <f>IFERROR(VLOOKUP(TRIM(D77), Collection!$B$2:$D$1001, 3, FALSE), "")</f>
        <v/>
      </c>
      <c r="G77" s="48">
        <f>IFERROR(VALUE(SUBSTITUTE(SUBSTITUTE(F77, "Price", ""), "AED", "")), "")</f>
        <v/>
      </c>
      <c r="H77" s="45" t="inlineStr">
        <is>
          <t>Phone sales Middle East</t>
        </is>
      </c>
      <c r="I77" s="45" t="n">
        <v>103673092</v>
      </c>
      <c r="J77" s="45" t="inlineStr">
        <is>
          <t>Prospect</t>
        </is>
      </c>
      <c r="K77" s="45" t="inlineStr">
        <is>
          <t>SHARIF Maaz</t>
        </is>
      </c>
      <c r="L77" s="45" t="inlineStr">
        <is>
          <t>the client main aim is the 222 and the 128</t>
        </is>
      </c>
      <c r="M77" s="45">
        <f>IF(COUNTIF($R$3:$R$100, D77) &gt; 0, TRUE, FALSE)</f>
        <v/>
      </c>
    </row>
    <row r="78" ht="31.2" customHeight="1" s="287">
      <c r="A78" s="45" t="inlineStr">
        <is>
          <t>Request</t>
        </is>
      </c>
      <c r="B78" s="45" t="inlineStr">
        <is>
          <t xml:space="preserve"> </t>
        </is>
      </c>
      <c r="C78" s="45" t="inlineStr">
        <is>
          <t>28/2/2025</t>
        </is>
      </c>
      <c r="D78" s="45" t="inlineStr">
        <is>
          <t>4200H/222A-B934</t>
        </is>
      </c>
      <c r="E78" s="45">
        <f>IFERROR(VLOOKUP(TRIM(D78), Collection!$B$2:$D$1001, 2, FALSE), "")</f>
        <v/>
      </c>
      <c r="F78" s="48">
        <f>IFERROR(VLOOKUP(TRIM(D78), Collection!$B$2:$D$1001, 3, FALSE), "")</f>
        <v/>
      </c>
      <c r="G78" s="48">
        <f>IFERROR(VALUE(SUBSTITUTE(SUBSTITUTE(F78, "Price", ""), "AED", "")), "")</f>
        <v/>
      </c>
      <c r="H78" s="45" t="inlineStr">
        <is>
          <t>Phone sales Middle East</t>
        </is>
      </c>
      <c r="I78" s="45" t="n">
        <v>104299847</v>
      </c>
      <c r="J78" s="45" t="inlineStr">
        <is>
          <t xml:space="preserve"> </t>
        </is>
      </c>
      <c r="K78" s="45" t="inlineStr">
        <is>
          <t>SHARIF Maaz</t>
        </is>
      </c>
      <c r="L78" s="45" t="inlineStr">
        <is>
          <t>interested in the 222</t>
        </is>
      </c>
      <c r="M78" s="45">
        <f>IF(COUNTIF($R$3:$R$100, D78) &gt; 0, TRUE, FALSE)</f>
        <v/>
      </c>
    </row>
    <row r="79" ht="31.2" customHeight="1" s="287">
      <c r="A79" s="45" t="inlineStr">
        <is>
          <t>Request</t>
        </is>
      </c>
      <c r="B79" s="45" t="inlineStr">
        <is>
          <t xml:space="preserve"> </t>
        </is>
      </c>
      <c r="C79" s="45" t="inlineStr">
        <is>
          <t>28/2/2025</t>
        </is>
      </c>
      <c r="D79" s="45" t="inlineStr">
        <is>
          <t>4200H/222A-B934</t>
        </is>
      </c>
      <c r="E79" s="45">
        <f>IFERROR(VLOOKUP(TRIM(D79), Collection!$B$2:$D$1001, 2, FALSE), "")</f>
        <v/>
      </c>
      <c r="F79" s="48">
        <f>IFERROR(VLOOKUP(TRIM(D79), Collection!$B$2:$D$1001, 3, FALSE), "")</f>
        <v/>
      </c>
      <c r="G79" s="48">
        <f>IFERROR(VALUE(SUBSTITUTE(SUBSTITUTE(F79, "Price", ""), "AED", "")), "")</f>
        <v/>
      </c>
      <c r="H79" s="45" t="inlineStr">
        <is>
          <t>Phone sales Middle East</t>
        </is>
      </c>
      <c r="I79" s="45" t="n">
        <v>103621137</v>
      </c>
      <c r="J79" s="45" t="inlineStr">
        <is>
          <t>Prospect</t>
        </is>
      </c>
      <c r="K79" s="45" t="inlineStr">
        <is>
          <t>SHARIF Maaz</t>
        </is>
      </c>
      <c r="L79" s="45" t="n">
        <v>222</v>
      </c>
      <c r="M79" s="45">
        <f>IF(COUNTIF($R$3:$R$100, D79) &gt; 0, TRUE, FALSE)</f>
        <v/>
      </c>
    </row>
    <row r="80" ht="46.95" customHeight="1" s="287">
      <c r="A80" s="45" t="inlineStr">
        <is>
          <t>Request</t>
        </is>
      </c>
      <c r="B80" s="45" t="inlineStr">
        <is>
          <t xml:space="preserve"> </t>
        </is>
      </c>
      <c r="C80" s="45" t="inlineStr">
        <is>
          <t>28/2/2025</t>
        </is>
      </c>
      <c r="D80" s="45" t="inlineStr">
        <is>
          <t>82035/000P-H063</t>
        </is>
      </c>
      <c r="E80" s="45">
        <f>IFERROR(VLOOKUP(TRIM(D80), Collection!$B$2:$D$1001, 2, FALSE), "")</f>
        <v/>
      </c>
      <c r="F80" s="48">
        <f>IFERROR(VLOOKUP(TRIM(D80), Collection!$B$2:$D$1001, 3, FALSE), "")</f>
        <v/>
      </c>
      <c r="G80" s="48">
        <f>IFERROR(VALUE(SUBSTITUTE(SUBSTITUTE(F80, "Price", ""), "AED", "")), "")</f>
        <v/>
      </c>
      <c r="H80" s="45" t="inlineStr">
        <is>
          <t>Phone sales Middle East</t>
        </is>
      </c>
      <c r="I80" s="45" t="n">
        <v>98609197</v>
      </c>
      <c r="J80" s="45" t="inlineStr">
        <is>
          <t>Prospect</t>
        </is>
      </c>
      <c r="K80" s="45" t="inlineStr">
        <is>
          <t>SHARIF Maaz</t>
        </is>
      </c>
      <c r="L80" s="45" t="inlineStr">
        <is>
          <t xml:space="preserve"> </t>
        </is>
      </c>
      <c r="M80" s="45">
        <f>IF(COUNTIF($R$3:$R$100, D80) &gt; 0, TRUE, FALSE)</f>
        <v/>
      </c>
    </row>
    <row r="81" ht="31.2" customHeight="1" s="287">
      <c r="A81" s="45" t="inlineStr">
        <is>
          <t>Request</t>
        </is>
      </c>
      <c r="B81" s="45" t="inlineStr">
        <is>
          <t xml:space="preserve"> </t>
        </is>
      </c>
      <c r="C81" s="45" t="inlineStr">
        <is>
          <t>28/2/2025</t>
        </is>
      </c>
      <c r="D81" s="45" t="inlineStr">
        <is>
          <t>4200H/222A-B934</t>
        </is>
      </c>
      <c r="E81" s="45">
        <f>IFERROR(VLOOKUP(TRIM(D81), Collection!$B$2:$D$1001, 2, FALSE), "")</f>
        <v/>
      </c>
      <c r="F81" s="48">
        <f>IFERROR(VLOOKUP(TRIM(D81), Collection!$B$2:$D$1001, 3, FALSE), "")</f>
        <v/>
      </c>
      <c r="G81" s="48">
        <f>IFERROR(VALUE(SUBSTITUTE(SUBSTITUTE(F81, "Price", ""), "AED", "")), "")</f>
        <v/>
      </c>
      <c r="H81" s="45" t="inlineStr">
        <is>
          <t>Phone sales Middle East</t>
        </is>
      </c>
      <c r="I81" s="45" t="n">
        <v>98609197</v>
      </c>
      <c r="J81" s="45" t="inlineStr">
        <is>
          <t>Prospect</t>
        </is>
      </c>
      <c r="K81" s="45" t="inlineStr">
        <is>
          <t>SHARIF Maaz</t>
        </is>
      </c>
      <c r="L81" s="45" t="n">
        <v>222</v>
      </c>
      <c r="M81" s="45">
        <f>IF(COUNTIF($R$3:$R$100, D81) &gt; 0, TRUE, FALSE)</f>
        <v/>
      </c>
    </row>
    <row r="82" ht="31.2" customHeight="1" s="287">
      <c r="A82" s="45" t="inlineStr">
        <is>
          <t>Request</t>
        </is>
      </c>
      <c r="B82" s="45" t="inlineStr">
        <is>
          <t xml:space="preserve"> </t>
        </is>
      </c>
      <c r="C82" s="45" t="inlineStr">
        <is>
          <t>27/2/2025</t>
        </is>
      </c>
      <c r="D82" s="45" t="inlineStr">
        <is>
          <t>7920V/210A-B334</t>
        </is>
      </c>
      <c r="E82" s="45">
        <f>IFERROR(VLOOKUP(TRIM(D82), Collection!$B$2:$D$1001, 2, FALSE), "")</f>
        <v/>
      </c>
      <c r="F82" s="48">
        <f>IFERROR(VLOOKUP(TRIM(D82), Collection!$B$2:$D$1001, 3, FALSE), "")</f>
        <v/>
      </c>
      <c r="G82" s="48">
        <f>IFERROR(VALUE(SUBSTITUTE(SUBSTITUTE(F82, "Price", ""), "AED", "")), "")</f>
        <v/>
      </c>
      <c r="H82" s="45" t="inlineStr">
        <is>
          <t>Phone sales Middle East</t>
        </is>
      </c>
      <c r="I82" s="45" t="n">
        <v>104329408</v>
      </c>
      <c r="J82" s="45" t="inlineStr">
        <is>
          <t xml:space="preserve"> </t>
        </is>
      </c>
      <c r="K82" s="45" t="inlineStr">
        <is>
          <t>SHARIF Maaz</t>
        </is>
      </c>
      <c r="L82" s="45" t="inlineStr">
        <is>
          <t>222 Fam</t>
        </is>
      </c>
      <c r="M82" s="45">
        <f>IF(COUNTIF($R$3:$R$100, D82) &gt; 0, TRUE, FALSE)</f>
        <v/>
      </c>
    </row>
    <row r="83" ht="31.2" customHeight="1" s="287">
      <c r="A83" s="45" t="inlineStr">
        <is>
          <t>Request</t>
        </is>
      </c>
      <c r="B83" s="45" t="inlineStr">
        <is>
          <t xml:space="preserve"> </t>
        </is>
      </c>
      <c r="C83" s="45" t="inlineStr">
        <is>
          <t>27/2/2025</t>
        </is>
      </c>
      <c r="D83" s="45" t="inlineStr">
        <is>
          <t>4200H/222A-B934</t>
        </is>
      </c>
      <c r="E83" s="45">
        <f>IFERROR(VLOOKUP(TRIM(D83), Collection!$B$2:$D$1001, 2, FALSE), "")</f>
        <v/>
      </c>
      <c r="F83" s="48">
        <f>IFERROR(VLOOKUP(TRIM(D83), Collection!$B$2:$D$1001, 3, FALSE), "")</f>
        <v/>
      </c>
      <c r="G83" s="48">
        <f>IFERROR(VALUE(SUBSTITUTE(SUBSTITUTE(F83, "Price", ""), "AED", "")), "")</f>
        <v/>
      </c>
      <c r="H83" s="45" t="inlineStr">
        <is>
          <t>Phone sales Middle East</t>
        </is>
      </c>
      <c r="I83" s="45" t="n">
        <v>104375430</v>
      </c>
      <c r="J83" s="45" t="inlineStr">
        <is>
          <t xml:space="preserve"> </t>
        </is>
      </c>
      <c r="K83" s="45" t="inlineStr">
        <is>
          <t>OMARI Asma</t>
        </is>
      </c>
      <c r="L83" s="45" t="inlineStr">
        <is>
          <t>Mr. Sultan Al Faisal (ksa)</t>
        </is>
      </c>
      <c r="M83" s="45">
        <f>IF(COUNTIF($R$3:$R$100, D83) &gt; 0, TRUE, FALSE)</f>
        <v/>
      </c>
    </row>
    <row r="84" ht="31.2" customHeight="1" s="287">
      <c r="A84" s="45" t="inlineStr">
        <is>
          <t>Request</t>
        </is>
      </c>
      <c r="B84" s="45" t="inlineStr">
        <is>
          <t xml:space="preserve"> </t>
        </is>
      </c>
      <c r="C84" s="45" t="inlineStr">
        <is>
          <t>27/2/2025</t>
        </is>
      </c>
      <c r="D84" s="45" t="inlineStr">
        <is>
          <t>4520V/210A-B128</t>
        </is>
      </c>
      <c r="E84" s="45">
        <f>IFERROR(VLOOKUP(TRIM(D84), Collection!$B$2:$D$1001, 2, FALSE), "")</f>
        <v/>
      </c>
      <c r="F84" s="48">
        <f>IFERROR(VLOOKUP(TRIM(D84), Collection!$B$2:$D$1001, 3, FALSE), "")</f>
        <v/>
      </c>
      <c r="G84" s="48">
        <f>IFERROR(VALUE(SUBSTITUTE(SUBSTITUTE(F84, "Price", ""), "AED", "")), "")</f>
        <v/>
      </c>
      <c r="H84" s="45" t="inlineStr">
        <is>
          <t>Phone sales Middle East</t>
        </is>
      </c>
      <c r="I84" s="45" t="n">
        <v>104183935</v>
      </c>
      <c r="J84" s="45" t="inlineStr">
        <is>
          <t xml:space="preserve"> </t>
        </is>
      </c>
      <c r="K84" s="45" t="inlineStr">
        <is>
          <t>OMARI Asma</t>
        </is>
      </c>
      <c r="L84" s="45" t="inlineStr">
        <is>
          <t>Mr. Tauqeer Dawood</t>
        </is>
      </c>
      <c r="M84" s="45">
        <f>IF(COUNTIF($R$3:$R$100, D84) &gt; 0, TRUE, FALSE)</f>
        <v/>
      </c>
    </row>
    <row r="85" ht="31.2" customHeight="1" s="287">
      <c r="A85" s="45" t="inlineStr">
        <is>
          <t>Request</t>
        </is>
      </c>
      <c r="B85" s="45" t="inlineStr">
        <is>
          <t xml:space="preserve"> </t>
        </is>
      </c>
      <c r="C85" s="45" t="inlineStr">
        <is>
          <t>27/2/2025</t>
        </is>
      </c>
      <c r="D85" s="45" t="inlineStr">
        <is>
          <t>4200H/222A-B934</t>
        </is>
      </c>
      <c r="E85" s="45">
        <f>IFERROR(VLOOKUP(TRIM(D85), Collection!$B$2:$D$1001, 2, FALSE), "")</f>
        <v/>
      </c>
      <c r="F85" s="48">
        <f>IFERROR(VLOOKUP(TRIM(D85), Collection!$B$2:$D$1001, 3, FALSE), "")</f>
        <v/>
      </c>
      <c r="G85" s="48">
        <f>IFERROR(VALUE(SUBSTITUTE(SUBSTITUTE(F85, "Price", ""), "AED", "")), "")</f>
        <v/>
      </c>
      <c r="H85" s="45" t="inlineStr">
        <is>
          <t>Phone sales Middle East</t>
        </is>
      </c>
      <c r="I85" s="45" t="n">
        <v>104375462</v>
      </c>
      <c r="J85" s="45" t="inlineStr">
        <is>
          <t xml:space="preserve"> </t>
        </is>
      </c>
      <c r="K85" s="45" t="inlineStr">
        <is>
          <t>SHARIF Maaz</t>
        </is>
      </c>
      <c r="L85" s="45" t="inlineStr">
        <is>
          <t>222 Blue</t>
        </is>
      </c>
      <c r="M85" s="45">
        <f>IF(COUNTIF($R$3:$R$100, D85) &gt; 0, TRUE, FALSE)</f>
        <v/>
      </c>
    </row>
    <row r="86" ht="62.4" customHeight="1" s="287">
      <c r="A86" s="45" t="inlineStr">
        <is>
          <t>Request</t>
        </is>
      </c>
      <c r="B86" s="45" t="inlineStr">
        <is>
          <t xml:space="preserve"> </t>
        </is>
      </c>
      <c r="C86" s="45" t="inlineStr">
        <is>
          <t>27/2/2025</t>
        </is>
      </c>
      <c r="D86" s="45" t="inlineStr">
        <is>
          <t>4200H/222A-B934</t>
        </is>
      </c>
      <c r="E86" s="45">
        <f>IFERROR(VLOOKUP(TRIM(D86), Collection!$B$2:$D$1001, 2, FALSE), "")</f>
        <v/>
      </c>
      <c r="F86" s="48">
        <f>IFERROR(VLOOKUP(TRIM(D86), Collection!$B$2:$D$1001, 3, FALSE), "")</f>
        <v/>
      </c>
      <c r="G86" s="48">
        <f>IFERROR(VALUE(SUBSTITUTE(SUBSTITUTE(F86, "Price", ""), "AED", "")), "")</f>
        <v/>
      </c>
      <c r="H86" s="45" t="inlineStr">
        <is>
          <t>Phone sales Middle East</t>
        </is>
      </c>
      <c r="I86" s="45" t="n">
        <v>104326404</v>
      </c>
      <c r="J86" s="45" t="inlineStr">
        <is>
          <t xml:space="preserve"> </t>
        </is>
      </c>
      <c r="K86" s="45" t="inlineStr">
        <is>
          <t>SHARIF Maaz</t>
        </is>
      </c>
      <c r="L86" s="45" t="inlineStr">
        <is>
          <t>The client is always between  Riyadh and Dubai and want the 222</t>
        </is>
      </c>
      <c r="M86" s="45">
        <f>IF(COUNTIF($R$3:$R$100, D86) &gt; 0, TRUE, FALSE)</f>
        <v/>
      </c>
    </row>
    <row r="87" ht="31.2" customHeight="1" s="287">
      <c r="A87" s="45" t="inlineStr">
        <is>
          <t>Request</t>
        </is>
      </c>
      <c r="B87" s="45" t="inlineStr">
        <is>
          <t xml:space="preserve"> </t>
        </is>
      </c>
      <c r="C87" s="45" t="inlineStr">
        <is>
          <t>27/2/2025</t>
        </is>
      </c>
      <c r="D87" s="45" t="inlineStr">
        <is>
          <t>4200H/222A-B934</t>
        </is>
      </c>
      <c r="E87" s="45">
        <f>IFERROR(VLOOKUP(TRIM(D87), Collection!$B$2:$D$1001, 2, FALSE), "")</f>
        <v/>
      </c>
      <c r="F87" s="48">
        <f>IFERROR(VLOOKUP(TRIM(D87), Collection!$B$2:$D$1001, 3, FALSE), "")</f>
        <v/>
      </c>
      <c r="G87" s="48">
        <f>IFERROR(VALUE(SUBSTITUTE(SUBSTITUTE(F87, "Price", ""), "AED", "")), "")</f>
        <v/>
      </c>
      <c r="H87" s="45" t="inlineStr">
        <is>
          <t>Phone sales Middle East</t>
        </is>
      </c>
      <c r="I87" s="45" t="n">
        <v>102680410</v>
      </c>
      <c r="J87" s="45" t="inlineStr">
        <is>
          <t xml:space="preserve"> </t>
        </is>
      </c>
      <c r="K87" s="45" t="inlineStr">
        <is>
          <t>SHARIF Maaz</t>
        </is>
      </c>
      <c r="L87" s="45" t="inlineStr">
        <is>
          <t>The client is very interested KW</t>
        </is>
      </c>
      <c r="M87" s="45">
        <f>IF(COUNTIF($R$3:$R$100, D87) &gt; 0, TRUE, FALSE)</f>
        <v/>
      </c>
    </row>
    <row r="88" ht="31.2" customHeight="1" s="287">
      <c r="A88" s="45" t="inlineStr">
        <is>
          <t>Request</t>
        </is>
      </c>
      <c r="B88" s="45" t="inlineStr">
        <is>
          <t xml:space="preserve"> </t>
        </is>
      </c>
      <c r="C88" s="45" t="inlineStr">
        <is>
          <t>27/2/2025</t>
        </is>
      </c>
      <c r="D88" s="45" t="inlineStr">
        <is>
          <t>4200H/222A-B934</t>
        </is>
      </c>
      <c r="E88" s="45">
        <f>IFERROR(VLOOKUP(TRIM(D88), Collection!$B$2:$D$1001, 2, FALSE), "")</f>
        <v/>
      </c>
      <c r="F88" s="48">
        <f>IFERROR(VLOOKUP(TRIM(D88), Collection!$B$2:$D$1001, 3, FALSE), "")</f>
        <v/>
      </c>
      <c r="G88" s="48">
        <f>IFERROR(VALUE(SUBSTITUTE(SUBSTITUTE(F88, "Price", ""), "AED", "")), "")</f>
        <v/>
      </c>
      <c r="H88" s="45" t="inlineStr">
        <is>
          <t>Phone sales Middle East</t>
        </is>
      </c>
      <c r="I88" s="45" t="n">
        <v>104908886</v>
      </c>
      <c r="J88" s="45" t="inlineStr">
        <is>
          <t>Prospect</t>
        </is>
      </c>
      <c r="K88" s="45" t="inlineStr">
        <is>
          <t>SHARIF Maaz</t>
        </is>
      </c>
      <c r="L88" s="45" t="n">
        <v>222</v>
      </c>
      <c r="M88" s="45">
        <f>IF(COUNTIF($R$3:$R$100, D88) &gt; 0, TRUE, FALSE)</f>
        <v/>
      </c>
    </row>
    <row r="89" ht="31.2" customHeight="1" s="287">
      <c r="A89" s="45" t="inlineStr">
        <is>
          <t>Request</t>
        </is>
      </c>
      <c r="B89" s="45" t="inlineStr">
        <is>
          <t xml:space="preserve"> </t>
        </is>
      </c>
      <c r="C89" s="45" t="inlineStr">
        <is>
          <t>25/2/2025</t>
        </is>
      </c>
      <c r="D89" s="45" t="inlineStr">
        <is>
          <t>4200H/222A-B934</t>
        </is>
      </c>
      <c r="E89" s="45">
        <f>IFERROR(VLOOKUP(TRIM(D89), Collection!$B$2:$D$1001, 2, FALSE), "")</f>
        <v/>
      </c>
      <c r="F89" s="48">
        <f>IFERROR(VLOOKUP(TRIM(D89), Collection!$B$2:$D$1001, 3, FALSE), "")</f>
        <v/>
      </c>
      <c r="G89" s="48">
        <f>IFERROR(VALUE(SUBSTITUTE(SUBSTITUTE(F89, "Price", ""), "AED", "")), "")</f>
        <v/>
      </c>
      <c r="H89" s="45" t="inlineStr">
        <is>
          <t>Phone sales Middle East</t>
        </is>
      </c>
      <c r="I89" s="45" t="n">
        <v>103847224</v>
      </c>
      <c r="J89" s="45" t="inlineStr">
        <is>
          <t xml:space="preserve"> </t>
        </is>
      </c>
      <c r="K89" s="45" t="inlineStr">
        <is>
          <t>SHARIF Maaz</t>
        </is>
      </c>
      <c r="L89" s="45" t="n">
        <v>222</v>
      </c>
      <c r="M89" s="45">
        <f>IF(COUNTIF($R$3:$R$100, D89) &gt; 0, TRUE, FALSE)</f>
        <v/>
      </c>
    </row>
    <row r="90" ht="31.2" customHeight="1" s="287">
      <c r="A90" s="45" t="inlineStr">
        <is>
          <t>Request</t>
        </is>
      </c>
      <c r="B90" s="45" t="inlineStr">
        <is>
          <t xml:space="preserve"> </t>
        </is>
      </c>
      <c r="C90" s="45" t="inlineStr">
        <is>
          <t>25/2/2025</t>
        </is>
      </c>
      <c r="D90" s="45" t="inlineStr">
        <is>
          <t>4200H/222A-B934</t>
        </is>
      </c>
      <c r="E90" s="45">
        <f>IFERROR(VLOOKUP(TRIM(D90), Collection!$B$2:$D$1001, 2, FALSE), "")</f>
        <v/>
      </c>
      <c r="F90" s="48">
        <f>IFERROR(VLOOKUP(TRIM(D90), Collection!$B$2:$D$1001, 3, FALSE), "")</f>
        <v/>
      </c>
      <c r="G90" s="48">
        <f>IFERROR(VALUE(SUBSTITUTE(SUBSTITUTE(F90, "Price", ""), "AED", "")), "")</f>
        <v/>
      </c>
      <c r="H90" s="45" t="inlineStr">
        <is>
          <t>Phone sales Middle East</t>
        </is>
      </c>
      <c r="I90" s="45" t="n">
        <v>104255707</v>
      </c>
      <c r="J90" s="45" t="inlineStr">
        <is>
          <t xml:space="preserve"> </t>
        </is>
      </c>
      <c r="K90" s="45" t="inlineStr">
        <is>
          <t>SHARIF Maaz</t>
        </is>
      </c>
      <c r="L90" s="45" t="n">
        <v>222</v>
      </c>
      <c r="M90" s="45">
        <f>IF(COUNTIF($R$3:$R$100, D90) &gt; 0, TRUE, FALSE)</f>
        <v/>
      </c>
    </row>
    <row r="91" ht="31.2" customHeight="1" s="287">
      <c r="A91" s="45" t="inlineStr">
        <is>
          <t>Request</t>
        </is>
      </c>
      <c r="B91" s="45" t="inlineStr">
        <is>
          <t xml:space="preserve"> </t>
        </is>
      </c>
      <c r="C91" s="45" t="inlineStr">
        <is>
          <t>25/2/2025</t>
        </is>
      </c>
      <c r="D91" s="45" t="inlineStr">
        <is>
          <t>4200H/222A-B934</t>
        </is>
      </c>
      <c r="E91" s="45">
        <f>IFERROR(VLOOKUP(TRIM(D91), Collection!$B$2:$D$1001, 2, FALSE), "")</f>
        <v/>
      </c>
      <c r="F91" s="48">
        <f>IFERROR(VLOOKUP(TRIM(D91), Collection!$B$2:$D$1001, 3, FALSE), "")</f>
        <v/>
      </c>
      <c r="G91" s="48">
        <f>IFERROR(VALUE(SUBSTITUTE(SUBSTITUTE(F91, "Price", ""), "AED", "")), "")</f>
        <v/>
      </c>
      <c r="H91" s="45" t="inlineStr">
        <is>
          <t>Phone sales Middle East</t>
        </is>
      </c>
      <c r="I91" s="45" t="n">
        <v>104270695</v>
      </c>
      <c r="J91" s="45" t="inlineStr">
        <is>
          <t xml:space="preserve"> </t>
        </is>
      </c>
      <c r="K91" s="45" t="inlineStr">
        <is>
          <t>SHARIF Maaz</t>
        </is>
      </c>
      <c r="L91" s="45" t="inlineStr">
        <is>
          <t>222 gcc</t>
        </is>
      </c>
      <c r="M91" s="45">
        <f>IF(COUNTIF($R$3:$R$100, D91) &gt; 0, TRUE, FALSE)</f>
        <v/>
      </c>
    </row>
    <row r="92" ht="31.2" customHeight="1" s="287">
      <c r="A92" s="45" t="inlineStr">
        <is>
          <t>Request</t>
        </is>
      </c>
      <c r="B92" s="45" t="inlineStr">
        <is>
          <t xml:space="preserve"> </t>
        </is>
      </c>
      <c r="C92" s="45" t="inlineStr">
        <is>
          <t>25/2/2025</t>
        </is>
      </c>
      <c r="D92" s="45" t="inlineStr">
        <is>
          <t>4200H/222A-B934</t>
        </is>
      </c>
      <c r="E92" s="45">
        <f>IFERROR(VLOOKUP(TRIM(D92), Collection!$B$2:$D$1001, 2, FALSE), "")</f>
        <v/>
      </c>
      <c r="F92" s="48">
        <f>IFERROR(VLOOKUP(TRIM(D92), Collection!$B$2:$D$1001, 3, FALSE), "")</f>
        <v/>
      </c>
      <c r="G92" s="48">
        <f>IFERROR(VALUE(SUBSTITUTE(SUBSTITUTE(F92, "Price", ""), "AED", "")), "")</f>
        <v/>
      </c>
      <c r="H92" s="45" t="inlineStr">
        <is>
          <t>Phone sales Middle East</t>
        </is>
      </c>
      <c r="I92" s="45" t="n">
        <v>102905736</v>
      </c>
      <c r="J92" s="45" t="inlineStr">
        <is>
          <t xml:space="preserve"> </t>
        </is>
      </c>
      <c r="K92" s="45" t="inlineStr">
        <is>
          <t>SHARIF Maaz</t>
        </is>
      </c>
      <c r="L92" s="45" t="n">
        <v>222</v>
      </c>
      <c r="M92" s="45">
        <f>IF(COUNTIF($R$3:$R$100, D92) &gt; 0, TRUE, FALSE)</f>
        <v/>
      </c>
    </row>
    <row r="93" ht="31.2" customHeight="1" s="287">
      <c r="A93" s="45" t="inlineStr">
        <is>
          <t>Request</t>
        </is>
      </c>
      <c r="B93" s="45" t="inlineStr">
        <is>
          <t xml:space="preserve"> </t>
        </is>
      </c>
      <c r="C93" s="45" t="inlineStr">
        <is>
          <t>21/2/2025</t>
        </is>
      </c>
      <c r="D93" s="45" t="inlineStr">
        <is>
          <t>4200H/222A-B934</t>
        </is>
      </c>
      <c r="E93" s="45">
        <f>IFERROR(VLOOKUP(TRIM(D93), Collection!$B$2:$D$1001, 2, FALSE), "")</f>
        <v/>
      </c>
      <c r="F93" s="48">
        <f>IFERROR(VLOOKUP(TRIM(D93), Collection!$B$2:$D$1001, 3, FALSE), "")</f>
        <v/>
      </c>
      <c r="G93" s="48">
        <f>IFERROR(VALUE(SUBSTITUTE(SUBSTITUTE(F93, "Price", ""), "AED", "")), "")</f>
        <v/>
      </c>
      <c r="H93" s="45" t="inlineStr">
        <is>
          <t>Phone sales Middle East</t>
        </is>
      </c>
      <c r="I93" s="45" t="n">
        <v>92404193</v>
      </c>
      <c r="J93" s="45" t="inlineStr">
        <is>
          <t>Client</t>
        </is>
      </c>
      <c r="K93" s="45" t="inlineStr">
        <is>
          <t>OMARI Asma</t>
        </is>
      </c>
      <c r="L93" s="45" t="inlineStr">
        <is>
          <t>Mr. Ronnie Anbouba</t>
        </is>
      </c>
      <c r="M93" s="45">
        <f>IF(COUNTIF($R$3:$R$100, D93) &gt; 0, TRUE, FALSE)</f>
        <v/>
      </c>
    </row>
    <row r="94" ht="31.2" customHeight="1" s="287">
      <c r="A94" s="45" t="inlineStr">
        <is>
          <t>Request</t>
        </is>
      </c>
      <c r="B94" s="45" t="inlineStr">
        <is>
          <t xml:space="preserve"> </t>
        </is>
      </c>
      <c r="C94" s="45" t="inlineStr">
        <is>
          <t>20/2/2025</t>
        </is>
      </c>
      <c r="D94" s="45" t="inlineStr">
        <is>
          <t>4200H/222A-B934</t>
        </is>
      </c>
      <c r="E94" s="45">
        <f>IFERROR(VLOOKUP(TRIM(D94), Collection!$B$2:$D$1001, 2, FALSE), "")</f>
        <v/>
      </c>
      <c r="F94" s="48">
        <f>IFERROR(VLOOKUP(TRIM(D94), Collection!$B$2:$D$1001, 3, FALSE), "")</f>
        <v/>
      </c>
      <c r="G94" s="48">
        <f>IFERROR(VALUE(SUBSTITUTE(SUBSTITUTE(F94, "Price", ""), "AED", "")), "")</f>
        <v/>
      </c>
      <c r="H94" s="45" t="inlineStr">
        <is>
          <t>Phone sales Middle East</t>
        </is>
      </c>
      <c r="I94" s="45" t="n">
        <v>103831073</v>
      </c>
      <c r="J94" s="45" t="inlineStr">
        <is>
          <t>Prospect</t>
        </is>
      </c>
      <c r="K94" s="45" t="inlineStr">
        <is>
          <t>SHARIF Maaz</t>
        </is>
      </c>
      <c r="L94" s="45" t="inlineStr">
        <is>
          <t>interested in the 222</t>
        </is>
      </c>
      <c r="M94" s="45">
        <f>IF(COUNTIF($R$3:$R$100, D94) &gt; 0, TRUE, FALSE)</f>
        <v/>
      </c>
    </row>
    <row r="95" ht="31.2" customHeight="1" s="287">
      <c r="A95" s="45" t="inlineStr">
        <is>
          <t>Request</t>
        </is>
      </c>
      <c r="B95" s="45" t="inlineStr">
        <is>
          <t xml:space="preserve"> </t>
        </is>
      </c>
      <c r="C95" s="45" t="inlineStr">
        <is>
          <t>19/2/2025</t>
        </is>
      </c>
      <c r="D95" s="45" t="inlineStr">
        <is>
          <t>4520V/210A-B128</t>
        </is>
      </c>
      <c r="E95" s="45">
        <f>IFERROR(VLOOKUP(TRIM(D95), Collection!$B$2:$D$1001, 2, FALSE), "")</f>
        <v/>
      </c>
      <c r="F95" s="48">
        <f>IFERROR(VLOOKUP(TRIM(D95), Collection!$B$2:$D$1001, 3, FALSE), "")</f>
        <v/>
      </c>
      <c r="G95" s="48">
        <f>IFERROR(VALUE(SUBSTITUTE(SUBSTITUTE(F95, "Price", ""), "AED", "")), "")</f>
        <v/>
      </c>
      <c r="H95" s="45" t="inlineStr">
        <is>
          <t>Phone sales Middle East</t>
        </is>
      </c>
      <c r="I95" s="45" t="n">
        <v>104181189</v>
      </c>
      <c r="J95" s="45" t="inlineStr">
        <is>
          <t>Prospect</t>
        </is>
      </c>
      <c r="K95" s="45" t="inlineStr">
        <is>
          <t>OMARI Asma</t>
        </is>
      </c>
      <c r="L95" s="45" t="inlineStr">
        <is>
          <t>Mr. Arkan Khedair</t>
        </is>
      </c>
      <c r="M95" s="45">
        <f>IF(COUNTIF($R$3:$R$100, D95) &gt; 0, TRUE, FALSE)</f>
        <v/>
      </c>
    </row>
    <row r="96" ht="31.2" customHeight="1" s="287">
      <c r="A96" s="45" t="inlineStr">
        <is>
          <t>Request</t>
        </is>
      </c>
      <c r="B96" s="45" t="inlineStr">
        <is>
          <t xml:space="preserve"> </t>
        </is>
      </c>
      <c r="C96" s="45" t="inlineStr">
        <is>
          <t>19/2/2025</t>
        </is>
      </c>
      <c r="D96" s="45" t="inlineStr">
        <is>
          <t>4200H/222A-B934</t>
        </is>
      </c>
      <c r="E96" s="45">
        <f>IFERROR(VLOOKUP(TRIM(D96), Collection!$B$2:$D$1001, 2, FALSE), "")</f>
        <v/>
      </c>
      <c r="F96" s="48">
        <f>IFERROR(VLOOKUP(TRIM(D96), Collection!$B$2:$D$1001, 3, FALSE), "")</f>
        <v/>
      </c>
      <c r="G96" s="48">
        <f>IFERROR(VALUE(SUBSTITUTE(SUBSTITUTE(F96, "Price", ""), "AED", "")), "")</f>
        <v/>
      </c>
      <c r="H96" s="45" t="inlineStr">
        <is>
          <t>Phone sales Middle East</t>
        </is>
      </c>
      <c r="I96" s="45" t="n">
        <v>102905736</v>
      </c>
      <c r="J96" s="45" t="inlineStr">
        <is>
          <t xml:space="preserve"> </t>
        </is>
      </c>
      <c r="K96" s="45" t="inlineStr">
        <is>
          <t>SHARIF Maaz</t>
        </is>
      </c>
      <c r="L96" s="45" t="inlineStr">
        <is>
          <t xml:space="preserve"> </t>
        </is>
      </c>
      <c r="M96" s="45">
        <f>IF(COUNTIF($R$3:$R$100, D96) &gt; 0, TRUE, FALSE)</f>
        <v/>
      </c>
    </row>
    <row r="97" ht="46.95" customHeight="1" s="287">
      <c r="A97" s="45" t="inlineStr">
        <is>
          <t>Request</t>
        </is>
      </c>
      <c r="B97" s="45" t="inlineStr">
        <is>
          <t xml:space="preserve"> </t>
        </is>
      </c>
      <c r="C97" s="45" t="inlineStr">
        <is>
          <t>19/2/2025</t>
        </is>
      </c>
      <c r="D97" s="45" t="inlineStr">
        <is>
          <t>5520V/210R-B966</t>
        </is>
      </c>
      <c r="E97" s="45">
        <f>IFERROR(VLOOKUP(TRIM(D97), Collection!$B$2:$D$1001, 2, FALSE), "")</f>
        <v/>
      </c>
      <c r="F97" s="48">
        <f>IFERROR(VLOOKUP(TRIM(D97), Collection!$B$2:$D$1001, 3, FALSE), "")</f>
        <v/>
      </c>
      <c r="G97" s="48">
        <f>IFERROR(VALUE(SUBSTITUTE(SUBSTITUTE(F97, "Price", ""), "AED", "")), "")</f>
        <v/>
      </c>
      <c r="H97" s="45" t="inlineStr">
        <is>
          <t>Phone sales Middle East</t>
        </is>
      </c>
      <c r="I97" s="45" t="n">
        <v>104459131</v>
      </c>
      <c r="J97" s="45" t="inlineStr">
        <is>
          <t>Prospect</t>
        </is>
      </c>
      <c r="K97" s="45" t="inlineStr">
        <is>
          <t>SHARIF Maaz</t>
        </is>
      </c>
      <c r="L97" s="45" t="inlineStr">
        <is>
          <t>the client would like to reserve  Overseas chronograph</t>
        </is>
      </c>
      <c r="M97" s="45">
        <f>IF(COUNTIF($R$3:$R$100, D97) &gt; 0, TRUE, FALSE)</f>
        <v/>
      </c>
    </row>
    <row r="98" ht="31.2" customHeight="1" s="287">
      <c r="A98" s="45" t="inlineStr">
        <is>
          <t>Request</t>
        </is>
      </c>
      <c r="B98" s="45" t="inlineStr">
        <is>
          <t xml:space="preserve"> </t>
        </is>
      </c>
      <c r="C98" s="45" t="inlineStr">
        <is>
          <t>18/2/2025</t>
        </is>
      </c>
      <c r="D98" s="45" t="inlineStr">
        <is>
          <t>4200H/222A-B934</t>
        </is>
      </c>
      <c r="E98" s="45">
        <f>IFERROR(VLOOKUP(TRIM(D98), Collection!$B$2:$D$1001, 2, FALSE), "")</f>
        <v/>
      </c>
      <c r="F98" s="48">
        <f>IFERROR(VLOOKUP(TRIM(D98), Collection!$B$2:$D$1001, 3, FALSE), "")</f>
        <v/>
      </c>
      <c r="G98" s="48">
        <f>IFERROR(VALUE(SUBSTITUTE(SUBSTITUTE(F98, "Price", ""), "AED", "")), "")</f>
        <v/>
      </c>
      <c r="H98" s="45" t="inlineStr">
        <is>
          <t>Phone sales Middle East</t>
        </is>
      </c>
      <c r="I98" s="45" t="n">
        <v>104137810</v>
      </c>
      <c r="J98" s="45" t="inlineStr">
        <is>
          <t>Prospect</t>
        </is>
      </c>
      <c r="K98" s="45" t="inlineStr">
        <is>
          <t>OMARI Asma</t>
        </is>
      </c>
      <c r="L98" s="45" t="inlineStr">
        <is>
          <t>Mr. Humaid Shaikh</t>
        </is>
      </c>
      <c r="M98" s="45">
        <f>IF(COUNTIF($R$3:$R$100, D98) &gt; 0, TRUE, FALSE)</f>
        <v/>
      </c>
    </row>
    <row r="99" ht="31.2" customHeight="1" s="287">
      <c r="A99" s="45" t="inlineStr">
        <is>
          <t>Request</t>
        </is>
      </c>
      <c r="B99" s="45" t="inlineStr">
        <is>
          <t xml:space="preserve"> </t>
        </is>
      </c>
      <c r="C99" s="45" t="inlineStr">
        <is>
          <t>18/2/2025</t>
        </is>
      </c>
      <c r="D99" s="45" t="inlineStr">
        <is>
          <t>4200H/222A-B934</t>
        </is>
      </c>
      <c r="E99" s="45">
        <f>IFERROR(VLOOKUP(TRIM(D99), Collection!$B$2:$D$1001, 2, FALSE), "")</f>
        <v/>
      </c>
      <c r="F99" s="48">
        <f>IFERROR(VLOOKUP(TRIM(D99), Collection!$B$2:$D$1001, 3, FALSE), "")</f>
        <v/>
      </c>
      <c r="G99" s="48">
        <f>IFERROR(VALUE(SUBSTITUTE(SUBSTITUTE(F99, "Price", ""), "AED", "")), "")</f>
        <v/>
      </c>
      <c r="H99" s="45" t="inlineStr">
        <is>
          <t>Phone sales Middle East</t>
        </is>
      </c>
      <c r="I99" s="45" t="n">
        <v>104137864</v>
      </c>
      <c r="J99" s="45" t="inlineStr">
        <is>
          <t>Prospect</t>
        </is>
      </c>
      <c r="K99" s="45" t="inlineStr">
        <is>
          <t>OMARI Asma</t>
        </is>
      </c>
      <c r="L99" s="45" t="inlineStr">
        <is>
          <t>Mr. Mohamed Alsuwaidi</t>
        </is>
      </c>
      <c r="M99" s="45">
        <f>IF(COUNTIF($R$3:$R$100, D99) &gt; 0, TRUE, FALSE)</f>
        <v/>
      </c>
    </row>
    <row r="100" ht="31.2" customHeight="1" s="287">
      <c r="A100" s="45" t="inlineStr">
        <is>
          <t>Request</t>
        </is>
      </c>
      <c r="B100" s="45" t="inlineStr">
        <is>
          <t xml:space="preserve"> </t>
        </is>
      </c>
      <c r="C100" s="45" t="inlineStr">
        <is>
          <t>18/2/2025</t>
        </is>
      </c>
      <c r="D100" s="45" t="inlineStr">
        <is>
          <t>4200H/222A-B934</t>
        </is>
      </c>
      <c r="E100" s="45">
        <f>IFERROR(VLOOKUP(TRIM(D100), Collection!$B$2:$D$1001, 2, FALSE), "")</f>
        <v/>
      </c>
      <c r="F100" s="48">
        <f>IFERROR(VLOOKUP(TRIM(D100), Collection!$B$2:$D$1001, 3, FALSE), "")</f>
        <v/>
      </c>
      <c r="G100" s="48">
        <f>IFERROR(VALUE(SUBSTITUTE(SUBSTITUTE(F100, "Price", ""), "AED", "")), "")</f>
        <v/>
      </c>
      <c r="H100" s="45" t="inlineStr">
        <is>
          <t>Phone sales Middle East</t>
        </is>
      </c>
      <c r="I100" s="45" t="n">
        <v>92402356</v>
      </c>
      <c r="J100" s="45" t="inlineStr">
        <is>
          <t>Prospect</t>
        </is>
      </c>
      <c r="K100" s="45" t="inlineStr">
        <is>
          <t>OMARI Asma</t>
        </is>
      </c>
      <c r="L100" s="45" t="inlineStr">
        <is>
          <t>Hussain Mohamed</t>
        </is>
      </c>
      <c r="M100" s="45">
        <f>IF(COUNTIF($R$3:$R$100, D100) &gt; 0, TRUE, FALSE)</f>
        <v/>
      </c>
    </row>
    <row r="101" ht="93.59999999999999" customHeight="1" s="287">
      <c r="A101" s="45" t="inlineStr">
        <is>
          <t>Request</t>
        </is>
      </c>
      <c r="B101" s="45" t="inlineStr">
        <is>
          <t xml:space="preserve"> </t>
        </is>
      </c>
      <c r="C101" s="45" t="inlineStr">
        <is>
          <t>15/2/2025</t>
        </is>
      </c>
      <c r="D101" s="45" t="inlineStr">
        <is>
          <t>5520V/210A-B148</t>
        </is>
      </c>
      <c r="E101" s="45">
        <f>IFERROR(VLOOKUP(TRIM(D101), Collection!$B$2:$D$1001, 2, FALSE), "")</f>
        <v/>
      </c>
      <c r="F101" s="48">
        <f>IFERROR(VLOOKUP(TRIM(D101), Collection!$B$2:$D$1001, 3, FALSE), "")</f>
        <v/>
      </c>
      <c r="G101" s="48">
        <f>IFERROR(VALUE(SUBSTITUTE(SUBSTITUTE(F101, "Price", ""), "AED", "")), "")</f>
        <v/>
      </c>
      <c r="H101" s="45" t="inlineStr">
        <is>
          <t>Phone sales Middle East</t>
        </is>
      </c>
      <c r="I101" s="45" t="n">
        <v>104495233</v>
      </c>
      <c r="J101" s="45" t="inlineStr">
        <is>
          <t>Prospect</t>
        </is>
      </c>
      <c r="K101" s="45" t="inlineStr">
        <is>
          <t>SHARIF Maaz</t>
        </is>
      </c>
      <c r="L101" s="45" t="inlineStr">
        <is>
          <t>the client is very interested in the Overseas chronograph
and willing to secure it via payment link</t>
        </is>
      </c>
      <c r="M101" s="45">
        <f>IF(COUNTIF($R$3:$R$100, D101) &gt; 0, TRUE, FALSE)</f>
        <v/>
      </c>
    </row>
    <row r="102" ht="31.2" customHeight="1" s="287">
      <c r="A102" s="45" t="inlineStr">
        <is>
          <t>Request</t>
        </is>
      </c>
      <c r="B102" s="45" t="inlineStr">
        <is>
          <t xml:space="preserve"> </t>
        </is>
      </c>
      <c r="C102" s="45" t="inlineStr">
        <is>
          <t>13/2/2025</t>
        </is>
      </c>
      <c r="D102" s="45" t="inlineStr">
        <is>
          <t>4200H/222A-B934</t>
        </is>
      </c>
      <c r="E102" s="45">
        <f>IFERROR(VLOOKUP(TRIM(D102), Collection!$B$2:$D$1001, 2, FALSE), "")</f>
        <v/>
      </c>
      <c r="F102" s="48">
        <f>IFERROR(VLOOKUP(TRIM(D102), Collection!$B$2:$D$1001, 3, FALSE), "")</f>
        <v/>
      </c>
      <c r="G102" s="48">
        <f>IFERROR(VALUE(SUBSTITUTE(SUBSTITUTE(F102, "Price", ""), "AED", "")), "")</f>
        <v/>
      </c>
      <c r="H102" s="45" t="inlineStr">
        <is>
          <t>Phone sales Middle East</t>
        </is>
      </c>
      <c r="I102" s="45" t="n">
        <v>103985822</v>
      </c>
      <c r="J102" s="45" t="inlineStr">
        <is>
          <t>Prospect</t>
        </is>
      </c>
      <c r="K102" s="45" t="inlineStr">
        <is>
          <t>TAHHAN Riham</t>
        </is>
      </c>
      <c r="L102" s="45" t="inlineStr">
        <is>
          <t xml:space="preserve"> </t>
        </is>
      </c>
      <c r="M102" s="45">
        <f>IF(COUNTIF($R$3:$R$100, D102) &gt; 0, TRUE, FALSE)</f>
        <v/>
      </c>
    </row>
    <row r="103" ht="31.2" customHeight="1" s="287">
      <c r="A103" s="45" t="inlineStr">
        <is>
          <t>Request</t>
        </is>
      </c>
      <c r="B103" s="45" t="inlineStr">
        <is>
          <t xml:space="preserve"> </t>
        </is>
      </c>
      <c r="C103" s="45" t="inlineStr">
        <is>
          <t>13/2/2025</t>
        </is>
      </c>
      <c r="D103" s="45" t="inlineStr">
        <is>
          <t>4200H/222A-B934</t>
        </is>
      </c>
      <c r="E103" s="45">
        <f>IFERROR(VLOOKUP(TRIM(D103), Collection!$B$2:$D$1001, 2, FALSE), "")</f>
        <v/>
      </c>
      <c r="F103" s="48">
        <f>IFERROR(VLOOKUP(TRIM(D103), Collection!$B$2:$D$1001, 3, FALSE), "")</f>
        <v/>
      </c>
      <c r="G103" s="48">
        <f>IFERROR(VALUE(SUBSTITUTE(SUBSTITUTE(F103, "Price", ""), "AED", "")), "")</f>
        <v/>
      </c>
      <c r="H103" s="45" t="inlineStr">
        <is>
          <t>Phone sales Middle East</t>
        </is>
      </c>
      <c r="I103" s="45" t="n">
        <v>104069433</v>
      </c>
      <c r="J103" s="45" t="inlineStr">
        <is>
          <t>Prospect</t>
        </is>
      </c>
      <c r="K103" s="45" t="inlineStr">
        <is>
          <t>OMARI Asma</t>
        </is>
      </c>
      <c r="L103" s="45" t="inlineStr">
        <is>
          <t>Roman Heinrichs</t>
        </is>
      </c>
      <c r="M103" s="45">
        <f>IF(COUNTIF($R$3:$R$100, D103) &gt; 0, TRUE, FALSE)</f>
        <v/>
      </c>
    </row>
    <row r="104" ht="31.2" customHeight="1" s="287">
      <c r="A104" s="45" t="inlineStr">
        <is>
          <t>Request</t>
        </is>
      </c>
      <c r="B104" s="45" t="inlineStr">
        <is>
          <t xml:space="preserve"> </t>
        </is>
      </c>
      <c r="C104" s="46" t="n">
        <v>45993</v>
      </c>
      <c r="D104" s="45" t="inlineStr">
        <is>
          <t>4200H/222A-B934</t>
        </is>
      </c>
      <c r="E104" s="45">
        <f>IFERROR(VLOOKUP(TRIM(D104), Collection!$B$2:$D$1001, 2, FALSE), "")</f>
        <v/>
      </c>
      <c r="F104" s="48">
        <f>IFERROR(VLOOKUP(TRIM(D104), Collection!$B$2:$D$1001, 3, FALSE), "")</f>
        <v/>
      </c>
      <c r="G104" s="48">
        <f>IFERROR(VALUE(SUBSTITUTE(SUBSTITUTE(F104, "Price", ""), "AED", "")), "")</f>
        <v/>
      </c>
      <c r="H104" s="45" t="inlineStr">
        <is>
          <t>Phone sales Middle East</t>
        </is>
      </c>
      <c r="I104" s="45" t="n">
        <v>103936120</v>
      </c>
      <c r="J104" s="45" t="inlineStr">
        <is>
          <t>Prospect</t>
        </is>
      </c>
      <c r="K104" s="45" t="inlineStr">
        <is>
          <t>TAHHAN Riham</t>
        </is>
      </c>
      <c r="L104" s="45" t="inlineStr">
        <is>
          <t xml:space="preserve"> </t>
        </is>
      </c>
      <c r="M104" s="45">
        <f>IF(COUNTIF($R$3:$R$100, D104) &gt; 0, TRUE, FALSE)</f>
        <v/>
      </c>
    </row>
    <row r="105" ht="31.2" customHeight="1" s="287">
      <c r="A105" s="45" t="inlineStr">
        <is>
          <t>Request</t>
        </is>
      </c>
      <c r="B105" s="45" t="inlineStr">
        <is>
          <t xml:space="preserve"> </t>
        </is>
      </c>
      <c r="C105" s="46" t="n">
        <v>45993</v>
      </c>
      <c r="D105" s="45" t="inlineStr">
        <is>
          <t>4200H/222A-B934</t>
        </is>
      </c>
      <c r="E105" s="45">
        <f>IFERROR(VLOOKUP(TRIM(D105), Collection!$B$2:$D$1001, 2, FALSE), "")</f>
        <v/>
      </c>
      <c r="F105" s="48">
        <f>IFERROR(VLOOKUP(TRIM(D105), Collection!$B$2:$D$1001, 3, FALSE), "")</f>
        <v/>
      </c>
      <c r="G105" s="48">
        <f>IFERROR(VALUE(SUBSTITUTE(SUBSTITUTE(F105, "Price", ""), "AED", "")), "")</f>
        <v/>
      </c>
      <c r="H105" s="45" t="inlineStr">
        <is>
          <t>Phone sales Middle East</t>
        </is>
      </c>
      <c r="I105" s="45" t="n">
        <v>104050167</v>
      </c>
      <c r="J105" s="45" t="inlineStr">
        <is>
          <t>Prospect</t>
        </is>
      </c>
      <c r="K105" s="45" t="inlineStr">
        <is>
          <t>OMARI Asma</t>
        </is>
      </c>
      <c r="L105" s="45" t="inlineStr">
        <is>
          <t>Arthur Sarkisian</t>
        </is>
      </c>
      <c r="M105" s="45">
        <f>IF(COUNTIF($R$3:$R$100, D105) &gt; 0, TRUE, FALSE)</f>
        <v/>
      </c>
    </row>
    <row r="106" ht="31.2" customHeight="1" s="287">
      <c r="A106" s="45" t="inlineStr">
        <is>
          <t>Request</t>
        </is>
      </c>
      <c r="B106" s="45" t="inlineStr">
        <is>
          <t xml:space="preserve"> </t>
        </is>
      </c>
      <c r="C106" s="46" t="n">
        <v>45963</v>
      </c>
      <c r="D106" s="45" t="inlineStr">
        <is>
          <t>4200H/222A-B934</t>
        </is>
      </c>
      <c r="E106" s="45">
        <f>IFERROR(VLOOKUP(TRIM(D106), Collection!$B$2:$D$1001, 2, FALSE), "")</f>
        <v/>
      </c>
      <c r="F106" s="48">
        <f>IFERROR(VLOOKUP(TRIM(D106), Collection!$B$2:$D$1001, 3, FALSE), "")</f>
        <v/>
      </c>
      <c r="G106" s="48">
        <f>IFERROR(VALUE(SUBSTITUTE(SUBSTITUTE(F106, "Price", ""), "AED", "")), "")</f>
        <v/>
      </c>
      <c r="H106" s="45" t="inlineStr">
        <is>
          <t>Phone sales Middle East</t>
        </is>
      </c>
      <c r="I106" s="45" t="n">
        <v>104044650</v>
      </c>
      <c r="J106" s="45" t="inlineStr">
        <is>
          <t>Prospect</t>
        </is>
      </c>
      <c r="K106" s="45" t="inlineStr">
        <is>
          <t>TAHHAN Riham</t>
        </is>
      </c>
      <c r="L106" s="45" t="inlineStr">
        <is>
          <t xml:space="preserve"> </t>
        </is>
      </c>
      <c r="M106" s="45">
        <f>IF(COUNTIF($R$3:$R$100, D106) &gt; 0, TRUE, FALSE)</f>
        <v/>
      </c>
    </row>
    <row r="107" ht="31.2" customHeight="1" s="287">
      <c r="A107" s="45" t="inlineStr">
        <is>
          <t>Cancelled</t>
        </is>
      </c>
      <c r="B107" s="45" t="inlineStr">
        <is>
          <t>Cancelled</t>
        </is>
      </c>
      <c r="C107" s="46" t="n">
        <v>45963</v>
      </c>
      <c r="D107" s="45" t="inlineStr">
        <is>
          <t>7920V/210A-B334</t>
        </is>
      </c>
      <c r="E107" s="45">
        <f>IFERROR(VLOOKUP(TRIM(D107), Collection!$B$2:$D$1001, 2, FALSE), "")</f>
        <v/>
      </c>
      <c r="F107" s="48">
        <f>IFERROR(VLOOKUP(TRIM(D107), Collection!$B$2:$D$1001, 3, FALSE), "")</f>
        <v/>
      </c>
      <c r="G107" s="48">
        <f>IFERROR(VALUE(SUBSTITUTE(SUBSTITUTE(F107, "Price", ""), "AED", "")), "")</f>
        <v/>
      </c>
      <c r="H107" s="45" t="inlineStr">
        <is>
          <t>Phone sales Middle East</t>
        </is>
      </c>
      <c r="I107" s="45" t="n">
        <v>104044650</v>
      </c>
      <c r="J107" s="45" t="inlineStr">
        <is>
          <t>Prospect</t>
        </is>
      </c>
      <c r="K107" s="45" t="inlineStr">
        <is>
          <t>TAHHAN Riham</t>
        </is>
      </c>
      <c r="L107" s="45" t="inlineStr">
        <is>
          <t xml:space="preserve"> </t>
        </is>
      </c>
      <c r="M107" s="45">
        <f>IF(COUNTIF($R$3:$R$100, D107) &gt; 0, TRUE, FALSE)</f>
        <v/>
      </c>
    </row>
    <row r="108" ht="31.2" customHeight="1" s="287">
      <c r="A108" s="45" t="inlineStr">
        <is>
          <t>Request</t>
        </is>
      </c>
      <c r="B108" s="45" t="inlineStr">
        <is>
          <t xml:space="preserve"> </t>
        </is>
      </c>
      <c r="C108" s="46" t="n">
        <v>45963</v>
      </c>
      <c r="D108" s="45" t="inlineStr">
        <is>
          <t>4200H/222A-B934</t>
        </is>
      </c>
      <c r="E108" s="45">
        <f>IFERROR(VLOOKUP(TRIM(D108), Collection!$B$2:$D$1001, 2, FALSE), "")</f>
        <v/>
      </c>
      <c r="F108" s="48">
        <f>IFERROR(VLOOKUP(TRIM(D108), Collection!$B$2:$D$1001, 3, FALSE), "")</f>
        <v/>
      </c>
      <c r="G108" s="48">
        <f>IFERROR(VALUE(SUBSTITUTE(SUBSTITUTE(F108, "Price", ""), "AED", "")), "")</f>
        <v/>
      </c>
      <c r="H108" s="45" t="inlineStr">
        <is>
          <t>Phone sales Middle East</t>
        </is>
      </c>
      <c r="I108" s="45" t="n">
        <v>104044791</v>
      </c>
      <c r="J108" s="45" t="inlineStr">
        <is>
          <t>Prospect</t>
        </is>
      </c>
      <c r="K108" s="45" t="inlineStr">
        <is>
          <t>OMARI Asma</t>
        </is>
      </c>
      <c r="L108" s="45" t="inlineStr">
        <is>
          <t>Mr. Mostafa Gheita</t>
        </is>
      </c>
      <c r="M108" s="45">
        <f>IF(COUNTIF($R$3:$R$100, D108) &gt; 0, TRUE, FALSE)</f>
        <v/>
      </c>
    </row>
    <row r="109" ht="31.2" customHeight="1" s="287">
      <c r="A109" s="45" t="inlineStr">
        <is>
          <t>Request</t>
        </is>
      </c>
      <c r="B109" s="45" t="inlineStr">
        <is>
          <t xml:space="preserve"> </t>
        </is>
      </c>
      <c r="C109" s="46" t="n">
        <v>45963</v>
      </c>
      <c r="D109" s="45" t="inlineStr">
        <is>
          <t>5520V/210A-B148</t>
        </is>
      </c>
      <c r="E109" s="45">
        <f>IFERROR(VLOOKUP(TRIM(D109), Collection!$B$2:$D$1001, 2, FALSE), "")</f>
        <v/>
      </c>
      <c r="F109" s="48">
        <f>IFERROR(VLOOKUP(TRIM(D109), Collection!$B$2:$D$1001, 3, FALSE), "")</f>
        <v/>
      </c>
      <c r="G109" s="48">
        <f>IFERROR(VALUE(SUBSTITUTE(SUBSTITUTE(F109, "Price", ""), "AED", "")), "")</f>
        <v/>
      </c>
      <c r="H109" s="45" t="inlineStr">
        <is>
          <t>Phone sales Middle East</t>
        </is>
      </c>
      <c r="I109" s="45" t="n">
        <v>104048409</v>
      </c>
      <c r="J109" s="45" t="inlineStr">
        <is>
          <t>Prospect</t>
        </is>
      </c>
      <c r="K109" s="45" t="inlineStr">
        <is>
          <t>OMARI Asma</t>
        </is>
      </c>
      <c r="L109" s="45" t="inlineStr">
        <is>
          <t>Mr. Omar Alamoodi</t>
        </is>
      </c>
      <c r="M109" s="45">
        <f>IF(COUNTIF($R$3:$R$100, D109) &gt; 0, TRUE, FALSE)</f>
        <v/>
      </c>
    </row>
    <row r="110" ht="31.2" customHeight="1" s="287">
      <c r="A110" s="45" t="inlineStr">
        <is>
          <t>Request</t>
        </is>
      </c>
      <c r="B110" s="45" t="inlineStr">
        <is>
          <t xml:space="preserve"> </t>
        </is>
      </c>
      <c r="C110" s="46" t="n">
        <v>45963</v>
      </c>
      <c r="D110" s="45" t="inlineStr">
        <is>
          <t>4200H/222A-B934</t>
        </is>
      </c>
      <c r="E110" s="45">
        <f>IFERROR(VLOOKUP(TRIM(D110), Collection!$B$2:$D$1001, 2, FALSE), "")</f>
        <v/>
      </c>
      <c r="F110" s="48">
        <f>IFERROR(VLOOKUP(TRIM(D110), Collection!$B$2:$D$1001, 3, FALSE), "")</f>
        <v/>
      </c>
      <c r="G110" s="48">
        <f>IFERROR(VALUE(SUBSTITUTE(SUBSTITUTE(F110, "Price", ""), "AED", "")), "")</f>
        <v/>
      </c>
      <c r="H110" s="45" t="inlineStr">
        <is>
          <t>Phone sales Middle East</t>
        </is>
      </c>
      <c r="I110" s="45" t="n">
        <v>104044621</v>
      </c>
      <c r="J110" s="45" t="inlineStr">
        <is>
          <t>Prospect</t>
        </is>
      </c>
      <c r="K110" s="45" t="inlineStr">
        <is>
          <t>TAHHAN Riham</t>
        </is>
      </c>
      <c r="L110" s="45" t="inlineStr">
        <is>
          <t xml:space="preserve"> </t>
        </is>
      </c>
      <c r="M110" s="45">
        <f>IF(COUNTIF($R$3:$R$100, D110) &gt; 0, TRUE, FALSE)</f>
        <v/>
      </c>
    </row>
    <row r="111" ht="31.2" customHeight="1" s="287">
      <c r="A111" s="45" t="inlineStr">
        <is>
          <t>Request</t>
        </is>
      </c>
      <c r="B111" s="45" t="inlineStr">
        <is>
          <t xml:space="preserve"> </t>
        </is>
      </c>
      <c r="C111" s="46" t="n">
        <v>45840</v>
      </c>
      <c r="D111" s="45" t="inlineStr">
        <is>
          <t>4200H/222A-B934</t>
        </is>
      </c>
      <c r="E111" s="45">
        <f>IFERROR(VLOOKUP(TRIM(D111), Collection!$B$2:$D$1001, 2, FALSE), "")</f>
        <v/>
      </c>
      <c r="F111" s="48">
        <f>IFERROR(VLOOKUP(TRIM(D111), Collection!$B$2:$D$1001, 3, FALSE), "")</f>
        <v/>
      </c>
      <c r="G111" s="48">
        <f>IFERROR(VALUE(SUBSTITUTE(SUBSTITUTE(F111, "Price", ""), "AED", "")), "")</f>
        <v/>
      </c>
      <c r="H111" s="45" t="inlineStr">
        <is>
          <t>Phone sales Middle East</t>
        </is>
      </c>
      <c r="I111" s="45" t="n">
        <v>103976282</v>
      </c>
      <c r="J111" s="45" t="inlineStr">
        <is>
          <t>Prospect</t>
        </is>
      </c>
      <c r="K111" s="45" t="inlineStr">
        <is>
          <t>TAHHAN Riham</t>
        </is>
      </c>
      <c r="L111" s="45" t="inlineStr">
        <is>
          <t xml:space="preserve"> </t>
        </is>
      </c>
      <c r="M111" s="45">
        <f>IF(COUNTIF($R$3:$R$100, D111) &gt; 0, TRUE, FALSE)</f>
        <v/>
      </c>
    </row>
    <row r="112" ht="31.2" customHeight="1" s="287">
      <c r="A112" s="45" t="inlineStr">
        <is>
          <t>Request</t>
        </is>
      </c>
      <c r="B112" s="45" t="inlineStr">
        <is>
          <t xml:space="preserve"> </t>
        </is>
      </c>
      <c r="C112" s="46" t="n">
        <v>45840</v>
      </c>
      <c r="D112" s="45" t="inlineStr">
        <is>
          <t>4200H/222A-B934</t>
        </is>
      </c>
      <c r="E112" s="45">
        <f>IFERROR(VLOOKUP(TRIM(D112), Collection!$B$2:$D$1001, 2, FALSE), "")</f>
        <v/>
      </c>
      <c r="F112" s="48">
        <f>IFERROR(VLOOKUP(TRIM(D112), Collection!$B$2:$D$1001, 3, FALSE), "")</f>
        <v/>
      </c>
      <c r="G112" s="48">
        <f>IFERROR(VALUE(SUBSTITUTE(SUBSTITUTE(F112, "Price", ""), "AED", "")), "")</f>
        <v/>
      </c>
      <c r="H112" s="45" t="inlineStr">
        <is>
          <t>Phone sales Middle East</t>
        </is>
      </c>
      <c r="I112" s="45" t="n">
        <v>103985685</v>
      </c>
      <c r="J112" s="45" t="inlineStr">
        <is>
          <t>Prospect</t>
        </is>
      </c>
      <c r="K112" s="45" t="inlineStr">
        <is>
          <t>TAHHAN Riham</t>
        </is>
      </c>
      <c r="L112" s="45" t="inlineStr">
        <is>
          <t xml:space="preserve"> </t>
        </is>
      </c>
      <c r="M112" s="45">
        <f>IF(COUNTIF($R$3:$R$100, D112) &gt; 0, TRUE, FALSE)</f>
        <v/>
      </c>
    </row>
    <row r="113" ht="31.2" customHeight="1" s="287">
      <c r="A113" s="45" t="inlineStr">
        <is>
          <t>Request</t>
        </is>
      </c>
      <c r="B113" s="45" t="inlineStr">
        <is>
          <t xml:space="preserve"> </t>
        </is>
      </c>
      <c r="C113" s="46" t="n">
        <v>45840</v>
      </c>
      <c r="D113" s="45" t="inlineStr">
        <is>
          <t>5520V/210A-B148</t>
        </is>
      </c>
      <c r="E113" s="45">
        <f>IFERROR(VLOOKUP(TRIM(D113), Collection!$B$2:$D$1001, 2, FALSE), "")</f>
        <v/>
      </c>
      <c r="F113" s="48">
        <f>IFERROR(VLOOKUP(TRIM(D113), Collection!$B$2:$D$1001, 3, FALSE), "")</f>
        <v/>
      </c>
      <c r="G113" s="48">
        <f>IFERROR(VALUE(SUBSTITUTE(SUBSTITUTE(F113, "Price", ""), "AED", "")), "")</f>
        <v/>
      </c>
      <c r="H113" s="45" t="inlineStr">
        <is>
          <t>Phone sales Middle East</t>
        </is>
      </c>
      <c r="I113" s="45" t="n">
        <v>103471315</v>
      </c>
      <c r="J113" s="45" t="inlineStr">
        <is>
          <t>Prospect</t>
        </is>
      </c>
      <c r="K113" s="45" t="inlineStr">
        <is>
          <t>SHARIF Maaz</t>
        </is>
      </c>
      <c r="L113" s="45" t="inlineStr">
        <is>
          <t xml:space="preserve"> </t>
        </is>
      </c>
      <c r="M113" s="45">
        <f>IF(COUNTIF($R$3:$R$100, D113) &gt; 0, TRUE, FALSE)</f>
        <v/>
      </c>
    </row>
    <row r="114" ht="31.2" customHeight="1" s="287">
      <c r="A114" s="45" t="inlineStr">
        <is>
          <t>Request</t>
        </is>
      </c>
      <c r="B114" s="45" t="inlineStr">
        <is>
          <t xml:space="preserve"> </t>
        </is>
      </c>
      <c r="C114" s="46" t="n">
        <v>45779</v>
      </c>
      <c r="D114" s="45" t="inlineStr">
        <is>
          <t>4520V/210A-B128</t>
        </is>
      </c>
      <c r="E114" s="45">
        <f>IFERROR(VLOOKUP(TRIM(D114), Collection!$B$2:$D$1001, 2, FALSE), "")</f>
        <v/>
      </c>
      <c r="F114" s="48">
        <f>IFERROR(VLOOKUP(TRIM(D114), Collection!$B$2:$D$1001, 3, FALSE), "")</f>
        <v/>
      </c>
      <c r="G114" s="48">
        <f>IFERROR(VALUE(SUBSTITUTE(SUBSTITUTE(F114, "Price", ""), "AED", "")), "")</f>
        <v/>
      </c>
      <c r="H114" s="45" t="inlineStr">
        <is>
          <t>Phone sales Middle East</t>
        </is>
      </c>
      <c r="I114" s="45" t="n">
        <v>103937781</v>
      </c>
      <c r="J114" s="45" t="inlineStr">
        <is>
          <t>Prospect</t>
        </is>
      </c>
      <c r="K114" s="45" t="inlineStr">
        <is>
          <t>OMARI Asma</t>
        </is>
      </c>
      <c r="L114" s="45" t="inlineStr">
        <is>
          <t>Mr. Benjamin Ping</t>
        </is>
      </c>
      <c r="M114" s="45">
        <f>IF(COUNTIF($R$3:$R$100, D114) &gt; 0, TRUE, FALSE)</f>
        <v/>
      </c>
    </row>
    <row r="115" ht="31.2" customHeight="1" s="287">
      <c r="A115" s="45" t="inlineStr">
        <is>
          <t>Request</t>
        </is>
      </c>
      <c r="B115" s="45" t="inlineStr">
        <is>
          <t xml:space="preserve"> </t>
        </is>
      </c>
      <c r="C115" s="46" t="n">
        <v>45779</v>
      </c>
      <c r="D115" s="45" t="inlineStr">
        <is>
          <t>4200H/222A-B934</t>
        </is>
      </c>
      <c r="E115" s="45">
        <f>IFERROR(VLOOKUP(TRIM(D115), Collection!$B$2:$D$1001, 2, FALSE), "")</f>
        <v/>
      </c>
      <c r="F115" s="48">
        <f>IFERROR(VLOOKUP(TRIM(D115), Collection!$B$2:$D$1001, 3, FALSE), "")</f>
        <v/>
      </c>
      <c r="G115" s="48">
        <f>IFERROR(VALUE(SUBSTITUTE(SUBSTITUTE(F115, "Price", ""), "AED", "")), "")</f>
        <v/>
      </c>
      <c r="H115" s="45" t="inlineStr">
        <is>
          <t>Phone sales Middle East</t>
        </is>
      </c>
      <c r="I115" s="45" t="n">
        <v>92425936</v>
      </c>
      <c r="J115" s="45" t="inlineStr">
        <is>
          <t>Client</t>
        </is>
      </c>
      <c r="K115" s="45" t="inlineStr">
        <is>
          <t>TAHHAN Riham</t>
        </is>
      </c>
      <c r="L115" s="45" t="inlineStr">
        <is>
          <t xml:space="preserve"> </t>
        </is>
      </c>
      <c r="M115" s="45">
        <f>IF(COUNTIF($R$3:$R$100, D115) &gt; 0, TRUE, FALSE)</f>
        <v/>
      </c>
    </row>
    <row r="116" ht="46.95" customHeight="1" s="287">
      <c r="A116" s="45" t="inlineStr">
        <is>
          <t>Request</t>
        </is>
      </c>
      <c r="B116" s="45" t="inlineStr">
        <is>
          <t xml:space="preserve"> </t>
        </is>
      </c>
      <c r="C116" s="46" t="n">
        <v>45779</v>
      </c>
      <c r="D116" s="45" t="inlineStr">
        <is>
          <t>5520V/210R-B966</t>
        </is>
      </c>
      <c r="E116" s="45">
        <f>IFERROR(VLOOKUP(TRIM(D116), Collection!$B$2:$D$1001, 2, FALSE), "")</f>
        <v/>
      </c>
      <c r="F116" s="48">
        <f>IFERROR(VLOOKUP(TRIM(D116), Collection!$B$2:$D$1001, 3, FALSE), "")</f>
        <v/>
      </c>
      <c r="G116" s="48">
        <f>IFERROR(VALUE(SUBSTITUTE(SUBSTITUTE(F116, "Price", ""), "AED", "")), "")</f>
        <v/>
      </c>
      <c r="H116" s="45" t="inlineStr">
        <is>
          <t>Phone sales Middle East</t>
        </is>
      </c>
      <c r="I116" s="45" t="n">
        <v>104459131</v>
      </c>
      <c r="J116" s="45" t="inlineStr">
        <is>
          <t>Prospect</t>
        </is>
      </c>
      <c r="K116" s="45" t="inlineStr">
        <is>
          <t>SHARIF Maaz</t>
        </is>
      </c>
      <c r="L116" s="45" t="n"/>
      <c r="M116" s="45">
        <f>IF(COUNTIF($R$3:$R$100, D116) &gt; 0, TRUE, FALSE)</f>
        <v/>
      </c>
    </row>
    <row r="117" ht="31.2" customHeight="1" s="287">
      <c r="A117" s="45" t="inlineStr">
        <is>
          <t>Request</t>
        </is>
      </c>
      <c r="B117" s="45" t="inlineStr">
        <is>
          <t xml:space="preserve"> </t>
        </is>
      </c>
      <c r="C117" s="46" t="n">
        <v>45749</v>
      </c>
      <c r="D117" s="45" t="inlineStr">
        <is>
          <t>7920V/210A-B334</t>
        </is>
      </c>
      <c r="E117" s="45">
        <f>IFERROR(VLOOKUP(TRIM(D117), Collection!$B$2:$D$1001, 2, FALSE), "")</f>
        <v/>
      </c>
      <c r="F117" s="48">
        <f>IFERROR(VLOOKUP(TRIM(D117), Collection!$B$2:$D$1001, 3, FALSE), "")</f>
        <v/>
      </c>
      <c r="G117" s="48">
        <f>IFERROR(VALUE(SUBSTITUTE(SUBSTITUTE(F117, "Price", ""), "AED", "")), "")</f>
        <v/>
      </c>
      <c r="H117" s="45" t="inlineStr">
        <is>
          <t>Phone sales Middle East</t>
        </is>
      </c>
      <c r="I117" s="45" t="n">
        <v>103879055</v>
      </c>
      <c r="J117" s="45" t="inlineStr">
        <is>
          <t>Prospect</t>
        </is>
      </c>
      <c r="K117" s="45" t="inlineStr">
        <is>
          <t>OMARI Asma</t>
        </is>
      </c>
      <c r="L117" s="45" t="inlineStr">
        <is>
          <t>Ahmad Alsadhan (ksa)</t>
        </is>
      </c>
      <c r="M117" s="45">
        <f>IF(COUNTIF($R$3:$R$100, D117) &gt; 0, TRUE, FALSE)</f>
        <v/>
      </c>
    </row>
    <row r="118" ht="46.95" customHeight="1" s="287">
      <c r="A118" s="45" t="inlineStr">
        <is>
          <t>Request</t>
        </is>
      </c>
      <c r="B118" s="45" t="inlineStr">
        <is>
          <t xml:space="preserve"> </t>
        </is>
      </c>
      <c r="C118" s="46" t="n">
        <v>45749</v>
      </c>
      <c r="D118" s="45" t="inlineStr">
        <is>
          <t>4600E/000A-B442</t>
        </is>
      </c>
      <c r="E118" s="45">
        <f>IFERROR(VLOOKUP(TRIM(D118), Collection!$B$2:$D$1001, 2, FALSE), "")</f>
        <v/>
      </c>
      <c r="F118" s="48">
        <f>IFERROR(VLOOKUP(TRIM(D118), Collection!$B$2:$D$1001, 3, FALSE), "")</f>
        <v/>
      </c>
      <c r="G118" s="48">
        <f>IFERROR(VALUE(SUBSTITUTE(SUBSTITUTE(F118, "Price", ""), "AED", "")), "")</f>
        <v/>
      </c>
      <c r="H118" s="45" t="inlineStr">
        <is>
          <t>Phone sales Middle East</t>
        </is>
      </c>
      <c r="I118" s="45" t="n">
        <v>103936063</v>
      </c>
      <c r="J118" s="45" t="inlineStr">
        <is>
          <t>Prospect</t>
        </is>
      </c>
      <c r="K118" s="45" t="inlineStr">
        <is>
          <t>OMARI Asma</t>
        </is>
      </c>
      <c r="L118" s="45" t="inlineStr">
        <is>
          <t>Mr. Rayan Mansouri / ksa/ contacted on whatsapp as well.</t>
        </is>
      </c>
      <c r="M118" s="45">
        <f>IF(COUNTIF($R$3:$R$100, D118) &gt; 0, TRUE, FALSE)</f>
        <v/>
      </c>
    </row>
    <row r="119" ht="31.2" customHeight="1" s="287">
      <c r="A119" s="45" t="inlineStr">
        <is>
          <t>Request</t>
        </is>
      </c>
      <c r="B119" s="45" t="inlineStr">
        <is>
          <t xml:space="preserve"> </t>
        </is>
      </c>
      <c r="C119" s="46" t="n">
        <v>45749</v>
      </c>
      <c r="D119" s="45" t="inlineStr">
        <is>
          <t>4200H/222A-B934</t>
        </is>
      </c>
      <c r="E119" s="45">
        <f>IFERROR(VLOOKUP(TRIM(D119), Collection!$B$2:$D$1001, 2, FALSE), "")</f>
        <v/>
      </c>
      <c r="F119" s="48">
        <f>IFERROR(VLOOKUP(TRIM(D119), Collection!$B$2:$D$1001, 3, FALSE), "")</f>
        <v/>
      </c>
      <c r="G119" s="48">
        <f>IFERROR(VALUE(SUBSTITUTE(SUBSTITUTE(F119, "Price", ""), "AED", "")), "")</f>
        <v/>
      </c>
      <c r="H119" s="45" t="inlineStr">
        <is>
          <t>Phone sales Middle East</t>
        </is>
      </c>
      <c r="I119" s="45" t="n">
        <v>103936063</v>
      </c>
      <c r="J119" s="45" t="inlineStr">
        <is>
          <t>Prospect</t>
        </is>
      </c>
      <c r="K119" s="45" t="inlineStr">
        <is>
          <t>OMARI Asma</t>
        </is>
      </c>
      <c r="L119" s="45" t="inlineStr">
        <is>
          <t>Rayan Mansouri ksa</t>
        </is>
      </c>
      <c r="M119" s="45">
        <f>IF(COUNTIF($R$3:$R$100, D119) &gt; 0, TRUE, FALSE)</f>
        <v/>
      </c>
    </row>
    <row r="120" ht="31.2" customHeight="1" s="287">
      <c r="A120" s="45" t="inlineStr">
        <is>
          <t>Request</t>
        </is>
      </c>
      <c r="B120" s="45" t="inlineStr">
        <is>
          <t xml:space="preserve"> </t>
        </is>
      </c>
      <c r="C120" s="46" t="n">
        <v>45749</v>
      </c>
      <c r="D120" s="45" t="inlineStr">
        <is>
          <t>4600E/000A-B442</t>
        </is>
      </c>
      <c r="E120" s="45">
        <f>IFERROR(VLOOKUP(TRIM(D120), Collection!$B$2:$D$1001, 2, FALSE), "")</f>
        <v/>
      </c>
      <c r="F120" s="48">
        <f>IFERROR(VLOOKUP(TRIM(D120), Collection!$B$2:$D$1001, 3, FALSE), "")</f>
        <v/>
      </c>
      <c r="G120" s="48">
        <f>IFERROR(VALUE(SUBSTITUTE(SUBSTITUTE(F120, "Price", ""), "AED", "")), "")</f>
        <v/>
      </c>
      <c r="H120" s="45" t="inlineStr">
        <is>
          <t>Phone sales Middle East</t>
        </is>
      </c>
      <c r="I120" s="45" t="n">
        <v>103936120</v>
      </c>
      <c r="J120" s="45" t="inlineStr">
        <is>
          <t>Prospect</t>
        </is>
      </c>
      <c r="K120" s="45" t="inlineStr">
        <is>
          <t>TAHHAN Riham</t>
        </is>
      </c>
      <c r="L120" s="45" t="inlineStr">
        <is>
          <t xml:space="preserve"> </t>
        </is>
      </c>
      <c r="M120" s="45">
        <f>IF(COUNTIF($R$3:$R$100, D120) &gt; 0, TRUE, FALSE)</f>
        <v/>
      </c>
    </row>
    <row r="121" ht="31.2" customHeight="1" s="287">
      <c r="A121" s="45" t="inlineStr">
        <is>
          <t>Request</t>
        </is>
      </c>
      <c r="B121" s="45" t="inlineStr">
        <is>
          <t xml:space="preserve"> </t>
        </is>
      </c>
      <c r="C121" s="46" t="n">
        <v>45749</v>
      </c>
      <c r="D121" s="45" t="inlineStr">
        <is>
          <t>4200H/222A-B934</t>
        </is>
      </c>
      <c r="E121" s="45">
        <f>IFERROR(VLOOKUP(TRIM(D121), Collection!$B$2:$D$1001, 2, FALSE), "")</f>
        <v/>
      </c>
      <c r="F121" s="48">
        <f>IFERROR(VLOOKUP(TRIM(D121), Collection!$B$2:$D$1001, 3, FALSE), "")</f>
        <v/>
      </c>
      <c r="G121" s="48">
        <f>IFERROR(VALUE(SUBSTITUTE(SUBSTITUTE(F121, "Price", ""), "AED", "")), "")</f>
        <v/>
      </c>
      <c r="H121" s="45" t="inlineStr">
        <is>
          <t>Phone sales Middle East</t>
        </is>
      </c>
      <c r="I121" s="45" t="n">
        <v>103873184</v>
      </c>
      <c r="J121" s="45" t="inlineStr">
        <is>
          <t>Prospect</t>
        </is>
      </c>
      <c r="K121" s="45" t="inlineStr">
        <is>
          <t>TAHHAN Riham</t>
        </is>
      </c>
      <c r="L121" s="45" t="inlineStr">
        <is>
          <t xml:space="preserve"> </t>
        </is>
      </c>
      <c r="M121" s="45">
        <f>IF(COUNTIF($R$3:$R$100, D121) &gt; 0, TRUE, FALSE)</f>
        <v/>
      </c>
    </row>
    <row r="122" ht="31.2" customHeight="1" s="287">
      <c r="A122" s="45" t="inlineStr">
        <is>
          <t>Request</t>
        </is>
      </c>
      <c r="B122" s="45" t="inlineStr">
        <is>
          <t xml:space="preserve"> </t>
        </is>
      </c>
      <c r="C122" s="46" t="n">
        <v>45749</v>
      </c>
      <c r="D122" s="45" t="inlineStr">
        <is>
          <t>4200H/222A-B934</t>
        </is>
      </c>
      <c r="E122" s="45">
        <f>IFERROR(VLOOKUP(TRIM(D122), Collection!$B$2:$D$1001, 2, FALSE), "")</f>
        <v/>
      </c>
      <c r="F122" s="48">
        <f>IFERROR(VLOOKUP(TRIM(D122), Collection!$B$2:$D$1001, 3, FALSE), "")</f>
        <v/>
      </c>
      <c r="G122" s="48">
        <f>IFERROR(VALUE(SUBSTITUTE(SUBSTITUTE(F122, "Price", ""), "AED", "")), "")</f>
        <v/>
      </c>
      <c r="H122" s="45" t="inlineStr">
        <is>
          <t>Phone sales Middle East</t>
        </is>
      </c>
      <c r="I122" s="45" t="n">
        <v>103890141</v>
      </c>
      <c r="J122" s="45" t="inlineStr">
        <is>
          <t>Prospect</t>
        </is>
      </c>
      <c r="K122" s="45" t="inlineStr">
        <is>
          <t>TAHHAN Riham</t>
        </is>
      </c>
      <c r="L122" s="45" t="inlineStr">
        <is>
          <t xml:space="preserve"> </t>
        </is>
      </c>
      <c r="M122" s="45">
        <f>IF(COUNTIF($R$3:$R$100, D122) &gt; 0, TRUE, FALSE)</f>
        <v/>
      </c>
    </row>
    <row r="123" ht="31.2" customHeight="1" s="287">
      <c r="A123" s="45" t="inlineStr">
        <is>
          <t>Request</t>
        </is>
      </c>
      <c r="B123" s="45" t="inlineStr">
        <is>
          <t xml:space="preserve"> </t>
        </is>
      </c>
      <c r="C123" s="46" t="n">
        <v>45749</v>
      </c>
      <c r="D123" s="45" t="inlineStr">
        <is>
          <t>4200H/222A-B934</t>
        </is>
      </c>
      <c r="E123" s="45">
        <f>IFERROR(VLOOKUP(TRIM(D123), Collection!$B$2:$D$1001, 2, FALSE), "")</f>
        <v/>
      </c>
      <c r="F123" s="48">
        <f>IFERROR(VLOOKUP(TRIM(D123), Collection!$B$2:$D$1001, 3, FALSE), "")</f>
        <v/>
      </c>
      <c r="G123" s="48">
        <f>IFERROR(VALUE(SUBSTITUTE(SUBSTITUTE(F123, "Price", ""), "AED", "")), "")</f>
        <v/>
      </c>
      <c r="H123" s="45" t="inlineStr">
        <is>
          <t>Phone sales Middle East</t>
        </is>
      </c>
      <c r="I123" s="45" t="n">
        <v>103844198</v>
      </c>
      <c r="J123" s="45" t="inlineStr">
        <is>
          <t>Prospect</t>
        </is>
      </c>
      <c r="K123" s="45" t="inlineStr">
        <is>
          <t>TAHHAN Riham</t>
        </is>
      </c>
      <c r="L123" s="45" t="inlineStr">
        <is>
          <t xml:space="preserve"> </t>
        </is>
      </c>
      <c r="M123" s="45">
        <f>IF(COUNTIF($R$3:$R$100, D123) &gt; 0, TRUE, FALSE)</f>
        <v/>
      </c>
    </row>
    <row r="124" ht="78" customHeight="1" s="287">
      <c r="A124" s="45" t="inlineStr">
        <is>
          <t>Request</t>
        </is>
      </c>
      <c r="B124" s="45" t="inlineStr">
        <is>
          <t xml:space="preserve"> </t>
        </is>
      </c>
      <c r="C124" s="46" t="n">
        <v>45749</v>
      </c>
      <c r="D124" s="45" t="inlineStr">
        <is>
          <t>4000U/000P-H003</t>
        </is>
      </c>
      <c r="E124" s="45">
        <f>IFERROR(VLOOKUP(TRIM(D124), Collection!$B$2:$D$1001, 2, FALSE), "")</f>
        <v/>
      </c>
      <c r="F124" s="48">
        <f>IFERROR(VLOOKUP(TRIM(D124), Collection!$B$2:$D$1001, 3, FALSE), "")</f>
        <v/>
      </c>
      <c r="G124" s="48">
        <f>IFERROR(VALUE(SUBSTITUTE(SUBSTITUTE(F124, "Price", ""), "AED", "")), "")</f>
        <v/>
      </c>
      <c r="H124" s="45" t="inlineStr">
        <is>
          <t>Phone sales Middle East</t>
        </is>
      </c>
      <c r="I124" s="45" t="n">
        <v>103677618</v>
      </c>
      <c r="J124" s="45" t="inlineStr">
        <is>
          <t>Prospect</t>
        </is>
      </c>
      <c r="K124" s="45" t="inlineStr">
        <is>
          <t>SHARIF Maaz</t>
        </is>
      </c>
      <c r="L124" s="45" t="inlineStr">
        <is>
          <t>The client interested in the 222 gold and steel as well the Patrimony and Historiques</t>
        </is>
      </c>
      <c r="M124" s="45">
        <f>IF(COUNTIF($R$3:$R$100, D124) &gt; 0, TRUE, FALSE)</f>
        <v/>
      </c>
    </row>
    <row r="125" ht="31.2" customHeight="1" s="287">
      <c r="A125" s="45" t="inlineStr">
        <is>
          <t>Request</t>
        </is>
      </c>
      <c r="B125" s="45" t="inlineStr">
        <is>
          <t xml:space="preserve"> </t>
        </is>
      </c>
      <c r="C125" s="46" t="n">
        <v>45749</v>
      </c>
      <c r="D125" s="45" t="inlineStr">
        <is>
          <t>4200H/222J-B935</t>
        </is>
      </c>
      <c r="E125" s="45">
        <f>IFERROR(VLOOKUP(TRIM(D125), Collection!$B$2:$D$1001, 2, FALSE), "")</f>
        <v/>
      </c>
      <c r="F125" s="48">
        <f>IFERROR(VLOOKUP(TRIM(D125), Collection!$B$2:$D$1001, 3, FALSE), "")</f>
        <v/>
      </c>
      <c r="G125" s="48">
        <f>IFERROR(VALUE(SUBSTITUTE(SUBSTITUTE(F125, "Price", ""), "AED", "")), "")</f>
        <v/>
      </c>
      <c r="H125" s="45" t="inlineStr">
        <is>
          <t>Phone sales Middle East</t>
        </is>
      </c>
      <c r="I125" s="45" t="n">
        <v>103677618</v>
      </c>
      <c r="J125" s="45" t="inlineStr">
        <is>
          <t>Prospect</t>
        </is>
      </c>
      <c r="K125" s="45" t="inlineStr">
        <is>
          <t>SHARIF Maaz</t>
        </is>
      </c>
      <c r="L125" s="45" t="inlineStr">
        <is>
          <t>Clinet is intrested in the 222</t>
        </is>
      </c>
      <c r="M125" s="45">
        <f>IF(COUNTIF($R$3:$R$100, D125) &gt; 0, TRUE, FALSE)</f>
        <v/>
      </c>
    </row>
    <row r="126" ht="62.4" customHeight="1" s="287">
      <c r="A126" s="45" t="inlineStr">
        <is>
          <t>Request</t>
        </is>
      </c>
      <c r="B126" s="45" t="inlineStr">
        <is>
          <t xml:space="preserve"> </t>
        </is>
      </c>
      <c r="C126" s="46" t="n">
        <v>45749</v>
      </c>
      <c r="D126" s="45" t="inlineStr">
        <is>
          <t>4000V/210A-B911</t>
        </is>
      </c>
      <c r="E126" s="45">
        <f>IFERROR(VLOOKUP(TRIM(D126), Collection!$B$2:$D$1001, 2, FALSE), "")</f>
        <v/>
      </c>
      <c r="F126" s="48">
        <f>IFERROR(VLOOKUP(TRIM(D126), Collection!$B$2:$D$1001, 3, FALSE), "")</f>
        <v/>
      </c>
      <c r="G126" s="48">
        <f>IFERROR(VALUE(SUBSTITUTE(SUBSTITUTE(F126, "Price", ""), "AED", "")), "")</f>
        <v/>
      </c>
      <c r="H126" s="45" t="inlineStr">
        <is>
          <t>Phone sales Middle East</t>
        </is>
      </c>
      <c r="I126" s="45" t="n">
        <v>103658184</v>
      </c>
      <c r="J126" s="45" t="inlineStr">
        <is>
          <t>Prospect</t>
        </is>
      </c>
      <c r="K126" s="45" t="inlineStr">
        <is>
          <t>SHARIF Maaz</t>
        </is>
      </c>
      <c r="L126" s="45" t="inlineStr">
        <is>
          <t>the client want to purchase this timepeice , to gift it to his father</t>
        </is>
      </c>
      <c r="M126" s="45">
        <f>IF(COUNTIF($R$3:$R$100, D126) &gt; 0, TRUE, FALSE)</f>
        <v/>
      </c>
    </row>
    <row r="127" ht="31.2" customHeight="1" s="287">
      <c r="A127" s="45" t="inlineStr">
        <is>
          <t>Request</t>
        </is>
      </c>
      <c r="B127" s="45" t="inlineStr">
        <is>
          <t xml:space="preserve"> </t>
        </is>
      </c>
      <c r="C127" s="45" t="inlineStr">
        <is>
          <t>31/1/2025</t>
        </is>
      </c>
      <c r="D127" s="45" t="inlineStr">
        <is>
          <t>4200H/222A-B934</t>
        </is>
      </c>
      <c r="E127" s="45">
        <f>IFERROR(VLOOKUP(TRIM(D127), Collection!$B$2:$D$1001, 2, FALSE), "")</f>
        <v/>
      </c>
      <c r="F127" s="48">
        <f>IFERROR(VLOOKUP(TRIM(D127), Collection!$B$2:$D$1001, 3, FALSE), "")</f>
        <v/>
      </c>
      <c r="G127" s="48">
        <f>IFERROR(VALUE(SUBSTITUTE(SUBSTITUTE(F127, "Price", ""), "AED", "")), "")</f>
        <v/>
      </c>
      <c r="H127" s="45" t="inlineStr">
        <is>
          <t>Phone sales Middle East</t>
        </is>
      </c>
      <c r="I127" s="45" t="n">
        <v>103844750</v>
      </c>
      <c r="J127" s="45" t="inlineStr">
        <is>
          <t>Prospect</t>
        </is>
      </c>
      <c r="K127" s="45" t="inlineStr">
        <is>
          <t>TAHHAN Riham</t>
        </is>
      </c>
      <c r="L127" s="45" t="inlineStr">
        <is>
          <t xml:space="preserve"> </t>
        </is>
      </c>
      <c r="M127" s="45">
        <f>IF(COUNTIF($R$3:$R$100, D127) &gt; 0, TRUE, FALSE)</f>
        <v/>
      </c>
    </row>
    <row r="128" ht="62.4" customHeight="1" s="287">
      <c r="A128" s="45" t="inlineStr">
        <is>
          <t>Request</t>
        </is>
      </c>
      <c r="B128" s="45" t="inlineStr">
        <is>
          <t xml:space="preserve"> </t>
        </is>
      </c>
      <c r="C128" s="45" t="inlineStr">
        <is>
          <t>31/1/2025</t>
        </is>
      </c>
      <c r="D128" s="45" t="inlineStr">
        <is>
          <t>4520V/210A-B483</t>
        </is>
      </c>
      <c r="E128" s="45">
        <f>IFERROR(VLOOKUP(TRIM(D128), Collection!$B$2:$D$1001, 2, FALSE), "")</f>
        <v/>
      </c>
      <c r="F128" s="48">
        <f>IFERROR(VLOOKUP(TRIM(D128), Collection!$B$2:$D$1001, 3, FALSE), "")</f>
        <v/>
      </c>
      <c r="G128" s="48">
        <f>IFERROR(VALUE(SUBSTITUTE(SUBSTITUTE(F128, "Price", ""), "AED", "")), "")</f>
        <v/>
      </c>
      <c r="H128" s="45" t="inlineStr">
        <is>
          <t>Phone sales Middle East</t>
        </is>
      </c>
      <c r="I128" s="45" t="n">
        <v>101917600</v>
      </c>
      <c r="J128" s="45" t="inlineStr">
        <is>
          <t>Prospect</t>
        </is>
      </c>
      <c r="K128" s="45" t="inlineStr">
        <is>
          <t>TAHHAN Riham</t>
        </is>
      </c>
      <c r="L128" s="45" t="inlineStr">
        <is>
          <t>The client will visit UAE in 2 years and would want to collect it</t>
        </is>
      </c>
      <c r="M128" s="45">
        <f>IF(COUNTIF($R$3:$R$100, D128) &gt; 0, TRUE, FALSE)</f>
        <v/>
      </c>
    </row>
    <row r="129" ht="31.2" customHeight="1" s="287">
      <c r="A129" s="45" t="inlineStr">
        <is>
          <t>Request</t>
        </is>
      </c>
      <c r="B129" s="45" t="inlineStr">
        <is>
          <t xml:space="preserve"> </t>
        </is>
      </c>
      <c r="C129" s="45" t="inlineStr">
        <is>
          <t>30/1/2025</t>
        </is>
      </c>
      <c r="D129" s="45" t="inlineStr">
        <is>
          <t>4200H/222A-B934</t>
        </is>
      </c>
      <c r="E129" s="45">
        <f>IFERROR(VLOOKUP(TRIM(D129), Collection!$B$2:$D$1001, 2, FALSE), "")</f>
        <v/>
      </c>
      <c r="F129" s="48">
        <f>IFERROR(VLOOKUP(TRIM(D129), Collection!$B$2:$D$1001, 3, FALSE), "")</f>
        <v/>
      </c>
      <c r="G129" s="48">
        <f>IFERROR(VALUE(SUBSTITUTE(SUBSTITUTE(F129, "Price", ""), "AED", "")), "")</f>
        <v/>
      </c>
      <c r="H129" s="45" t="inlineStr">
        <is>
          <t>Phone sales Middle East</t>
        </is>
      </c>
      <c r="I129" s="45" t="n">
        <v>103842376</v>
      </c>
      <c r="J129" s="45" t="inlineStr">
        <is>
          <t>Prospect</t>
        </is>
      </c>
      <c r="K129" s="45" t="inlineStr">
        <is>
          <t>TAHHAN Riham</t>
        </is>
      </c>
      <c r="L129" s="45" t="inlineStr">
        <is>
          <t xml:space="preserve"> </t>
        </is>
      </c>
      <c r="M129" s="45">
        <f>IF(COUNTIF($R$3:$R$100, D129) &gt; 0, TRUE, FALSE)</f>
        <v/>
      </c>
    </row>
    <row r="130" ht="31.2" customHeight="1" s="287">
      <c r="A130" s="45" t="inlineStr">
        <is>
          <t>Sold</t>
        </is>
      </c>
      <c r="B130" s="45" t="inlineStr">
        <is>
          <t>Confirmed</t>
        </is>
      </c>
      <c r="C130" s="45" t="inlineStr">
        <is>
          <t>30/1/2025</t>
        </is>
      </c>
      <c r="D130" s="45" t="inlineStr">
        <is>
          <t>7920V/210A-B334</t>
        </is>
      </c>
      <c r="E130" s="45">
        <f>IFERROR(VLOOKUP(TRIM(D130), Collection!$B$2:$D$1001, 2, FALSE), "")</f>
        <v/>
      </c>
      <c r="F130" s="48">
        <f>IFERROR(VLOOKUP(TRIM(D130), Collection!$B$2:$D$1001, 3, FALSE), "")</f>
        <v/>
      </c>
      <c r="G130" s="48">
        <f>IFERROR(VALUE(SUBSTITUTE(SUBSTITUTE(F130, "Price", ""), "AED", "")), "")</f>
        <v/>
      </c>
      <c r="H130" s="45" t="inlineStr">
        <is>
          <t>Phone sales Middle East</t>
        </is>
      </c>
      <c r="I130" s="45" t="n">
        <v>91001874</v>
      </c>
      <c r="J130" s="45" t="inlineStr">
        <is>
          <t>Prospect</t>
        </is>
      </c>
      <c r="K130" s="45" t="inlineStr">
        <is>
          <t>OMARI Asma</t>
        </is>
      </c>
      <c r="L130" s="45" t="inlineStr">
        <is>
          <t>Ahmad Al Sadhan (KSA)</t>
        </is>
      </c>
      <c r="M130" s="45">
        <f>IF(COUNTIF($R$3:$R$100, D130) &gt; 0, TRUE, FALSE)</f>
        <v/>
      </c>
    </row>
    <row r="131" ht="31.2" customHeight="1" s="287">
      <c r="A131" s="45" t="inlineStr">
        <is>
          <t>Request</t>
        </is>
      </c>
      <c r="B131" s="45" t="inlineStr">
        <is>
          <t xml:space="preserve"> </t>
        </is>
      </c>
      <c r="C131" s="45" t="inlineStr">
        <is>
          <t>30/1/2025</t>
        </is>
      </c>
      <c r="D131" s="45" t="inlineStr">
        <is>
          <t>4200H/222A-B934</t>
        </is>
      </c>
      <c r="E131" s="45">
        <f>IFERROR(VLOOKUP(TRIM(D131), Collection!$B$2:$D$1001, 2, FALSE), "")</f>
        <v/>
      </c>
      <c r="F131" s="48">
        <f>IFERROR(VLOOKUP(TRIM(D131), Collection!$B$2:$D$1001, 3, FALSE), "")</f>
        <v/>
      </c>
      <c r="G131" s="48">
        <f>IFERROR(VALUE(SUBSTITUTE(SUBSTITUTE(F131, "Price", ""), "AED", "")), "")</f>
        <v/>
      </c>
      <c r="H131" s="45" t="inlineStr">
        <is>
          <t>Phone sales Middle East</t>
        </is>
      </c>
      <c r="I131" s="45" t="n">
        <v>103831073</v>
      </c>
      <c r="J131" s="45" t="inlineStr">
        <is>
          <t>Prospect</t>
        </is>
      </c>
      <c r="K131" s="45" t="inlineStr">
        <is>
          <t>SHARIF Maaz</t>
        </is>
      </c>
      <c r="L131" s="45" t="inlineStr">
        <is>
          <t xml:space="preserve"> </t>
        </is>
      </c>
      <c r="M131" s="45">
        <f>IF(COUNTIF($R$3:$R$100, D131) &gt; 0, TRUE, FALSE)</f>
        <v/>
      </c>
    </row>
    <row r="132" ht="62.4" customHeight="1" s="287">
      <c r="A132" s="45" t="inlineStr">
        <is>
          <t>Request</t>
        </is>
      </c>
      <c r="B132" s="45" t="inlineStr">
        <is>
          <t xml:space="preserve"> </t>
        </is>
      </c>
      <c r="C132" s="45" t="inlineStr">
        <is>
          <t>30/1/2025</t>
        </is>
      </c>
      <c r="D132" s="45" t="inlineStr">
        <is>
          <t>4200H/222J-B935</t>
        </is>
      </c>
      <c r="E132" s="45">
        <f>IFERROR(VLOOKUP(TRIM(D132), Collection!$B$2:$D$1001, 2, FALSE), "")</f>
        <v/>
      </c>
      <c r="F132" s="48">
        <f>IFERROR(VLOOKUP(TRIM(D132), Collection!$B$2:$D$1001, 3, FALSE), "")</f>
        <v/>
      </c>
      <c r="G132" s="48">
        <f>IFERROR(VALUE(SUBSTITUTE(SUBSTITUTE(F132, "Price", ""), "AED", "")), "")</f>
        <v/>
      </c>
      <c r="H132" s="45" t="inlineStr">
        <is>
          <t>Phone sales Middle East</t>
        </is>
      </c>
      <c r="I132" s="45" t="n">
        <v>101584631</v>
      </c>
      <c r="J132" s="45" t="inlineStr">
        <is>
          <t>Prospect</t>
        </is>
      </c>
      <c r="K132" s="45" t="inlineStr">
        <is>
          <t>OMARI Asma</t>
        </is>
      </c>
      <c r="L132" s="45" t="inlineStr">
        <is>
          <t>Mr. Ravi Borkar interested in the 222 gold and steel. by March.</t>
        </is>
      </c>
      <c r="M132" s="45">
        <f>IF(COUNTIF($R$3:$R$100, D132) &gt; 0, TRUE, FALSE)</f>
        <v/>
      </c>
    </row>
    <row r="133" ht="62.4" customHeight="1" s="287">
      <c r="A133" s="45" t="inlineStr">
        <is>
          <t>Request</t>
        </is>
      </c>
      <c r="B133" s="45" t="inlineStr">
        <is>
          <t xml:space="preserve"> </t>
        </is>
      </c>
      <c r="C133" s="45" t="inlineStr">
        <is>
          <t>29/1/2025</t>
        </is>
      </c>
      <c r="D133" s="45" t="inlineStr">
        <is>
          <t>4300V/220G-B946</t>
        </is>
      </c>
      <c r="E133" s="45">
        <f>IFERROR(VLOOKUP(TRIM(D133), Collection!$B$2:$D$1001, 2, FALSE), "")</f>
        <v/>
      </c>
      <c r="F133" s="48">
        <f>IFERROR(VLOOKUP(TRIM(D133), Collection!$B$2:$D$1001, 3, FALSE), "")</f>
        <v/>
      </c>
      <c r="G133" s="48">
        <f>IFERROR(VALUE(SUBSTITUTE(SUBSTITUTE(F133, "Price", ""), "AED", "")), "")</f>
        <v/>
      </c>
      <c r="H133" s="45" t="inlineStr">
        <is>
          <t>Phone sales Middle East</t>
        </is>
      </c>
      <c r="I133" s="45" t="n">
        <v>103845937</v>
      </c>
      <c r="J133" s="45" t="inlineStr">
        <is>
          <t>Prospect</t>
        </is>
      </c>
      <c r="K133" s="45" t="inlineStr">
        <is>
          <t>SHARIF Maaz</t>
        </is>
      </c>
      <c r="L133" s="45" t="inlineStr">
        <is>
          <t>the client is interested Overseas perpetual calendar</t>
        </is>
      </c>
      <c r="M133" s="45">
        <f>IF(COUNTIF($R$3:$R$100, D133) &gt; 0, TRUE, FALSE)</f>
        <v/>
      </c>
    </row>
    <row r="134" ht="202.95" customHeight="1" s="287">
      <c r="A134" s="45" t="inlineStr">
        <is>
          <t>Request</t>
        </is>
      </c>
      <c r="B134" s="45" t="inlineStr">
        <is>
          <t xml:space="preserve"> </t>
        </is>
      </c>
      <c r="C134" s="45" t="inlineStr">
        <is>
          <t>29/1/2025</t>
        </is>
      </c>
      <c r="D134" s="45" t="inlineStr">
        <is>
          <t>7920V/210A-B334</t>
        </is>
      </c>
      <c r="E134" s="45">
        <f>IFERROR(VLOOKUP(TRIM(D134), Collection!$B$2:$D$1001, 2, FALSE), "")</f>
        <v/>
      </c>
      <c r="F134" s="48">
        <f>IFERROR(VLOOKUP(TRIM(D134), Collection!$B$2:$D$1001, 3, FALSE), "")</f>
        <v/>
      </c>
      <c r="G134" s="48">
        <f>IFERROR(VALUE(SUBSTITUTE(SUBSTITUTE(F134, "Price", ""), "AED", "")), "")</f>
        <v/>
      </c>
      <c r="H134" s="45" t="inlineStr">
        <is>
          <t>Phone sales Middle East</t>
        </is>
      </c>
      <c r="I134" s="45" t="n">
        <v>103848588</v>
      </c>
      <c r="J134" s="45" t="inlineStr">
        <is>
          <t>Prospect</t>
        </is>
      </c>
      <c r="K134" s="45" t="inlineStr">
        <is>
          <t>SHARIF Maaz</t>
        </is>
      </c>
      <c r="L134" s="45" t="inlineStr">
        <is>
          <t>The client is very intrested in blue and black dual time , aslo he his availability for appointments at the Dubai Mall boutique on the evening of **February 9**, the m**orning of February 11,** **and February 13**, if the watch is available to purchase</t>
        </is>
      </c>
      <c r="M134" s="45">
        <f>IF(COUNTIF($R$3:$R$100, D134) &gt; 0, TRUE, FALSE)</f>
        <v/>
      </c>
    </row>
    <row r="135" ht="140.4" customHeight="1" s="287">
      <c r="A135" s="45" t="inlineStr">
        <is>
          <t>Request</t>
        </is>
      </c>
      <c r="B135" s="45" t="inlineStr">
        <is>
          <t xml:space="preserve"> </t>
        </is>
      </c>
      <c r="C135" s="45" t="inlineStr">
        <is>
          <t>29/1/2025</t>
        </is>
      </c>
      <c r="D135" s="45" t="inlineStr">
        <is>
          <t>7920V/210A-B546</t>
        </is>
      </c>
      <c r="E135" s="45">
        <f>IFERROR(VLOOKUP(TRIM(D135), Collection!$B$2:$D$1001, 2, FALSE), "")</f>
        <v/>
      </c>
      <c r="F135" s="48">
        <f>IFERROR(VLOOKUP(TRIM(D135), Collection!$B$2:$D$1001, 3, FALSE), "")</f>
        <v/>
      </c>
      <c r="G135" s="48">
        <f>IFERROR(VALUE(SUBSTITUTE(SUBSTITUTE(F135, "Price", ""), "AED", "")), "")</f>
        <v/>
      </c>
      <c r="H135" s="45" t="inlineStr">
        <is>
          <t>Phone sales Middle East</t>
        </is>
      </c>
      <c r="I135" s="45" t="n">
        <v>103848588</v>
      </c>
      <c r="J135" s="45" t="inlineStr">
        <is>
          <t>Prospect</t>
        </is>
      </c>
      <c r="K135" s="45" t="inlineStr">
        <is>
          <t>SHARIF Maaz</t>
        </is>
      </c>
      <c r="L135" s="45" t="inlineStr">
        <is>
          <t>the client mentions his availability for appointments at the Dubai Mall boutique on the evening of February 9, the morning of February 11, and February 13, if the watch is available.</t>
        </is>
      </c>
      <c r="M135" s="45">
        <f>IF(COUNTIF($R$3:$R$100, D135) &gt; 0, TRUE, FALSE)</f>
        <v/>
      </c>
    </row>
    <row r="136" ht="31.2" customHeight="1" s="287">
      <c r="A136" s="45" t="inlineStr">
        <is>
          <t>Request</t>
        </is>
      </c>
      <c r="B136" s="45" t="inlineStr">
        <is>
          <t xml:space="preserve"> </t>
        </is>
      </c>
      <c r="C136" s="45" t="inlineStr">
        <is>
          <t>29/1/2025</t>
        </is>
      </c>
      <c r="D136" s="45" t="inlineStr">
        <is>
          <t>4200H/222A-B934</t>
        </is>
      </c>
      <c r="E136" s="45">
        <f>IFERROR(VLOOKUP(TRIM(D136), Collection!$B$2:$D$1001, 2, FALSE), "")</f>
        <v/>
      </c>
      <c r="F136" s="48">
        <f>IFERROR(VLOOKUP(TRIM(D136), Collection!$B$2:$D$1001, 3, FALSE), "")</f>
        <v/>
      </c>
      <c r="G136" s="48">
        <f>IFERROR(VALUE(SUBSTITUTE(SUBSTITUTE(F136, "Price", ""), "AED", "")), "")</f>
        <v/>
      </c>
      <c r="H136" s="45" t="inlineStr">
        <is>
          <t>Phone sales Middle East</t>
        </is>
      </c>
      <c r="I136" s="45" t="n">
        <v>103848588</v>
      </c>
      <c r="J136" s="45" t="inlineStr">
        <is>
          <t>Prospect</t>
        </is>
      </c>
      <c r="K136" s="45" t="inlineStr">
        <is>
          <t>SHARIF Maaz</t>
        </is>
      </c>
      <c r="L136" s="45" t="inlineStr">
        <is>
          <t xml:space="preserve"> </t>
        </is>
      </c>
      <c r="M136" s="45">
        <f>IF(COUNTIF($R$3:$R$100, D136) &gt; 0, TRUE, FALSE)</f>
        <v/>
      </c>
    </row>
    <row r="137" ht="31.2" customHeight="1" s="287">
      <c r="A137" s="45" t="inlineStr">
        <is>
          <t>Request</t>
        </is>
      </c>
      <c r="B137" s="45" t="inlineStr">
        <is>
          <t xml:space="preserve"> </t>
        </is>
      </c>
      <c r="C137" s="45" t="inlineStr">
        <is>
          <t>28/1/2025</t>
        </is>
      </c>
      <c r="D137" s="45" t="inlineStr">
        <is>
          <t>4200H/222A-B934</t>
        </is>
      </c>
      <c r="E137" s="45">
        <f>IFERROR(VLOOKUP(TRIM(D137), Collection!$B$2:$D$1001, 2, FALSE), "")</f>
        <v/>
      </c>
      <c r="F137" s="48">
        <f>IFERROR(VLOOKUP(TRIM(D137), Collection!$B$2:$D$1001, 3, FALSE), "")</f>
        <v/>
      </c>
      <c r="G137" s="48">
        <f>IFERROR(VALUE(SUBSTITUTE(SUBSTITUTE(F137, "Price", ""), "AED", "")), "")</f>
        <v/>
      </c>
      <c r="H137" s="45" t="inlineStr">
        <is>
          <t>Phone sales Middle East</t>
        </is>
      </c>
      <c r="I137" s="45" t="n">
        <v>103830768</v>
      </c>
      <c r="J137" s="45" t="inlineStr">
        <is>
          <t>Prospect</t>
        </is>
      </c>
      <c r="K137" s="45" t="inlineStr">
        <is>
          <t>TAHHAN Riham</t>
        </is>
      </c>
      <c r="L137" s="45" t="inlineStr">
        <is>
          <t xml:space="preserve"> </t>
        </is>
      </c>
      <c r="M137" s="45">
        <f>IF(COUNTIF($R$3:$R$100, D137) &gt; 0, TRUE, FALSE)</f>
        <v/>
      </c>
    </row>
    <row r="138" ht="31.2" customHeight="1" s="287">
      <c r="A138" s="45" t="inlineStr">
        <is>
          <t>Request</t>
        </is>
      </c>
      <c r="B138" s="45" t="inlineStr">
        <is>
          <t xml:space="preserve"> </t>
        </is>
      </c>
      <c r="C138" s="45" t="inlineStr">
        <is>
          <t>28/1/2025</t>
        </is>
      </c>
      <c r="D138" s="45" t="inlineStr">
        <is>
          <t>4520V/210A-B128</t>
        </is>
      </c>
      <c r="E138" s="45">
        <f>IFERROR(VLOOKUP(TRIM(D138), Collection!$B$2:$D$1001, 2, FALSE), "")</f>
        <v/>
      </c>
      <c r="F138" s="48">
        <f>IFERROR(VLOOKUP(TRIM(D138), Collection!$B$2:$D$1001, 3, FALSE), "")</f>
        <v/>
      </c>
      <c r="G138" s="48">
        <f>IFERROR(VALUE(SUBSTITUTE(SUBSTITUTE(F138, "Price", ""), "AED", "")), "")</f>
        <v/>
      </c>
      <c r="H138" s="45" t="inlineStr">
        <is>
          <t>Phone sales Middle East</t>
        </is>
      </c>
      <c r="I138" s="45" t="n">
        <v>103415632</v>
      </c>
      <c r="J138" s="45" t="inlineStr">
        <is>
          <t>Prospect</t>
        </is>
      </c>
      <c r="K138" s="45" t="inlineStr">
        <is>
          <t>TAHHAN Riham</t>
        </is>
      </c>
      <c r="L138" s="45" t="inlineStr">
        <is>
          <t xml:space="preserve"> </t>
        </is>
      </c>
      <c r="M138" s="45">
        <f>IF(COUNTIF($R$3:$R$100, D138) &gt; 0, TRUE, FALSE)</f>
        <v/>
      </c>
    </row>
    <row r="139" ht="31.2" customHeight="1" s="287">
      <c r="A139" s="45" t="inlineStr">
        <is>
          <t>Request</t>
        </is>
      </c>
      <c r="B139" s="45" t="inlineStr">
        <is>
          <t xml:space="preserve"> </t>
        </is>
      </c>
      <c r="C139" s="45" t="inlineStr">
        <is>
          <t>28/1/2025</t>
        </is>
      </c>
      <c r="D139" s="45" t="inlineStr">
        <is>
          <t>4200H/222A-B934</t>
        </is>
      </c>
      <c r="E139" s="45">
        <f>IFERROR(VLOOKUP(TRIM(D139), Collection!$B$2:$D$1001, 2, FALSE), "")</f>
        <v/>
      </c>
      <c r="F139" s="48">
        <f>IFERROR(VLOOKUP(TRIM(D139), Collection!$B$2:$D$1001, 3, FALSE), "")</f>
        <v/>
      </c>
      <c r="G139" s="48">
        <f>IFERROR(VALUE(SUBSTITUTE(SUBSTITUTE(F139, "Price", ""), "AED", "")), "")</f>
        <v/>
      </c>
      <c r="H139" s="45" t="inlineStr">
        <is>
          <t>Phone sales Middle East</t>
        </is>
      </c>
      <c r="I139" s="45" t="n">
        <v>103832238</v>
      </c>
      <c r="J139" s="45" t="inlineStr">
        <is>
          <t>Prospect</t>
        </is>
      </c>
      <c r="K139" s="45" t="inlineStr">
        <is>
          <t>TAHHAN Riham</t>
        </is>
      </c>
      <c r="L139" s="45" t="inlineStr">
        <is>
          <t xml:space="preserve"> </t>
        </is>
      </c>
      <c r="M139" s="45">
        <f>IF(COUNTIF($R$3:$R$100, D139) &gt; 0, TRUE, FALSE)</f>
        <v/>
      </c>
    </row>
    <row r="140" ht="31.2" customHeight="1" s="287">
      <c r="A140" s="45" t="inlineStr">
        <is>
          <t>Request</t>
        </is>
      </c>
      <c r="B140" s="45" t="inlineStr">
        <is>
          <t xml:space="preserve"> </t>
        </is>
      </c>
      <c r="C140" s="45" t="inlineStr">
        <is>
          <t>28/1/2025</t>
        </is>
      </c>
      <c r="D140" s="45" t="inlineStr">
        <is>
          <t>7920V/210A-B334</t>
        </is>
      </c>
      <c r="E140" s="45">
        <f>IFERROR(VLOOKUP(TRIM(D140), Collection!$B$2:$D$1001, 2, FALSE), "")</f>
        <v/>
      </c>
      <c r="F140" s="48">
        <f>IFERROR(VLOOKUP(TRIM(D140), Collection!$B$2:$D$1001, 3, FALSE), "")</f>
        <v/>
      </c>
      <c r="G140" s="48">
        <f>IFERROR(VALUE(SUBSTITUTE(SUBSTITUTE(F140, "Price", ""), "AED", "")), "")</f>
        <v/>
      </c>
      <c r="H140" s="45" t="inlineStr">
        <is>
          <t>Phone sales Middle East</t>
        </is>
      </c>
      <c r="I140" s="45" t="n">
        <v>103647896</v>
      </c>
      <c r="J140" s="45" t="inlineStr">
        <is>
          <t>Prospect</t>
        </is>
      </c>
      <c r="K140" s="45" t="inlineStr">
        <is>
          <t>TAHHAN Riham</t>
        </is>
      </c>
      <c r="L140" s="45" t="inlineStr">
        <is>
          <t xml:space="preserve"> </t>
        </is>
      </c>
      <c r="M140" s="45">
        <f>IF(COUNTIF($R$3:$R$100, D140) &gt; 0, TRUE, FALSE)</f>
        <v/>
      </c>
    </row>
    <row r="141" ht="31.2" customHeight="1" s="287">
      <c r="A141" s="45" t="inlineStr">
        <is>
          <t>Request</t>
        </is>
      </c>
      <c r="B141" s="45" t="inlineStr">
        <is>
          <t xml:space="preserve"> </t>
        </is>
      </c>
      <c r="C141" s="45" t="inlineStr">
        <is>
          <t>28/1/2025</t>
        </is>
      </c>
      <c r="D141" s="45" t="inlineStr">
        <is>
          <t>4200H/222A-B934</t>
        </is>
      </c>
      <c r="E141" s="45">
        <f>IFERROR(VLOOKUP(TRIM(D141), Collection!$B$2:$D$1001, 2, FALSE), "")</f>
        <v/>
      </c>
      <c r="F141" s="48">
        <f>IFERROR(VLOOKUP(TRIM(D141), Collection!$B$2:$D$1001, 3, FALSE), "")</f>
        <v/>
      </c>
      <c r="G141" s="48">
        <f>IFERROR(VALUE(SUBSTITUTE(SUBSTITUTE(F141, "Price", ""), "AED", "")), "")</f>
        <v/>
      </c>
      <c r="H141" s="45" t="inlineStr">
        <is>
          <t>Phone sales Middle East</t>
        </is>
      </c>
      <c r="I141" s="45" t="n">
        <v>103671258</v>
      </c>
      <c r="J141" s="45" t="inlineStr">
        <is>
          <t>Prospect</t>
        </is>
      </c>
      <c r="K141" s="45" t="inlineStr">
        <is>
          <t>TAHHAN Riham</t>
        </is>
      </c>
      <c r="L141" s="45" t="inlineStr">
        <is>
          <t xml:space="preserve"> </t>
        </is>
      </c>
      <c r="M141" s="45">
        <f>IF(COUNTIF($R$3:$R$100, D141) &gt; 0, TRUE, FALSE)</f>
        <v/>
      </c>
    </row>
    <row r="142" ht="31.2" customHeight="1" s="287">
      <c r="A142" s="45" t="inlineStr">
        <is>
          <t>Request</t>
        </is>
      </c>
      <c r="B142" s="45" t="inlineStr">
        <is>
          <t xml:space="preserve"> </t>
        </is>
      </c>
      <c r="C142" s="45" t="inlineStr">
        <is>
          <t>27/1/2025</t>
        </is>
      </c>
      <c r="D142" s="45" t="inlineStr">
        <is>
          <t>7920V/210A-B333</t>
        </is>
      </c>
      <c r="E142" s="45">
        <f>IFERROR(VLOOKUP(TRIM(D142), Collection!$B$2:$D$1001, 2, FALSE), "")</f>
        <v/>
      </c>
      <c r="F142" s="48">
        <f>IFERROR(VLOOKUP(TRIM(D142), Collection!$B$2:$D$1001, 3, FALSE), "")</f>
        <v/>
      </c>
      <c r="G142" s="48">
        <f>IFERROR(VALUE(SUBSTITUTE(SUBSTITUTE(F142, "Price", ""), "AED", "")), "")</f>
        <v/>
      </c>
      <c r="H142" s="45" t="inlineStr">
        <is>
          <t>Phone sales Middle East</t>
        </is>
      </c>
      <c r="I142" s="45" t="n">
        <v>102442135</v>
      </c>
      <c r="J142" s="45" t="inlineStr">
        <is>
          <t>Prospect</t>
        </is>
      </c>
      <c r="K142" s="45" t="inlineStr">
        <is>
          <t>TAHHAN Riham</t>
        </is>
      </c>
      <c r="L142" s="45" t="inlineStr">
        <is>
          <t xml:space="preserve"> </t>
        </is>
      </c>
      <c r="M142" s="45">
        <f>IF(COUNTIF($R$3:$R$100, D142) &gt; 0, TRUE, FALSE)</f>
        <v/>
      </c>
    </row>
    <row r="143" ht="31.2" customHeight="1" s="287">
      <c r="A143" s="45" t="inlineStr">
        <is>
          <t>Request</t>
        </is>
      </c>
      <c r="B143" s="45" t="inlineStr">
        <is>
          <t xml:space="preserve"> </t>
        </is>
      </c>
      <c r="C143" s="45" t="inlineStr">
        <is>
          <t>27/1/2025</t>
        </is>
      </c>
      <c r="D143" s="45" t="inlineStr">
        <is>
          <t>4200H/222A-B934</t>
        </is>
      </c>
      <c r="E143" s="45">
        <f>IFERROR(VLOOKUP(TRIM(D143), Collection!$B$2:$D$1001, 2, FALSE), "")</f>
        <v/>
      </c>
      <c r="F143" s="48">
        <f>IFERROR(VLOOKUP(TRIM(D143), Collection!$B$2:$D$1001, 3, FALSE), "")</f>
        <v/>
      </c>
      <c r="G143" s="48">
        <f>IFERROR(VALUE(SUBSTITUTE(SUBSTITUTE(F143, "Price", ""), "AED", "")), "")</f>
        <v/>
      </c>
      <c r="H143" s="45" t="inlineStr">
        <is>
          <t>Phone sales Middle East</t>
        </is>
      </c>
      <c r="I143" s="45" t="n">
        <v>103670555</v>
      </c>
      <c r="J143" s="45" t="inlineStr">
        <is>
          <t>Prospect</t>
        </is>
      </c>
      <c r="K143" s="45" t="inlineStr">
        <is>
          <t>SHARIF Maaz</t>
        </is>
      </c>
      <c r="L143" s="45" t="inlineStr">
        <is>
          <t xml:space="preserve"> </t>
        </is>
      </c>
      <c r="M143" s="45">
        <f>IF(COUNTIF($R$3:$R$100, D143) &gt; 0, TRUE, FALSE)</f>
        <v/>
      </c>
    </row>
    <row r="144" ht="31.2" customHeight="1" s="287">
      <c r="A144" s="45" t="inlineStr">
        <is>
          <t>Request</t>
        </is>
      </c>
      <c r="B144" s="45" t="inlineStr">
        <is>
          <t xml:space="preserve"> </t>
        </is>
      </c>
      <c r="C144" s="45" t="inlineStr">
        <is>
          <t>27/1/2025</t>
        </is>
      </c>
      <c r="D144" s="45" t="inlineStr">
        <is>
          <t>4200H/222A-B934</t>
        </is>
      </c>
      <c r="E144" s="45">
        <f>IFERROR(VLOOKUP(TRIM(D144), Collection!$B$2:$D$1001, 2, FALSE), "")</f>
        <v/>
      </c>
      <c r="F144" s="48">
        <f>IFERROR(VLOOKUP(TRIM(D144), Collection!$B$2:$D$1001, 3, FALSE), "")</f>
        <v/>
      </c>
      <c r="G144" s="48">
        <f>IFERROR(VALUE(SUBSTITUTE(SUBSTITUTE(F144, "Price", ""), "AED", "")), "")</f>
        <v/>
      </c>
      <c r="H144" s="45" t="inlineStr">
        <is>
          <t>Phone sales Middle East</t>
        </is>
      </c>
      <c r="I144" s="45" t="n">
        <v>103834361</v>
      </c>
      <c r="J144" s="45" t="inlineStr">
        <is>
          <t>Prospect</t>
        </is>
      </c>
      <c r="K144" s="45" t="inlineStr">
        <is>
          <t>SHARIF Maaz</t>
        </is>
      </c>
      <c r="L144" s="45" t="inlineStr">
        <is>
          <t xml:space="preserve"> </t>
        </is>
      </c>
      <c r="M144" s="45">
        <f>IF(COUNTIF($R$3:$R$100, D144) &gt; 0, TRUE, FALSE)</f>
        <v/>
      </c>
    </row>
    <row r="145" ht="31.2" customHeight="1" s="287">
      <c r="A145" s="45" t="inlineStr">
        <is>
          <t>Request</t>
        </is>
      </c>
      <c r="B145" s="45" t="inlineStr">
        <is>
          <t xml:space="preserve"> </t>
        </is>
      </c>
      <c r="C145" s="45" t="inlineStr">
        <is>
          <t>25/1/2025</t>
        </is>
      </c>
      <c r="D145" s="45" t="inlineStr">
        <is>
          <t>4200H/222A-B934</t>
        </is>
      </c>
      <c r="E145" s="45">
        <f>IFERROR(VLOOKUP(TRIM(D145), Collection!$B$2:$D$1001, 2, FALSE), "")</f>
        <v/>
      </c>
      <c r="F145" s="48">
        <f>IFERROR(VLOOKUP(TRIM(D145), Collection!$B$2:$D$1001, 3, FALSE), "")</f>
        <v/>
      </c>
      <c r="G145" s="48">
        <f>IFERROR(VALUE(SUBSTITUTE(SUBSTITUTE(F145, "Price", ""), "AED", "")), "")</f>
        <v/>
      </c>
      <c r="H145" s="45" t="inlineStr">
        <is>
          <t>Phone sales Middle East</t>
        </is>
      </c>
      <c r="I145" s="45" t="n">
        <v>103648743</v>
      </c>
      <c r="J145" s="45" t="inlineStr">
        <is>
          <t>Prospect</t>
        </is>
      </c>
      <c r="K145" s="45" t="inlineStr">
        <is>
          <t>TAHHAN Riham</t>
        </is>
      </c>
      <c r="L145" s="45" t="inlineStr">
        <is>
          <t xml:space="preserve"> </t>
        </is>
      </c>
      <c r="M145" s="45">
        <f>IF(COUNTIF($R$3:$R$100, D145) &gt; 0, TRUE, FALSE)</f>
        <v/>
      </c>
    </row>
    <row r="146" ht="31.2" customHeight="1" s="287">
      <c r="A146" s="45" t="inlineStr">
        <is>
          <t>Request</t>
        </is>
      </c>
      <c r="B146" s="45" t="inlineStr">
        <is>
          <t xml:space="preserve"> </t>
        </is>
      </c>
      <c r="C146" s="45" t="inlineStr">
        <is>
          <t>25/1/2025</t>
        </is>
      </c>
      <c r="D146" s="45" t="inlineStr">
        <is>
          <t>4200H/222A-B934</t>
        </is>
      </c>
      <c r="E146" s="45">
        <f>IFERROR(VLOOKUP(TRIM(D146), Collection!$B$2:$D$1001, 2, FALSE), "")</f>
        <v/>
      </c>
      <c r="F146" s="48">
        <f>IFERROR(VLOOKUP(TRIM(D146), Collection!$B$2:$D$1001, 3, FALSE), "")</f>
        <v/>
      </c>
      <c r="G146" s="48">
        <f>IFERROR(VALUE(SUBSTITUTE(SUBSTITUTE(F146, "Price", ""), "AED", "")), "")</f>
        <v/>
      </c>
      <c r="H146" s="45" t="inlineStr">
        <is>
          <t>Phone sales Middle East</t>
        </is>
      </c>
      <c r="I146" s="45" t="n">
        <v>103775089</v>
      </c>
      <c r="J146" s="45" t="inlineStr">
        <is>
          <t>Prospect</t>
        </is>
      </c>
      <c r="K146" s="45" t="inlineStr">
        <is>
          <t>SHARIF Maaz</t>
        </is>
      </c>
      <c r="L146" s="45" t="inlineStr">
        <is>
          <t xml:space="preserve"> </t>
        </is>
      </c>
      <c r="M146" s="45">
        <f>IF(COUNTIF($R$3:$R$100, D146) &gt; 0, TRUE, FALSE)</f>
        <v/>
      </c>
    </row>
    <row r="147" ht="31.2" customHeight="1" s="287">
      <c r="A147" s="45" t="inlineStr">
        <is>
          <t>Request</t>
        </is>
      </c>
      <c r="B147" s="45" t="inlineStr">
        <is>
          <t xml:space="preserve"> </t>
        </is>
      </c>
      <c r="C147" s="45" t="inlineStr">
        <is>
          <t>25/1/2025</t>
        </is>
      </c>
      <c r="D147" s="45" t="inlineStr">
        <is>
          <t>4200H/222A-B934</t>
        </is>
      </c>
      <c r="E147" s="45">
        <f>IFERROR(VLOOKUP(TRIM(D147), Collection!$B$2:$D$1001, 2, FALSE), "")</f>
        <v/>
      </c>
      <c r="F147" s="48">
        <f>IFERROR(VLOOKUP(TRIM(D147), Collection!$B$2:$D$1001, 3, FALSE), "")</f>
        <v/>
      </c>
      <c r="G147" s="48">
        <f>IFERROR(VALUE(SUBSTITUTE(SUBSTITUTE(F147, "Price", ""), "AED", "")), "")</f>
        <v/>
      </c>
      <c r="H147" s="45" t="inlineStr">
        <is>
          <t>Phone sales Middle East</t>
        </is>
      </c>
      <c r="I147" s="45" t="n">
        <v>103756750</v>
      </c>
      <c r="J147" s="45" t="inlineStr">
        <is>
          <t>Prospect</t>
        </is>
      </c>
      <c r="K147" s="45" t="inlineStr">
        <is>
          <t>OMARI Asma</t>
        </is>
      </c>
      <c r="L147" s="45" t="inlineStr">
        <is>
          <t>Mr. Abdullah Alomari (ksa)</t>
        </is>
      </c>
      <c r="M147" s="45">
        <f>IF(COUNTIF($R$3:$R$100, D147) &gt; 0, TRUE, FALSE)</f>
        <v/>
      </c>
    </row>
    <row r="148" ht="31.2" customHeight="1" s="287">
      <c r="A148" s="45" t="inlineStr">
        <is>
          <t>Request</t>
        </is>
      </c>
      <c r="B148" s="45" t="inlineStr">
        <is>
          <t xml:space="preserve"> </t>
        </is>
      </c>
      <c r="C148" s="45" t="inlineStr">
        <is>
          <t>25/1/2025</t>
        </is>
      </c>
      <c r="D148" s="45" t="inlineStr">
        <is>
          <t>4200H/222A-B934</t>
        </is>
      </c>
      <c r="E148" s="45">
        <f>IFERROR(VLOOKUP(TRIM(D148), Collection!$B$2:$D$1001, 2, FALSE), "")</f>
        <v/>
      </c>
      <c r="F148" s="48">
        <f>IFERROR(VLOOKUP(TRIM(D148), Collection!$B$2:$D$1001, 3, FALSE), "")</f>
        <v/>
      </c>
      <c r="G148" s="48">
        <f>IFERROR(VALUE(SUBSTITUTE(SUBSTITUTE(F148, "Price", ""), "AED", "")), "")</f>
        <v/>
      </c>
      <c r="H148" s="45" t="inlineStr">
        <is>
          <t>Phone sales Middle East</t>
        </is>
      </c>
      <c r="I148" s="45" t="n">
        <v>103784220</v>
      </c>
      <c r="J148" s="45" t="inlineStr">
        <is>
          <t>Prospect</t>
        </is>
      </c>
      <c r="K148" s="45" t="inlineStr">
        <is>
          <t>OMARI Asma</t>
        </is>
      </c>
      <c r="L148" s="45" t="inlineStr">
        <is>
          <t>Mr. Fawaz Aljaseer (ksa)</t>
        </is>
      </c>
      <c r="M148" s="45">
        <f>IF(COUNTIF($R$3:$R$100, D148) &gt; 0, TRUE, FALSE)</f>
        <v/>
      </c>
    </row>
    <row r="149" ht="31.2" customHeight="1" s="287">
      <c r="A149" s="45" t="inlineStr">
        <is>
          <t>Request</t>
        </is>
      </c>
      <c r="B149" s="45" t="inlineStr">
        <is>
          <t xml:space="preserve"> </t>
        </is>
      </c>
      <c r="C149" s="45" t="inlineStr">
        <is>
          <t>24/1/2025</t>
        </is>
      </c>
      <c r="D149" s="45" t="inlineStr">
        <is>
          <t>7920V/210A-B334</t>
        </is>
      </c>
      <c r="E149" s="45">
        <f>IFERROR(VLOOKUP(TRIM(D149), Collection!$B$2:$D$1001, 2, FALSE), "")</f>
        <v/>
      </c>
      <c r="F149" s="48">
        <f>IFERROR(VLOOKUP(TRIM(D149), Collection!$B$2:$D$1001, 3, FALSE), "")</f>
        <v/>
      </c>
      <c r="G149" s="48">
        <f>IFERROR(VALUE(SUBSTITUTE(SUBSTITUTE(F149, "Price", ""), "AED", "")), "")</f>
        <v/>
      </c>
      <c r="H149" s="45" t="inlineStr">
        <is>
          <t>Phone sales Middle East</t>
        </is>
      </c>
      <c r="I149" s="45" t="n">
        <v>103744983</v>
      </c>
      <c r="J149" s="45" t="inlineStr">
        <is>
          <t>Prospect</t>
        </is>
      </c>
      <c r="K149" s="45" t="inlineStr">
        <is>
          <t>SHARIF Maaz</t>
        </is>
      </c>
      <c r="L149" s="45" t="inlineStr">
        <is>
          <t xml:space="preserve"> </t>
        </is>
      </c>
      <c r="M149" s="45">
        <f>IF(COUNTIF($R$3:$R$100, D149) &gt; 0, TRUE, FALSE)</f>
        <v/>
      </c>
    </row>
    <row r="150" ht="31.2" customHeight="1" s="287">
      <c r="A150" s="45" t="inlineStr">
        <is>
          <t>Request</t>
        </is>
      </c>
      <c r="B150" s="45" t="inlineStr">
        <is>
          <t xml:space="preserve"> </t>
        </is>
      </c>
      <c r="C150" s="45" t="inlineStr">
        <is>
          <t>22/1/2025</t>
        </is>
      </c>
      <c r="D150" s="45" t="inlineStr">
        <is>
          <t>4200H/222A-B934</t>
        </is>
      </c>
      <c r="E150" s="45">
        <f>IFERROR(VLOOKUP(TRIM(D150), Collection!$B$2:$D$1001, 2, FALSE), "")</f>
        <v/>
      </c>
      <c r="F150" s="48">
        <f>IFERROR(VLOOKUP(TRIM(D150), Collection!$B$2:$D$1001, 3, FALSE), "")</f>
        <v/>
      </c>
      <c r="G150" s="48">
        <f>IFERROR(VALUE(SUBSTITUTE(SUBSTITUTE(F150, "Price", ""), "AED", "")), "")</f>
        <v/>
      </c>
      <c r="H150" s="45" t="inlineStr">
        <is>
          <t>Phone sales Middle East</t>
        </is>
      </c>
      <c r="I150" s="45" t="n">
        <v>103633388</v>
      </c>
      <c r="J150" s="45" t="inlineStr">
        <is>
          <t>Prospect</t>
        </is>
      </c>
      <c r="K150" s="45" t="inlineStr">
        <is>
          <t>TAHHAN Riham</t>
        </is>
      </c>
      <c r="L150" s="45" t="inlineStr">
        <is>
          <t xml:space="preserve"> </t>
        </is>
      </c>
      <c r="M150" s="45">
        <f>IF(COUNTIF($R$3:$R$100, D150) &gt; 0, TRUE, FALSE)</f>
        <v/>
      </c>
    </row>
    <row r="151" ht="31.2" customHeight="1" s="287">
      <c r="A151" s="45" t="inlineStr">
        <is>
          <t>Request</t>
        </is>
      </c>
      <c r="B151" s="45" t="inlineStr">
        <is>
          <t xml:space="preserve"> </t>
        </is>
      </c>
      <c r="C151" s="45" t="inlineStr">
        <is>
          <t>22/1/2025</t>
        </is>
      </c>
      <c r="D151" s="45" t="inlineStr">
        <is>
          <t>4200H/222A-B934</t>
        </is>
      </c>
      <c r="E151" s="45">
        <f>IFERROR(VLOOKUP(TRIM(D151), Collection!$B$2:$D$1001, 2, FALSE), "")</f>
        <v/>
      </c>
      <c r="F151" s="48">
        <f>IFERROR(VLOOKUP(TRIM(D151), Collection!$B$2:$D$1001, 3, FALSE), "")</f>
        <v/>
      </c>
      <c r="G151" s="48">
        <f>IFERROR(VALUE(SUBSTITUTE(SUBSTITUTE(F151, "Price", ""), "AED", "")), "")</f>
        <v/>
      </c>
      <c r="H151" s="45" t="inlineStr">
        <is>
          <t>Phone sales Middle East</t>
        </is>
      </c>
      <c r="I151" s="45" t="n">
        <v>103721541</v>
      </c>
      <c r="J151" s="45" t="inlineStr">
        <is>
          <t>Prospect</t>
        </is>
      </c>
      <c r="K151" s="45" t="inlineStr">
        <is>
          <t>OMARI Asma</t>
        </is>
      </c>
      <c r="L151" s="45" t="inlineStr">
        <is>
          <t>Sheikh Sultan Althani (KSA)</t>
        </is>
      </c>
      <c r="M151" s="45">
        <f>IF(COUNTIF($R$3:$R$100, D151) &gt; 0, TRUE, FALSE)</f>
        <v/>
      </c>
    </row>
    <row r="152" ht="62.4" customHeight="1" s="287">
      <c r="A152" s="45" t="inlineStr">
        <is>
          <t>Request</t>
        </is>
      </c>
      <c r="B152" s="45" t="inlineStr">
        <is>
          <t xml:space="preserve"> </t>
        </is>
      </c>
      <c r="C152" s="45" t="inlineStr">
        <is>
          <t>22/1/2025</t>
        </is>
      </c>
      <c r="D152" s="45" t="inlineStr">
        <is>
          <t>4200H/222J-B935</t>
        </is>
      </c>
      <c r="E152" s="45">
        <f>IFERROR(VLOOKUP(TRIM(D152), Collection!$B$2:$D$1001, 2, FALSE), "")</f>
        <v/>
      </c>
      <c r="F152" s="48">
        <f>IFERROR(VLOOKUP(TRIM(D152), Collection!$B$2:$D$1001, 3, FALSE), "")</f>
        <v/>
      </c>
      <c r="G152" s="48">
        <f>IFERROR(VALUE(SUBSTITUTE(SUBSTITUTE(F152, "Price", ""), "AED", "")), "")</f>
        <v/>
      </c>
      <c r="H152" s="45" t="inlineStr">
        <is>
          <t>Phone sales Middle East</t>
        </is>
      </c>
      <c r="I152" s="45" t="n">
        <v>103729472</v>
      </c>
      <c r="J152" s="45" t="inlineStr">
        <is>
          <t>Prospect</t>
        </is>
      </c>
      <c r="K152" s="45" t="inlineStr">
        <is>
          <t>SHARIF Maaz</t>
        </is>
      </c>
      <c r="L152" s="45" t="inlineStr">
        <is>
          <t>The client was referred by my client and he's interested in the Gold 222</t>
        </is>
      </c>
      <c r="M152" s="45">
        <f>IF(COUNTIF($R$3:$R$100, D152) &gt; 0, TRUE, FALSE)</f>
        <v/>
      </c>
    </row>
    <row r="153" ht="31.2" customHeight="1" s="287">
      <c r="A153" s="45" t="inlineStr">
        <is>
          <t>Request</t>
        </is>
      </c>
      <c r="B153" s="45" t="inlineStr">
        <is>
          <t xml:space="preserve"> </t>
        </is>
      </c>
      <c r="C153" s="45" t="inlineStr">
        <is>
          <t>22/1/2025</t>
        </is>
      </c>
      <c r="D153" s="45" t="inlineStr">
        <is>
          <t>4200H/222A-B934</t>
        </is>
      </c>
      <c r="E153" s="45">
        <f>IFERROR(VLOOKUP(TRIM(D153), Collection!$B$2:$D$1001, 2, FALSE), "")</f>
        <v/>
      </c>
      <c r="F153" s="48">
        <f>IFERROR(VLOOKUP(TRIM(D153), Collection!$B$2:$D$1001, 3, FALSE), "")</f>
        <v/>
      </c>
      <c r="G153" s="48">
        <f>IFERROR(VALUE(SUBSTITUTE(SUBSTITUTE(F153, "Price", ""), "AED", "")), "")</f>
        <v/>
      </c>
      <c r="H153" s="45" t="inlineStr">
        <is>
          <t>Phone sales Middle East</t>
        </is>
      </c>
      <c r="I153" s="45" t="n">
        <v>103719727</v>
      </c>
      <c r="J153" s="45" t="inlineStr">
        <is>
          <t>Prospect</t>
        </is>
      </c>
      <c r="K153" s="45" t="inlineStr">
        <is>
          <t>OMARI Asma</t>
        </is>
      </c>
      <c r="L153" s="45" t="inlineStr">
        <is>
          <t>Mr. Abdulrhman Bajaber (KSA)</t>
        </is>
      </c>
      <c r="M153" s="45">
        <f>IF(COUNTIF($R$3:$R$100, D153) &gt; 0, TRUE, FALSE)</f>
        <v/>
      </c>
    </row>
    <row r="154" ht="31.2" customHeight="1" s="287">
      <c r="A154" s="45" t="inlineStr">
        <is>
          <t>Request</t>
        </is>
      </c>
      <c r="B154" s="45" t="inlineStr">
        <is>
          <t xml:space="preserve"> </t>
        </is>
      </c>
      <c r="C154" s="45" t="inlineStr">
        <is>
          <t>21/1/2025</t>
        </is>
      </c>
      <c r="D154" s="45" t="inlineStr">
        <is>
          <t>4200H/222A-B934</t>
        </is>
      </c>
      <c r="E154" s="45">
        <f>IFERROR(VLOOKUP(TRIM(D154), Collection!$B$2:$D$1001, 2, FALSE), "")</f>
        <v/>
      </c>
      <c r="F154" s="48">
        <f>IFERROR(VLOOKUP(TRIM(D154), Collection!$B$2:$D$1001, 3, FALSE), "")</f>
        <v/>
      </c>
      <c r="G154" s="48">
        <f>IFERROR(VALUE(SUBSTITUTE(SUBSTITUTE(F154, "Price", ""), "AED", "")), "")</f>
        <v/>
      </c>
      <c r="H154" s="45" t="inlineStr">
        <is>
          <t>Phone sales Middle East</t>
        </is>
      </c>
      <c r="I154" s="45" t="n">
        <v>92406537</v>
      </c>
      <c r="J154" s="45" t="inlineStr">
        <is>
          <t>Prospect</t>
        </is>
      </c>
      <c r="K154" s="45" t="inlineStr">
        <is>
          <t>TAHHAN Riham</t>
        </is>
      </c>
      <c r="L154" s="45" t="inlineStr">
        <is>
          <t xml:space="preserve"> </t>
        </is>
      </c>
      <c r="M154" s="45">
        <f>IF(COUNTIF($R$3:$R$100, D154) &gt; 0, TRUE, FALSE)</f>
        <v/>
      </c>
    </row>
    <row r="155" ht="62.4" customHeight="1" s="287">
      <c r="A155" s="45" t="inlineStr">
        <is>
          <t>Request</t>
        </is>
      </c>
      <c r="B155" s="45" t="inlineStr">
        <is>
          <t xml:space="preserve"> </t>
        </is>
      </c>
      <c r="C155" s="45" t="inlineStr">
        <is>
          <t>21/1/2025</t>
        </is>
      </c>
      <c r="D155" s="45" t="inlineStr">
        <is>
          <t>82035/000P-H063</t>
        </is>
      </c>
      <c r="E155" s="45">
        <f>IFERROR(VLOOKUP(TRIM(D155), Collection!$B$2:$D$1001, 2, FALSE), "")</f>
        <v/>
      </c>
      <c r="F155" s="48">
        <f>IFERROR(VLOOKUP(TRIM(D155), Collection!$B$2:$D$1001, 3, FALSE), "")</f>
        <v/>
      </c>
      <c r="G155" s="48">
        <f>IFERROR(VALUE(SUBSTITUTE(SUBSTITUTE(F155, "Price", ""), "AED", "")), "")</f>
        <v/>
      </c>
      <c r="H155" s="45" t="inlineStr">
        <is>
          <t>Phone sales Middle East</t>
        </is>
      </c>
      <c r="I155" s="45" t="n">
        <v>103531883</v>
      </c>
      <c r="J155" s="45" t="inlineStr">
        <is>
          <t>Client</t>
        </is>
      </c>
      <c r="K155" s="45" t="inlineStr">
        <is>
          <t>SHARIF Maaz</t>
        </is>
      </c>
      <c r="L155" s="45" t="inlineStr">
        <is>
          <t>the client is intrested in this timepeice and aiming as well for the 222</t>
        </is>
      </c>
      <c r="M155" s="45">
        <f>IF(COUNTIF($R$3:$R$100, D155) &gt; 0, TRUE, FALSE)</f>
        <v/>
      </c>
    </row>
    <row r="156" ht="31.2" customHeight="1" s="287">
      <c r="A156" s="45" t="inlineStr">
        <is>
          <t>Request</t>
        </is>
      </c>
      <c r="B156" s="45" t="inlineStr">
        <is>
          <t xml:space="preserve"> </t>
        </is>
      </c>
      <c r="C156" s="45" t="inlineStr">
        <is>
          <t>21/1/2025</t>
        </is>
      </c>
      <c r="D156" s="45" t="inlineStr">
        <is>
          <t>4200H/222A-B934</t>
        </is>
      </c>
      <c r="E156" s="45">
        <f>IFERROR(VLOOKUP(TRIM(D156), Collection!$B$2:$D$1001, 2, FALSE), "")</f>
        <v/>
      </c>
      <c r="F156" s="48">
        <f>IFERROR(VLOOKUP(TRIM(D156), Collection!$B$2:$D$1001, 3, FALSE), "")</f>
        <v/>
      </c>
      <c r="G156" s="48">
        <f>IFERROR(VALUE(SUBSTITUTE(SUBSTITUTE(F156, "Price", ""), "AED", "")), "")</f>
        <v/>
      </c>
      <c r="H156" s="45" t="inlineStr">
        <is>
          <t>Phone sales Middle East</t>
        </is>
      </c>
      <c r="I156" s="45" t="n">
        <v>100511411</v>
      </c>
      <c r="J156" s="45" t="inlineStr">
        <is>
          <t>Prospect</t>
        </is>
      </c>
      <c r="K156" s="45" t="inlineStr">
        <is>
          <t>TAHHAN Riham</t>
        </is>
      </c>
      <c r="L156" s="45" t="inlineStr">
        <is>
          <t xml:space="preserve"> </t>
        </is>
      </c>
      <c r="M156" s="45">
        <f>IF(COUNTIF($R$3:$R$100, D156) &gt; 0, TRUE, FALSE)</f>
        <v/>
      </c>
    </row>
    <row r="157" ht="31.2" customHeight="1" s="287">
      <c r="A157" s="45" t="inlineStr">
        <is>
          <t>Request</t>
        </is>
      </c>
      <c r="B157" s="45" t="inlineStr">
        <is>
          <t xml:space="preserve"> </t>
        </is>
      </c>
      <c r="C157" s="45" t="inlineStr">
        <is>
          <t>21/1/2025</t>
        </is>
      </c>
      <c r="D157" s="45" t="inlineStr">
        <is>
          <t>4200H/222A-B934</t>
        </is>
      </c>
      <c r="E157" s="45">
        <f>IFERROR(VLOOKUP(TRIM(D157), Collection!$B$2:$D$1001, 2, FALSE), "")</f>
        <v/>
      </c>
      <c r="F157" s="48">
        <f>IFERROR(VLOOKUP(TRIM(D157), Collection!$B$2:$D$1001, 3, FALSE), "")</f>
        <v/>
      </c>
      <c r="G157" s="48">
        <f>IFERROR(VALUE(SUBSTITUTE(SUBSTITUTE(F157, "Price", ""), "AED", "")), "")</f>
        <v/>
      </c>
      <c r="H157" s="45" t="inlineStr">
        <is>
          <t>Phone sales Middle East</t>
        </is>
      </c>
      <c r="I157" s="45" t="n">
        <v>92399706</v>
      </c>
      <c r="J157" s="45" t="inlineStr">
        <is>
          <t>Prospect</t>
        </is>
      </c>
      <c r="K157" s="45" t="inlineStr">
        <is>
          <t>OMARI Asma</t>
        </is>
      </c>
      <c r="L157" s="45" t="inlineStr">
        <is>
          <t>Mr Ragheb Alshakhshir</t>
        </is>
      </c>
      <c r="M157" s="45">
        <f>IF(COUNTIF($R$3:$R$100, D157) &gt; 0, TRUE, FALSE)</f>
        <v/>
      </c>
    </row>
    <row r="158" ht="31.2" customHeight="1" s="287">
      <c r="A158" s="45" t="inlineStr">
        <is>
          <t>Request</t>
        </is>
      </c>
      <c r="B158" s="45" t="inlineStr">
        <is>
          <t xml:space="preserve"> </t>
        </is>
      </c>
      <c r="C158" s="45" t="inlineStr">
        <is>
          <t>21/1/2025</t>
        </is>
      </c>
      <c r="D158" s="45" t="inlineStr">
        <is>
          <t>4200H/222A-B934</t>
        </is>
      </c>
      <c r="E158" s="45">
        <f>IFERROR(VLOOKUP(TRIM(D158), Collection!$B$2:$D$1001, 2, FALSE), "")</f>
        <v/>
      </c>
      <c r="F158" s="48">
        <f>IFERROR(VLOOKUP(TRIM(D158), Collection!$B$2:$D$1001, 3, FALSE), "")</f>
        <v/>
      </c>
      <c r="G158" s="48">
        <f>IFERROR(VALUE(SUBSTITUTE(SUBSTITUTE(F158, "Price", ""), "AED", "")), "")</f>
        <v/>
      </c>
      <c r="H158" s="45" t="inlineStr">
        <is>
          <t>Phone sales Middle East</t>
        </is>
      </c>
      <c r="I158" s="45" t="n">
        <v>103714062</v>
      </c>
      <c r="J158" s="45" t="inlineStr">
        <is>
          <t>Prospect</t>
        </is>
      </c>
      <c r="K158" s="45" t="inlineStr">
        <is>
          <t>OMARI Asma</t>
        </is>
      </c>
      <c r="L158" s="45" t="inlineStr">
        <is>
          <t>Mr. Mohammed Bafail (Ksa)</t>
        </is>
      </c>
      <c r="M158" s="45">
        <f>IF(COUNTIF($R$3:$R$100, D158) &gt; 0, TRUE, FALSE)</f>
        <v/>
      </c>
    </row>
    <row r="159" ht="31.2" customHeight="1" s="287">
      <c r="A159" s="45" t="inlineStr">
        <is>
          <t>Request</t>
        </is>
      </c>
      <c r="B159" s="45" t="inlineStr">
        <is>
          <t xml:space="preserve"> </t>
        </is>
      </c>
      <c r="C159" s="45" t="inlineStr">
        <is>
          <t>20/1/2025</t>
        </is>
      </c>
      <c r="D159" s="45" t="inlineStr">
        <is>
          <t>4200H/222A-B934</t>
        </is>
      </c>
      <c r="E159" s="45">
        <f>IFERROR(VLOOKUP(TRIM(D159), Collection!$B$2:$D$1001, 2, FALSE), "")</f>
        <v/>
      </c>
      <c r="F159" s="48">
        <f>IFERROR(VLOOKUP(TRIM(D159), Collection!$B$2:$D$1001, 3, FALSE), "")</f>
        <v/>
      </c>
      <c r="G159" s="48">
        <f>IFERROR(VALUE(SUBSTITUTE(SUBSTITUTE(F159, "Price", ""), "AED", "")), "")</f>
        <v/>
      </c>
      <c r="H159" s="45" t="inlineStr">
        <is>
          <t>Phone sales Middle East</t>
        </is>
      </c>
      <c r="I159" s="45" t="n">
        <v>92408008</v>
      </c>
      <c r="J159" s="45" t="inlineStr">
        <is>
          <t>Prospect</t>
        </is>
      </c>
      <c r="K159" s="45" t="inlineStr">
        <is>
          <t>SHARIF Maaz</t>
        </is>
      </c>
      <c r="L159" s="45" t="inlineStr">
        <is>
          <t xml:space="preserve"> </t>
        </is>
      </c>
      <c r="M159" s="45">
        <f>IF(COUNTIF($R$3:$R$100, D159) &gt; 0, TRUE, FALSE)</f>
        <v/>
      </c>
    </row>
    <row r="160" ht="31.2" customHeight="1" s="287">
      <c r="A160" s="45" t="inlineStr">
        <is>
          <t>Request</t>
        </is>
      </c>
      <c r="B160" s="45" t="inlineStr">
        <is>
          <t xml:space="preserve"> </t>
        </is>
      </c>
      <c r="C160" s="45" t="inlineStr">
        <is>
          <t>20/1/2025</t>
        </is>
      </c>
      <c r="D160" s="45" t="inlineStr">
        <is>
          <t>4200H/222A-B934</t>
        </is>
      </c>
      <c r="E160" s="45">
        <f>IFERROR(VLOOKUP(TRIM(D160), Collection!$B$2:$D$1001, 2, FALSE), "")</f>
        <v/>
      </c>
      <c r="F160" s="48">
        <f>IFERROR(VLOOKUP(TRIM(D160), Collection!$B$2:$D$1001, 3, FALSE), "")</f>
        <v/>
      </c>
      <c r="G160" s="48">
        <f>IFERROR(VALUE(SUBSTITUTE(SUBSTITUTE(F160, "Price", ""), "AED", "")), "")</f>
        <v/>
      </c>
      <c r="H160" s="45" t="inlineStr">
        <is>
          <t>Phone sales Middle East</t>
        </is>
      </c>
      <c r="I160" s="45" t="n">
        <v>103713756</v>
      </c>
      <c r="J160" s="45" t="inlineStr">
        <is>
          <t>Prospect</t>
        </is>
      </c>
      <c r="K160" s="45" t="inlineStr">
        <is>
          <t>SHARIF Maaz</t>
        </is>
      </c>
      <c r="L160" s="45" t="inlineStr">
        <is>
          <t xml:space="preserve"> </t>
        </is>
      </c>
      <c r="M160" s="45">
        <f>IF(COUNTIF($R$3:$R$100, D160) &gt; 0, TRUE, FALSE)</f>
        <v/>
      </c>
    </row>
    <row r="161" ht="31.2" customHeight="1" s="287">
      <c r="A161" s="45" t="inlineStr">
        <is>
          <t>Request</t>
        </is>
      </c>
      <c r="B161" s="45" t="inlineStr">
        <is>
          <t xml:space="preserve"> </t>
        </is>
      </c>
      <c r="C161" s="45" t="inlineStr">
        <is>
          <t>20/1/2025</t>
        </is>
      </c>
      <c r="D161" s="45" t="inlineStr">
        <is>
          <t>4200H/222A-B934</t>
        </is>
      </c>
      <c r="E161" s="45">
        <f>IFERROR(VLOOKUP(TRIM(D161), Collection!$B$2:$D$1001, 2, FALSE), "")</f>
        <v/>
      </c>
      <c r="F161" s="48">
        <f>IFERROR(VLOOKUP(TRIM(D161), Collection!$B$2:$D$1001, 3, FALSE), "")</f>
        <v/>
      </c>
      <c r="G161" s="48">
        <f>IFERROR(VALUE(SUBSTITUTE(SUBSTITUTE(F161, "Price", ""), "AED", "")), "")</f>
        <v/>
      </c>
      <c r="H161" s="45" t="inlineStr">
        <is>
          <t>Phone sales Middle East</t>
        </is>
      </c>
      <c r="I161" s="45" t="n">
        <v>103742903</v>
      </c>
      <c r="J161" s="45" t="inlineStr">
        <is>
          <t>Prospect</t>
        </is>
      </c>
      <c r="K161" s="45" t="inlineStr">
        <is>
          <t>SHARIF Maaz</t>
        </is>
      </c>
      <c r="L161" s="45" t="inlineStr">
        <is>
          <t>Very interested client</t>
        </is>
      </c>
      <c r="M161" s="45">
        <f>IF(COUNTIF($R$3:$R$100, D161) &gt; 0, TRUE, FALSE)</f>
        <v/>
      </c>
    </row>
    <row r="162" ht="31.2" customHeight="1" s="287">
      <c r="A162" s="45" t="inlineStr">
        <is>
          <t>Request</t>
        </is>
      </c>
      <c r="B162" s="45" t="inlineStr">
        <is>
          <t xml:space="preserve"> </t>
        </is>
      </c>
      <c r="C162" s="45" t="inlineStr">
        <is>
          <t>18/1/2025</t>
        </is>
      </c>
      <c r="D162" s="45" t="inlineStr">
        <is>
          <t>4200H/222A-B934</t>
        </is>
      </c>
      <c r="E162" s="45">
        <f>IFERROR(VLOOKUP(TRIM(D162), Collection!$B$2:$D$1001, 2, FALSE), "")</f>
        <v/>
      </c>
      <c r="F162" s="48">
        <f>IFERROR(VLOOKUP(TRIM(D162), Collection!$B$2:$D$1001, 3, FALSE), "")</f>
        <v/>
      </c>
      <c r="G162" s="48">
        <f>IFERROR(VALUE(SUBSTITUTE(SUBSTITUTE(F162, "Price", ""), "AED", "")), "")</f>
        <v/>
      </c>
      <c r="H162" s="45" t="inlineStr">
        <is>
          <t>Phone sales Middle East</t>
        </is>
      </c>
      <c r="I162" s="45" t="n">
        <v>103671342</v>
      </c>
      <c r="J162" s="45" t="inlineStr">
        <is>
          <t>Prospect</t>
        </is>
      </c>
      <c r="K162" s="45" t="inlineStr">
        <is>
          <t>TAHHAN Riham</t>
        </is>
      </c>
      <c r="L162" s="45" t="inlineStr">
        <is>
          <t xml:space="preserve"> </t>
        </is>
      </c>
      <c r="M162" s="45">
        <f>IF(COUNTIF($R$3:$R$100, D162) &gt; 0, TRUE, FALSE)</f>
        <v/>
      </c>
    </row>
    <row r="163" ht="31.2" customHeight="1" s="287">
      <c r="A163" s="45" t="inlineStr">
        <is>
          <t>Request</t>
        </is>
      </c>
      <c r="B163" s="45" t="inlineStr">
        <is>
          <t xml:space="preserve"> </t>
        </is>
      </c>
      <c r="C163" s="45" t="inlineStr">
        <is>
          <t>18/1/2025</t>
        </is>
      </c>
      <c r="D163" s="45" t="inlineStr">
        <is>
          <t>4200H/222A-B934</t>
        </is>
      </c>
      <c r="E163" s="45">
        <f>IFERROR(VLOOKUP(TRIM(D163), Collection!$B$2:$D$1001, 2, FALSE), "")</f>
        <v/>
      </c>
      <c r="F163" s="48">
        <f>IFERROR(VLOOKUP(TRIM(D163), Collection!$B$2:$D$1001, 3, FALSE), "")</f>
        <v/>
      </c>
      <c r="G163" s="48">
        <f>IFERROR(VALUE(SUBSTITUTE(SUBSTITUTE(F163, "Price", ""), "AED", "")), "")</f>
        <v/>
      </c>
      <c r="H163" s="45" t="inlineStr">
        <is>
          <t>Phone sales Middle East</t>
        </is>
      </c>
      <c r="I163" s="45" t="n">
        <v>103661537</v>
      </c>
      <c r="J163" s="45" t="inlineStr">
        <is>
          <t>Prospect</t>
        </is>
      </c>
      <c r="K163" s="45" t="inlineStr">
        <is>
          <t>OMARI Asma</t>
        </is>
      </c>
      <c r="L163" s="45" t="inlineStr">
        <is>
          <t>Rakan Alrashed (ksa)</t>
        </is>
      </c>
      <c r="M163" s="45">
        <f>IF(COUNTIF($R$3:$R$100, D163) &gt; 0, TRUE, FALSE)</f>
        <v/>
      </c>
    </row>
    <row r="164" ht="31.2" customHeight="1" s="287">
      <c r="A164" s="45" t="inlineStr">
        <is>
          <t>Request</t>
        </is>
      </c>
      <c r="B164" s="45" t="inlineStr">
        <is>
          <t xml:space="preserve"> </t>
        </is>
      </c>
      <c r="C164" s="45" t="inlineStr">
        <is>
          <t>18/1/2025</t>
        </is>
      </c>
      <c r="D164" s="45" t="inlineStr">
        <is>
          <t>4200H/222A-B934</t>
        </is>
      </c>
      <c r="E164" s="45">
        <f>IFERROR(VLOOKUP(TRIM(D164), Collection!$B$2:$D$1001, 2, FALSE), "")</f>
        <v/>
      </c>
      <c r="F164" s="48">
        <f>IFERROR(VLOOKUP(TRIM(D164), Collection!$B$2:$D$1001, 3, FALSE), "")</f>
        <v/>
      </c>
      <c r="G164" s="48">
        <f>IFERROR(VALUE(SUBSTITUTE(SUBSTITUTE(F164, "Price", ""), "AED", "")), "")</f>
        <v/>
      </c>
      <c r="H164" s="45" t="inlineStr">
        <is>
          <t>Phone sales Middle East</t>
        </is>
      </c>
      <c r="I164" s="45" t="n">
        <v>98874827</v>
      </c>
      <c r="J164" s="45" t="inlineStr">
        <is>
          <t>Prospect</t>
        </is>
      </c>
      <c r="K164" s="45" t="inlineStr">
        <is>
          <t>SHARIF Maaz</t>
        </is>
      </c>
      <c r="L164" s="45" t="inlineStr">
        <is>
          <t xml:space="preserve"> </t>
        </is>
      </c>
      <c r="M164" s="45">
        <f>IF(COUNTIF($R$3:$R$100, D164) &gt; 0, TRUE, FALSE)</f>
        <v/>
      </c>
    </row>
    <row r="165" ht="31.2" customHeight="1" s="287">
      <c r="A165" s="45" t="inlineStr">
        <is>
          <t>Request</t>
        </is>
      </c>
      <c r="B165" s="45" t="inlineStr">
        <is>
          <t xml:space="preserve"> </t>
        </is>
      </c>
      <c r="C165" s="45" t="inlineStr">
        <is>
          <t>18/1/2025</t>
        </is>
      </c>
      <c r="D165" s="45" t="inlineStr">
        <is>
          <t>4200H/222A-B934</t>
        </is>
      </c>
      <c r="E165" s="45">
        <f>IFERROR(VLOOKUP(TRIM(D165), Collection!$B$2:$D$1001, 2, FALSE), "")</f>
        <v/>
      </c>
      <c r="F165" s="48">
        <f>IFERROR(VLOOKUP(TRIM(D165), Collection!$B$2:$D$1001, 3, FALSE), "")</f>
        <v/>
      </c>
      <c r="G165" s="48">
        <f>IFERROR(VALUE(SUBSTITUTE(SUBSTITUTE(F165, "Price", ""), "AED", "")), "")</f>
        <v/>
      </c>
      <c r="H165" s="45" t="inlineStr">
        <is>
          <t>Phone sales Middle East</t>
        </is>
      </c>
      <c r="I165" s="45" t="n">
        <v>92408008</v>
      </c>
      <c r="J165" s="45" t="inlineStr">
        <is>
          <t>Prospect</t>
        </is>
      </c>
      <c r="K165" s="45" t="inlineStr">
        <is>
          <t>SHARIF Maaz</t>
        </is>
      </c>
      <c r="L165" s="45" t="inlineStr">
        <is>
          <t xml:space="preserve"> </t>
        </is>
      </c>
      <c r="M165" s="45">
        <f>IF(COUNTIF($R$3:$R$100, D165) &gt; 0, TRUE, FALSE)</f>
        <v/>
      </c>
    </row>
    <row r="166" ht="31.2" customHeight="1" s="287">
      <c r="A166" s="45" t="inlineStr">
        <is>
          <t>Request</t>
        </is>
      </c>
      <c r="B166" s="45" t="inlineStr">
        <is>
          <t xml:space="preserve"> </t>
        </is>
      </c>
      <c r="C166" s="45" t="inlineStr">
        <is>
          <t>18/1/2025</t>
        </is>
      </c>
      <c r="D166" s="45" t="inlineStr">
        <is>
          <t>4200H/222A-B934</t>
        </is>
      </c>
      <c r="E166" s="45">
        <f>IFERROR(VLOOKUP(TRIM(D166), Collection!$B$2:$D$1001, 2, FALSE), "")</f>
        <v/>
      </c>
      <c r="F166" s="48">
        <f>IFERROR(VLOOKUP(TRIM(D166), Collection!$B$2:$D$1001, 3, FALSE), "")</f>
        <v/>
      </c>
      <c r="G166" s="48">
        <f>IFERROR(VALUE(SUBSTITUTE(SUBSTITUTE(F166, "Price", ""), "AED", "")), "")</f>
        <v/>
      </c>
      <c r="H166" s="45" t="inlineStr">
        <is>
          <t>Phone sales Middle East</t>
        </is>
      </c>
      <c r="I166" s="45" t="n">
        <v>103675481</v>
      </c>
      <c r="J166" s="45" t="inlineStr">
        <is>
          <t>Prospect</t>
        </is>
      </c>
      <c r="K166" s="45" t="inlineStr">
        <is>
          <t>SHARIF Maaz</t>
        </is>
      </c>
      <c r="L166" s="45" t="inlineStr">
        <is>
          <t>Leo Dogan</t>
        </is>
      </c>
      <c r="M166" s="45">
        <f>IF(COUNTIF($R$3:$R$100, D166) &gt; 0, TRUE, FALSE)</f>
        <v/>
      </c>
    </row>
    <row r="167" ht="31.2" customHeight="1" s="287">
      <c r="A167" s="45" t="inlineStr">
        <is>
          <t>Request</t>
        </is>
      </c>
      <c r="B167" s="45" t="inlineStr">
        <is>
          <t xml:space="preserve"> </t>
        </is>
      </c>
      <c r="C167" s="45" t="inlineStr">
        <is>
          <t>18/1/2025</t>
        </is>
      </c>
      <c r="D167" s="45" t="inlineStr">
        <is>
          <t>4520V/210A-B128</t>
        </is>
      </c>
      <c r="E167" s="45">
        <f>IFERROR(VLOOKUP(TRIM(D167), Collection!$B$2:$D$1001, 2, FALSE), "")</f>
        <v/>
      </c>
      <c r="F167" s="48">
        <f>IFERROR(VLOOKUP(TRIM(D167), Collection!$B$2:$D$1001, 3, FALSE), "")</f>
        <v/>
      </c>
      <c r="G167" s="48">
        <f>IFERROR(VALUE(SUBSTITUTE(SUBSTITUTE(F167, "Price", ""), "AED", "")), "")</f>
        <v/>
      </c>
      <c r="H167" s="45" t="inlineStr">
        <is>
          <t>Phone sales Middle East</t>
        </is>
      </c>
      <c r="I167" s="45" t="n">
        <v>100330605</v>
      </c>
      <c r="J167" s="45" t="inlineStr">
        <is>
          <t>Prospect</t>
        </is>
      </c>
      <c r="K167" s="45" t="inlineStr">
        <is>
          <t>TAHHAN Riham</t>
        </is>
      </c>
      <c r="L167" s="45" t="inlineStr">
        <is>
          <t xml:space="preserve"> </t>
        </is>
      </c>
      <c r="M167" s="45">
        <f>IF(COUNTIF($R$3:$R$100, D167) &gt; 0, TRUE, FALSE)</f>
        <v/>
      </c>
    </row>
    <row r="168" ht="31.2" customHeight="1" s="287">
      <c r="A168" s="45" t="inlineStr">
        <is>
          <t>Request</t>
        </is>
      </c>
      <c r="B168" s="45" t="inlineStr">
        <is>
          <t xml:space="preserve"> </t>
        </is>
      </c>
      <c r="C168" s="45" t="inlineStr">
        <is>
          <t>18/1/2025</t>
        </is>
      </c>
      <c r="D168" s="45" t="inlineStr">
        <is>
          <t>4200H/222A-B934</t>
        </is>
      </c>
      <c r="E168" s="45">
        <f>IFERROR(VLOOKUP(TRIM(D168), Collection!$B$2:$D$1001, 2, FALSE), "")</f>
        <v/>
      </c>
      <c r="F168" s="48">
        <f>IFERROR(VLOOKUP(TRIM(D168), Collection!$B$2:$D$1001, 3, FALSE), "")</f>
        <v/>
      </c>
      <c r="G168" s="48">
        <f>IFERROR(VALUE(SUBSTITUTE(SUBSTITUTE(F168, "Price", ""), "AED", "")), "")</f>
        <v/>
      </c>
      <c r="H168" s="45" t="inlineStr">
        <is>
          <t>Phone sales Middle East</t>
        </is>
      </c>
      <c r="I168" s="45" t="n">
        <v>92428108</v>
      </c>
      <c r="J168" s="45" t="inlineStr">
        <is>
          <t>Client</t>
        </is>
      </c>
      <c r="K168" s="45" t="inlineStr">
        <is>
          <t>SHARIF Maaz</t>
        </is>
      </c>
      <c r="L168" s="45" t="inlineStr">
        <is>
          <t xml:space="preserve"> </t>
        </is>
      </c>
      <c r="M168" s="45">
        <f>IF(COUNTIF($R$3:$R$100, D168) &gt; 0, TRUE, FALSE)</f>
        <v/>
      </c>
    </row>
    <row r="169" ht="31.2" customHeight="1" s="287">
      <c r="A169" s="45" t="inlineStr">
        <is>
          <t>Request</t>
        </is>
      </c>
      <c r="B169" s="45" t="inlineStr">
        <is>
          <t xml:space="preserve"> </t>
        </is>
      </c>
      <c r="C169" s="45" t="inlineStr">
        <is>
          <t>18/1/2025</t>
        </is>
      </c>
      <c r="D169" s="45" t="inlineStr">
        <is>
          <t>4200H/222A-B934</t>
        </is>
      </c>
      <c r="E169" s="45">
        <f>IFERROR(VLOOKUP(TRIM(D169), Collection!$B$2:$D$1001, 2, FALSE), "")</f>
        <v/>
      </c>
      <c r="F169" s="48">
        <f>IFERROR(VLOOKUP(TRIM(D169), Collection!$B$2:$D$1001, 3, FALSE), "")</f>
        <v/>
      </c>
      <c r="G169" s="48">
        <f>IFERROR(VALUE(SUBSTITUTE(SUBSTITUTE(F169, "Price", ""), "AED", "")), "")</f>
        <v/>
      </c>
      <c r="H169" s="45" t="inlineStr">
        <is>
          <t>Phone sales Middle East</t>
        </is>
      </c>
      <c r="I169" s="45" t="n">
        <v>100330605</v>
      </c>
      <c r="J169" s="45" t="inlineStr">
        <is>
          <t>Prospect</t>
        </is>
      </c>
      <c r="K169" s="45" t="inlineStr">
        <is>
          <t>TAHHAN Riham</t>
        </is>
      </c>
      <c r="L169" s="45" t="inlineStr">
        <is>
          <t xml:space="preserve"> </t>
        </is>
      </c>
      <c r="M169" s="45">
        <f>IF(COUNTIF($R$3:$R$100, D169) &gt; 0, TRUE, FALSE)</f>
        <v/>
      </c>
    </row>
    <row r="170" ht="31.2" customHeight="1" s="287">
      <c r="A170" s="45" t="inlineStr">
        <is>
          <t>Request</t>
        </is>
      </c>
      <c r="B170" s="45" t="inlineStr">
        <is>
          <t xml:space="preserve"> </t>
        </is>
      </c>
      <c r="C170" s="45" t="inlineStr">
        <is>
          <t>18/1/2025</t>
        </is>
      </c>
      <c r="D170" s="45" t="inlineStr">
        <is>
          <t>5520V/210A-B148</t>
        </is>
      </c>
      <c r="E170" s="45">
        <f>IFERROR(VLOOKUP(TRIM(D170), Collection!$B$2:$D$1001, 2, FALSE), "")</f>
        <v/>
      </c>
      <c r="F170" s="48">
        <f>IFERROR(VLOOKUP(TRIM(D170), Collection!$B$2:$D$1001, 3, FALSE), "")</f>
        <v/>
      </c>
      <c r="G170" s="48">
        <f>IFERROR(VALUE(SUBSTITUTE(SUBSTITUTE(F170, "Price", ""), "AED", "")), "")</f>
        <v/>
      </c>
      <c r="H170" s="45" t="inlineStr">
        <is>
          <t>Phone sales Middle East</t>
        </is>
      </c>
      <c r="I170" s="45" t="n">
        <v>100330605</v>
      </c>
      <c r="J170" s="45" t="inlineStr">
        <is>
          <t>Prospect</t>
        </is>
      </c>
      <c r="K170" s="45" t="inlineStr">
        <is>
          <t>TAHHAN Riham</t>
        </is>
      </c>
      <c r="L170" s="45" t="inlineStr">
        <is>
          <t xml:space="preserve"> </t>
        </is>
      </c>
      <c r="M170" s="45">
        <f>IF(COUNTIF($R$3:$R$100, D170) &gt; 0, TRUE, FALSE)</f>
        <v/>
      </c>
    </row>
    <row r="171" ht="31.2" customHeight="1" s="287">
      <c r="A171" s="45" t="inlineStr">
        <is>
          <t>Request</t>
        </is>
      </c>
      <c r="B171" s="45" t="inlineStr">
        <is>
          <t xml:space="preserve"> </t>
        </is>
      </c>
      <c r="C171" s="45" t="inlineStr">
        <is>
          <t>18/1/2025</t>
        </is>
      </c>
      <c r="D171" s="45" t="inlineStr">
        <is>
          <t>4200H/222A-B934</t>
        </is>
      </c>
      <c r="E171" s="45">
        <f>IFERROR(VLOOKUP(TRIM(D171), Collection!$B$2:$D$1001, 2, FALSE), "")</f>
        <v/>
      </c>
      <c r="F171" s="48">
        <f>IFERROR(VLOOKUP(TRIM(D171), Collection!$B$2:$D$1001, 3, FALSE), "")</f>
        <v/>
      </c>
      <c r="G171" s="48">
        <f>IFERROR(VALUE(SUBSTITUTE(SUBSTITUTE(F171, "Price", ""), "AED", "")), "")</f>
        <v/>
      </c>
      <c r="H171" s="45" t="inlineStr">
        <is>
          <t>Phone sales Middle East</t>
        </is>
      </c>
      <c r="I171" s="45" t="n">
        <v>92403555</v>
      </c>
      <c r="J171" s="45" t="inlineStr">
        <is>
          <t>Prospect</t>
        </is>
      </c>
      <c r="K171" s="45" t="inlineStr">
        <is>
          <t>SHARIF Maaz</t>
        </is>
      </c>
      <c r="L171" s="45" t="inlineStr">
        <is>
          <t xml:space="preserve"> </t>
        </is>
      </c>
      <c r="M171" s="45">
        <f>IF(COUNTIF($R$3:$R$100, D171) &gt; 0, TRUE, FALSE)</f>
        <v/>
      </c>
    </row>
    <row r="172" ht="31.2" customHeight="1" s="287">
      <c r="A172" s="45" t="inlineStr">
        <is>
          <t>Request</t>
        </is>
      </c>
      <c r="B172" s="45" t="inlineStr">
        <is>
          <t xml:space="preserve"> </t>
        </is>
      </c>
      <c r="C172" s="45" t="inlineStr">
        <is>
          <t>18/1/2025</t>
        </is>
      </c>
      <c r="D172" s="45" t="inlineStr">
        <is>
          <t>4200H/222A-B934</t>
        </is>
      </c>
      <c r="E172" s="45">
        <f>IFERROR(VLOOKUP(TRIM(D172), Collection!$B$2:$D$1001, 2, FALSE), "")</f>
        <v/>
      </c>
      <c r="F172" s="48">
        <f>IFERROR(VLOOKUP(TRIM(D172), Collection!$B$2:$D$1001, 3, FALSE), "")</f>
        <v/>
      </c>
      <c r="G172" s="48">
        <f>IFERROR(VALUE(SUBSTITUTE(SUBSTITUTE(F172, "Price", ""), "AED", "")), "")</f>
        <v/>
      </c>
      <c r="H172" s="45" t="inlineStr">
        <is>
          <t>Phone sales Middle East</t>
        </is>
      </c>
      <c r="I172" s="45" t="n">
        <v>103673092</v>
      </c>
      <c r="J172" s="45" t="inlineStr">
        <is>
          <t>Prospect</t>
        </is>
      </c>
      <c r="K172" s="45" t="inlineStr">
        <is>
          <t>SHARIF Maaz</t>
        </is>
      </c>
      <c r="L172" s="45" t="inlineStr">
        <is>
          <t xml:space="preserve"> </t>
        </is>
      </c>
      <c r="M172" s="45">
        <f>IF(COUNTIF($R$3:$R$100, D172) &gt; 0, TRUE, FALSE)</f>
        <v/>
      </c>
    </row>
    <row r="173" ht="31.2" customHeight="1" s="287">
      <c r="A173" s="45" t="inlineStr">
        <is>
          <t>Request</t>
        </is>
      </c>
      <c r="B173" s="45" t="inlineStr">
        <is>
          <t xml:space="preserve"> </t>
        </is>
      </c>
      <c r="C173" s="45" t="inlineStr">
        <is>
          <t>18/1/2025</t>
        </is>
      </c>
      <c r="D173" s="45" t="inlineStr">
        <is>
          <t>4200H/222A-B934</t>
        </is>
      </c>
      <c r="E173" s="45">
        <f>IFERROR(VLOOKUP(TRIM(D173), Collection!$B$2:$D$1001, 2, FALSE), "")</f>
        <v/>
      </c>
      <c r="F173" s="48">
        <f>IFERROR(VLOOKUP(TRIM(D173), Collection!$B$2:$D$1001, 3, FALSE), "")</f>
        <v/>
      </c>
      <c r="G173" s="48">
        <f>IFERROR(VALUE(SUBSTITUTE(SUBSTITUTE(F173, "Price", ""), "AED", "")), "")</f>
        <v/>
      </c>
      <c r="H173" s="45" t="inlineStr">
        <is>
          <t>Phone sales Middle East</t>
        </is>
      </c>
      <c r="I173" s="45" t="n">
        <v>98874827</v>
      </c>
      <c r="J173" s="45" t="inlineStr">
        <is>
          <t>Prospect</t>
        </is>
      </c>
      <c r="K173" s="45" t="inlineStr">
        <is>
          <t>SHARIF Maaz</t>
        </is>
      </c>
      <c r="L173" s="45" t="inlineStr">
        <is>
          <t xml:space="preserve"> </t>
        </is>
      </c>
      <c r="M173" s="45">
        <f>IF(COUNTIF($R$3:$R$100, D173) &gt; 0, TRUE, FALSE)</f>
        <v/>
      </c>
    </row>
    <row r="174" ht="31.2" customHeight="1" s="287">
      <c r="A174" s="45" t="inlineStr">
        <is>
          <t>Request</t>
        </is>
      </c>
      <c r="B174" s="45" t="inlineStr">
        <is>
          <t xml:space="preserve"> </t>
        </is>
      </c>
      <c r="C174" s="45" t="inlineStr">
        <is>
          <t>18/1/2025</t>
        </is>
      </c>
      <c r="D174" s="45" t="inlineStr">
        <is>
          <t>4200H/222A-B934</t>
        </is>
      </c>
      <c r="E174" s="45">
        <f>IFERROR(VLOOKUP(TRIM(D174), Collection!$B$2:$D$1001, 2, FALSE), "")</f>
        <v/>
      </c>
      <c r="F174" s="48">
        <f>IFERROR(VLOOKUP(TRIM(D174), Collection!$B$2:$D$1001, 3, FALSE), "")</f>
        <v/>
      </c>
      <c r="G174" s="48">
        <f>IFERROR(VALUE(SUBSTITUTE(SUBSTITUTE(F174, "Price", ""), "AED", "")), "")</f>
        <v/>
      </c>
      <c r="H174" s="45" t="inlineStr">
        <is>
          <t>Phone sales Middle East</t>
        </is>
      </c>
      <c r="I174" s="45" t="n">
        <v>103671613</v>
      </c>
      <c r="J174" s="45" t="inlineStr">
        <is>
          <t>Prospect</t>
        </is>
      </c>
      <c r="K174" s="45" t="inlineStr">
        <is>
          <t>SHARIF Maaz</t>
        </is>
      </c>
      <c r="L174" s="45" t="inlineStr">
        <is>
          <t xml:space="preserve"> </t>
        </is>
      </c>
      <c r="M174" s="45">
        <f>IF(COUNTIF($R$3:$R$100, D174) &gt; 0, TRUE, FALSE)</f>
        <v/>
      </c>
    </row>
    <row r="175" ht="31.2" customHeight="1" s="287">
      <c r="A175" s="45" t="inlineStr">
        <is>
          <t>Request</t>
        </is>
      </c>
      <c r="B175" s="45" t="inlineStr">
        <is>
          <t xml:space="preserve"> </t>
        </is>
      </c>
      <c r="C175" s="45" t="inlineStr">
        <is>
          <t>18/1/2025</t>
        </is>
      </c>
      <c r="D175" s="45" t="inlineStr">
        <is>
          <t>4200H/222A-B934</t>
        </is>
      </c>
      <c r="E175" s="45">
        <f>IFERROR(VLOOKUP(TRIM(D175), Collection!$B$2:$D$1001, 2, FALSE), "")</f>
        <v/>
      </c>
      <c r="F175" s="48">
        <f>IFERROR(VLOOKUP(TRIM(D175), Collection!$B$2:$D$1001, 3, FALSE), "")</f>
        <v/>
      </c>
      <c r="G175" s="48">
        <f>IFERROR(VALUE(SUBSTITUTE(SUBSTITUTE(F175, "Price", ""), "AED", "")), "")</f>
        <v/>
      </c>
      <c r="H175" s="45" t="inlineStr">
        <is>
          <t>Phone sales Middle East</t>
        </is>
      </c>
      <c r="I175" s="45" t="n">
        <v>92406996</v>
      </c>
      <c r="J175" s="45" t="inlineStr">
        <is>
          <t>Prospect</t>
        </is>
      </c>
      <c r="K175" s="45" t="inlineStr">
        <is>
          <t>SHARIF Maaz</t>
        </is>
      </c>
      <c r="L175" s="45" t="inlineStr">
        <is>
          <t xml:space="preserve"> </t>
        </is>
      </c>
      <c r="M175" s="45">
        <f>IF(COUNTIF($R$3:$R$100, D175) &gt; 0, TRUE, FALSE)</f>
        <v/>
      </c>
    </row>
    <row r="176" ht="31.2" customHeight="1" s="287">
      <c r="A176" s="45" t="inlineStr">
        <is>
          <t>Request</t>
        </is>
      </c>
      <c r="B176" s="45" t="inlineStr">
        <is>
          <t xml:space="preserve"> </t>
        </is>
      </c>
      <c r="C176" s="45" t="inlineStr">
        <is>
          <t>18/1/2025</t>
        </is>
      </c>
      <c r="D176" s="45" t="inlineStr">
        <is>
          <t>4200H/222A-B934</t>
        </is>
      </c>
      <c r="E176" s="45">
        <f>IFERROR(VLOOKUP(TRIM(D176), Collection!$B$2:$D$1001, 2, FALSE), "")</f>
        <v/>
      </c>
      <c r="F176" s="48">
        <f>IFERROR(VLOOKUP(TRIM(D176), Collection!$B$2:$D$1001, 3, FALSE), "")</f>
        <v/>
      </c>
      <c r="G176" s="48">
        <f>IFERROR(VALUE(SUBSTITUTE(SUBSTITUTE(F176, "Price", ""), "AED", "")), "")</f>
        <v/>
      </c>
      <c r="H176" s="45" t="inlineStr">
        <is>
          <t>Phone sales Middle East</t>
        </is>
      </c>
      <c r="I176" s="45" t="n">
        <v>103673291</v>
      </c>
      <c r="J176" s="45" t="inlineStr">
        <is>
          <t>Prospect</t>
        </is>
      </c>
      <c r="K176" s="45" t="inlineStr">
        <is>
          <t>SHARIF Maaz</t>
        </is>
      </c>
      <c r="L176" s="45" t="inlineStr">
        <is>
          <t xml:space="preserve"> </t>
        </is>
      </c>
      <c r="M176" s="45">
        <f>IF(COUNTIF($R$3:$R$100, D176) &gt; 0, TRUE, FALSE)</f>
        <v/>
      </c>
    </row>
    <row r="177" ht="31.2" customHeight="1" s="287">
      <c r="A177" s="45" t="inlineStr">
        <is>
          <t>Request</t>
        </is>
      </c>
      <c r="B177" s="45" t="inlineStr">
        <is>
          <t xml:space="preserve"> </t>
        </is>
      </c>
      <c r="C177" s="45" t="inlineStr">
        <is>
          <t>18/1/2025</t>
        </is>
      </c>
      <c r="D177" s="45" t="inlineStr">
        <is>
          <t>4200H/222A-B934</t>
        </is>
      </c>
      <c r="E177" s="45">
        <f>IFERROR(VLOOKUP(TRIM(D177), Collection!$B$2:$D$1001, 2, FALSE), "")</f>
        <v/>
      </c>
      <c r="F177" s="48">
        <f>IFERROR(VLOOKUP(TRIM(D177), Collection!$B$2:$D$1001, 3, FALSE), "")</f>
        <v/>
      </c>
      <c r="G177" s="48">
        <f>IFERROR(VALUE(SUBSTITUTE(SUBSTITUTE(F177, "Price", ""), "AED", "")), "")</f>
        <v/>
      </c>
      <c r="H177" s="45" t="inlineStr">
        <is>
          <t>Phone sales Middle East</t>
        </is>
      </c>
      <c r="I177" s="45" t="n">
        <v>103645978</v>
      </c>
      <c r="J177" s="45" t="inlineStr">
        <is>
          <t>Prospect</t>
        </is>
      </c>
      <c r="K177" s="45" t="inlineStr">
        <is>
          <t>TAHHAN Riham</t>
        </is>
      </c>
      <c r="L177" s="45" t="inlineStr">
        <is>
          <t xml:space="preserve"> </t>
        </is>
      </c>
      <c r="M177" s="45">
        <f>IF(COUNTIF($R$3:$R$100, D177) &gt; 0, TRUE, FALSE)</f>
        <v/>
      </c>
    </row>
    <row r="178" ht="31.2" customHeight="1" s="287">
      <c r="A178" s="45" t="inlineStr">
        <is>
          <t>Cancelled</t>
        </is>
      </c>
      <c r="B178" s="45" t="inlineStr">
        <is>
          <t>Cancelled</t>
        </is>
      </c>
      <c r="C178" s="45" t="inlineStr">
        <is>
          <t>17/1/2025</t>
        </is>
      </c>
      <c r="D178" s="45" t="inlineStr">
        <is>
          <t>4200H/222A-B934</t>
        </is>
      </c>
      <c r="E178" s="45">
        <f>IFERROR(VLOOKUP(TRIM(D178), Collection!$B$2:$D$1001, 2, FALSE), "")</f>
        <v/>
      </c>
      <c r="F178" s="48">
        <f>IFERROR(VLOOKUP(TRIM(D178), Collection!$B$2:$D$1001, 3, FALSE), "")</f>
        <v/>
      </c>
      <c r="G178" s="48">
        <f>IFERROR(VALUE(SUBSTITUTE(SUBSTITUTE(F178, "Price", ""), "AED", "")), "")</f>
        <v/>
      </c>
      <c r="H178" s="45" t="inlineStr">
        <is>
          <t>Phone sales Middle East</t>
        </is>
      </c>
      <c r="I178" s="45" t="n">
        <v>103633978</v>
      </c>
      <c r="J178" s="45" t="inlineStr">
        <is>
          <t>Prospect</t>
        </is>
      </c>
      <c r="K178" s="45" t="inlineStr">
        <is>
          <t>TAHHAN Riham</t>
        </is>
      </c>
      <c r="L178" s="45" t="inlineStr">
        <is>
          <t xml:space="preserve"> </t>
        </is>
      </c>
      <c r="M178" s="45">
        <f>IF(COUNTIF($R$3:$R$100, D178) &gt; 0, TRUE, FALSE)</f>
        <v/>
      </c>
    </row>
    <row r="179" ht="31.2" customHeight="1" s="287">
      <c r="A179" s="45" t="inlineStr">
        <is>
          <t>Request</t>
        </is>
      </c>
      <c r="B179" s="45" t="inlineStr">
        <is>
          <t xml:space="preserve"> </t>
        </is>
      </c>
      <c r="C179" s="45" t="inlineStr">
        <is>
          <t>17/1/2025</t>
        </is>
      </c>
      <c r="D179" s="45" t="inlineStr">
        <is>
          <t>4200H/222A-B934</t>
        </is>
      </c>
      <c r="E179" s="45">
        <f>IFERROR(VLOOKUP(TRIM(D179), Collection!$B$2:$D$1001, 2, FALSE), "")</f>
        <v/>
      </c>
      <c r="F179" s="48">
        <f>IFERROR(VLOOKUP(TRIM(D179), Collection!$B$2:$D$1001, 3, FALSE), "")</f>
        <v/>
      </c>
      <c r="G179" s="48">
        <f>IFERROR(VALUE(SUBSTITUTE(SUBSTITUTE(F179, "Price", ""), "AED", "")), "")</f>
        <v/>
      </c>
      <c r="H179" s="45" t="inlineStr">
        <is>
          <t>Phone sales Middle East</t>
        </is>
      </c>
      <c r="I179" s="45" t="n">
        <v>92398060</v>
      </c>
      <c r="J179" s="45" t="inlineStr">
        <is>
          <t>Prospect</t>
        </is>
      </c>
      <c r="K179" s="45" t="inlineStr">
        <is>
          <t>TAHHAN Riham</t>
        </is>
      </c>
      <c r="L179" s="45" t="inlineStr">
        <is>
          <t xml:space="preserve"> </t>
        </is>
      </c>
      <c r="M179" s="45">
        <f>IF(COUNTIF($R$3:$R$100, D179) &gt; 0, TRUE, FALSE)</f>
        <v/>
      </c>
    </row>
    <row r="180" ht="31.2" customHeight="1" s="287">
      <c r="A180" s="45" t="inlineStr">
        <is>
          <t>Request</t>
        </is>
      </c>
      <c r="B180" s="45" t="inlineStr">
        <is>
          <t xml:space="preserve"> </t>
        </is>
      </c>
      <c r="C180" s="45" t="inlineStr">
        <is>
          <t>17/1/2025</t>
        </is>
      </c>
      <c r="D180" s="45" t="inlineStr">
        <is>
          <t>4200H/222A-B934</t>
        </is>
      </c>
      <c r="E180" s="45">
        <f>IFERROR(VLOOKUP(TRIM(D180), Collection!$B$2:$D$1001, 2, FALSE), "")</f>
        <v/>
      </c>
      <c r="F180" s="48">
        <f>IFERROR(VLOOKUP(TRIM(D180), Collection!$B$2:$D$1001, 3, FALSE), "")</f>
        <v/>
      </c>
      <c r="G180" s="48">
        <f>IFERROR(VALUE(SUBSTITUTE(SUBSTITUTE(F180, "Price", ""), "AED", "")), "")</f>
        <v/>
      </c>
      <c r="H180" s="45" t="inlineStr">
        <is>
          <t>Phone sales Middle East</t>
        </is>
      </c>
      <c r="I180" s="45" t="n">
        <v>93597721</v>
      </c>
      <c r="J180" s="45" t="inlineStr">
        <is>
          <t>Prospect</t>
        </is>
      </c>
      <c r="K180" s="45" t="inlineStr">
        <is>
          <t>TAHHAN Riham</t>
        </is>
      </c>
      <c r="L180" s="45" t="inlineStr">
        <is>
          <t xml:space="preserve"> </t>
        </is>
      </c>
      <c r="M180" s="45">
        <f>IF(COUNTIF($R$3:$R$100, D180) &gt; 0, TRUE, FALSE)</f>
        <v/>
      </c>
    </row>
    <row r="181" ht="31.2" customHeight="1" s="287">
      <c r="A181" s="45" t="inlineStr">
        <is>
          <t>Request</t>
        </is>
      </c>
      <c r="B181" s="45" t="inlineStr">
        <is>
          <t xml:space="preserve"> </t>
        </is>
      </c>
      <c r="C181" s="45" t="inlineStr">
        <is>
          <t>17/1/2025</t>
        </is>
      </c>
      <c r="D181" s="45" t="inlineStr">
        <is>
          <t>4520V/210A-B128</t>
        </is>
      </c>
      <c r="E181" s="45">
        <f>IFERROR(VLOOKUP(TRIM(D181), Collection!$B$2:$D$1001, 2, FALSE), "")</f>
        <v/>
      </c>
      <c r="F181" s="48">
        <f>IFERROR(VLOOKUP(TRIM(D181), Collection!$B$2:$D$1001, 3, FALSE), "")</f>
        <v/>
      </c>
      <c r="G181" s="48">
        <f>IFERROR(VALUE(SUBSTITUTE(SUBSTITUTE(F181, "Price", ""), "AED", "")), "")</f>
        <v/>
      </c>
      <c r="H181" s="45" t="inlineStr">
        <is>
          <t>Phone sales Middle East</t>
        </is>
      </c>
      <c r="I181" s="45" t="n">
        <v>103647896</v>
      </c>
      <c r="J181" s="45" t="inlineStr">
        <is>
          <t>Prospect</t>
        </is>
      </c>
      <c r="K181" s="45" t="inlineStr">
        <is>
          <t>TAHHAN Riham</t>
        </is>
      </c>
      <c r="L181" s="45" t="inlineStr">
        <is>
          <t xml:space="preserve"> </t>
        </is>
      </c>
      <c r="M181" s="45">
        <f>IF(COUNTIF($R$3:$R$100, D181) &gt; 0, TRUE, FALSE)</f>
        <v/>
      </c>
    </row>
    <row r="182" ht="31.2" customHeight="1" s="287">
      <c r="A182" s="45" t="inlineStr">
        <is>
          <t>Request</t>
        </is>
      </c>
      <c r="B182" s="45" t="inlineStr">
        <is>
          <t xml:space="preserve"> </t>
        </is>
      </c>
      <c r="C182" s="45" t="inlineStr">
        <is>
          <t>17/1/2025</t>
        </is>
      </c>
      <c r="D182" s="45" t="inlineStr">
        <is>
          <t>4200H/222A-B934</t>
        </is>
      </c>
      <c r="E182" s="45">
        <f>IFERROR(VLOOKUP(TRIM(D182), Collection!$B$2:$D$1001, 2, FALSE), "")</f>
        <v/>
      </c>
      <c r="F182" s="48">
        <f>IFERROR(VLOOKUP(TRIM(D182), Collection!$B$2:$D$1001, 3, FALSE), "")</f>
        <v/>
      </c>
      <c r="G182" s="48">
        <f>IFERROR(VALUE(SUBSTITUTE(SUBSTITUTE(F182, "Price", ""), "AED", "")), "")</f>
        <v/>
      </c>
      <c r="H182" s="45" t="inlineStr">
        <is>
          <t>Phone sales Middle East</t>
        </is>
      </c>
      <c r="I182" s="45" t="n">
        <v>103656438</v>
      </c>
      <c r="J182" s="45" t="inlineStr">
        <is>
          <t>Prospect</t>
        </is>
      </c>
      <c r="K182" s="45" t="inlineStr">
        <is>
          <t>TAHHAN Riham</t>
        </is>
      </c>
      <c r="L182" s="45" t="inlineStr">
        <is>
          <t xml:space="preserve"> </t>
        </is>
      </c>
      <c r="M182" s="45">
        <f>IF(COUNTIF($R$3:$R$100, D182) &gt; 0, TRUE, FALSE)</f>
        <v/>
      </c>
    </row>
    <row r="183" ht="31.2" customHeight="1" s="287">
      <c r="A183" s="45" t="inlineStr">
        <is>
          <t>Request</t>
        </is>
      </c>
      <c r="B183" s="45" t="inlineStr">
        <is>
          <t xml:space="preserve"> </t>
        </is>
      </c>
      <c r="C183" s="45" t="inlineStr">
        <is>
          <t>17/1/2025</t>
        </is>
      </c>
      <c r="D183" s="45" t="inlineStr">
        <is>
          <t>4200H/222A-B934</t>
        </is>
      </c>
      <c r="E183" s="45">
        <f>IFERROR(VLOOKUP(TRIM(D183), Collection!$B$2:$D$1001, 2, FALSE), "")</f>
        <v/>
      </c>
      <c r="F183" s="48">
        <f>IFERROR(VLOOKUP(TRIM(D183), Collection!$B$2:$D$1001, 3, FALSE), "")</f>
        <v/>
      </c>
      <c r="G183" s="48">
        <f>IFERROR(VALUE(SUBSTITUTE(SUBSTITUTE(F183, "Price", ""), "AED", "")), "")</f>
        <v/>
      </c>
      <c r="H183" s="45" t="inlineStr">
        <is>
          <t>Phone sales Middle East</t>
        </is>
      </c>
      <c r="I183" s="45" t="n">
        <v>103642399</v>
      </c>
      <c r="J183" s="45" t="inlineStr">
        <is>
          <t>Prospect</t>
        </is>
      </c>
      <c r="K183" s="45" t="inlineStr">
        <is>
          <t>OMARI Asma</t>
        </is>
      </c>
      <c r="L183" s="45" t="inlineStr">
        <is>
          <t>Kayed Hamad</t>
        </is>
      </c>
      <c r="M183" s="45">
        <f>IF(COUNTIF($R$3:$R$100, D183) &gt; 0, TRUE, FALSE)</f>
        <v/>
      </c>
    </row>
    <row r="184" ht="31.2" customHeight="1" s="287">
      <c r="A184" s="45" t="inlineStr">
        <is>
          <t>Request</t>
        </is>
      </c>
      <c r="B184" s="45" t="inlineStr">
        <is>
          <t xml:space="preserve"> </t>
        </is>
      </c>
      <c r="C184" s="45" t="inlineStr">
        <is>
          <t>17/1/2025</t>
        </is>
      </c>
      <c r="D184" s="45" t="inlineStr">
        <is>
          <t>4200H/222A-B934</t>
        </is>
      </c>
      <c r="E184" s="45">
        <f>IFERROR(VLOOKUP(TRIM(D184), Collection!$B$2:$D$1001, 2, FALSE), "")</f>
        <v/>
      </c>
      <c r="F184" s="48">
        <f>IFERROR(VLOOKUP(TRIM(D184), Collection!$B$2:$D$1001, 3, FALSE), "")</f>
        <v/>
      </c>
      <c r="G184" s="48">
        <f>IFERROR(VALUE(SUBSTITUTE(SUBSTITUTE(F184, "Price", ""), "AED", "")), "")</f>
        <v/>
      </c>
      <c r="H184" s="45" t="inlineStr">
        <is>
          <t>Phone sales Middle East</t>
        </is>
      </c>
      <c r="I184" s="45" t="n">
        <v>103646927</v>
      </c>
      <c r="J184" s="45" t="inlineStr">
        <is>
          <t>Prospect</t>
        </is>
      </c>
      <c r="K184" s="45" t="inlineStr">
        <is>
          <t>OMARI Asma</t>
        </is>
      </c>
      <c r="L184" s="45" t="inlineStr">
        <is>
          <t>Mr. Joshua Armstrong</t>
        </is>
      </c>
      <c r="M184" s="45">
        <f>IF(COUNTIF($R$3:$R$100, D184) &gt; 0, TRUE, FALSE)</f>
        <v/>
      </c>
    </row>
    <row r="185" ht="31.2" customHeight="1" s="287">
      <c r="A185" s="45" t="inlineStr">
        <is>
          <t>Request</t>
        </is>
      </c>
      <c r="B185" s="45" t="inlineStr">
        <is>
          <t xml:space="preserve"> </t>
        </is>
      </c>
      <c r="C185" s="45" t="inlineStr">
        <is>
          <t>17/1/2025</t>
        </is>
      </c>
      <c r="D185" s="45" t="inlineStr">
        <is>
          <t>4200H/222A-B934</t>
        </is>
      </c>
      <c r="E185" s="45">
        <f>IFERROR(VLOOKUP(TRIM(D185), Collection!$B$2:$D$1001, 2, FALSE), "")</f>
        <v/>
      </c>
      <c r="F185" s="48">
        <f>IFERROR(VLOOKUP(TRIM(D185), Collection!$B$2:$D$1001, 3, FALSE), "")</f>
        <v/>
      </c>
      <c r="G185" s="48">
        <f>IFERROR(VALUE(SUBSTITUTE(SUBSTITUTE(F185, "Price", ""), "AED", "")), "")</f>
        <v/>
      </c>
      <c r="H185" s="45" t="inlineStr">
        <is>
          <t>Phone sales Middle East</t>
        </is>
      </c>
      <c r="I185" s="45" t="n">
        <v>103642513</v>
      </c>
      <c r="J185" s="45" t="inlineStr">
        <is>
          <t>Prospect</t>
        </is>
      </c>
      <c r="K185" s="45" t="inlineStr">
        <is>
          <t>OMARI Asma</t>
        </is>
      </c>
      <c r="L185" s="45" t="inlineStr">
        <is>
          <t>Muhannad Al Shami</t>
        </is>
      </c>
      <c r="M185" s="45">
        <f>IF(COUNTIF($R$3:$R$100, D185) &gt; 0, TRUE, FALSE)</f>
        <v/>
      </c>
    </row>
    <row r="186" ht="31.2" customHeight="1" s="287">
      <c r="A186" s="45" t="inlineStr">
        <is>
          <t>Request</t>
        </is>
      </c>
      <c r="B186" s="45" t="inlineStr">
        <is>
          <t xml:space="preserve"> </t>
        </is>
      </c>
      <c r="C186" s="45" t="inlineStr">
        <is>
          <t>17/1/2025</t>
        </is>
      </c>
      <c r="D186" s="45" t="inlineStr">
        <is>
          <t>4200H/222A-B934</t>
        </is>
      </c>
      <c r="E186" s="45">
        <f>IFERROR(VLOOKUP(TRIM(D186), Collection!$B$2:$D$1001, 2, FALSE), "")</f>
        <v/>
      </c>
      <c r="F186" s="48">
        <f>IFERROR(VLOOKUP(TRIM(D186), Collection!$B$2:$D$1001, 3, FALSE), "")</f>
        <v/>
      </c>
      <c r="G186" s="48">
        <f>IFERROR(VALUE(SUBSTITUTE(SUBSTITUTE(F186, "Price", ""), "AED", "")), "")</f>
        <v/>
      </c>
      <c r="H186" s="45" t="inlineStr">
        <is>
          <t>Phone sales Middle East</t>
        </is>
      </c>
      <c r="I186" s="45" t="n">
        <v>91001822</v>
      </c>
      <c r="J186" s="45" t="inlineStr">
        <is>
          <t>Prospect</t>
        </is>
      </c>
      <c r="K186" s="45" t="inlineStr">
        <is>
          <t>OMARI Asma</t>
        </is>
      </c>
      <c r="L186" s="45" t="inlineStr">
        <is>
          <t>Abdullatif alharthi</t>
        </is>
      </c>
      <c r="M186" s="45">
        <f>IF(COUNTIF($R$3:$R$100, D186) &gt; 0, TRUE, FALSE)</f>
        <v/>
      </c>
    </row>
    <row r="187" ht="31.2" customHeight="1" s="287">
      <c r="A187" s="45" t="inlineStr">
        <is>
          <t>Request</t>
        </is>
      </c>
      <c r="B187" s="45" t="inlineStr">
        <is>
          <t xml:space="preserve"> </t>
        </is>
      </c>
      <c r="C187" s="45" t="inlineStr">
        <is>
          <t>17/1/2025</t>
        </is>
      </c>
      <c r="D187" s="45" t="inlineStr">
        <is>
          <t>4200H/222A-B934</t>
        </is>
      </c>
      <c r="E187" s="45">
        <f>IFERROR(VLOOKUP(TRIM(D187), Collection!$B$2:$D$1001, 2, FALSE), "")</f>
        <v/>
      </c>
      <c r="F187" s="48">
        <f>IFERROR(VLOOKUP(TRIM(D187), Collection!$B$2:$D$1001, 3, FALSE), "")</f>
        <v/>
      </c>
      <c r="G187" s="48">
        <f>IFERROR(VALUE(SUBSTITUTE(SUBSTITUTE(F187, "Price", ""), "AED", "")), "")</f>
        <v/>
      </c>
      <c r="H187" s="45" t="inlineStr">
        <is>
          <t>Phone sales Middle East</t>
        </is>
      </c>
      <c r="I187" s="45" t="n">
        <v>92399337</v>
      </c>
      <c r="J187" s="45" t="inlineStr">
        <is>
          <t>Prospect</t>
        </is>
      </c>
      <c r="K187" s="45" t="inlineStr">
        <is>
          <t>OMARI Asma</t>
        </is>
      </c>
      <c r="L187" s="45" t="inlineStr">
        <is>
          <t>Mr. Venu Madhav</t>
        </is>
      </c>
      <c r="M187" s="45">
        <f>IF(COUNTIF($R$3:$R$100, D187) &gt; 0, TRUE, FALSE)</f>
        <v/>
      </c>
    </row>
    <row r="188" ht="31.2" customHeight="1" s="287">
      <c r="A188" s="45" t="inlineStr">
        <is>
          <t>Request</t>
        </is>
      </c>
      <c r="B188" s="45" t="inlineStr">
        <is>
          <t xml:space="preserve"> </t>
        </is>
      </c>
      <c r="C188" s="45" t="inlineStr">
        <is>
          <t>17/1/2025</t>
        </is>
      </c>
      <c r="D188" s="45" t="inlineStr">
        <is>
          <t>4200H/222A-B934</t>
        </is>
      </c>
      <c r="E188" s="45">
        <f>IFERROR(VLOOKUP(TRIM(D188), Collection!$B$2:$D$1001, 2, FALSE), "")</f>
        <v/>
      </c>
      <c r="F188" s="48">
        <f>IFERROR(VLOOKUP(TRIM(D188), Collection!$B$2:$D$1001, 3, FALSE), "")</f>
        <v/>
      </c>
      <c r="G188" s="48">
        <f>IFERROR(VALUE(SUBSTITUTE(SUBSTITUTE(F188, "Price", ""), "AED", "")), "")</f>
        <v/>
      </c>
      <c r="H188" s="45" t="inlineStr">
        <is>
          <t>Phone sales Middle East</t>
        </is>
      </c>
      <c r="I188" s="45" t="n">
        <v>103657666</v>
      </c>
      <c r="J188" s="45" t="inlineStr">
        <is>
          <t>Prospect</t>
        </is>
      </c>
      <c r="K188" s="45" t="inlineStr">
        <is>
          <t>OMARI Asma</t>
        </is>
      </c>
      <c r="L188" s="45" t="inlineStr">
        <is>
          <t>Mr. Tim Renat</t>
        </is>
      </c>
      <c r="M188" s="45">
        <f>IF(COUNTIF($R$3:$R$100, D188) &gt; 0, TRUE, FALSE)</f>
        <v/>
      </c>
    </row>
    <row r="189" ht="46.95" customHeight="1" s="287">
      <c r="A189" s="45" t="inlineStr">
        <is>
          <t>Request</t>
        </is>
      </c>
      <c r="B189" s="45" t="inlineStr">
        <is>
          <t xml:space="preserve"> </t>
        </is>
      </c>
      <c r="C189" s="45" t="inlineStr">
        <is>
          <t>17/1/2025</t>
        </is>
      </c>
      <c r="D189" s="45" t="inlineStr">
        <is>
          <t>82035/000P-H063</t>
        </is>
      </c>
      <c r="E189" s="45">
        <f>IFERROR(VLOOKUP(TRIM(D189), Collection!$B$2:$D$1001, 2, FALSE), "")</f>
        <v/>
      </c>
      <c r="F189" s="48">
        <f>IFERROR(VLOOKUP(TRIM(D189), Collection!$B$2:$D$1001, 3, FALSE), "")</f>
        <v/>
      </c>
      <c r="G189" s="48">
        <f>IFERROR(VALUE(SUBSTITUTE(SUBSTITUTE(F189, "Price", ""), "AED", "")), "")</f>
        <v/>
      </c>
      <c r="H189" s="45" t="inlineStr">
        <is>
          <t>Phone sales Middle East</t>
        </is>
      </c>
      <c r="I189" s="45" t="n">
        <v>103660737</v>
      </c>
      <c r="J189" s="45" t="inlineStr">
        <is>
          <t>Prospect</t>
        </is>
      </c>
      <c r="K189" s="45" t="inlineStr">
        <is>
          <t>TAHHAN Riham</t>
        </is>
      </c>
      <c r="L189" s="45" t="inlineStr">
        <is>
          <t xml:space="preserve"> </t>
        </is>
      </c>
      <c r="M189" s="45">
        <f>IF(COUNTIF($R$3:$R$100, D189) &gt; 0, TRUE, FALSE)</f>
        <v/>
      </c>
    </row>
    <row r="190" ht="31.2" customHeight="1" s="287">
      <c r="A190" s="45" t="inlineStr">
        <is>
          <t>Request</t>
        </is>
      </c>
      <c r="B190" s="45" t="inlineStr">
        <is>
          <t xml:space="preserve"> </t>
        </is>
      </c>
      <c r="C190" s="45" t="inlineStr">
        <is>
          <t>17/1/2025</t>
        </is>
      </c>
      <c r="D190" s="45" t="inlineStr">
        <is>
          <t>4200H/222A-B934</t>
        </is>
      </c>
      <c r="E190" s="45">
        <f>IFERROR(VLOOKUP(TRIM(D190), Collection!$B$2:$D$1001, 2, FALSE), "")</f>
        <v/>
      </c>
      <c r="F190" s="48">
        <f>IFERROR(VLOOKUP(TRIM(D190), Collection!$B$2:$D$1001, 3, FALSE), "")</f>
        <v/>
      </c>
      <c r="G190" s="48">
        <f>IFERROR(VALUE(SUBSTITUTE(SUBSTITUTE(F190, "Price", ""), "AED", "")), "")</f>
        <v/>
      </c>
      <c r="H190" s="45" t="inlineStr">
        <is>
          <t>Phone sales Middle East</t>
        </is>
      </c>
      <c r="I190" s="45" t="n">
        <v>103660737</v>
      </c>
      <c r="J190" s="45" t="inlineStr">
        <is>
          <t>Prospect</t>
        </is>
      </c>
      <c r="K190" s="45" t="inlineStr">
        <is>
          <t>TAHHAN Riham</t>
        </is>
      </c>
      <c r="L190" s="45" t="inlineStr">
        <is>
          <t xml:space="preserve"> </t>
        </is>
      </c>
      <c r="M190" s="45">
        <f>IF(COUNTIF($R$3:$R$100, D190) &gt; 0, TRUE, FALSE)</f>
        <v/>
      </c>
    </row>
    <row r="191" ht="31.2" customHeight="1" s="287">
      <c r="A191" s="45" t="inlineStr">
        <is>
          <t>Request</t>
        </is>
      </c>
      <c r="B191" s="45" t="inlineStr">
        <is>
          <t xml:space="preserve"> </t>
        </is>
      </c>
      <c r="C191" s="45" t="inlineStr">
        <is>
          <t>17/1/2025</t>
        </is>
      </c>
      <c r="D191" s="45" t="inlineStr">
        <is>
          <t>4200H/222A-B934</t>
        </is>
      </c>
      <c r="E191" s="45">
        <f>IFERROR(VLOOKUP(TRIM(D191), Collection!$B$2:$D$1001, 2, FALSE), "")</f>
        <v/>
      </c>
      <c r="F191" s="48">
        <f>IFERROR(VLOOKUP(TRIM(D191), Collection!$B$2:$D$1001, 3, FALSE), "")</f>
        <v/>
      </c>
      <c r="G191" s="48">
        <f>IFERROR(VALUE(SUBSTITUTE(SUBSTITUTE(F191, "Price", ""), "AED", "")), "")</f>
        <v/>
      </c>
      <c r="H191" s="45" t="inlineStr">
        <is>
          <t>Phone sales Middle East</t>
        </is>
      </c>
      <c r="I191" s="45" t="n">
        <v>103648068</v>
      </c>
      <c r="J191" s="45" t="inlineStr">
        <is>
          <t>Prospect</t>
        </is>
      </c>
      <c r="K191" s="45" t="inlineStr">
        <is>
          <t>TAHHAN Riham</t>
        </is>
      </c>
      <c r="L191" s="45" t="inlineStr">
        <is>
          <t xml:space="preserve"> </t>
        </is>
      </c>
      <c r="M191" s="45">
        <f>IF(COUNTIF($R$3:$R$100, D191) &gt; 0, TRUE, FALSE)</f>
        <v/>
      </c>
    </row>
    <row r="192" ht="31.2" customHeight="1" s="287">
      <c r="A192" s="45" t="inlineStr">
        <is>
          <t>Request</t>
        </is>
      </c>
      <c r="B192" s="45" t="inlineStr">
        <is>
          <t xml:space="preserve"> </t>
        </is>
      </c>
      <c r="C192" s="45" t="inlineStr">
        <is>
          <t>17/1/2025</t>
        </is>
      </c>
      <c r="D192" s="45" t="inlineStr">
        <is>
          <t>4200H/222A-B934</t>
        </is>
      </c>
      <c r="E192" s="45">
        <f>IFERROR(VLOOKUP(TRIM(D192), Collection!$B$2:$D$1001, 2, FALSE), "")</f>
        <v/>
      </c>
      <c r="F192" s="48">
        <f>IFERROR(VLOOKUP(TRIM(D192), Collection!$B$2:$D$1001, 3, FALSE), "")</f>
        <v/>
      </c>
      <c r="G192" s="48">
        <f>IFERROR(VALUE(SUBSTITUTE(SUBSTITUTE(F192, "Price", ""), "AED", "")), "")</f>
        <v/>
      </c>
      <c r="H192" s="45" t="inlineStr">
        <is>
          <t>Phone sales Middle East</t>
        </is>
      </c>
      <c r="I192" s="45" t="n">
        <v>103631693</v>
      </c>
      <c r="J192" s="45" t="inlineStr">
        <is>
          <t>Prospect</t>
        </is>
      </c>
      <c r="K192" s="45" t="inlineStr">
        <is>
          <t>TAHHAN Riham</t>
        </is>
      </c>
      <c r="L192" s="45" t="inlineStr">
        <is>
          <t xml:space="preserve"> </t>
        </is>
      </c>
      <c r="M192" s="45">
        <f>IF(COUNTIF($R$3:$R$100, D192) &gt; 0, TRUE, FALSE)</f>
        <v/>
      </c>
    </row>
    <row r="193" ht="31.2" customHeight="1" s="287">
      <c r="A193" s="45" t="inlineStr">
        <is>
          <t>Request</t>
        </is>
      </c>
      <c r="B193" s="45" t="inlineStr">
        <is>
          <t xml:space="preserve"> </t>
        </is>
      </c>
      <c r="C193" s="45" t="inlineStr">
        <is>
          <t>17/1/2025</t>
        </is>
      </c>
      <c r="D193" s="45" t="inlineStr">
        <is>
          <t>4200H/222A-B934</t>
        </is>
      </c>
      <c r="E193" s="45">
        <f>IFERROR(VLOOKUP(TRIM(D193), Collection!$B$2:$D$1001, 2, FALSE), "")</f>
        <v/>
      </c>
      <c r="F193" s="48">
        <f>IFERROR(VLOOKUP(TRIM(D193), Collection!$B$2:$D$1001, 3, FALSE), "")</f>
        <v/>
      </c>
      <c r="G193" s="48">
        <f>IFERROR(VALUE(SUBSTITUTE(SUBSTITUTE(F193, "Price", ""), "AED", "")), "")</f>
        <v/>
      </c>
      <c r="H193" s="45" t="inlineStr">
        <is>
          <t>Phone sales Middle East</t>
        </is>
      </c>
      <c r="I193" s="45" t="n">
        <v>103616253</v>
      </c>
      <c r="J193" s="45" t="inlineStr">
        <is>
          <t>Prospect</t>
        </is>
      </c>
      <c r="K193" s="45" t="inlineStr">
        <is>
          <t>SHARIF Maaz</t>
        </is>
      </c>
      <c r="L193" s="45" t="inlineStr">
        <is>
          <t xml:space="preserve"> </t>
        </is>
      </c>
      <c r="M193" s="45">
        <f>IF(COUNTIF($R$3:$R$100, D193) &gt; 0, TRUE, FALSE)</f>
        <v/>
      </c>
    </row>
    <row r="194" ht="31.2" customHeight="1" s="287">
      <c r="A194" s="45" t="inlineStr">
        <is>
          <t>Request</t>
        </is>
      </c>
      <c r="B194" s="45" t="inlineStr">
        <is>
          <t xml:space="preserve"> </t>
        </is>
      </c>
      <c r="C194" s="45" t="inlineStr">
        <is>
          <t>17/1/2025</t>
        </is>
      </c>
      <c r="D194" s="45" t="inlineStr">
        <is>
          <t>4200H/222A-B934</t>
        </is>
      </c>
      <c r="E194" s="45">
        <f>IFERROR(VLOOKUP(TRIM(D194), Collection!$B$2:$D$1001, 2, FALSE), "")</f>
        <v/>
      </c>
      <c r="F194" s="48">
        <f>IFERROR(VLOOKUP(TRIM(D194), Collection!$B$2:$D$1001, 3, FALSE), "")</f>
        <v/>
      </c>
      <c r="G194" s="48">
        <f>IFERROR(VALUE(SUBSTITUTE(SUBSTITUTE(F194, "Price", ""), "AED", "")), "")</f>
        <v/>
      </c>
      <c r="H194" s="45" t="inlineStr">
        <is>
          <t>Phone sales Middle East</t>
        </is>
      </c>
      <c r="I194" s="45" t="n">
        <v>92404856</v>
      </c>
      <c r="J194" s="45" t="inlineStr">
        <is>
          <t>Prospect</t>
        </is>
      </c>
      <c r="K194" s="45" t="inlineStr">
        <is>
          <t>SHARIF Maaz</t>
        </is>
      </c>
      <c r="L194" s="45" t="inlineStr">
        <is>
          <t xml:space="preserve"> </t>
        </is>
      </c>
      <c r="M194" s="45">
        <f>IF(COUNTIF($R$3:$R$100, D194) &gt; 0, TRUE, FALSE)</f>
        <v/>
      </c>
    </row>
    <row r="195" ht="31.2" customHeight="1" s="287">
      <c r="A195" s="45" t="inlineStr">
        <is>
          <t>Request</t>
        </is>
      </c>
      <c r="B195" s="45" t="inlineStr">
        <is>
          <t xml:space="preserve"> </t>
        </is>
      </c>
      <c r="C195" s="45" t="inlineStr">
        <is>
          <t>17/1/2025</t>
        </is>
      </c>
      <c r="D195" s="45" t="inlineStr">
        <is>
          <t>4200H/222A-B934</t>
        </is>
      </c>
      <c r="E195" s="45">
        <f>IFERROR(VLOOKUP(TRIM(D195), Collection!$B$2:$D$1001, 2, FALSE), "")</f>
        <v/>
      </c>
      <c r="F195" s="48">
        <f>IFERROR(VLOOKUP(TRIM(D195), Collection!$B$2:$D$1001, 3, FALSE), "")</f>
        <v/>
      </c>
      <c r="G195" s="48">
        <f>IFERROR(VALUE(SUBSTITUTE(SUBSTITUTE(F195, "Price", ""), "AED", "")), "")</f>
        <v/>
      </c>
      <c r="H195" s="45" t="inlineStr">
        <is>
          <t>Phone sales Middle East</t>
        </is>
      </c>
      <c r="I195" s="45" t="n">
        <v>103658184</v>
      </c>
      <c r="J195" s="45" t="inlineStr">
        <is>
          <t>Prospect</t>
        </is>
      </c>
      <c r="K195" s="45" t="inlineStr">
        <is>
          <t>SHARIF Maaz</t>
        </is>
      </c>
      <c r="L195" s="45" t="inlineStr">
        <is>
          <t xml:space="preserve"> </t>
        </is>
      </c>
      <c r="M195" s="45">
        <f>IF(COUNTIF($R$3:$R$100, D195) &gt; 0, TRUE, FALSE)</f>
        <v/>
      </c>
    </row>
    <row r="196" ht="31.2" customHeight="1" s="287">
      <c r="A196" s="45" t="inlineStr">
        <is>
          <t>Request</t>
        </is>
      </c>
      <c r="B196" s="45" t="inlineStr">
        <is>
          <t xml:space="preserve"> </t>
        </is>
      </c>
      <c r="C196" s="45" t="inlineStr">
        <is>
          <t>17/1/2025</t>
        </is>
      </c>
      <c r="D196" s="45" t="inlineStr">
        <is>
          <t>4200H/222A-B934</t>
        </is>
      </c>
      <c r="E196" s="45">
        <f>IFERROR(VLOOKUP(TRIM(D196), Collection!$B$2:$D$1001, 2, FALSE), "")</f>
        <v/>
      </c>
      <c r="F196" s="48">
        <f>IFERROR(VLOOKUP(TRIM(D196), Collection!$B$2:$D$1001, 3, FALSE), "")</f>
        <v/>
      </c>
      <c r="G196" s="48">
        <f>IFERROR(VALUE(SUBSTITUTE(SUBSTITUTE(F196, "Price", ""), "AED", "")), "")</f>
        <v/>
      </c>
      <c r="H196" s="45" t="inlineStr">
        <is>
          <t>Phone sales Middle East</t>
        </is>
      </c>
      <c r="I196" s="45" t="n">
        <v>100481133</v>
      </c>
      <c r="J196" s="45" t="inlineStr">
        <is>
          <t>VIC</t>
        </is>
      </c>
      <c r="K196" s="45" t="inlineStr">
        <is>
          <t>SHARIF Maaz</t>
        </is>
      </c>
      <c r="L196" s="45" t="n"/>
      <c r="M196" s="45">
        <f>IF(COUNTIF($R$3:$R$100, D196) &gt; 0, TRUE, FALSE)</f>
        <v/>
      </c>
    </row>
    <row r="197" ht="31.2" customHeight="1" s="287">
      <c r="A197" s="45" t="inlineStr">
        <is>
          <t>Request</t>
        </is>
      </c>
      <c r="B197" s="45" t="inlineStr">
        <is>
          <t xml:space="preserve"> </t>
        </is>
      </c>
      <c r="C197" s="45" t="inlineStr">
        <is>
          <t>16/1/2025</t>
        </is>
      </c>
      <c r="D197" s="45" t="inlineStr">
        <is>
          <t>4200H/222A-B934</t>
        </is>
      </c>
      <c r="E197" s="45">
        <f>IFERROR(VLOOKUP(TRIM(D197), Collection!$B$2:$D$1001, 2, FALSE), "")</f>
        <v/>
      </c>
      <c r="F197" s="48">
        <f>IFERROR(VLOOKUP(TRIM(D197), Collection!$B$2:$D$1001, 3, FALSE), "")</f>
        <v/>
      </c>
      <c r="G197" s="48">
        <f>IFERROR(VALUE(SUBSTITUTE(SUBSTITUTE(F197, "Price", ""), "AED", "")), "")</f>
        <v/>
      </c>
      <c r="H197" s="45" t="inlineStr">
        <is>
          <t>Phone sales Middle East</t>
        </is>
      </c>
      <c r="I197" s="45" t="n">
        <v>103633978</v>
      </c>
      <c r="J197" s="45" t="inlineStr">
        <is>
          <t>Prospect</t>
        </is>
      </c>
      <c r="K197" s="45" t="inlineStr">
        <is>
          <t>TAHHAN Riham</t>
        </is>
      </c>
      <c r="L197" s="45" t="inlineStr">
        <is>
          <t xml:space="preserve"> </t>
        </is>
      </c>
      <c r="M197" s="45">
        <f>IF(COUNTIF($R$3:$R$100, D197) &gt; 0, TRUE, FALSE)</f>
        <v/>
      </c>
    </row>
    <row r="198" ht="31.2" customHeight="1" s="287">
      <c r="A198" s="45" t="inlineStr">
        <is>
          <t>Request</t>
        </is>
      </c>
      <c r="B198" s="45" t="inlineStr">
        <is>
          <t xml:space="preserve"> </t>
        </is>
      </c>
      <c r="C198" s="45" t="inlineStr">
        <is>
          <t>16/1/2025</t>
        </is>
      </c>
      <c r="D198" s="45" t="inlineStr">
        <is>
          <t>4200H/222A-B934</t>
        </is>
      </c>
      <c r="E198" s="45">
        <f>IFERROR(VLOOKUP(TRIM(D198), Collection!$B$2:$D$1001, 2, FALSE), "")</f>
        <v/>
      </c>
      <c r="F198" s="48">
        <f>IFERROR(VLOOKUP(TRIM(D198), Collection!$B$2:$D$1001, 3, FALSE), "")</f>
        <v/>
      </c>
      <c r="G198" s="48">
        <f>IFERROR(VALUE(SUBSTITUTE(SUBSTITUTE(F198, "Price", ""), "AED", "")), "")</f>
        <v/>
      </c>
      <c r="H198" s="45" t="inlineStr">
        <is>
          <t>Phone sales Middle East</t>
        </is>
      </c>
      <c r="I198" s="45" t="n">
        <v>103632517</v>
      </c>
      <c r="J198" s="45" t="inlineStr">
        <is>
          <t>Prospect</t>
        </is>
      </c>
      <c r="K198" s="45" t="inlineStr">
        <is>
          <t>TAHHAN Riham</t>
        </is>
      </c>
      <c r="L198" s="45" t="inlineStr">
        <is>
          <t xml:space="preserve"> </t>
        </is>
      </c>
      <c r="M198" s="45">
        <f>IF(COUNTIF($R$3:$R$100, D198) &gt; 0, TRUE, FALSE)</f>
        <v/>
      </c>
    </row>
    <row r="199" ht="46.95" customHeight="1" s="287">
      <c r="A199" s="45" t="inlineStr">
        <is>
          <t>Request</t>
        </is>
      </c>
      <c r="B199" s="45" t="inlineStr">
        <is>
          <t xml:space="preserve"> </t>
        </is>
      </c>
      <c r="C199" s="45" t="inlineStr">
        <is>
          <t>16/1/2025</t>
        </is>
      </c>
      <c r="D199" s="45" t="inlineStr">
        <is>
          <t>4200H/222A-B934</t>
        </is>
      </c>
      <c r="E199" s="45">
        <f>IFERROR(VLOOKUP(TRIM(D199), Collection!$B$2:$D$1001, 2, FALSE), "")</f>
        <v/>
      </c>
      <c r="F199" s="48">
        <f>IFERROR(VLOOKUP(TRIM(D199), Collection!$B$2:$D$1001, 3, FALSE), "")</f>
        <v/>
      </c>
      <c r="G199" s="48">
        <f>IFERROR(VALUE(SUBSTITUTE(SUBSTITUTE(F199, "Price", ""), "AED", "")), "")</f>
        <v/>
      </c>
      <c r="H199" s="45" t="inlineStr">
        <is>
          <t>Phone sales Middle East</t>
        </is>
      </c>
      <c r="I199" s="45" t="n">
        <v>100432455</v>
      </c>
      <c r="J199" s="45" t="inlineStr">
        <is>
          <t>Prospect</t>
        </is>
      </c>
      <c r="K199" s="45" t="inlineStr">
        <is>
          <t>OMARI Asma</t>
        </is>
      </c>
      <c r="L199" s="45" t="inlineStr">
        <is>
          <t>Mr. Siddhant Sabbarwal (uae located in India)</t>
        </is>
      </c>
      <c r="M199" s="45">
        <f>IF(COUNTIF($R$3:$R$100, D199) &gt; 0, TRUE, FALSE)</f>
        <v/>
      </c>
    </row>
    <row r="200" ht="31.2" customHeight="1" s="287">
      <c r="A200" s="45" t="inlineStr">
        <is>
          <t>Request</t>
        </is>
      </c>
      <c r="B200" s="45" t="inlineStr">
        <is>
          <t xml:space="preserve"> </t>
        </is>
      </c>
      <c r="C200" s="45" t="inlineStr">
        <is>
          <t>16/1/2025</t>
        </is>
      </c>
      <c r="D200" s="45" t="inlineStr">
        <is>
          <t>4200H/222A-B934</t>
        </is>
      </c>
      <c r="E200" s="45">
        <f>IFERROR(VLOOKUP(TRIM(D200), Collection!$B$2:$D$1001, 2, FALSE), "")</f>
        <v/>
      </c>
      <c r="F200" s="48">
        <f>IFERROR(VLOOKUP(TRIM(D200), Collection!$B$2:$D$1001, 3, FALSE), "")</f>
        <v/>
      </c>
      <c r="G200" s="48">
        <f>IFERROR(VALUE(SUBSTITUTE(SUBSTITUTE(F200, "Price", ""), "AED", "")), "")</f>
        <v/>
      </c>
      <c r="H200" s="45" t="inlineStr">
        <is>
          <t>Phone sales Middle East</t>
        </is>
      </c>
      <c r="I200" s="45" t="n">
        <v>103634169</v>
      </c>
      <c r="J200" s="45" t="inlineStr">
        <is>
          <t>Prospect</t>
        </is>
      </c>
      <c r="K200" s="45" t="inlineStr">
        <is>
          <t>TAHHAN Riham</t>
        </is>
      </c>
      <c r="L200" s="45" t="inlineStr">
        <is>
          <t xml:space="preserve"> </t>
        </is>
      </c>
      <c r="M200" s="45">
        <f>IF(COUNTIF($R$3:$R$100, D200) &gt; 0, TRUE, FALSE)</f>
        <v/>
      </c>
    </row>
    <row r="201" ht="31.2" customHeight="1" s="287">
      <c r="A201" s="45" t="inlineStr">
        <is>
          <t>Request</t>
        </is>
      </c>
      <c r="B201" s="45" t="inlineStr">
        <is>
          <t xml:space="preserve"> </t>
        </is>
      </c>
      <c r="C201" s="45" t="inlineStr">
        <is>
          <t>16/1/2025</t>
        </is>
      </c>
      <c r="D201" s="45" t="inlineStr">
        <is>
          <t>4200H/222A-B934</t>
        </is>
      </c>
      <c r="E201" s="45">
        <f>IFERROR(VLOOKUP(TRIM(D201), Collection!$B$2:$D$1001, 2, FALSE), "")</f>
        <v/>
      </c>
      <c r="F201" s="48">
        <f>IFERROR(VLOOKUP(TRIM(D201), Collection!$B$2:$D$1001, 3, FALSE), "")</f>
        <v/>
      </c>
      <c r="G201" s="48">
        <f>IFERROR(VALUE(SUBSTITUTE(SUBSTITUTE(F201, "Price", ""), "AED", "")), "")</f>
        <v/>
      </c>
      <c r="H201" s="45" t="inlineStr">
        <is>
          <t>Phone sales Middle East</t>
        </is>
      </c>
      <c r="I201" s="45" t="n">
        <v>103634472</v>
      </c>
      <c r="J201" s="45" t="inlineStr">
        <is>
          <t>Prospect</t>
        </is>
      </c>
      <c r="K201" s="45" t="inlineStr">
        <is>
          <t>TAHHAN Riham</t>
        </is>
      </c>
      <c r="L201" s="45" t="inlineStr">
        <is>
          <t xml:space="preserve"> </t>
        </is>
      </c>
      <c r="M201" s="45">
        <f>IF(COUNTIF($R$3:$R$100, D201) &gt; 0, TRUE, FALSE)</f>
        <v/>
      </c>
    </row>
    <row r="202" ht="31.2" customHeight="1" s="287">
      <c r="A202" s="45" t="inlineStr">
        <is>
          <t>Request</t>
        </is>
      </c>
      <c r="B202" s="45" t="inlineStr">
        <is>
          <t xml:space="preserve"> </t>
        </is>
      </c>
      <c r="C202" s="45" t="inlineStr">
        <is>
          <t>16/1/2025</t>
        </is>
      </c>
      <c r="D202" s="45" t="inlineStr">
        <is>
          <t>4200H/222A-B934</t>
        </is>
      </c>
      <c r="E202" s="45">
        <f>IFERROR(VLOOKUP(TRIM(D202), Collection!$B$2:$D$1001, 2, FALSE), "")</f>
        <v/>
      </c>
      <c r="F202" s="48">
        <f>IFERROR(VLOOKUP(TRIM(D202), Collection!$B$2:$D$1001, 3, FALSE), "")</f>
        <v/>
      </c>
      <c r="G202" s="48">
        <f>IFERROR(VALUE(SUBSTITUTE(SUBSTITUTE(F202, "Price", ""), "AED", "")), "")</f>
        <v/>
      </c>
      <c r="H202" s="45" t="inlineStr">
        <is>
          <t>Phone sales Middle East</t>
        </is>
      </c>
      <c r="I202" s="45" t="n">
        <v>103634611</v>
      </c>
      <c r="J202" s="45" t="inlineStr">
        <is>
          <t>Prospect</t>
        </is>
      </c>
      <c r="K202" s="45" t="inlineStr">
        <is>
          <t>TAHHAN Riham</t>
        </is>
      </c>
      <c r="L202" s="45" t="inlineStr">
        <is>
          <t xml:space="preserve"> </t>
        </is>
      </c>
      <c r="M202" s="45">
        <f>IF(COUNTIF($R$3:$R$100, D202) &gt; 0, TRUE, FALSE)</f>
        <v/>
      </c>
    </row>
    <row r="203" ht="31.2" customHeight="1" s="287">
      <c r="A203" s="45" t="inlineStr">
        <is>
          <t>Request</t>
        </is>
      </c>
      <c r="B203" s="45" t="inlineStr">
        <is>
          <t xml:space="preserve"> </t>
        </is>
      </c>
      <c r="C203" s="45" t="inlineStr">
        <is>
          <t>16/1/2025</t>
        </is>
      </c>
      <c r="D203" s="45" t="inlineStr">
        <is>
          <t>4200H/222A-B934</t>
        </is>
      </c>
      <c r="E203" s="45">
        <f>IFERROR(VLOOKUP(TRIM(D203), Collection!$B$2:$D$1001, 2, FALSE), "")</f>
        <v/>
      </c>
      <c r="F203" s="48">
        <f>IFERROR(VLOOKUP(TRIM(D203), Collection!$B$2:$D$1001, 3, FALSE), "")</f>
        <v/>
      </c>
      <c r="G203" s="48">
        <f>IFERROR(VALUE(SUBSTITUTE(SUBSTITUTE(F203, "Price", ""), "AED", "")), "")</f>
        <v/>
      </c>
      <c r="H203" s="45" t="inlineStr">
        <is>
          <t>Phone sales Middle East</t>
        </is>
      </c>
      <c r="I203" s="45" t="n">
        <v>103632652</v>
      </c>
      <c r="J203" s="45" t="inlineStr">
        <is>
          <t>Prospect</t>
        </is>
      </c>
      <c r="K203" s="45" t="inlineStr">
        <is>
          <t>TAHHAN Riham</t>
        </is>
      </c>
      <c r="L203" s="45" t="inlineStr">
        <is>
          <t xml:space="preserve"> </t>
        </is>
      </c>
      <c r="M203" s="45">
        <f>IF(COUNTIF($R$3:$R$100, D203) &gt; 0, TRUE, FALSE)</f>
        <v/>
      </c>
    </row>
    <row r="204" ht="31.2" customHeight="1" s="287">
      <c r="A204" s="45" t="inlineStr">
        <is>
          <t>Request</t>
        </is>
      </c>
      <c r="B204" s="45" t="inlineStr">
        <is>
          <t xml:space="preserve"> </t>
        </is>
      </c>
      <c r="C204" s="45" t="inlineStr">
        <is>
          <t>16/1/2025</t>
        </is>
      </c>
      <c r="D204" s="45" t="inlineStr">
        <is>
          <t>4200H/222A-B934</t>
        </is>
      </c>
      <c r="E204" s="45">
        <f>IFERROR(VLOOKUP(TRIM(D204), Collection!$B$2:$D$1001, 2, FALSE), "")</f>
        <v/>
      </c>
      <c r="F204" s="48">
        <f>IFERROR(VLOOKUP(TRIM(D204), Collection!$B$2:$D$1001, 3, FALSE), "")</f>
        <v/>
      </c>
      <c r="G204" s="48">
        <f>IFERROR(VALUE(SUBSTITUTE(SUBSTITUTE(F204, "Price", ""), "AED", "")), "")</f>
        <v/>
      </c>
      <c r="H204" s="45" t="inlineStr">
        <is>
          <t>Phone sales Middle East</t>
        </is>
      </c>
      <c r="I204" s="45" t="n">
        <v>103642113</v>
      </c>
      <c r="J204" s="45" t="inlineStr">
        <is>
          <t>Prospect</t>
        </is>
      </c>
      <c r="K204" s="45" t="inlineStr">
        <is>
          <t>SHARIF Maaz</t>
        </is>
      </c>
      <c r="L204" s="45" t="inlineStr">
        <is>
          <t>the client is very interested</t>
        </is>
      </c>
      <c r="M204" s="45">
        <f>IF(COUNTIF($R$3:$R$100, D204) &gt; 0, TRUE, FALSE)</f>
        <v/>
      </c>
    </row>
    <row r="205" ht="31.2" customHeight="1" s="287">
      <c r="A205" s="45" t="inlineStr">
        <is>
          <t>Request</t>
        </is>
      </c>
      <c r="B205" s="45" t="inlineStr">
        <is>
          <t xml:space="preserve"> </t>
        </is>
      </c>
      <c r="C205" s="45" t="inlineStr">
        <is>
          <t>16/1/2025</t>
        </is>
      </c>
      <c r="D205" s="45" t="inlineStr">
        <is>
          <t>4200H/222A-B934</t>
        </is>
      </c>
      <c r="E205" s="45">
        <f>IFERROR(VLOOKUP(TRIM(D205), Collection!$B$2:$D$1001, 2, FALSE), "")</f>
        <v/>
      </c>
      <c r="F205" s="48">
        <f>IFERROR(VLOOKUP(TRIM(D205), Collection!$B$2:$D$1001, 3, FALSE), "")</f>
        <v/>
      </c>
      <c r="G205" s="48">
        <f>IFERROR(VALUE(SUBSTITUTE(SUBSTITUTE(F205, "Price", ""), "AED", "")), "")</f>
        <v/>
      </c>
      <c r="H205" s="45" t="inlineStr">
        <is>
          <t>Phone sales Middle East</t>
        </is>
      </c>
      <c r="I205" s="45" t="n">
        <v>98199321</v>
      </c>
      <c r="J205" s="45" t="inlineStr">
        <is>
          <t>VVIC</t>
        </is>
      </c>
      <c r="K205" s="45" t="inlineStr">
        <is>
          <t>SHARIF Maaz</t>
        </is>
      </c>
      <c r="L205" s="45" t="inlineStr">
        <is>
          <t>the client already purchased the b128</t>
        </is>
      </c>
      <c r="M205" s="45">
        <f>IF(COUNTIF($R$3:$R$100, D205) &gt; 0, TRUE, FALSE)</f>
        <v/>
      </c>
    </row>
    <row r="206" ht="31.2" customHeight="1" s="287">
      <c r="A206" s="45" t="inlineStr">
        <is>
          <t>Request</t>
        </is>
      </c>
      <c r="B206" s="45" t="inlineStr">
        <is>
          <t xml:space="preserve"> </t>
        </is>
      </c>
      <c r="C206" s="45" t="inlineStr">
        <is>
          <t>16/1/2025</t>
        </is>
      </c>
      <c r="D206" s="45" t="inlineStr">
        <is>
          <t>4200H/222A-B934</t>
        </is>
      </c>
      <c r="E206" s="45">
        <f>IFERROR(VLOOKUP(TRIM(D206), Collection!$B$2:$D$1001, 2, FALSE), "")</f>
        <v/>
      </c>
      <c r="F206" s="48">
        <f>IFERROR(VLOOKUP(TRIM(D206), Collection!$B$2:$D$1001, 3, FALSE), "")</f>
        <v/>
      </c>
      <c r="G206" s="48">
        <f>IFERROR(VALUE(SUBSTITUTE(SUBSTITUTE(F206, "Price", ""), "AED", "")), "")</f>
        <v/>
      </c>
      <c r="H206" s="45" t="inlineStr">
        <is>
          <t>Phone sales Middle East</t>
        </is>
      </c>
      <c r="I206" s="45" t="n">
        <v>92397711</v>
      </c>
      <c r="J206" s="45" t="inlineStr">
        <is>
          <t>VIC</t>
        </is>
      </c>
      <c r="K206" s="45" t="inlineStr">
        <is>
          <t>SHARIF Maaz</t>
        </is>
      </c>
      <c r="L206" s="45" t="n"/>
      <c r="M206" s="45">
        <f>IF(COUNTIF($R$3:$R$100, D206) &gt; 0, TRUE, FALSE)</f>
        <v/>
      </c>
    </row>
    <row r="207" ht="31.2" customHeight="1" s="287">
      <c r="A207" s="45" t="inlineStr">
        <is>
          <t>Request</t>
        </is>
      </c>
      <c r="B207" s="45" t="inlineStr">
        <is>
          <t xml:space="preserve"> </t>
        </is>
      </c>
      <c r="C207" s="45" t="inlineStr">
        <is>
          <t>16/1/2025</t>
        </is>
      </c>
      <c r="D207" s="45" t="inlineStr">
        <is>
          <t>4200H/222A-B934</t>
        </is>
      </c>
      <c r="E207" s="45">
        <f>IFERROR(VLOOKUP(TRIM(D207), Collection!$B$2:$D$1001, 2, FALSE), "")</f>
        <v/>
      </c>
      <c r="F207" s="48">
        <f>IFERROR(VLOOKUP(TRIM(D207), Collection!$B$2:$D$1001, 3, FALSE), "")</f>
        <v/>
      </c>
      <c r="G207" s="48">
        <f>IFERROR(VALUE(SUBSTITUTE(SUBSTITUTE(F207, "Price", ""), "AED", "")), "")</f>
        <v/>
      </c>
      <c r="H207" s="45" t="inlineStr">
        <is>
          <t>Phone sales Middle East</t>
        </is>
      </c>
      <c r="I207" s="45" t="n">
        <v>103645755</v>
      </c>
      <c r="J207" s="45" t="inlineStr">
        <is>
          <t>Prospect</t>
        </is>
      </c>
      <c r="K207" s="45" t="inlineStr">
        <is>
          <t>TAHHAN Riham</t>
        </is>
      </c>
      <c r="L207" s="45" t="inlineStr">
        <is>
          <t xml:space="preserve"> </t>
        </is>
      </c>
      <c r="M207" s="45">
        <f>IF(COUNTIF($R$3:$R$100, D207) &gt; 0, TRUE, FALSE)</f>
        <v/>
      </c>
    </row>
    <row r="208" ht="31.2" customHeight="1" s="287">
      <c r="A208" s="45" t="inlineStr">
        <is>
          <t>Request</t>
        </is>
      </c>
      <c r="B208" s="45" t="inlineStr">
        <is>
          <t xml:space="preserve"> </t>
        </is>
      </c>
      <c r="C208" s="45" t="inlineStr">
        <is>
          <t>16/1/2025</t>
        </is>
      </c>
      <c r="D208" s="45" t="inlineStr">
        <is>
          <t>4200H/222A-B934</t>
        </is>
      </c>
      <c r="E208" s="45">
        <f>IFERROR(VLOOKUP(TRIM(D208), Collection!$B$2:$D$1001, 2, FALSE), "")</f>
        <v/>
      </c>
      <c r="F208" s="48">
        <f>IFERROR(VLOOKUP(TRIM(D208), Collection!$B$2:$D$1001, 3, FALSE), "")</f>
        <v/>
      </c>
      <c r="G208" s="48">
        <f>IFERROR(VALUE(SUBSTITUTE(SUBSTITUTE(F208, "Price", ""), "AED", "")), "")</f>
        <v/>
      </c>
      <c r="H208" s="45" t="inlineStr">
        <is>
          <t>Phone sales Middle East</t>
        </is>
      </c>
      <c r="I208" s="45" t="n">
        <v>92410153</v>
      </c>
      <c r="J208" s="45" t="inlineStr">
        <is>
          <t>Prospect</t>
        </is>
      </c>
      <c r="K208" s="45" t="inlineStr">
        <is>
          <t>TAHHAN Riham</t>
        </is>
      </c>
      <c r="L208" s="45" t="inlineStr">
        <is>
          <t xml:space="preserve"> </t>
        </is>
      </c>
      <c r="M208" s="45">
        <f>IF(COUNTIF($R$3:$R$100, D208) &gt; 0, TRUE, FALSE)</f>
        <v/>
      </c>
    </row>
    <row r="209" ht="31.2" customHeight="1" s="287">
      <c r="A209" s="45" t="inlineStr">
        <is>
          <t>Request</t>
        </is>
      </c>
      <c r="B209" s="45" t="inlineStr">
        <is>
          <t xml:space="preserve"> </t>
        </is>
      </c>
      <c r="C209" s="45" t="inlineStr">
        <is>
          <t>16/1/2025</t>
        </is>
      </c>
      <c r="D209" s="45" t="inlineStr">
        <is>
          <t>4200H/222A-B934</t>
        </is>
      </c>
      <c r="E209" s="45">
        <f>IFERROR(VLOOKUP(TRIM(D209), Collection!$B$2:$D$1001, 2, FALSE), "")</f>
        <v/>
      </c>
      <c r="F209" s="48">
        <f>IFERROR(VLOOKUP(TRIM(D209), Collection!$B$2:$D$1001, 3, FALSE), "")</f>
        <v/>
      </c>
      <c r="G209" s="48">
        <f>IFERROR(VALUE(SUBSTITUTE(SUBSTITUTE(F209, "Price", ""), "AED", "")), "")</f>
        <v/>
      </c>
      <c r="H209" s="45" t="inlineStr">
        <is>
          <t>Phone sales Middle East</t>
        </is>
      </c>
      <c r="I209" s="45" t="n">
        <v>92406326</v>
      </c>
      <c r="J209" s="45" t="inlineStr">
        <is>
          <t>Prospect</t>
        </is>
      </c>
      <c r="K209" s="45" t="inlineStr">
        <is>
          <t>TAHHAN Riham</t>
        </is>
      </c>
      <c r="L209" s="45" t="inlineStr">
        <is>
          <t xml:space="preserve"> </t>
        </is>
      </c>
      <c r="M209" s="45">
        <f>IF(COUNTIF($R$3:$R$100, D209) &gt; 0, TRUE, FALSE)</f>
        <v/>
      </c>
    </row>
    <row r="210" ht="31.2" customHeight="1" s="287">
      <c r="A210" s="45" t="inlineStr">
        <is>
          <t>Request</t>
        </is>
      </c>
      <c r="B210" s="45" t="inlineStr">
        <is>
          <t xml:space="preserve"> </t>
        </is>
      </c>
      <c r="C210" s="45" t="inlineStr">
        <is>
          <t>16/1/2025</t>
        </is>
      </c>
      <c r="D210" s="45" t="inlineStr">
        <is>
          <t>4200H/222A-B934</t>
        </is>
      </c>
      <c r="E210" s="45">
        <f>IFERROR(VLOOKUP(TRIM(D210), Collection!$B$2:$D$1001, 2, FALSE), "")</f>
        <v/>
      </c>
      <c r="F210" s="48">
        <f>IFERROR(VLOOKUP(TRIM(D210), Collection!$B$2:$D$1001, 3, FALSE), "")</f>
        <v/>
      </c>
      <c r="G210" s="48">
        <f>IFERROR(VALUE(SUBSTITUTE(SUBSTITUTE(F210, "Price", ""), "AED", "")), "")</f>
        <v/>
      </c>
      <c r="H210" s="45" t="inlineStr">
        <is>
          <t>Phone sales Middle East</t>
        </is>
      </c>
      <c r="I210" s="45" t="n">
        <v>100217721</v>
      </c>
      <c r="J210" s="45" t="inlineStr">
        <is>
          <t>Prospect</t>
        </is>
      </c>
      <c r="K210" s="45" t="inlineStr">
        <is>
          <t>TAHHAN Riham</t>
        </is>
      </c>
      <c r="L210" s="45" t="inlineStr">
        <is>
          <t xml:space="preserve"> </t>
        </is>
      </c>
      <c r="M210" s="45">
        <f>IF(COUNTIF($R$3:$R$100, D210) &gt; 0, TRUE, FALSE)</f>
        <v/>
      </c>
    </row>
    <row r="211" ht="31.2" customHeight="1" s="287">
      <c r="A211" s="45" t="inlineStr">
        <is>
          <t>Request</t>
        </is>
      </c>
      <c r="B211" s="45" t="inlineStr">
        <is>
          <t xml:space="preserve"> </t>
        </is>
      </c>
      <c r="C211" s="45" t="inlineStr">
        <is>
          <t>16/1/2025</t>
        </is>
      </c>
      <c r="D211" s="45" t="inlineStr">
        <is>
          <t>4200H/222A-B934</t>
        </is>
      </c>
      <c r="E211" s="45">
        <f>IFERROR(VLOOKUP(TRIM(D211), Collection!$B$2:$D$1001, 2, FALSE), "")</f>
        <v/>
      </c>
      <c r="F211" s="48">
        <f>IFERROR(VLOOKUP(TRIM(D211), Collection!$B$2:$D$1001, 3, FALSE), "")</f>
        <v/>
      </c>
      <c r="G211" s="48">
        <f>IFERROR(VALUE(SUBSTITUTE(SUBSTITUTE(F211, "Price", ""), "AED", "")), "")</f>
        <v/>
      </c>
      <c r="H211" s="45" t="inlineStr">
        <is>
          <t>Phone sales Middle East</t>
        </is>
      </c>
      <c r="I211" s="45" t="n">
        <v>103646324</v>
      </c>
      <c r="J211" s="45" t="inlineStr">
        <is>
          <t>Prospect</t>
        </is>
      </c>
      <c r="K211" s="45" t="inlineStr">
        <is>
          <t>TAHHAN Riham</t>
        </is>
      </c>
      <c r="L211" s="45" t="inlineStr">
        <is>
          <t xml:space="preserve"> </t>
        </is>
      </c>
      <c r="M211" s="45">
        <f>IF(COUNTIF($R$3:$R$100, D211) &gt; 0, TRUE, FALSE)</f>
        <v/>
      </c>
    </row>
    <row r="212" ht="31.2" customHeight="1" s="287">
      <c r="A212" s="45" t="inlineStr">
        <is>
          <t>Request</t>
        </is>
      </c>
      <c r="B212" s="45" t="inlineStr">
        <is>
          <t xml:space="preserve"> </t>
        </is>
      </c>
      <c r="C212" s="45" t="inlineStr">
        <is>
          <t>16/1/2025</t>
        </is>
      </c>
      <c r="D212" s="45" t="inlineStr">
        <is>
          <t>4200H/222A-B934</t>
        </is>
      </c>
      <c r="E212" s="45">
        <f>IFERROR(VLOOKUP(TRIM(D212), Collection!$B$2:$D$1001, 2, FALSE), "")</f>
        <v/>
      </c>
      <c r="F212" s="48">
        <f>IFERROR(VLOOKUP(TRIM(D212), Collection!$B$2:$D$1001, 3, FALSE), "")</f>
        <v/>
      </c>
      <c r="G212" s="48">
        <f>IFERROR(VALUE(SUBSTITUTE(SUBSTITUTE(F212, "Price", ""), "AED", "")), "")</f>
        <v/>
      </c>
      <c r="H212" s="45" t="inlineStr">
        <is>
          <t>Phone sales Middle East</t>
        </is>
      </c>
      <c r="I212" s="45" t="n">
        <v>103646387</v>
      </c>
      <c r="J212" s="45" t="inlineStr">
        <is>
          <t>Prospect</t>
        </is>
      </c>
      <c r="K212" s="45" t="inlineStr">
        <is>
          <t>TAHHAN Riham</t>
        </is>
      </c>
      <c r="L212" s="45" t="inlineStr">
        <is>
          <t xml:space="preserve"> </t>
        </is>
      </c>
      <c r="M212" s="45">
        <f>IF(COUNTIF($R$3:$R$100, D212) &gt; 0, TRUE, FALSE)</f>
        <v/>
      </c>
    </row>
    <row r="213" ht="31.2" customHeight="1" s="287">
      <c r="A213" s="45" t="inlineStr">
        <is>
          <t>Request</t>
        </is>
      </c>
      <c r="B213" s="45" t="inlineStr">
        <is>
          <t xml:space="preserve"> </t>
        </is>
      </c>
      <c r="C213" s="45" t="inlineStr">
        <is>
          <t>16/1/2025</t>
        </is>
      </c>
      <c r="D213" s="45" t="inlineStr">
        <is>
          <t>4200H/222A-B934</t>
        </is>
      </c>
      <c r="E213" s="45">
        <f>IFERROR(VLOOKUP(TRIM(D213), Collection!$B$2:$D$1001, 2, FALSE), "")</f>
        <v/>
      </c>
      <c r="F213" s="48">
        <f>IFERROR(VLOOKUP(TRIM(D213), Collection!$B$2:$D$1001, 3, FALSE), "")</f>
        <v/>
      </c>
      <c r="G213" s="48">
        <f>IFERROR(VALUE(SUBSTITUTE(SUBSTITUTE(F213, "Price", ""), "AED", "")), "")</f>
        <v/>
      </c>
      <c r="H213" s="45" t="inlineStr">
        <is>
          <t>Phone sales Middle East</t>
        </is>
      </c>
      <c r="I213" s="45" t="n">
        <v>101009517</v>
      </c>
      <c r="J213" s="45" t="inlineStr">
        <is>
          <t>Prospect</t>
        </is>
      </c>
      <c r="K213" s="45" t="inlineStr">
        <is>
          <t>TAHHAN Riham</t>
        </is>
      </c>
      <c r="L213" s="45" t="inlineStr">
        <is>
          <t xml:space="preserve"> </t>
        </is>
      </c>
      <c r="M213" s="45">
        <f>IF(COUNTIF($R$3:$R$100, D213) &gt; 0, TRUE, FALSE)</f>
        <v/>
      </c>
    </row>
    <row r="214" ht="31.2" customHeight="1" s="287">
      <c r="A214" s="45" t="inlineStr">
        <is>
          <t>Request</t>
        </is>
      </c>
      <c r="B214" s="45" t="inlineStr">
        <is>
          <t xml:space="preserve"> </t>
        </is>
      </c>
      <c r="C214" s="45" t="inlineStr">
        <is>
          <t>16/1/2025</t>
        </is>
      </c>
      <c r="D214" s="45" t="inlineStr">
        <is>
          <t>4200H/222A-B934</t>
        </is>
      </c>
      <c r="E214" s="45">
        <f>IFERROR(VLOOKUP(TRIM(D214), Collection!$B$2:$D$1001, 2, FALSE), "")</f>
        <v/>
      </c>
      <c r="F214" s="48">
        <f>IFERROR(VLOOKUP(TRIM(D214), Collection!$B$2:$D$1001, 3, FALSE), "")</f>
        <v/>
      </c>
      <c r="G214" s="48">
        <f>IFERROR(VALUE(SUBSTITUTE(SUBSTITUTE(F214, "Price", ""), "AED", "")), "")</f>
        <v/>
      </c>
      <c r="H214" s="45" t="inlineStr">
        <is>
          <t>Phone sales Middle East</t>
        </is>
      </c>
      <c r="I214" s="45" t="n">
        <v>101623615</v>
      </c>
      <c r="J214" s="45" t="inlineStr">
        <is>
          <t>Prospect</t>
        </is>
      </c>
      <c r="K214" s="45" t="inlineStr">
        <is>
          <t>TAHHAN Riham</t>
        </is>
      </c>
      <c r="L214" s="45" t="inlineStr">
        <is>
          <t xml:space="preserve"> </t>
        </is>
      </c>
      <c r="M214" s="45">
        <f>IF(COUNTIF($R$3:$R$100, D214) &gt; 0, TRUE, FALSE)</f>
        <v/>
      </c>
    </row>
    <row r="215" ht="31.2" customHeight="1" s="287">
      <c r="A215" s="45" t="inlineStr">
        <is>
          <t>Request</t>
        </is>
      </c>
      <c r="B215" s="45" t="inlineStr">
        <is>
          <t xml:space="preserve"> </t>
        </is>
      </c>
      <c r="C215" s="45" t="inlineStr">
        <is>
          <t>16/1/2025</t>
        </is>
      </c>
      <c r="D215" s="45" t="inlineStr">
        <is>
          <t>4200H/222A-B934</t>
        </is>
      </c>
      <c r="E215" s="45">
        <f>IFERROR(VLOOKUP(TRIM(D215), Collection!$B$2:$D$1001, 2, FALSE), "")</f>
        <v/>
      </c>
      <c r="F215" s="48">
        <f>IFERROR(VLOOKUP(TRIM(D215), Collection!$B$2:$D$1001, 3, FALSE), "")</f>
        <v/>
      </c>
      <c r="G215" s="48">
        <f>IFERROR(VALUE(SUBSTITUTE(SUBSTITUTE(F215, "Price", ""), "AED", "")), "")</f>
        <v/>
      </c>
      <c r="H215" s="45" t="inlineStr">
        <is>
          <t>Phone sales Middle East</t>
        </is>
      </c>
      <c r="I215" s="45" t="n">
        <v>101346110</v>
      </c>
      <c r="J215" s="45" t="inlineStr">
        <is>
          <t>Prospect</t>
        </is>
      </c>
      <c r="K215" s="45" t="inlineStr">
        <is>
          <t>SHARIF Maaz</t>
        </is>
      </c>
      <c r="L215" s="45" t="inlineStr">
        <is>
          <t xml:space="preserve"> </t>
        </is>
      </c>
      <c r="M215" s="45">
        <f>IF(COUNTIF($R$3:$R$100, D215) &gt; 0, TRUE, FALSE)</f>
        <v/>
      </c>
    </row>
    <row r="216" ht="31.2" customHeight="1" s="287">
      <c r="A216" s="45" t="inlineStr">
        <is>
          <t>Request</t>
        </is>
      </c>
      <c r="B216" s="45" t="inlineStr">
        <is>
          <t xml:space="preserve"> </t>
        </is>
      </c>
      <c r="C216" s="45" t="inlineStr">
        <is>
          <t>16/1/2025</t>
        </is>
      </c>
      <c r="D216" s="45" t="inlineStr">
        <is>
          <t>4200H/222A-B934</t>
        </is>
      </c>
      <c r="E216" s="45">
        <f>IFERROR(VLOOKUP(TRIM(D216), Collection!$B$2:$D$1001, 2, FALSE), "")</f>
        <v/>
      </c>
      <c r="F216" s="48">
        <f>IFERROR(VLOOKUP(TRIM(D216), Collection!$B$2:$D$1001, 3, FALSE), "")</f>
        <v/>
      </c>
      <c r="G216" s="48">
        <f>IFERROR(VALUE(SUBSTITUTE(SUBSTITUTE(F216, "Price", ""), "AED", "")), "")</f>
        <v/>
      </c>
      <c r="H216" s="45" t="inlineStr">
        <is>
          <t>Phone sales Middle East</t>
        </is>
      </c>
      <c r="I216" s="45" t="n">
        <v>102180966</v>
      </c>
      <c r="J216" s="45" t="inlineStr">
        <is>
          <t>Prospect</t>
        </is>
      </c>
      <c r="K216" s="45" t="inlineStr">
        <is>
          <t>TAHHAN Riham</t>
        </is>
      </c>
      <c r="L216" s="45" t="inlineStr">
        <is>
          <t xml:space="preserve"> </t>
        </is>
      </c>
      <c r="M216" s="45">
        <f>IF(COUNTIF($R$3:$R$100, D216) &gt; 0, TRUE, FALSE)</f>
        <v/>
      </c>
    </row>
    <row r="217" ht="31.2" customHeight="1" s="287">
      <c r="A217" s="45" t="inlineStr">
        <is>
          <t>Request</t>
        </is>
      </c>
      <c r="B217" s="45" t="inlineStr">
        <is>
          <t xml:space="preserve"> </t>
        </is>
      </c>
      <c r="C217" s="45" t="inlineStr">
        <is>
          <t>16/1/2025</t>
        </is>
      </c>
      <c r="D217" s="45" t="inlineStr">
        <is>
          <t>4200H/222A-B934</t>
        </is>
      </c>
      <c r="E217" s="45">
        <f>IFERROR(VLOOKUP(TRIM(D217), Collection!$B$2:$D$1001, 2, FALSE), "")</f>
        <v/>
      </c>
      <c r="F217" s="48">
        <f>IFERROR(VLOOKUP(TRIM(D217), Collection!$B$2:$D$1001, 3, FALSE), "")</f>
        <v/>
      </c>
      <c r="G217" s="48">
        <f>IFERROR(VALUE(SUBSTITUTE(SUBSTITUTE(F217, "Price", ""), "AED", "")), "")</f>
        <v/>
      </c>
      <c r="H217" s="45" t="inlineStr">
        <is>
          <t>Phone sales Middle East</t>
        </is>
      </c>
      <c r="I217" s="45" t="n">
        <v>103656728</v>
      </c>
      <c r="J217" s="45" t="inlineStr">
        <is>
          <t>Prospect</t>
        </is>
      </c>
      <c r="K217" s="45" t="inlineStr">
        <is>
          <t>SHARIF Maaz</t>
        </is>
      </c>
      <c r="L217" s="45" t="inlineStr">
        <is>
          <t xml:space="preserve"> </t>
        </is>
      </c>
      <c r="M217" s="45">
        <f>IF(COUNTIF($R$3:$R$100, D217) &gt; 0, TRUE, FALSE)</f>
        <v/>
      </c>
    </row>
    <row r="218" ht="31.2" customHeight="1" s="287">
      <c r="A218" s="45" t="inlineStr">
        <is>
          <t>Request</t>
        </is>
      </c>
      <c r="B218" s="45" t="inlineStr">
        <is>
          <t xml:space="preserve"> </t>
        </is>
      </c>
      <c r="C218" s="45" t="inlineStr">
        <is>
          <t>16/1/2025</t>
        </is>
      </c>
      <c r="D218" s="45" t="inlineStr">
        <is>
          <t>4200H/222A-B934</t>
        </is>
      </c>
      <c r="E218" s="45">
        <f>IFERROR(VLOOKUP(TRIM(D218), Collection!$B$2:$D$1001, 2, FALSE), "")</f>
        <v/>
      </c>
      <c r="F218" s="48">
        <f>IFERROR(VLOOKUP(TRIM(D218), Collection!$B$2:$D$1001, 3, FALSE), "")</f>
        <v/>
      </c>
      <c r="G218" s="48">
        <f>IFERROR(VALUE(SUBSTITUTE(SUBSTITUTE(F218, "Price", ""), "AED", "")), "")</f>
        <v/>
      </c>
      <c r="H218" s="45" t="inlineStr">
        <is>
          <t>Phone sales Middle East</t>
        </is>
      </c>
      <c r="I218" s="45" t="n">
        <v>92403591</v>
      </c>
      <c r="J218" s="45" t="inlineStr">
        <is>
          <t>Prospect</t>
        </is>
      </c>
      <c r="K218" s="45" t="inlineStr">
        <is>
          <t>SHARIF Maaz</t>
        </is>
      </c>
      <c r="L218" s="45" t="inlineStr">
        <is>
          <t xml:space="preserve"> </t>
        </is>
      </c>
      <c r="M218" s="45">
        <f>IF(COUNTIF($R$3:$R$100, D218) &gt; 0, TRUE, FALSE)</f>
        <v/>
      </c>
    </row>
    <row r="219" ht="31.2" customHeight="1" s="287">
      <c r="A219" s="45" t="inlineStr">
        <is>
          <t>Request</t>
        </is>
      </c>
      <c r="B219" s="45" t="inlineStr">
        <is>
          <t xml:space="preserve"> </t>
        </is>
      </c>
      <c r="C219" s="45" t="inlineStr">
        <is>
          <t>16/1/2025</t>
        </is>
      </c>
      <c r="D219" s="45" t="inlineStr">
        <is>
          <t>4200H/222A-B934</t>
        </is>
      </c>
      <c r="E219" s="45">
        <f>IFERROR(VLOOKUP(TRIM(D219), Collection!$B$2:$D$1001, 2, FALSE), "")</f>
        <v/>
      </c>
      <c r="F219" s="48">
        <f>IFERROR(VLOOKUP(TRIM(D219), Collection!$B$2:$D$1001, 3, FALSE), "")</f>
        <v/>
      </c>
      <c r="G219" s="48">
        <f>IFERROR(VALUE(SUBSTITUTE(SUBSTITUTE(F219, "Price", ""), "AED", "")), "")</f>
        <v/>
      </c>
      <c r="H219" s="45" t="inlineStr">
        <is>
          <t>Phone sales Middle East</t>
        </is>
      </c>
      <c r="I219" s="45" t="n">
        <v>92400865</v>
      </c>
      <c r="J219" s="45" t="inlineStr">
        <is>
          <t>Prospect</t>
        </is>
      </c>
      <c r="K219" s="45" t="inlineStr">
        <is>
          <t>SHARIF Maaz</t>
        </is>
      </c>
      <c r="L219" s="45" t="inlineStr">
        <is>
          <t xml:space="preserve"> </t>
        </is>
      </c>
      <c r="M219" s="45">
        <f>IF(COUNTIF($R$3:$R$100, D219) &gt; 0, TRUE, FALSE)</f>
        <v/>
      </c>
    </row>
    <row r="220" ht="31.2" customHeight="1" s="287">
      <c r="A220" s="45" t="inlineStr">
        <is>
          <t>Request</t>
        </is>
      </c>
      <c r="B220" s="45" t="inlineStr">
        <is>
          <t xml:space="preserve"> </t>
        </is>
      </c>
      <c r="C220" s="45" t="inlineStr">
        <is>
          <t>15/1/2025</t>
        </is>
      </c>
      <c r="D220" s="45" t="inlineStr">
        <is>
          <t>4200H/222A-B934</t>
        </is>
      </c>
      <c r="E220" s="45">
        <f>IFERROR(VLOOKUP(TRIM(D220), Collection!$B$2:$D$1001, 2, FALSE), "")</f>
        <v/>
      </c>
      <c r="F220" s="48">
        <f>IFERROR(VLOOKUP(TRIM(D220), Collection!$B$2:$D$1001, 3, FALSE), "")</f>
        <v/>
      </c>
      <c r="G220" s="48">
        <f>IFERROR(VALUE(SUBSTITUTE(SUBSTITUTE(F220, "Price", ""), "AED", "")), "")</f>
        <v/>
      </c>
      <c r="H220" s="45" t="inlineStr">
        <is>
          <t>Phone sales Middle East</t>
        </is>
      </c>
      <c r="I220" s="45" t="n">
        <v>103617461</v>
      </c>
      <c r="J220" s="45" t="inlineStr">
        <is>
          <t>Prospect</t>
        </is>
      </c>
      <c r="K220" s="45" t="inlineStr">
        <is>
          <t>TAHHAN Riham</t>
        </is>
      </c>
      <c r="L220" s="45" t="inlineStr">
        <is>
          <t xml:space="preserve"> </t>
        </is>
      </c>
      <c r="M220" s="45">
        <f>IF(COUNTIF($R$3:$R$100, D220) &gt; 0, TRUE, FALSE)</f>
        <v/>
      </c>
    </row>
    <row r="221" ht="31.2" customHeight="1" s="287">
      <c r="A221" s="45" t="inlineStr">
        <is>
          <t>Request</t>
        </is>
      </c>
      <c r="B221" s="45" t="inlineStr">
        <is>
          <t xml:space="preserve"> </t>
        </is>
      </c>
      <c r="C221" s="45" t="inlineStr">
        <is>
          <t>15/1/2025</t>
        </is>
      </c>
      <c r="D221" s="45" t="inlineStr">
        <is>
          <t>4200H/222A-B934</t>
        </is>
      </c>
      <c r="E221" s="45">
        <f>IFERROR(VLOOKUP(TRIM(D221), Collection!$B$2:$D$1001, 2, FALSE), "")</f>
        <v/>
      </c>
      <c r="F221" s="48">
        <f>IFERROR(VLOOKUP(TRIM(D221), Collection!$B$2:$D$1001, 3, FALSE), "")</f>
        <v/>
      </c>
      <c r="G221" s="48">
        <f>IFERROR(VALUE(SUBSTITUTE(SUBSTITUTE(F221, "Price", ""), "AED", "")), "")</f>
        <v/>
      </c>
      <c r="H221" s="45" t="inlineStr">
        <is>
          <t>Phone sales Middle East</t>
        </is>
      </c>
      <c r="I221" s="45" t="n">
        <v>103630373</v>
      </c>
      <c r="J221" s="45" t="inlineStr">
        <is>
          <t>Prospect</t>
        </is>
      </c>
      <c r="K221" s="45" t="inlineStr">
        <is>
          <t>OMARI Asma</t>
        </is>
      </c>
      <c r="L221" s="45" t="inlineStr">
        <is>
          <t>Only calls (Mr. Eujin Lajuenko)</t>
        </is>
      </c>
      <c r="M221" s="45">
        <f>IF(COUNTIF($R$3:$R$100, D221) &gt; 0, TRUE, FALSE)</f>
        <v/>
      </c>
    </row>
    <row r="222" ht="31.2" customHeight="1" s="287">
      <c r="A222" s="45" t="inlineStr">
        <is>
          <t>Request</t>
        </is>
      </c>
      <c r="B222" s="45" t="inlineStr">
        <is>
          <t xml:space="preserve"> </t>
        </is>
      </c>
      <c r="C222" s="45" t="inlineStr">
        <is>
          <t>15/1/2025</t>
        </is>
      </c>
      <c r="D222" s="45" t="inlineStr">
        <is>
          <t>4200H/222A-B934</t>
        </is>
      </c>
      <c r="E222" s="45">
        <f>IFERROR(VLOOKUP(TRIM(D222), Collection!$B$2:$D$1001, 2, FALSE), "")</f>
        <v/>
      </c>
      <c r="F222" s="48">
        <f>IFERROR(VLOOKUP(TRIM(D222), Collection!$B$2:$D$1001, 3, FALSE), "")</f>
        <v/>
      </c>
      <c r="G222" s="48">
        <f>IFERROR(VALUE(SUBSTITUTE(SUBSTITUTE(F222, "Price", ""), "AED", "")), "")</f>
        <v/>
      </c>
      <c r="H222" s="45" t="inlineStr">
        <is>
          <t>Phone sales Middle East</t>
        </is>
      </c>
      <c r="I222" s="45" t="n">
        <v>103620891</v>
      </c>
      <c r="J222" s="45" t="inlineStr">
        <is>
          <t>Prospect</t>
        </is>
      </c>
      <c r="K222" s="45" t="inlineStr">
        <is>
          <t>TAHHAN Riham</t>
        </is>
      </c>
      <c r="L222" s="45" t="inlineStr">
        <is>
          <t>Owner of OVS and fifty six blue dial</t>
        </is>
      </c>
      <c r="M222" s="45">
        <f>IF(COUNTIF($R$3:$R$100, D222) &gt; 0, TRUE, FALSE)</f>
        <v/>
      </c>
    </row>
    <row r="223" ht="31.2" customHeight="1" s="287">
      <c r="A223" s="45" t="inlineStr">
        <is>
          <t>Request</t>
        </is>
      </c>
      <c r="B223" s="45" t="inlineStr">
        <is>
          <t xml:space="preserve"> </t>
        </is>
      </c>
      <c r="C223" s="45" t="inlineStr">
        <is>
          <t>15/1/2025</t>
        </is>
      </c>
      <c r="D223" s="45" t="inlineStr">
        <is>
          <t>4200H/222A-B934</t>
        </is>
      </c>
      <c r="E223" s="45">
        <f>IFERROR(VLOOKUP(TRIM(D223), Collection!$B$2:$D$1001, 2, FALSE), "")</f>
        <v/>
      </c>
      <c r="F223" s="48">
        <f>IFERROR(VLOOKUP(TRIM(D223), Collection!$B$2:$D$1001, 3, FALSE), "")</f>
        <v/>
      </c>
      <c r="G223" s="48">
        <f>IFERROR(VALUE(SUBSTITUTE(SUBSTITUTE(F223, "Price", ""), "AED", "")), "")</f>
        <v/>
      </c>
      <c r="H223" s="45" t="inlineStr">
        <is>
          <t>Phone sales Middle East</t>
        </is>
      </c>
      <c r="I223" s="45" t="n">
        <v>103622461</v>
      </c>
      <c r="J223" s="45" t="inlineStr">
        <is>
          <t>Prospect</t>
        </is>
      </c>
      <c r="K223" s="45" t="inlineStr">
        <is>
          <t>OMARI Asma</t>
        </is>
      </c>
      <c r="L223" s="45" t="inlineStr">
        <is>
          <t>Mr. Shadi Hassan</t>
        </is>
      </c>
      <c r="M223" s="45">
        <f>IF(COUNTIF($R$3:$R$100, D223) &gt; 0, TRUE, FALSE)</f>
        <v/>
      </c>
    </row>
    <row r="224" ht="31.2" customHeight="1" s="287">
      <c r="A224" s="45" t="inlineStr">
        <is>
          <t>Request</t>
        </is>
      </c>
      <c r="B224" s="45" t="inlineStr">
        <is>
          <t xml:space="preserve"> </t>
        </is>
      </c>
      <c r="C224" s="45" t="inlineStr">
        <is>
          <t>15/1/2025</t>
        </is>
      </c>
      <c r="D224" s="45" t="inlineStr">
        <is>
          <t>4200H/222A-B934</t>
        </is>
      </c>
      <c r="E224" s="45">
        <f>IFERROR(VLOOKUP(TRIM(D224), Collection!$B$2:$D$1001, 2, FALSE), "")</f>
        <v/>
      </c>
      <c r="F224" s="48">
        <f>IFERROR(VLOOKUP(TRIM(D224), Collection!$B$2:$D$1001, 3, FALSE), "")</f>
        <v/>
      </c>
      <c r="G224" s="48">
        <f>IFERROR(VALUE(SUBSTITUTE(SUBSTITUTE(F224, "Price", ""), "AED", "")), "")</f>
        <v/>
      </c>
      <c r="H224" s="45" t="inlineStr">
        <is>
          <t>Phone sales Middle East</t>
        </is>
      </c>
      <c r="I224" s="45" t="n">
        <v>103616594</v>
      </c>
      <c r="J224" s="45" t="inlineStr">
        <is>
          <t>Prospect</t>
        </is>
      </c>
      <c r="K224" s="45" t="inlineStr">
        <is>
          <t>SHARIF Maaz</t>
        </is>
      </c>
      <c r="L224" s="45" t="inlineStr">
        <is>
          <t>the client is intrested in the Timepeice</t>
        </is>
      </c>
      <c r="M224" s="45">
        <f>IF(COUNTIF($R$3:$R$100, D224) &gt; 0, TRUE, FALSE)</f>
        <v/>
      </c>
    </row>
    <row r="225" ht="31.2" customHeight="1" s="287">
      <c r="A225" s="45" t="inlineStr">
        <is>
          <t>Request</t>
        </is>
      </c>
      <c r="B225" s="45" t="inlineStr">
        <is>
          <t xml:space="preserve"> </t>
        </is>
      </c>
      <c r="C225" s="45" t="inlineStr">
        <is>
          <t>15/1/2025</t>
        </is>
      </c>
      <c r="D225" s="45" t="inlineStr">
        <is>
          <t>4200H/222A-B934</t>
        </is>
      </c>
      <c r="E225" s="45">
        <f>IFERROR(VLOOKUP(TRIM(D225), Collection!$B$2:$D$1001, 2, FALSE), "")</f>
        <v/>
      </c>
      <c r="F225" s="48">
        <f>IFERROR(VLOOKUP(TRIM(D225), Collection!$B$2:$D$1001, 3, FALSE), "")</f>
        <v/>
      </c>
      <c r="G225" s="48">
        <f>IFERROR(VALUE(SUBSTITUTE(SUBSTITUTE(F225, "Price", ""), "AED", "")), "")</f>
        <v/>
      </c>
      <c r="H225" s="45" t="inlineStr">
        <is>
          <t>Phone sales Middle East</t>
        </is>
      </c>
      <c r="I225" s="45" t="n">
        <v>103610315</v>
      </c>
      <c r="J225" s="45" t="inlineStr">
        <is>
          <t>Prospect</t>
        </is>
      </c>
      <c r="K225" s="45" t="inlineStr">
        <is>
          <t>SHARIF Maaz</t>
        </is>
      </c>
      <c r="L225" s="45" t="inlineStr">
        <is>
          <t>The client is interested in the 222</t>
        </is>
      </c>
      <c r="M225" s="45">
        <f>IF(COUNTIF($R$3:$R$100, D225) &gt; 0, TRUE, FALSE)</f>
        <v/>
      </c>
    </row>
    <row r="226" ht="31.2" customHeight="1" s="287">
      <c r="A226" s="45" t="inlineStr">
        <is>
          <t>Request</t>
        </is>
      </c>
      <c r="B226" s="45" t="inlineStr">
        <is>
          <t xml:space="preserve"> </t>
        </is>
      </c>
      <c r="C226" s="45" t="inlineStr">
        <is>
          <t>15/1/2025</t>
        </is>
      </c>
      <c r="D226" s="45" t="inlineStr">
        <is>
          <t>4200H/222A-B934</t>
        </is>
      </c>
      <c r="E226" s="45">
        <f>IFERROR(VLOOKUP(TRIM(D226), Collection!$B$2:$D$1001, 2, FALSE), "")</f>
        <v/>
      </c>
      <c r="F226" s="48">
        <f>IFERROR(VLOOKUP(TRIM(D226), Collection!$B$2:$D$1001, 3, FALSE), "")</f>
        <v/>
      </c>
      <c r="G226" s="48">
        <f>IFERROR(VALUE(SUBSTITUTE(SUBSTITUTE(F226, "Price", ""), "AED", "")), "")</f>
        <v/>
      </c>
      <c r="H226" s="45" t="inlineStr">
        <is>
          <t>Phone sales Middle East</t>
        </is>
      </c>
      <c r="I226" s="45" t="n">
        <v>92400627</v>
      </c>
      <c r="J226" s="45" t="inlineStr">
        <is>
          <t>Prospect</t>
        </is>
      </c>
      <c r="K226" s="45" t="inlineStr">
        <is>
          <t>TAHHAN Riham</t>
        </is>
      </c>
      <c r="L226" s="45" t="inlineStr">
        <is>
          <t>Requested UAE market</t>
        </is>
      </c>
      <c r="M226" s="45">
        <f>IF(COUNTIF($R$3:$R$100, D226) &gt; 0, TRUE, FALSE)</f>
        <v/>
      </c>
    </row>
    <row r="227" ht="31.2" customHeight="1" s="287">
      <c r="A227" s="45" t="inlineStr">
        <is>
          <t>Request</t>
        </is>
      </c>
      <c r="B227" s="45" t="inlineStr">
        <is>
          <t xml:space="preserve"> </t>
        </is>
      </c>
      <c r="C227" s="45" t="inlineStr">
        <is>
          <t>15/1/2025</t>
        </is>
      </c>
      <c r="D227" s="45" t="inlineStr">
        <is>
          <t>4200H/222A-B934</t>
        </is>
      </c>
      <c r="E227" s="45">
        <f>IFERROR(VLOOKUP(TRIM(D227), Collection!$B$2:$D$1001, 2, FALSE), "")</f>
        <v/>
      </c>
      <c r="F227" s="48">
        <f>IFERROR(VLOOKUP(TRIM(D227), Collection!$B$2:$D$1001, 3, FALSE), "")</f>
        <v/>
      </c>
      <c r="G227" s="48">
        <f>IFERROR(VALUE(SUBSTITUTE(SUBSTITUTE(F227, "Price", ""), "AED", "")), "")</f>
        <v/>
      </c>
      <c r="H227" s="45" t="inlineStr">
        <is>
          <t>Phone sales Middle East</t>
        </is>
      </c>
      <c r="I227" s="45" t="n">
        <v>103630617</v>
      </c>
      <c r="J227" s="45" t="inlineStr">
        <is>
          <t>Prospect</t>
        </is>
      </c>
      <c r="K227" s="45" t="inlineStr">
        <is>
          <t>TAHHAN Riham</t>
        </is>
      </c>
      <c r="L227" s="45" t="inlineStr">
        <is>
          <t xml:space="preserve"> </t>
        </is>
      </c>
      <c r="M227" s="45">
        <f>IF(COUNTIF($R$3:$R$100, D227) &gt; 0, TRUE, FALSE)</f>
        <v/>
      </c>
    </row>
    <row r="228" ht="31.2" customHeight="1" s="287">
      <c r="A228" s="45" t="inlineStr">
        <is>
          <t>Request</t>
        </is>
      </c>
      <c r="B228" s="45" t="inlineStr">
        <is>
          <t xml:space="preserve"> </t>
        </is>
      </c>
      <c r="C228" s="45" t="inlineStr">
        <is>
          <t>15/1/2025</t>
        </is>
      </c>
      <c r="D228" s="45" t="inlineStr">
        <is>
          <t>4200H/222A-B934</t>
        </is>
      </c>
      <c r="E228" s="45">
        <f>IFERROR(VLOOKUP(TRIM(D228), Collection!$B$2:$D$1001, 2, FALSE), "")</f>
        <v/>
      </c>
      <c r="F228" s="48">
        <f>IFERROR(VLOOKUP(TRIM(D228), Collection!$B$2:$D$1001, 3, FALSE), "")</f>
        <v/>
      </c>
      <c r="G228" s="48">
        <f>IFERROR(VALUE(SUBSTITUTE(SUBSTITUTE(F228, "Price", ""), "AED", "")), "")</f>
        <v/>
      </c>
      <c r="H228" s="45" t="inlineStr">
        <is>
          <t>Phone sales Middle East</t>
        </is>
      </c>
      <c r="I228" s="45" t="n">
        <v>92407337</v>
      </c>
      <c r="J228" s="45" t="inlineStr">
        <is>
          <t>Prospect</t>
        </is>
      </c>
      <c r="K228" s="45" t="inlineStr">
        <is>
          <t>TAHHAN Riham</t>
        </is>
      </c>
      <c r="L228" s="45" t="inlineStr">
        <is>
          <t xml:space="preserve"> </t>
        </is>
      </c>
      <c r="M228" s="45">
        <f>IF(COUNTIF($R$3:$R$100, D228) &gt; 0, TRUE, FALSE)</f>
        <v/>
      </c>
    </row>
    <row r="229" ht="31.2" customHeight="1" s="287">
      <c r="A229" s="45" t="inlineStr">
        <is>
          <t>Request</t>
        </is>
      </c>
      <c r="B229" s="45" t="inlineStr">
        <is>
          <t xml:space="preserve"> </t>
        </is>
      </c>
      <c r="C229" s="45" t="inlineStr">
        <is>
          <t>15/1/2025</t>
        </is>
      </c>
      <c r="D229" s="45" t="inlineStr">
        <is>
          <t>4200H/222A-B934</t>
        </is>
      </c>
      <c r="E229" s="45">
        <f>IFERROR(VLOOKUP(TRIM(D229), Collection!$B$2:$D$1001, 2, FALSE), "")</f>
        <v/>
      </c>
      <c r="F229" s="48">
        <f>IFERROR(VLOOKUP(TRIM(D229), Collection!$B$2:$D$1001, 3, FALSE), "")</f>
        <v/>
      </c>
      <c r="G229" s="48">
        <f>IFERROR(VALUE(SUBSTITUTE(SUBSTITUTE(F229, "Price", ""), "AED", "")), "")</f>
        <v/>
      </c>
      <c r="H229" s="45" t="inlineStr">
        <is>
          <t>Phone sales Middle East</t>
        </is>
      </c>
      <c r="I229" s="45" t="n">
        <v>92422856</v>
      </c>
      <c r="J229" s="45" t="inlineStr">
        <is>
          <t>Prospect</t>
        </is>
      </c>
      <c r="K229" s="45" t="inlineStr">
        <is>
          <t>TAHHAN Riham</t>
        </is>
      </c>
      <c r="L229" s="45" t="inlineStr">
        <is>
          <t xml:space="preserve"> </t>
        </is>
      </c>
      <c r="M229" s="45">
        <f>IF(COUNTIF($R$3:$R$100, D229) &gt; 0, TRUE, FALSE)</f>
        <v/>
      </c>
    </row>
    <row r="230" ht="31.2" customHeight="1" s="287">
      <c r="A230" s="45" t="inlineStr">
        <is>
          <t>Request</t>
        </is>
      </c>
      <c r="B230" s="45" t="inlineStr">
        <is>
          <t xml:space="preserve"> </t>
        </is>
      </c>
      <c r="C230" s="45" t="inlineStr">
        <is>
          <t>15/1/2025</t>
        </is>
      </c>
      <c r="D230" s="45" t="inlineStr">
        <is>
          <t>4200H/222A-B934</t>
        </is>
      </c>
      <c r="E230" s="45">
        <f>IFERROR(VLOOKUP(TRIM(D230), Collection!$B$2:$D$1001, 2, FALSE), "")</f>
        <v/>
      </c>
      <c r="F230" s="48">
        <f>IFERROR(VLOOKUP(TRIM(D230), Collection!$B$2:$D$1001, 3, FALSE), "")</f>
        <v/>
      </c>
      <c r="G230" s="48">
        <f>IFERROR(VALUE(SUBSTITUTE(SUBSTITUTE(F230, "Price", ""), "AED", "")), "")</f>
        <v/>
      </c>
      <c r="H230" s="45" t="inlineStr">
        <is>
          <t>Phone sales Middle East</t>
        </is>
      </c>
      <c r="I230" s="45" t="n">
        <v>93832355</v>
      </c>
      <c r="J230" s="45" t="inlineStr">
        <is>
          <t>Prospect</t>
        </is>
      </c>
      <c r="K230" s="45" t="inlineStr">
        <is>
          <t>SHARIF Maaz</t>
        </is>
      </c>
      <c r="L230" s="45" t="inlineStr">
        <is>
          <t xml:space="preserve"> </t>
        </is>
      </c>
      <c r="M230" s="45">
        <f>IF(COUNTIF($R$3:$R$100, D230) &gt; 0, TRUE, FALSE)</f>
        <v/>
      </c>
    </row>
    <row r="231" ht="31.2" customHeight="1" s="287">
      <c r="A231" s="45" t="inlineStr">
        <is>
          <t>Request</t>
        </is>
      </c>
      <c r="B231" s="45" t="inlineStr">
        <is>
          <t xml:space="preserve"> </t>
        </is>
      </c>
      <c r="C231" s="45" t="inlineStr">
        <is>
          <t>15/1/2025</t>
        </is>
      </c>
      <c r="D231" s="45" t="inlineStr">
        <is>
          <t>4200H/222A-B934</t>
        </is>
      </c>
      <c r="E231" s="45">
        <f>IFERROR(VLOOKUP(TRIM(D231), Collection!$B$2:$D$1001, 2, FALSE), "")</f>
        <v/>
      </c>
      <c r="F231" s="48">
        <f>IFERROR(VLOOKUP(TRIM(D231), Collection!$B$2:$D$1001, 3, FALSE), "")</f>
        <v/>
      </c>
      <c r="G231" s="48">
        <f>IFERROR(VALUE(SUBSTITUTE(SUBSTITUTE(F231, "Price", ""), "AED", "")), "")</f>
        <v/>
      </c>
      <c r="H231" s="45" t="inlineStr">
        <is>
          <t>Phone sales Middle East</t>
        </is>
      </c>
      <c r="I231" s="45" t="n">
        <v>103632699</v>
      </c>
      <c r="J231" s="45" t="inlineStr">
        <is>
          <t>Prospect</t>
        </is>
      </c>
      <c r="K231" s="45" t="inlineStr">
        <is>
          <t>TAHHAN Riham</t>
        </is>
      </c>
      <c r="L231" s="45" t="inlineStr">
        <is>
          <t xml:space="preserve"> </t>
        </is>
      </c>
      <c r="M231" s="45">
        <f>IF(COUNTIF($R$3:$R$100, D231) &gt; 0, TRUE, FALSE)</f>
        <v/>
      </c>
    </row>
    <row r="232" ht="31.2" customHeight="1" s="287">
      <c r="A232" s="45" t="inlineStr">
        <is>
          <t>Request</t>
        </is>
      </c>
      <c r="B232" s="45" t="inlineStr">
        <is>
          <t xml:space="preserve"> </t>
        </is>
      </c>
      <c r="C232" s="45" t="inlineStr">
        <is>
          <t>15/1/2025</t>
        </is>
      </c>
      <c r="D232" s="45" t="inlineStr">
        <is>
          <t>4200H/222A-B934</t>
        </is>
      </c>
      <c r="E232" s="45">
        <f>IFERROR(VLOOKUP(TRIM(D232), Collection!$B$2:$D$1001, 2, FALSE), "")</f>
        <v/>
      </c>
      <c r="F232" s="48">
        <f>IFERROR(VLOOKUP(TRIM(D232), Collection!$B$2:$D$1001, 3, FALSE), "")</f>
        <v/>
      </c>
      <c r="G232" s="48">
        <f>IFERROR(VALUE(SUBSTITUTE(SUBSTITUTE(F232, "Price", ""), "AED", "")), "")</f>
        <v/>
      </c>
      <c r="H232" s="45" t="inlineStr">
        <is>
          <t>Phone sales Middle East</t>
        </is>
      </c>
      <c r="I232" s="45" t="n">
        <v>103631041</v>
      </c>
      <c r="J232" s="45" t="inlineStr">
        <is>
          <t>Prospect</t>
        </is>
      </c>
      <c r="K232" s="45" t="inlineStr">
        <is>
          <t>OMARI Asma</t>
        </is>
      </c>
      <c r="L232" s="45" t="inlineStr">
        <is>
          <t>Mr. Mohammed Alhashimi (KSA)</t>
        </is>
      </c>
      <c r="M232" s="45">
        <f>IF(COUNTIF($R$3:$R$100, D232) &gt; 0, TRUE, FALSE)</f>
        <v/>
      </c>
    </row>
    <row r="233" ht="31.2" customHeight="1" s="287">
      <c r="A233" s="45" t="inlineStr">
        <is>
          <t>Cancelled</t>
        </is>
      </c>
      <c r="B233" s="45" t="inlineStr">
        <is>
          <t>Cancelled</t>
        </is>
      </c>
      <c r="C233" s="45" t="inlineStr">
        <is>
          <t>15/1/2025</t>
        </is>
      </c>
      <c r="D233" s="45" t="inlineStr">
        <is>
          <t>4520V/210A-B126</t>
        </is>
      </c>
      <c r="E233" s="45">
        <f>IFERROR(VLOOKUP(TRIM(D233), Collection!$B$2:$D$1001, 2, FALSE), "")</f>
        <v/>
      </c>
      <c r="F233" s="48">
        <f>IFERROR(VLOOKUP(TRIM(D233), Collection!$B$2:$D$1001, 3, FALSE), "")</f>
        <v/>
      </c>
      <c r="G233" s="48">
        <f>IFERROR(VALUE(SUBSTITUTE(SUBSTITUTE(F233, "Price", ""), "AED", "")), "")</f>
        <v/>
      </c>
      <c r="H233" s="45" t="inlineStr">
        <is>
          <t>Phone sales Middle East</t>
        </is>
      </c>
      <c r="I233" s="45" t="n">
        <v>103633773</v>
      </c>
      <c r="J233" s="45" t="inlineStr">
        <is>
          <t>Prospect</t>
        </is>
      </c>
      <c r="K233" s="45" t="inlineStr">
        <is>
          <t>TAHHAN Riham</t>
        </is>
      </c>
      <c r="L233" s="45" t="inlineStr">
        <is>
          <t xml:space="preserve"> </t>
        </is>
      </c>
      <c r="M233" s="45">
        <f>IF(COUNTIF($R$3:$R$100, D233) &gt; 0, TRUE, FALSE)</f>
        <v/>
      </c>
    </row>
    <row r="234" ht="31.2" customHeight="1" s="287">
      <c r="A234" s="45" t="inlineStr">
        <is>
          <t>Request</t>
        </is>
      </c>
      <c r="B234" s="45" t="inlineStr">
        <is>
          <t xml:space="preserve"> </t>
        </is>
      </c>
      <c r="C234" s="45" t="inlineStr">
        <is>
          <t>15/1/2025</t>
        </is>
      </c>
      <c r="D234" s="45" t="inlineStr">
        <is>
          <t>4200H/222A-B934</t>
        </is>
      </c>
      <c r="E234" s="45">
        <f>IFERROR(VLOOKUP(TRIM(D234), Collection!$B$2:$D$1001, 2, FALSE), "")</f>
        <v/>
      </c>
      <c r="F234" s="48">
        <f>IFERROR(VLOOKUP(TRIM(D234), Collection!$B$2:$D$1001, 3, FALSE), "")</f>
        <v/>
      </c>
      <c r="G234" s="48">
        <f>IFERROR(VALUE(SUBSTITUTE(SUBSTITUTE(F234, "Price", ""), "AED", "")), "")</f>
        <v/>
      </c>
      <c r="H234" s="45" t="inlineStr">
        <is>
          <t>Phone sales Middle East</t>
        </is>
      </c>
      <c r="I234" s="45" t="n">
        <v>92398362</v>
      </c>
      <c r="J234" s="45" t="inlineStr">
        <is>
          <t>Prospect</t>
        </is>
      </c>
      <c r="K234" s="45" t="inlineStr">
        <is>
          <t>TAHHAN Riham</t>
        </is>
      </c>
      <c r="L234" s="45" t="inlineStr">
        <is>
          <t xml:space="preserve"> </t>
        </is>
      </c>
      <c r="M234" s="45">
        <f>IF(COUNTIF($R$3:$R$100, D234) &gt; 0, TRUE, FALSE)</f>
        <v/>
      </c>
    </row>
    <row r="235" ht="31.2" customHeight="1" s="287">
      <c r="A235" s="45" t="inlineStr">
        <is>
          <t>Request</t>
        </is>
      </c>
      <c r="B235" s="45" t="inlineStr">
        <is>
          <t xml:space="preserve"> </t>
        </is>
      </c>
      <c r="C235" s="45" t="inlineStr">
        <is>
          <t>15/1/2025</t>
        </is>
      </c>
      <c r="D235" s="45" t="inlineStr">
        <is>
          <t>4200H/222A-B934</t>
        </is>
      </c>
      <c r="E235" s="45">
        <f>IFERROR(VLOOKUP(TRIM(D235), Collection!$B$2:$D$1001, 2, FALSE), "")</f>
        <v/>
      </c>
      <c r="F235" s="48">
        <f>IFERROR(VLOOKUP(TRIM(D235), Collection!$B$2:$D$1001, 3, FALSE), "")</f>
        <v/>
      </c>
      <c r="G235" s="48">
        <f>IFERROR(VALUE(SUBSTITUTE(SUBSTITUTE(F235, "Price", ""), "AED", "")), "")</f>
        <v/>
      </c>
      <c r="H235" s="45" t="inlineStr">
        <is>
          <t>Phone sales Middle East</t>
        </is>
      </c>
      <c r="I235" s="45" t="n">
        <v>103616758</v>
      </c>
      <c r="J235" s="45" t="inlineStr">
        <is>
          <t>Prospect</t>
        </is>
      </c>
      <c r="K235" s="45" t="inlineStr">
        <is>
          <t>TAHHAN Riham</t>
        </is>
      </c>
      <c r="L235" s="45" t="inlineStr">
        <is>
          <t xml:space="preserve"> </t>
        </is>
      </c>
      <c r="M235" s="45">
        <f>IF(COUNTIF($R$3:$R$100, D235) &gt; 0, TRUE, FALSE)</f>
        <v/>
      </c>
    </row>
    <row r="236" ht="31.2" customHeight="1" s="287">
      <c r="A236" s="45" t="inlineStr">
        <is>
          <t>Request</t>
        </is>
      </c>
      <c r="B236" s="45" t="inlineStr">
        <is>
          <t xml:space="preserve"> </t>
        </is>
      </c>
      <c r="C236" s="45" t="inlineStr">
        <is>
          <t>15/1/2025</t>
        </is>
      </c>
      <c r="D236" s="45" t="inlineStr">
        <is>
          <t>4200H/222A-B934</t>
        </is>
      </c>
      <c r="E236" s="45">
        <f>IFERROR(VLOOKUP(TRIM(D236), Collection!$B$2:$D$1001, 2, FALSE), "")</f>
        <v/>
      </c>
      <c r="F236" s="48">
        <f>IFERROR(VLOOKUP(TRIM(D236), Collection!$B$2:$D$1001, 3, FALSE), "")</f>
        <v/>
      </c>
      <c r="G236" s="48">
        <f>IFERROR(VALUE(SUBSTITUTE(SUBSTITUTE(F236, "Price", ""), "AED", "")), "")</f>
        <v/>
      </c>
      <c r="H236" s="45" t="inlineStr">
        <is>
          <t>Phone sales Middle East</t>
        </is>
      </c>
      <c r="I236" s="45" t="n">
        <v>98742444</v>
      </c>
      <c r="J236" s="45" t="inlineStr">
        <is>
          <t>Prospect</t>
        </is>
      </c>
      <c r="K236" s="45" t="inlineStr">
        <is>
          <t>SHARIF Maaz</t>
        </is>
      </c>
      <c r="L236" s="45" t="inlineStr">
        <is>
          <t xml:space="preserve"> </t>
        </is>
      </c>
      <c r="M236" s="45">
        <f>IF(COUNTIF($R$3:$R$100, D236) &gt; 0, TRUE, FALSE)</f>
        <v/>
      </c>
    </row>
    <row r="237" ht="31.2" customHeight="1" s="287">
      <c r="A237" s="45" t="inlineStr">
        <is>
          <t>Request</t>
        </is>
      </c>
      <c r="B237" s="45" t="inlineStr">
        <is>
          <t xml:space="preserve"> </t>
        </is>
      </c>
      <c r="C237" s="45" t="inlineStr">
        <is>
          <t>15/1/2025</t>
        </is>
      </c>
      <c r="D237" s="45" t="inlineStr">
        <is>
          <t>4200H/222A-B934</t>
        </is>
      </c>
      <c r="E237" s="45">
        <f>IFERROR(VLOOKUP(TRIM(D237), Collection!$B$2:$D$1001, 2, FALSE), "")</f>
        <v/>
      </c>
      <c r="F237" s="48">
        <f>IFERROR(VLOOKUP(TRIM(D237), Collection!$B$2:$D$1001, 3, FALSE), "")</f>
        <v/>
      </c>
      <c r="G237" s="48">
        <f>IFERROR(VALUE(SUBSTITUTE(SUBSTITUTE(F237, "Price", ""), "AED", "")), "")</f>
        <v/>
      </c>
      <c r="H237" s="45" t="inlineStr">
        <is>
          <t>Phone sales Middle East</t>
        </is>
      </c>
      <c r="I237" s="45" t="n">
        <v>103629013</v>
      </c>
      <c r="J237" s="45" t="inlineStr">
        <is>
          <t>Prospect</t>
        </is>
      </c>
      <c r="K237" s="45" t="inlineStr">
        <is>
          <t>OMARI Asma</t>
        </is>
      </c>
      <c r="L237" s="45" t="inlineStr">
        <is>
          <t>ksa : Yousef Alibrahim</t>
        </is>
      </c>
      <c r="M237" s="45">
        <f>IF(COUNTIF($R$3:$R$100, D237) &gt; 0, TRUE, FALSE)</f>
        <v/>
      </c>
    </row>
    <row r="238" ht="31.2" customHeight="1" s="287">
      <c r="A238" s="45" t="inlineStr">
        <is>
          <t>Request</t>
        </is>
      </c>
      <c r="B238" s="45" t="inlineStr">
        <is>
          <t xml:space="preserve"> </t>
        </is>
      </c>
      <c r="C238" s="45" t="inlineStr">
        <is>
          <t>15/1/2025</t>
        </is>
      </c>
      <c r="D238" s="45" t="inlineStr">
        <is>
          <t>4200H/222A-B934</t>
        </is>
      </c>
      <c r="E238" s="45">
        <f>IFERROR(VLOOKUP(TRIM(D238), Collection!$B$2:$D$1001, 2, FALSE), "")</f>
        <v/>
      </c>
      <c r="F238" s="48">
        <f>IFERROR(VLOOKUP(TRIM(D238), Collection!$B$2:$D$1001, 3, FALSE), "")</f>
        <v/>
      </c>
      <c r="G238" s="48">
        <f>IFERROR(VALUE(SUBSTITUTE(SUBSTITUTE(F238, "Price", ""), "AED", "")), "")</f>
        <v/>
      </c>
      <c r="H238" s="45" t="inlineStr">
        <is>
          <t>Phone sales Middle East</t>
        </is>
      </c>
      <c r="I238" s="45" t="n">
        <v>92408025</v>
      </c>
      <c r="J238" s="45" t="inlineStr">
        <is>
          <t>Prospect</t>
        </is>
      </c>
      <c r="K238" s="45" t="inlineStr">
        <is>
          <t>SHARIF Maaz</t>
        </is>
      </c>
      <c r="L238" s="45" t="inlineStr">
        <is>
          <t xml:space="preserve"> </t>
        </is>
      </c>
      <c r="M238" s="45">
        <f>IF(COUNTIF($R$3:$R$100, D238) &gt; 0, TRUE, FALSE)</f>
        <v/>
      </c>
    </row>
    <row r="239" ht="31.2" customHeight="1" s="287">
      <c r="A239" s="45" t="inlineStr">
        <is>
          <t>Request</t>
        </is>
      </c>
      <c r="B239" s="45" t="inlineStr">
        <is>
          <t xml:space="preserve"> </t>
        </is>
      </c>
      <c r="C239" s="45" t="inlineStr">
        <is>
          <t>15/1/2025</t>
        </is>
      </c>
      <c r="D239" s="45" t="inlineStr">
        <is>
          <t>4200H/222A-B934</t>
        </is>
      </c>
      <c r="E239" s="45">
        <f>IFERROR(VLOOKUP(TRIM(D239), Collection!$B$2:$D$1001, 2, FALSE), "")</f>
        <v/>
      </c>
      <c r="F239" s="48">
        <f>IFERROR(VLOOKUP(TRIM(D239), Collection!$B$2:$D$1001, 3, FALSE), "")</f>
        <v/>
      </c>
      <c r="G239" s="48">
        <f>IFERROR(VALUE(SUBSTITUTE(SUBSTITUTE(F239, "Price", ""), "AED", "")), "")</f>
        <v/>
      </c>
      <c r="H239" s="45" t="inlineStr">
        <is>
          <t>Phone sales Middle East</t>
        </is>
      </c>
      <c r="I239" s="45" t="n">
        <v>103616558</v>
      </c>
      <c r="J239" s="45" t="inlineStr">
        <is>
          <t>Prospect</t>
        </is>
      </c>
      <c r="K239" s="45" t="inlineStr">
        <is>
          <t>SHARIF Maaz</t>
        </is>
      </c>
      <c r="L239" s="45" t="inlineStr">
        <is>
          <t xml:space="preserve"> </t>
        </is>
      </c>
      <c r="M239" s="45">
        <f>IF(COUNTIF($R$3:$R$100, D239) &gt; 0, TRUE, FALSE)</f>
        <v/>
      </c>
    </row>
    <row r="240" ht="31.2" customHeight="1" s="287">
      <c r="A240" s="45" t="inlineStr">
        <is>
          <t>Request</t>
        </is>
      </c>
      <c r="B240" s="45" t="inlineStr">
        <is>
          <t xml:space="preserve"> </t>
        </is>
      </c>
      <c r="C240" s="45" t="inlineStr">
        <is>
          <t>15/1/2025</t>
        </is>
      </c>
      <c r="D240" s="45" t="inlineStr">
        <is>
          <t>4200H/222A-B934</t>
        </is>
      </c>
      <c r="E240" s="45">
        <f>IFERROR(VLOOKUP(TRIM(D240), Collection!$B$2:$D$1001, 2, FALSE), "")</f>
        <v/>
      </c>
      <c r="F240" s="48">
        <f>IFERROR(VLOOKUP(TRIM(D240), Collection!$B$2:$D$1001, 3, FALSE), "")</f>
        <v/>
      </c>
      <c r="G240" s="48">
        <f>IFERROR(VALUE(SUBSTITUTE(SUBSTITUTE(F240, "Price", ""), "AED", "")), "")</f>
        <v/>
      </c>
      <c r="H240" s="45" t="inlineStr">
        <is>
          <t>Phone sales Middle East</t>
        </is>
      </c>
      <c r="I240" s="45" t="n">
        <v>92397362</v>
      </c>
      <c r="J240" s="45" t="inlineStr">
        <is>
          <t>Prospect</t>
        </is>
      </c>
      <c r="K240" s="45" t="inlineStr">
        <is>
          <t>SHARIF Maaz</t>
        </is>
      </c>
      <c r="L240" s="45" t="inlineStr">
        <is>
          <t xml:space="preserve"> </t>
        </is>
      </c>
      <c r="M240" s="45">
        <f>IF(COUNTIF($R$3:$R$100, D240) &gt; 0, TRUE, FALSE)</f>
        <v/>
      </c>
    </row>
    <row r="241" ht="31.2" customHeight="1" s="287">
      <c r="A241" s="45" t="inlineStr">
        <is>
          <t>Request</t>
        </is>
      </c>
      <c r="B241" s="45" t="inlineStr">
        <is>
          <t xml:space="preserve"> </t>
        </is>
      </c>
      <c r="C241" s="45" t="inlineStr">
        <is>
          <t>15/1/2025</t>
        </is>
      </c>
      <c r="D241" s="45" t="inlineStr">
        <is>
          <t>4200H/222A-B934</t>
        </is>
      </c>
      <c r="E241" s="45">
        <f>IFERROR(VLOOKUP(TRIM(D241), Collection!$B$2:$D$1001, 2, FALSE), "")</f>
        <v/>
      </c>
      <c r="F241" s="48">
        <f>IFERROR(VLOOKUP(TRIM(D241), Collection!$B$2:$D$1001, 3, FALSE), "")</f>
        <v/>
      </c>
      <c r="G241" s="48">
        <f>IFERROR(VALUE(SUBSTITUTE(SUBSTITUTE(F241, "Price", ""), "AED", "")), "")</f>
        <v/>
      </c>
      <c r="H241" s="45" t="inlineStr">
        <is>
          <t>Phone sales Middle East</t>
        </is>
      </c>
      <c r="I241" s="45" t="n">
        <v>103591723</v>
      </c>
      <c r="J241" s="45" t="inlineStr">
        <is>
          <t>Prospect</t>
        </is>
      </c>
      <c r="K241" s="45" t="inlineStr">
        <is>
          <t>SHARIF Maaz</t>
        </is>
      </c>
      <c r="L241" s="45" t="inlineStr">
        <is>
          <t xml:space="preserve"> </t>
        </is>
      </c>
      <c r="M241" s="45">
        <f>IF(COUNTIF($R$3:$R$100, D241) &gt; 0, TRUE, FALSE)</f>
        <v/>
      </c>
    </row>
    <row r="242" ht="31.2" customHeight="1" s="287">
      <c r="A242" s="45" t="inlineStr">
        <is>
          <t>Request</t>
        </is>
      </c>
      <c r="B242" s="45" t="inlineStr">
        <is>
          <t xml:space="preserve"> </t>
        </is>
      </c>
      <c r="C242" s="45" t="inlineStr">
        <is>
          <t>15/1/2025</t>
        </is>
      </c>
      <c r="D242" s="45" t="inlineStr">
        <is>
          <t>4200H/222A-B934</t>
        </is>
      </c>
      <c r="E242" s="45">
        <f>IFERROR(VLOOKUP(TRIM(D242), Collection!$B$2:$D$1001, 2, FALSE), "")</f>
        <v/>
      </c>
      <c r="F242" s="48">
        <f>IFERROR(VLOOKUP(TRIM(D242), Collection!$B$2:$D$1001, 3, FALSE), "")</f>
        <v/>
      </c>
      <c r="G242" s="48">
        <f>IFERROR(VALUE(SUBSTITUTE(SUBSTITUTE(F242, "Price", ""), "AED", "")), "")</f>
        <v/>
      </c>
      <c r="H242" s="45" t="inlineStr">
        <is>
          <t>Phone sales Middle East</t>
        </is>
      </c>
      <c r="I242" s="45" t="n">
        <v>92401316</v>
      </c>
      <c r="J242" s="45" t="inlineStr">
        <is>
          <t>Prospect</t>
        </is>
      </c>
      <c r="K242" s="45" t="inlineStr">
        <is>
          <t>SHARIF Maaz</t>
        </is>
      </c>
      <c r="L242" s="45" t="inlineStr">
        <is>
          <t xml:space="preserve"> </t>
        </is>
      </c>
      <c r="M242" s="45">
        <f>IF(COUNTIF($R$3:$R$100, D242) &gt; 0, TRUE, FALSE)</f>
        <v/>
      </c>
    </row>
    <row r="243" ht="31.2" customHeight="1" s="287">
      <c r="A243" s="45" t="inlineStr">
        <is>
          <t>Request</t>
        </is>
      </c>
      <c r="B243" s="45" t="inlineStr">
        <is>
          <t xml:space="preserve"> </t>
        </is>
      </c>
      <c r="C243" s="45" t="inlineStr">
        <is>
          <t>15/1/2025</t>
        </is>
      </c>
      <c r="D243" s="45" t="inlineStr">
        <is>
          <t>4200H/222A-B934</t>
        </is>
      </c>
      <c r="E243" s="45">
        <f>IFERROR(VLOOKUP(TRIM(D243), Collection!$B$2:$D$1001, 2, FALSE), "")</f>
        <v/>
      </c>
      <c r="F243" s="48">
        <f>IFERROR(VLOOKUP(TRIM(D243), Collection!$B$2:$D$1001, 3, FALSE), "")</f>
        <v/>
      </c>
      <c r="G243" s="48">
        <f>IFERROR(VALUE(SUBSTITUTE(SUBSTITUTE(F243, "Price", ""), "AED", "")), "")</f>
        <v/>
      </c>
      <c r="H243" s="45" t="inlineStr">
        <is>
          <t>Phone sales Middle East</t>
        </is>
      </c>
      <c r="I243" s="45" t="n">
        <v>103617256</v>
      </c>
      <c r="J243" s="45" t="inlineStr">
        <is>
          <t>Prospect</t>
        </is>
      </c>
      <c r="K243" s="45" t="inlineStr">
        <is>
          <t>SHARIF Maaz</t>
        </is>
      </c>
      <c r="L243" s="45" t="inlineStr">
        <is>
          <t xml:space="preserve"> </t>
        </is>
      </c>
      <c r="M243" s="45">
        <f>IF(COUNTIF($R$3:$R$100, D243) &gt; 0, TRUE, FALSE)</f>
        <v/>
      </c>
    </row>
    <row r="244" ht="31.2" customHeight="1" s="287">
      <c r="A244" s="45" t="inlineStr">
        <is>
          <t>Request</t>
        </is>
      </c>
      <c r="B244" s="45" t="inlineStr">
        <is>
          <t xml:space="preserve"> </t>
        </is>
      </c>
      <c r="C244" s="45" t="inlineStr">
        <is>
          <t>15/1/2025</t>
        </is>
      </c>
      <c r="D244" s="45" t="inlineStr">
        <is>
          <t>4200H/222A-B934</t>
        </is>
      </c>
      <c r="E244" s="45">
        <f>IFERROR(VLOOKUP(TRIM(D244), Collection!$B$2:$D$1001, 2, FALSE), "")</f>
        <v/>
      </c>
      <c r="F244" s="48">
        <f>IFERROR(VLOOKUP(TRIM(D244), Collection!$B$2:$D$1001, 3, FALSE), "")</f>
        <v/>
      </c>
      <c r="G244" s="48">
        <f>IFERROR(VALUE(SUBSTITUTE(SUBSTITUTE(F244, "Price", ""), "AED", "")), "")</f>
        <v/>
      </c>
      <c r="H244" s="45" t="inlineStr">
        <is>
          <t>Phone sales Middle East</t>
        </is>
      </c>
      <c r="I244" s="45" t="n">
        <v>103616653</v>
      </c>
      <c r="J244" s="45" t="inlineStr">
        <is>
          <t>Prospect</t>
        </is>
      </c>
      <c r="K244" s="45" t="inlineStr">
        <is>
          <t>SHARIF Maaz</t>
        </is>
      </c>
      <c r="L244" s="45" t="inlineStr">
        <is>
          <t xml:space="preserve"> </t>
        </is>
      </c>
      <c r="M244" s="45">
        <f>IF(COUNTIF($R$3:$R$100, D244) &gt; 0, TRUE, FALSE)</f>
        <v/>
      </c>
    </row>
    <row r="245" ht="31.2" customHeight="1" s="287">
      <c r="A245" s="45" t="inlineStr">
        <is>
          <t>Request</t>
        </is>
      </c>
      <c r="B245" s="45" t="inlineStr">
        <is>
          <t xml:space="preserve"> </t>
        </is>
      </c>
      <c r="C245" s="45" t="inlineStr">
        <is>
          <t>15/1/2025</t>
        </is>
      </c>
      <c r="D245" s="45" t="inlineStr">
        <is>
          <t>4200H/222A-B934</t>
        </is>
      </c>
      <c r="E245" s="45">
        <f>IFERROR(VLOOKUP(TRIM(D245), Collection!$B$2:$D$1001, 2, FALSE), "")</f>
        <v/>
      </c>
      <c r="F245" s="48">
        <f>IFERROR(VLOOKUP(TRIM(D245), Collection!$B$2:$D$1001, 3, FALSE), "")</f>
        <v/>
      </c>
      <c r="G245" s="48">
        <f>IFERROR(VALUE(SUBSTITUTE(SUBSTITUTE(F245, "Price", ""), "AED", "")), "")</f>
        <v/>
      </c>
      <c r="H245" s="45" t="inlineStr">
        <is>
          <t>Phone sales Middle East</t>
        </is>
      </c>
      <c r="I245" s="45" t="n">
        <v>103620663</v>
      </c>
      <c r="J245" s="45" t="inlineStr">
        <is>
          <t>Prospect</t>
        </is>
      </c>
      <c r="K245" s="45" t="inlineStr">
        <is>
          <t>SHARIF Maaz</t>
        </is>
      </c>
      <c r="L245" s="45" t="inlineStr">
        <is>
          <t xml:space="preserve"> </t>
        </is>
      </c>
      <c r="M245" s="45">
        <f>IF(COUNTIF($R$3:$R$100, D245) &gt; 0, TRUE, FALSE)</f>
        <v/>
      </c>
    </row>
    <row r="246" ht="31.2" customHeight="1" s="287">
      <c r="A246" s="45" t="inlineStr">
        <is>
          <t>Request</t>
        </is>
      </c>
      <c r="B246" s="45" t="inlineStr">
        <is>
          <t xml:space="preserve"> </t>
        </is>
      </c>
      <c r="C246" s="45" t="inlineStr">
        <is>
          <t>15/1/2025</t>
        </is>
      </c>
      <c r="D246" s="45" t="inlineStr">
        <is>
          <t>4200H/222A-B934</t>
        </is>
      </c>
      <c r="E246" s="45">
        <f>IFERROR(VLOOKUP(TRIM(D246), Collection!$B$2:$D$1001, 2, FALSE), "")</f>
        <v/>
      </c>
      <c r="F246" s="48">
        <f>IFERROR(VLOOKUP(TRIM(D246), Collection!$B$2:$D$1001, 3, FALSE), "")</f>
        <v/>
      </c>
      <c r="G246" s="48">
        <f>IFERROR(VALUE(SUBSTITUTE(SUBSTITUTE(F246, "Price", ""), "AED", "")), "")</f>
        <v/>
      </c>
      <c r="H246" s="45" t="inlineStr">
        <is>
          <t>Phone sales Middle East</t>
        </is>
      </c>
      <c r="I246" s="45" t="n">
        <v>103621182</v>
      </c>
      <c r="J246" s="45" t="inlineStr">
        <is>
          <t>Prospect</t>
        </is>
      </c>
      <c r="K246" s="45" t="inlineStr">
        <is>
          <t>SHARIF Maaz</t>
        </is>
      </c>
      <c r="L246" s="45" t="inlineStr">
        <is>
          <t xml:space="preserve"> </t>
        </is>
      </c>
      <c r="M246" s="45">
        <f>IF(COUNTIF($R$3:$R$100, D246) &gt; 0, TRUE, FALSE)</f>
        <v/>
      </c>
    </row>
    <row r="247" ht="31.2" customHeight="1" s="287">
      <c r="A247" s="45" t="inlineStr">
        <is>
          <t>Request</t>
        </is>
      </c>
      <c r="B247" s="45" t="inlineStr">
        <is>
          <t xml:space="preserve"> </t>
        </is>
      </c>
      <c r="C247" s="45" t="inlineStr">
        <is>
          <t>15/1/2025</t>
        </is>
      </c>
      <c r="D247" s="45" t="inlineStr">
        <is>
          <t>4200H/222A-B934</t>
        </is>
      </c>
      <c r="E247" s="45">
        <f>IFERROR(VLOOKUP(TRIM(D247), Collection!$B$2:$D$1001, 2, FALSE), "")</f>
        <v/>
      </c>
      <c r="F247" s="48">
        <f>IFERROR(VLOOKUP(TRIM(D247), Collection!$B$2:$D$1001, 3, FALSE), "")</f>
        <v/>
      </c>
      <c r="G247" s="48">
        <f>IFERROR(VALUE(SUBSTITUTE(SUBSTITUTE(F247, "Price", ""), "AED", "")), "")</f>
        <v/>
      </c>
      <c r="H247" s="45" t="inlineStr">
        <is>
          <t>Phone sales Middle East</t>
        </is>
      </c>
      <c r="I247" s="45" t="n">
        <v>103620632</v>
      </c>
      <c r="J247" s="45" t="inlineStr">
        <is>
          <t>Prospect</t>
        </is>
      </c>
      <c r="K247" s="45" t="inlineStr">
        <is>
          <t>SHARIF Maaz</t>
        </is>
      </c>
      <c r="L247" s="45" t="inlineStr">
        <is>
          <t xml:space="preserve"> </t>
        </is>
      </c>
      <c r="M247" s="45">
        <f>IF(COUNTIF($R$3:$R$100, D247) &gt; 0, TRUE, FALSE)</f>
        <v/>
      </c>
    </row>
    <row r="248" ht="31.2" customHeight="1" s="287">
      <c r="A248" s="45" t="inlineStr">
        <is>
          <t>Request</t>
        </is>
      </c>
      <c r="B248" s="45" t="inlineStr">
        <is>
          <t xml:space="preserve"> </t>
        </is>
      </c>
      <c r="C248" s="45" t="inlineStr">
        <is>
          <t>15/1/2025</t>
        </is>
      </c>
      <c r="D248" s="45" t="inlineStr">
        <is>
          <t>4200H/222A-B934</t>
        </is>
      </c>
      <c r="E248" s="45">
        <f>IFERROR(VLOOKUP(TRIM(D248), Collection!$B$2:$D$1001, 2, FALSE), "")</f>
        <v/>
      </c>
      <c r="F248" s="48">
        <f>IFERROR(VLOOKUP(TRIM(D248), Collection!$B$2:$D$1001, 3, FALSE), "")</f>
        <v/>
      </c>
      <c r="G248" s="48">
        <f>IFERROR(VALUE(SUBSTITUTE(SUBSTITUTE(F248, "Price", ""), "AED", "")), "")</f>
        <v/>
      </c>
      <c r="H248" s="45" t="inlineStr">
        <is>
          <t>Phone sales Middle East</t>
        </is>
      </c>
      <c r="I248" s="45" t="n">
        <v>92397707</v>
      </c>
      <c r="J248" s="45" t="inlineStr">
        <is>
          <t>Prospect</t>
        </is>
      </c>
      <c r="K248" s="45" t="inlineStr">
        <is>
          <t>SHARIF Maaz</t>
        </is>
      </c>
      <c r="L248" s="45" t="inlineStr">
        <is>
          <t xml:space="preserve"> </t>
        </is>
      </c>
      <c r="M248" s="45">
        <f>IF(COUNTIF($R$3:$R$100, D248) &gt; 0, TRUE, FALSE)</f>
        <v/>
      </c>
    </row>
    <row r="249" ht="31.2" customHeight="1" s="287">
      <c r="A249" s="45" t="inlineStr">
        <is>
          <t>Request</t>
        </is>
      </c>
      <c r="B249" s="45" t="inlineStr">
        <is>
          <t xml:space="preserve"> </t>
        </is>
      </c>
      <c r="C249" s="45" t="inlineStr">
        <is>
          <t>15/1/2025</t>
        </is>
      </c>
      <c r="D249" s="45" t="inlineStr">
        <is>
          <t>4200H/222A-B934</t>
        </is>
      </c>
      <c r="E249" s="45">
        <f>IFERROR(VLOOKUP(TRIM(D249), Collection!$B$2:$D$1001, 2, FALSE), "")</f>
        <v/>
      </c>
      <c r="F249" s="48">
        <f>IFERROR(VLOOKUP(TRIM(D249), Collection!$B$2:$D$1001, 3, FALSE), "")</f>
        <v/>
      </c>
      <c r="G249" s="48">
        <f>IFERROR(VALUE(SUBSTITUTE(SUBSTITUTE(F249, "Price", ""), "AED", "")), "")</f>
        <v/>
      </c>
      <c r="H249" s="45" t="inlineStr">
        <is>
          <t>Phone sales Middle East</t>
        </is>
      </c>
      <c r="I249" s="45" t="n">
        <v>92404856</v>
      </c>
      <c r="J249" s="45" t="inlineStr">
        <is>
          <t>Prospect</t>
        </is>
      </c>
      <c r="K249" s="45" t="inlineStr">
        <is>
          <t>SHARIF Maaz</t>
        </is>
      </c>
      <c r="L249" s="45" t="inlineStr">
        <is>
          <t xml:space="preserve"> </t>
        </is>
      </c>
      <c r="M249" s="45">
        <f>IF(COUNTIF($R$3:$R$100, D249) &gt; 0, TRUE, FALSE)</f>
        <v/>
      </c>
    </row>
    <row r="250" ht="31.2" customHeight="1" s="287">
      <c r="A250" s="45" t="inlineStr">
        <is>
          <t>Request</t>
        </is>
      </c>
      <c r="B250" s="45" t="inlineStr">
        <is>
          <t xml:space="preserve"> </t>
        </is>
      </c>
      <c r="C250" s="45" t="inlineStr">
        <is>
          <t>14/1/2025</t>
        </is>
      </c>
      <c r="D250" s="45" t="inlineStr">
        <is>
          <t>4200H/222A-B934</t>
        </is>
      </c>
      <c r="E250" s="45">
        <f>IFERROR(VLOOKUP(TRIM(D250), Collection!$B$2:$D$1001, 2, FALSE), "")</f>
        <v/>
      </c>
      <c r="F250" s="48">
        <f>IFERROR(VLOOKUP(TRIM(D250), Collection!$B$2:$D$1001, 3, FALSE), "")</f>
        <v/>
      </c>
      <c r="G250" s="48">
        <f>IFERROR(VALUE(SUBSTITUTE(SUBSTITUTE(F250, "Price", ""), "AED", "")), "")</f>
        <v/>
      </c>
      <c r="H250" s="45" t="inlineStr">
        <is>
          <t>Phone sales Middle East</t>
        </is>
      </c>
      <c r="I250" s="45" t="n">
        <v>103615698</v>
      </c>
      <c r="J250" s="45" t="inlineStr">
        <is>
          <t>Prospect</t>
        </is>
      </c>
      <c r="K250" s="45" t="inlineStr">
        <is>
          <t>TAHHAN Riham</t>
        </is>
      </c>
      <c r="L250" s="45" t="inlineStr">
        <is>
          <t>The client is a watch collector</t>
        </is>
      </c>
      <c r="M250" s="45">
        <f>IF(COUNTIF($R$3:$R$100, D250) &gt; 0, TRUE, FALSE)</f>
        <v/>
      </c>
    </row>
    <row r="251" ht="31.2" customHeight="1" s="287">
      <c r="A251" s="45" t="inlineStr">
        <is>
          <t>Request</t>
        </is>
      </c>
      <c r="B251" s="45" t="inlineStr">
        <is>
          <t xml:space="preserve"> </t>
        </is>
      </c>
      <c r="C251" s="45" t="inlineStr">
        <is>
          <t>14/1/2025</t>
        </is>
      </c>
      <c r="D251" s="45" t="inlineStr">
        <is>
          <t>4200H/222A-B934</t>
        </is>
      </c>
      <c r="E251" s="45">
        <f>IFERROR(VLOOKUP(TRIM(D251), Collection!$B$2:$D$1001, 2, FALSE), "")</f>
        <v/>
      </c>
      <c r="F251" s="48">
        <f>IFERROR(VLOOKUP(TRIM(D251), Collection!$B$2:$D$1001, 3, FALSE), "")</f>
        <v/>
      </c>
      <c r="G251" s="48">
        <f>IFERROR(VALUE(SUBSTITUTE(SUBSTITUTE(F251, "Price", ""), "AED", "")), "")</f>
        <v/>
      </c>
      <c r="H251" s="45" t="inlineStr">
        <is>
          <t>Phone sales Middle East</t>
        </is>
      </c>
      <c r="I251" s="45" t="n">
        <v>90999799</v>
      </c>
      <c r="J251" s="45" t="inlineStr">
        <is>
          <t>Client</t>
        </is>
      </c>
      <c r="K251" s="45" t="inlineStr">
        <is>
          <t>OMARI Asma</t>
        </is>
      </c>
      <c r="L251" s="45" t="inlineStr">
        <is>
          <t>Mr. Faihan Al Raqas ( 966598444066)</t>
        </is>
      </c>
      <c r="M251" s="45">
        <f>IF(COUNTIF($R$3:$R$100, D251) &gt; 0, TRUE, FALSE)</f>
        <v/>
      </c>
    </row>
    <row r="252" ht="62.4" customHeight="1" s="287">
      <c r="A252" s="45" t="inlineStr">
        <is>
          <t>Request</t>
        </is>
      </c>
      <c r="B252" s="45" t="inlineStr">
        <is>
          <t xml:space="preserve"> </t>
        </is>
      </c>
      <c r="C252" s="45" t="inlineStr">
        <is>
          <t>14/1/2025</t>
        </is>
      </c>
      <c r="D252" s="45" t="inlineStr">
        <is>
          <t>4200H/222A-B934</t>
        </is>
      </c>
      <c r="E252" s="45">
        <f>IFERROR(VLOOKUP(TRIM(D252), Collection!$B$2:$D$1001, 2, FALSE), "")</f>
        <v/>
      </c>
      <c r="F252" s="48">
        <f>IFERROR(VLOOKUP(TRIM(D252), Collection!$B$2:$D$1001, 3, FALSE), "")</f>
        <v/>
      </c>
      <c r="G252" s="48">
        <f>IFERROR(VALUE(SUBSTITUTE(SUBSTITUTE(F252, "Price", ""), "AED", "")), "")</f>
        <v/>
      </c>
      <c r="H252" s="45" t="inlineStr">
        <is>
          <t>Phone sales Middle East</t>
        </is>
      </c>
      <c r="I252" s="45" t="n">
        <v>103437674</v>
      </c>
      <c r="J252" s="45" t="inlineStr">
        <is>
          <t>Prospect</t>
        </is>
      </c>
      <c r="K252" s="45" t="inlineStr">
        <is>
          <t>SHARIF Maaz</t>
        </is>
      </c>
      <c r="L252" s="45" t="inlineStr">
        <is>
          <t>The client is already interested in the 222 and willing to pay in advance</t>
        </is>
      </c>
      <c r="M252" s="45">
        <f>IF(COUNTIF($R$3:$R$100, D252) &gt; 0, TRUE, FALSE)</f>
        <v/>
      </c>
    </row>
    <row r="253" ht="31.2" customHeight="1" s="287">
      <c r="A253" s="45" t="inlineStr">
        <is>
          <t>Request</t>
        </is>
      </c>
      <c r="B253" s="45" t="inlineStr">
        <is>
          <t xml:space="preserve"> </t>
        </is>
      </c>
      <c r="C253" s="45" t="inlineStr">
        <is>
          <t>14/1/2025</t>
        </is>
      </c>
      <c r="D253" s="45" t="inlineStr">
        <is>
          <t>4200H/222A-B934</t>
        </is>
      </c>
      <c r="E253" s="45">
        <f>IFERROR(VLOOKUP(TRIM(D253), Collection!$B$2:$D$1001, 2, FALSE), "")</f>
        <v/>
      </c>
      <c r="F253" s="48">
        <f>IFERROR(VLOOKUP(TRIM(D253), Collection!$B$2:$D$1001, 3, FALSE), "")</f>
        <v/>
      </c>
      <c r="G253" s="48">
        <f>IFERROR(VALUE(SUBSTITUTE(SUBSTITUTE(F253, "Price", ""), "AED", "")), "")</f>
        <v/>
      </c>
      <c r="H253" s="45" t="inlineStr">
        <is>
          <t>Phone sales Middle East</t>
        </is>
      </c>
      <c r="I253" s="45" t="n">
        <v>103531883</v>
      </c>
      <c r="J253" s="45" t="inlineStr">
        <is>
          <t>Prospect</t>
        </is>
      </c>
      <c r="K253" s="45" t="inlineStr">
        <is>
          <t>SHARIF Maaz</t>
        </is>
      </c>
      <c r="L253" s="45" t="inlineStr">
        <is>
          <t>the client is very intrested</t>
        </is>
      </c>
      <c r="M253" s="45">
        <f>IF(COUNTIF($R$3:$R$100, D253) &gt; 0, TRUE, FALSE)</f>
        <v/>
      </c>
    </row>
    <row r="254" ht="31.2" customHeight="1" s="287">
      <c r="A254" s="45" t="inlineStr">
        <is>
          <t>Request</t>
        </is>
      </c>
      <c r="B254" s="45" t="inlineStr">
        <is>
          <t xml:space="preserve"> </t>
        </is>
      </c>
      <c r="C254" s="45" t="inlineStr">
        <is>
          <t>14/1/2025</t>
        </is>
      </c>
      <c r="D254" s="45" t="inlineStr">
        <is>
          <t>4200H/222A-B934</t>
        </is>
      </c>
      <c r="E254" s="45">
        <f>IFERROR(VLOOKUP(TRIM(D254), Collection!$B$2:$D$1001, 2, FALSE), "")</f>
        <v/>
      </c>
      <c r="F254" s="48">
        <f>IFERROR(VLOOKUP(TRIM(D254), Collection!$B$2:$D$1001, 3, FALSE), "")</f>
        <v/>
      </c>
      <c r="G254" s="48">
        <f>IFERROR(VALUE(SUBSTITUTE(SUBSTITUTE(F254, "Price", ""), "AED", "")), "")</f>
        <v/>
      </c>
      <c r="H254" s="45" t="inlineStr">
        <is>
          <t>Phone sales Middle East</t>
        </is>
      </c>
      <c r="I254" s="45" t="n">
        <v>101466987</v>
      </c>
      <c r="J254" s="45" t="inlineStr">
        <is>
          <t>Prospect</t>
        </is>
      </c>
      <c r="K254" s="45" t="inlineStr">
        <is>
          <t>TAHHAN Riham</t>
        </is>
      </c>
      <c r="L254" s="45" t="inlineStr">
        <is>
          <t xml:space="preserve"> </t>
        </is>
      </c>
      <c r="M254" s="45">
        <f>IF(COUNTIF($R$3:$R$100, D254) &gt; 0, TRUE, FALSE)</f>
        <v/>
      </c>
    </row>
    <row r="255" ht="31.2" customHeight="1" s="287">
      <c r="A255" s="45" t="inlineStr">
        <is>
          <t>Request</t>
        </is>
      </c>
      <c r="B255" s="45" t="inlineStr">
        <is>
          <t xml:space="preserve"> </t>
        </is>
      </c>
      <c r="C255" s="45" t="inlineStr">
        <is>
          <t>14/1/2025</t>
        </is>
      </c>
      <c r="D255" s="45" t="inlineStr">
        <is>
          <t>4200H/222A-B934</t>
        </is>
      </c>
      <c r="E255" s="45">
        <f>IFERROR(VLOOKUP(TRIM(D255), Collection!$B$2:$D$1001, 2, FALSE), "")</f>
        <v/>
      </c>
      <c r="F255" s="48">
        <f>IFERROR(VLOOKUP(TRIM(D255), Collection!$B$2:$D$1001, 3, FALSE), "")</f>
        <v/>
      </c>
      <c r="G255" s="48">
        <f>IFERROR(VALUE(SUBSTITUTE(SUBSTITUTE(F255, "Price", ""), "AED", "")), "")</f>
        <v/>
      </c>
      <c r="H255" s="45" t="inlineStr">
        <is>
          <t>Phone sales Middle East</t>
        </is>
      </c>
      <c r="I255" s="45" t="n">
        <v>103615908</v>
      </c>
      <c r="J255" s="45" t="inlineStr">
        <is>
          <t>Prospect</t>
        </is>
      </c>
      <c r="K255" s="45" t="inlineStr">
        <is>
          <t>OMARI Asma</t>
        </is>
      </c>
      <c r="L255" s="45" t="inlineStr">
        <is>
          <t>Mr. Eddy Hourani</t>
        </is>
      </c>
      <c r="M255" s="45">
        <f>IF(COUNTIF($R$3:$R$100, D255) &gt; 0, TRUE, FALSE)</f>
        <v/>
      </c>
    </row>
    <row r="256" ht="31.2" customHeight="1" s="287">
      <c r="A256" s="45" t="inlineStr">
        <is>
          <t>Request</t>
        </is>
      </c>
      <c r="B256" s="45" t="inlineStr">
        <is>
          <t xml:space="preserve"> </t>
        </is>
      </c>
      <c r="C256" s="45" t="inlineStr">
        <is>
          <t>14/1/2025</t>
        </is>
      </c>
      <c r="D256" s="45" t="inlineStr">
        <is>
          <t>4200H/222A-B934</t>
        </is>
      </c>
      <c r="E256" s="45">
        <f>IFERROR(VLOOKUP(TRIM(D256), Collection!$B$2:$D$1001, 2, FALSE), "")</f>
        <v/>
      </c>
      <c r="F256" s="48">
        <f>IFERROR(VLOOKUP(TRIM(D256), Collection!$B$2:$D$1001, 3, FALSE), "")</f>
        <v/>
      </c>
      <c r="G256" s="48">
        <f>IFERROR(VALUE(SUBSTITUTE(SUBSTITUTE(F256, "Price", ""), "AED", "")), "")</f>
        <v/>
      </c>
      <c r="H256" s="45" t="inlineStr">
        <is>
          <t>Phone sales Middle East</t>
        </is>
      </c>
      <c r="I256" s="45" t="n">
        <v>103617827</v>
      </c>
      <c r="J256" s="45" t="inlineStr">
        <is>
          <t>Prospect</t>
        </is>
      </c>
      <c r="K256" s="45" t="inlineStr">
        <is>
          <t>TAHHAN Riham</t>
        </is>
      </c>
      <c r="L256" s="45" t="inlineStr">
        <is>
          <t xml:space="preserve"> </t>
        </is>
      </c>
      <c r="M256" s="45">
        <f>IF(COUNTIF($R$3:$R$100, D256) &gt; 0, TRUE, FALSE)</f>
        <v/>
      </c>
    </row>
    <row r="257" ht="31.2" customHeight="1" s="287">
      <c r="A257" s="45" t="inlineStr">
        <is>
          <t>Request</t>
        </is>
      </c>
      <c r="B257" s="45" t="inlineStr">
        <is>
          <t xml:space="preserve"> </t>
        </is>
      </c>
      <c r="C257" s="45" t="inlineStr">
        <is>
          <t>14/1/2025</t>
        </is>
      </c>
      <c r="D257" s="45" t="inlineStr">
        <is>
          <t>4200H/222A-B934</t>
        </is>
      </c>
      <c r="E257" s="45">
        <f>IFERROR(VLOOKUP(TRIM(D257), Collection!$B$2:$D$1001, 2, FALSE), "")</f>
        <v/>
      </c>
      <c r="F257" s="48">
        <f>IFERROR(VLOOKUP(TRIM(D257), Collection!$B$2:$D$1001, 3, FALSE), "")</f>
        <v/>
      </c>
      <c r="G257" s="48">
        <f>IFERROR(VALUE(SUBSTITUTE(SUBSTITUTE(F257, "Price", ""), "AED", "")), "")</f>
        <v/>
      </c>
      <c r="H257" s="45" t="inlineStr">
        <is>
          <t>Phone sales Middle East</t>
        </is>
      </c>
      <c r="I257" s="45" t="n">
        <v>103616136</v>
      </c>
      <c r="J257" s="45" t="inlineStr">
        <is>
          <t>Prospect</t>
        </is>
      </c>
      <c r="K257" s="45" t="inlineStr">
        <is>
          <t>OMARI Asma</t>
        </is>
      </c>
      <c r="L257" s="45" t="inlineStr">
        <is>
          <t>Mr. Basil Bostami (Client for ksa)</t>
        </is>
      </c>
      <c r="M257" s="45">
        <f>IF(COUNTIF($R$3:$R$100, D257) &gt; 0, TRUE, FALSE)</f>
        <v/>
      </c>
    </row>
    <row r="258" ht="31.2" customHeight="1" s="287">
      <c r="A258" s="45" t="inlineStr">
        <is>
          <t>Request</t>
        </is>
      </c>
      <c r="B258" s="45" t="inlineStr">
        <is>
          <t xml:space="preserve"> </t>
        </is>
      </c>
      <c r="C258" s="45" t="inlineStr">
        <is>
          <t>14/1/2025</t>
        </is>
      </c>
      <c r="D258" s="45" t="inlineStr">
        <is>
          <t>4200H/222A-B934</t>
        </is>
      </c>
      <c r="E258" s="45">
        <f>IFERROR(VLOOKUP(TRIM(D258), Collection!$B$2:$D$1001, 2, FALSE), "")</f>
        <v/>
      </c>
      <c r="F258" s="48">
        <f>IFERROR(VLOOKUP(TRIM(D258), Collection!$B$2:$D$1001, 3, FALSE), "")</f>
        <v/>
      </c>
      <c r="G258" s="48">
        <f>IFERROR(VALUE(SUBSTITUTE(SUBSTITUTE(F258, "Price", ""), "AED", "")), "")</f>
        <v/>
      </c>
      <c r="H258" s="45" t="inlineStr">
        <is>
          <t>Phone sales Middle East</t>
        </is>
      </c>
      <c r="I258" s="45" t="n">
        <v>103616580</v>
      </c>
      <c r="J258" s="45" t="inlineStr">
        <is>
          <t>Prospect</t>
        </is>
      </c>
      <c r="K258" s="45" t="inlineStr">
        <is>
          <t>OMARI Asma</t>
        </is>
      </c>
      <c r="L258" s="45" t="inlineStr">
        <is>
          <t>Mr. Amir Farag</t>
        </is>
      </c>
      <c r="M258" s="45">
        <f>IF(COUNTIF($R$3:$R$100, D258) &gt; 0, TRUE, FALSE)</f>
        <v/>
      </c>
    </row>
    <row r="259" ht="31.2" customHeight="1" s="287">
      <c r="A259" s="45" t="inlineStr">
        <is>
          <t>Request</t>
        </is>
      </c>
      <c r="B259" s="45" t="inlineStr">
        <is>
          <t xml:space="preserve"> </t>
        </is>
      </c>
      <c r="C259" s="45" t="inlineStr">
        <is>
          <t>14/1/2025</t>
        </is>
      </c>
      <c r="D259" s="45" t="inlineStr">
        <is>
          <t>4200H/222A-B934</t>
        </is>
      </c>
      <c r="E259" s="45">
        <f>IFERROR(VLOOKUP(TRIM(D259), Collection!$B$2:$D$1001, 2, FALSE), "")</f>
        <v/>
      </c>
      <c r="F259" s="48">
        <f>IFERROR(VLOOKUP(TRIM(D259), Collection!$B$2:$D$1001, 3, FALSE), "")</f>
        <v/>
      </c>
      <c r="G259" s="48">
        <f>IFERROR(VALUE(SUBSTITUTE(SUBSTITUTE(F259, "Price", ""), "AED", "")), "")</f>
        <v/>
      </c>
      <c r="H259" s="45" t="inlineStr">
        <is>
          <t>Phone sales Middle East</t>
        </is>
      </c>
      <c r="I259" s="45" t="n">
        <v>103615205</v>
      </c>
      <c r="J259" s="45" t="inlineStr">
        <is>
          <t>Prospect</t>
        </is>
      </c>
      <c r="K259" s="45" t="inlineStr">
        <is>
          <t>TAHHAN Riham</t>
        </is>
      </c>
      <c r="L259" s="45" t="inlineStr">
        <is>
          <t>A gift for his father</t>
        </is>
      </c>
      <c r="M259" s="45">
        <f>IF(COUNTIF($R$3:$R$100, D259) &gt; 0, TRUE, FALSE)</f>
        <v/>
      </c>
    </row>
    <row r="260" ht="31.2" customHeight="1" s="287">
      <c r="A260" s="45" t="inlineStr">
        <is>
          <t>Request</t>
        </is>
      </c>
      <c r="B260" s="45" t="inlineStr">
        <is>
          <t xml:space="preserve"> </t>
        </is>
      </c>
      <c r="C260" s="45" t="inlineStr">
        <is>
          <t>14/1/2025</t>
        </is>
      </c>
      <c r="D260" s="45" t="inlineStr">
        <is>
          <t>4200H/222A-B934</t>
        </is>
      </c>
      <c r="E260" s="45">
        <f>IFERROR(VLOOKUP(TRIM(D260), Collection!$B$2:$D$1001, 2, FALSE), "")</f>
        <v/>
      </c>
      <c r="F260" s="48">
        <f>IFERROR(VLOOKUP(TRIM(D260), Collection!$B$2:$D$1001, 3, FALSE), "")</f>
        <v/>
      </c>
      <c r="G260" s="48">
        <f>IFERROR(VALUE(SUBSTITUTE(SUBSTITUTE(F260, "Price", ""), "AED", "")), "")</f>
        <v/>
      </c>
      <c r="H260" s="45" t="inlineStr">
        <is>
          <t>Phone sales Middle East</t>
        </is>
      </c>
      <c r="I260" s="45" t="n">
        <v>92409190</v>
      </c>
      <c r="J260" s="45" t="inlineStr">
        <is>
          <t>Prospect</t>
        </is>
      </c>
      <c r="K260" s="45" t="inlineStr">
        <is>
          <t>TAHHAN Riham</t>
        </is>
      </c>
      <c r="L260" s="45" t="inlineStr">
        <is>
          <t xml:space="preserve"> </t>
        </is>
      </c>
      <c r="M260" s="45">
        <f>IF(COUNTIF($R$3:$R$100, D260) &gt; 0, TRUE, FALSE)</f>
        <v/>
      </c>
    </row>
    <row r="261" ht="31.2" customHeight="1" s="287">
      <c r="A261" s="45" t="inlineStr">
        <is>
          <t>Request</t>
        </is>
      </c>
      <c r="B261" s="45" t="inlineStr">
        <is>
          <t xml:space="preserve"> </t>
        </is>
      </c>
      <c r="C261" s="45" t="inlineStr">
        <is>
          <t>14/1/2025</t>
        </is>
      </c>
      <c r="D261" s="45" t="inlineStr">
        <is>
          <t>4200H/222A-B934</t>
        </is>
      </c>
      <c r="E261" s="45">
        <f>IFERROR(VLOOKUP(TRIM(D261), Collection!$B$2:$D$1001, 2, FALSE), "")</f>
        <v/>
      </c>
      <c r="F261" s="48">
        <f>IFERROR(VLOOKUP(TRIM(D261), Collection!$B$2:$D$1001, 3, FALSE), "")</f>
        <v/>
      </c>
      <c r="G261" s="48">
        <f>IFERROR(VALUE(SUBSTITUTE(SUBSTITUTE(F261, "Price", ""), "AED", "")), "")</f>
        <v/>
      </c>
      <c r="H261" s="45" t="inlineStr">
        <is>
          <t>Phone sales Middle East</t>
        </is>
      </c>
      <c r="I261" s="45" t="n">
        <v>103616562</v>
      </c>
      <c r="J261" s="45" t="inlineStr">
        <is>
          <t>Prospect</t>
        </is>
      </c>
      <c r="K261" s="45" t="inlineStr">
        <is>
          <t>TAHHAN Riham</t>
        </is>
      </c>
      <c r="L261" s="45" t="inlineStr">
        <is>
          <t xml:space="preserve"> </t>
        </is>
      </c>
      <c r="M261" s="45">
        <f>IF(COUNTIF($R$3:$R$100, D261) &gt; 0, TRUE, FALSE)</f>
        <v/>
      </c>
    </row>
    <row r="262" ht="31.2" customHeight="1" s="287">
      <c r="A262" s="45" t="inlineStr">
        <is>
          <t>Request</t>
        </is>
      </c>
      <c r="B262" s="45" t="inlineStr">
        <is>
          <t xml:space="preserve"> </t>
        </is>
      </c>
      <c r="C262" s="45" t="inlineStr">
        <is>
          <t>14/1/2025</t>
        </is>
      </c>
      <c r="D262" s="45" t="inlineStr">
        <is>
          <t>4200H/222A-B934</t>
        </is>
      </c>
      <c r="E262" s="45">
        <f>IFERROR(VLOOKUP(TRIM(D262), Collection!$B$2:$D$1001, 2, FALSE), "")</f>
        <v/>
      </c>
      <c r="F262" s="48">
        <f>IFERROR(VLOOKUP(TRIM(D262), Collection!$B$2:$D$1001, 3, FALSE), "")</f>
        <v/>
      </c>
      <c r="G262" s="48">
        <f>IFERROR(VALUE(SUBSTITUTE(SUBSTITUTE(F262, "Price", ""), "AED", "")), "")</f>
        <v/>
      </c>
      <c r="H262" s="45" t="inlineStr">
        <is>
          <t>Phone sales Middle East</t>
        </is>
      </c>
      <c r="I262" s="45" t="n">
        <v>103616432</v>
      </c>
      <c r="J262" s="45" t="inlineStr">
        <is>
          <t>Prospect</t>
        </is>
      </c>
      <c r="K262" s="45" t="inlineStr">
        <is>
          <t>TAHHAN Riham</t>
        </is>
      </c>
      <c r="L262" s="45" t="inlineStr">
        <is>
          <t xml:space="preserve"> </t>
        </is>
      </c>
      <c r="M262" s="45">
        <f>IF(COUNTIF($R$3:$R$100, D262) &gt; 0, TRUE, FALSE)</f>
        <v/>
      </c>
    </row>
    <row r="263" ht="31.2" customHeight="1" s="287">
      <c r="A263" s="45" t="inlineStr">
        <is>
          <t>Request</t>
        </is>
      </c>
      <c r="B263" s="45" t="inlineStr">
        <is>
          <t xml:space="preserve"> </t>
        </is>
      </c>
      <c r="C263" s="45" t="inlineStr">
        <is>
          <t>14/1/2025</t>
        </is>
      </c>
      <c r="D263" s="45" t="inlineStr">
        <is>
          <t>4200H/222A-B934</t>
        </is>
      </c>
      <c r="E263" s="45">
        <f>IFERROR(VLOOKUP(TRIM(D263), Collection!$B$2:$D$1001, 2, FALSE), "")</f>
        <v/>
      </c>
      <c r="F263" s="48">
        <f>IFERROR(VLOOKUP(TRIM(D263), Collection!$B$2:$D$1001, 3, FALSE), "")</f>
        <v/>
      </c>
      <c r="G263" s="48">
        <f>IFERROR(VALUE(SUBSTITUTE(SUBSTITUTE(F263, "Price", ""), "AED", "")), "")</f>
        <v/>
      </c>
      <c r="H263" s="45" t="inlineStr">
        <is>
          <t>Phone sales Middle East</t>
        </is>
      </c>
      <c r="I263" s="45" t="n">
        <v>103620924</v>
      </c>
      <c r="J263" s="45" t="inlineStr">
        <is>
          <t>Prospect</t>
        </is>
      </c>
      <c r="K263" s="45" t="inlineStr">
        <is>
          <t>TAHHAN Riham</t>
        </is>
      </c>
      <c r="L263" s="45" t="inlineStr">
        <is>
          <t xml:space="preserve"> </t>
        </is>
      </c>
      <c r="M263" s="45">
        <f>IF(COUNTIF($R$3:$R$100, D263) &gt; 0, TRUE, FALSE)</f>
        <v/>
      </c>
    </row>
    <row r="264" ht="31.2" customHeight="1" s="287">
      <c r="A264" s="45" t="inlineStr">
        <is>
          <t>Request</t>
        </is>
      </c>
      <c r="B264" s="45" t="inlineStr">
        <is>
          <t xml:space="preserve"> </t>
        </is>
      </c>
      <c r="C264" s="45" t="inlineStr">
        <is>
          <t>14/1/2025</t>
        </is>
      </c>
      <c r="D264" s="45" t="inlineStr">
        <is>
          <t>4200H/222A-B934</t>
        </is>
      </c>
      <c r="E264" s="45">
        <f>IFERROR(VLOOKUP(TRIM(D264), Collection!$B$2:$D$1001, 2, FALSE), "")</f>
        <v/>
      </c>
      <c r="F264" s="48">
        <f>IFERROR(VLOOKUP(TRIM(D264), Collection!$B$2:$D$1001, 3, FALSE), "")</f>
        <v/>
      </c>
      <c r="G264" s="48">
        <f>IFERROR(VALUE(SUBSTITUTE(SUBSTITUTE(F264, "Price", ""), "AED", "")), "")</f>
        <v/>
      </c>
      <c r="H264" s="45" t="inlineStr">
        <is>
          <t>Phone sales Middle East</t>
        </is>
      </c>
      <c r="I264" s="45" t="n">
        <v>92404476</v>
      </c>
      <c r="J264" s="45" t="inlineStr">
        <is>
          <t>Client</t>
        </is>
      </c>
      <c r="K264" s="45" t="inlineStr">
        <is>
          <t>TAHHAN Riham</t>
        </is>
      </c>
      <c r="L264" s="45" t="inlineStr">
        <is>
          <t xml:space="preserve"> </t>
        </is>
      </c>
      <c r="M264" s="45">
        <f>IF(COUNTIF($R$3:$R$100, D264) &gt; 0, TRUE, FALSE)</f>
        <v/>
      </c>
    </row>
    <row r="265" ht="31.2" customHeight="1" s="287">
      <c r="A265" s="45" t="inlineStr">
        <is>
          <t>Request</t>
        </is>
      </c>
      <c r="B265" s="45" t="inlineStr">
        <is>
          <t xml:space="preserve"> </t>
        </is>
      </c>
      <c r="C265" s="45" t="inlineStr">
        <is>
          <t>14/1/2025</t>
        </is>
      </c>
      <c r="D265" s="45" t="inlineStr">
        <is>
          <t>4200H/222A-B934</t>
        </is>
      </c>
      <c r="E265" s="45">
        <f>IFERROR(VLOOKUP(TRIM(D265), Collection!$B$2:$D$1001, 2, FALSE), "")</f>
        <v/>
      </c>
      <c r="F265" s="48">
        <f>IFERROR(VLOOKUP(TRIM(D265), Collection!$B$2:$D$1001, 3, FALSE), "")</f>
        <v/>
      </c>
      <c r="G265" s="48">
        <f>IFERROR(VALUE(SUBSTITUTE(SUBSTITUTE(F265, "Price", ""), "AED", "")), "")</f>
        <v/>
      </c>
      <c r="H265" s="45" t="inlineStr">
        <is>
          <t>Phone sales Middle East</t>
        </is>
      </c>
      <c r="I265" s="45" t="n">
        <v>103531883</v>
      </c>
      <c r="J265" s="45" t="inlineStr">
        <is>
          <t>Prospect</t>
        </is>
      </c>
      <c r="K265" s="45" t="inlineStr">
        <is>
          <t>SHARIF Maaz</t>
        </is>
      </c>
      <c r="L265" s="45" t="inlineStr">
        <is>
          <t>Cllient is very interested</t>
        </is>
      </c>
      <c r="M265" s="45">
        <f>IF(COUNTIF($R$3:$R$100, D265) &gt; 0, TRUE, FALSE)</f>
        <v/>
      </c>
    </row>
    <row r="266" ht="31.2" customHeight="1" s="287">
      <c r="A266" s="45" t="inlineStr">
        <is>
          <t>Request</t>
        </is>
      </c>
      <c r="B266" s="45" t="inlineStr">
        <is>
          <t xml:space="preserve"> </t>
        </is>
      </c>
      <c r="C266" s="45" t="inlineStr">
        <is>
          <t>14/1/2025</t>
        </is>
      </c>
      <c r="D266" s="45" t="inlineStr">
        <is>
          <t>4200H/222A-B934</t>
        </is>
      </c>
      <c r="E266" s="45">
        <f>IFERROR(VLOOKUP(TRIM(D266), Collection!$B$2:$D$1001, 2, FALSE), "")</f>
        <v/>
      </c>
      <c r="F266" s="48">
        <f>IFERROR(VLOOKUP(TRIM(D266), Collection!$B$2:$D$1001, 3, FALSE), "")</f>
        <v/>
      </c>
      <c r="G266" s="48">
        <f>IFERROR(VALUE(SUBSTITUTE(SUBSTITUTE(F266, "Price", ""), "AED", "")), "")</f>
        <v/>
      </c>
      <c r="H266" s="45" t="inlineStr">
        <is>
          <t>Phone sales Middle East</t>
        </is>
      </c>
      <c r="I266" s="45" t="n">
        <v>92406536</v>
      </c>
      <c r="J266" s="45" t="inlineStr">
        <is>
          <t>Prospect</t>
        </is>
      </c>
      <c r="K266" s="45" t="inlineStr">
        <is>
          <t>SHARIF Maaz</t>
        </is>
      </c>
      <c r="L266" s="45" t="inlineStr">
        <is>
          <t xml:space="preserve"> </t>
        </is>
      </c>
      <c r="M266" s="45">
        <f>IF(COUNTIF($R$3:$R$100, D266) &gt; 0, TRUE, FALSE)</f>
        <v/>
      </c>
    </row>
    <row r="267" ht="31.2" customHeight="1" s="287">
      <c r="A267" s="45" t="inlineStr">
        <is>
          <t>Request</t>
        </is>
      </c>
      <c r="B267" s="45" t="inlineStr">
        <is>
          <t xml:space="preserve"> </t>
        </is>
      </c>
      <c r="C267" s="45" t="inlineStr">
        <is>
          <t>14/1/2025</t>
        </is>
      </c>
      <c r="D267" s="45" t="inlineStr">
        <is>
          <t>4200H/222A-B934</t>
        </is>
      </c>
      <c r="E267" s="45">
        <f>IFERROR(VLOOKUP(TRIM(D267), Collection!$B$2:$D$1001, 2, FALSE), "")</f>
        <v/>
      </c>
      <c r="F267" s="48">
        <f>IFERROR(VLOOKUP(TRIM(D267), Collection!$B$2:$D$1001, 3, FALSE), "")</f>
        <v/>
      </c>
      <c r="G267" s="48">
        <f>IFERROR(VALUE(SUBSTITUTE(SUBSTITUTE(F267, "Price", ""), "AED", "")), "")</f>
        <v/>
      </c>
      <c r="H267" s="45" t="inlineStr">
        <is>
          <t>Phone sales Middle East</t>
        </is>
      </c>
      <c r="I267" s="45" t="n">
        <v>103620484</v>
      </c>
      <c r="J267" s="45" t="inlineStr">
        <is>
          <t>Prospect</t>
        </is>
      </c>
      <c r="K267" s="45" t="inlineStr">
        <is>
          <t>SHARIF Maaz</t>
        </is>
      </c>
      <c r="L267" s="45" t="inlineStr">
        <is>
          <t xml:space="preserve"> </t>
        </is>
      </c>
      <c r="M267" s="45">
        <f>IF(COUNTIF($R$3:$R$100, D267) &gt; 0, TRUE, FALSE)</f>
        <v/>
      </c>
    </row>
    <row r="268" ht="31.2" customHeight="1" s="287">
      <c r="A268" s="45" t="inlineStr">
        <is>
          <t>Request</t>
        </is>
      </c>
      <c r="B268" s="45" t="inlineStr">
        <is>
          <t xml:space="preserve"> </t>
        </is>
      </c>
      <c r="C268" s="45" t="inlineStr">
        <is>
          <t>14/1/2025</t>
        </is>
      </c>
      <c r="D268" s="45" t="inlineStr">
        <is>
          <t>4200H/222A-B934</t>
        </is>
      </c>
      <c r="E268" s="45">
        <f>IFERROR(VLOOKUP(TRIM(D268), Collection!$B$2:$D$1001, 2, FALSE), "")</f>
        <v/>
      </c>
      <c r="F268" s="48">
        <f>IFERROR(VLOOKUP(TRIM(D268), Collection!$B$2:$D$1001, 3, FALSE), "")</f>
        <v/>
      </c>
      <c r="G268" s="48">
        <f>IFERROR(VALUE(SUBSTITUTE(SUBSTITUTE(F268, "Price", ""), "AED", "")), "")</f>
        <v/>
      </c>
      <c r="H268" s="45" t="inlineStr">
        <is>
          <t>Phone sales Middle East</t>
        </is>
      </c>
      <c r="I268" s="45" t="n">
        <v>103631902</v>
      </c>
      <c r="J268" s="45" t="inlineStr">
        <is>
          <t>Prospect</t>
        </is>
      </c>
      <c r="K268" s="45" t="inlineStr">
        <is>
          <t>SHARIF Maaz</t>
        </is>
      </c>
      <c r="L268" s="45" t="inlineStr">
        <is>
          <t xml:space="preserve"> </t>
        </is>
      </c>
      <c r="M268" s="45">
        <f>IF(COUNTIF($R$3:$R$100, D268) &gt; 0, TRUE, FALSE)</f>
        <v/>
      </c>
    </row>
    <row r="269" ht="31.2" customHeight="1" s="287">
      <c r="A269" s="45" t="inlineStr">
        <is>
          <t>Request</t>
        </is>
      </c>
      <c r="B269" s="45" t="inlineStr">
        <is>
          <t xml:space="preserve"> </t>
        </is>
      </c>
      <c r="C269" s="45" t="inlineStr">
        <is>
          <t>14/1/2025</t>
        </is>
      </c>
      <c r="D269" s="45" t="inlineStr">
        <is>
          <t>4200H/222A-B934</t>
        </is>
      </c>
      <c r="E269" s="45">
        <f>IFERROR(VLOOKUP(TRIM(D269), Collection!$B$2:$D$1001, 2, FALSE), "")</f>
        <v/>
      </c>
      <c r="F269" s="48">
        <f>IFERROR(VLOOKUP(TRIM(D269), Collection!$B$2:$D$1001, 3, FALSE), "")</f>
        <v/>
      </c>
      <c r="G269" s="48">
        <f>IFERROR(VALUE(SUBSTITUTE(SUBSTITUTE(F269, "Price", ""), "AED", "")), "")</f>
        <v/>
      </c>
      <c r="H269" s="45" t="inlineStr">
        <is>
          <t>Phone sales Middle East</t>
        </is>
      </c>
      <c r="I269" s="45" t="n">
        <v>93912121</v>
      </c>
      <c r="J269" s="45" t="inlineStr">
        <is>
          <t>Prospect</t>
        </is>
      </c>
      <c r="K269" s="45" t="inlineStr">
        <is>
          <t>SHARIF Maaz</t>
        </is>
      </c>
      <c r="L269" s="45" t="inlineStr">
        <is>
          <t xml:space="preserve"> </t>
        </is>
      </c>
      <c r="M269" s="45">
        <f>IF(COUNTIF($R$3:$R$100, D269) &gt; 0, TRUE, FALSE)</f>
        <v/>
      </c>
    </row>
    <row r="270" ht="31.2" customHeight="1" s="287">
      <c r="A270" s="45" t="inlineStr">
        <is>
          <t>Request</t>
        </is>
      </c>
      <c r="B270" s="45" t="inlineStr">
        <is>
          <t xml:space="preserve"> </t>
        </is>
      </c>
      <c r="C270" s="45" t="inlineStr">
        <is>
          <t>14/1/2025</t>
        </is>
      </c>
      <c r="D270" s="45" t="inlineStr">
        <is>
          <t>4200H/222A-B934</t>
        </is>
      </c>
      <c r="E270" s="45">
        <f>IFERROR(VLOOKUP(TRIM(D270), Collection!$B$2:$D$1001, 2, FALSE), "")</f>
        <v/>
      </c>
      <c r="F270" s="48">
        <f>IFERROR(VLOOKUP(TRIM(D270), Collection!$B$2:$D$1001, 3, FALSE), "")</f>
        <v/>
      </c>
      <c r="G270" s="48">
        <f>IFERROR(VALUE(SUBSTITUTE(SUBSTITUTE(F270, "Price", ""), "AED", "")), "")</f>
        <v/>
      </c>
      <c r="H270" s="45" t="inlineStr">
        <is>
          <t>Phone sales Middle East</t>
        </is>
      </c>
      <c r="I270" s="45" t="n">
        <v>103617256</v>
      </c>
      <c r="J270" s="45" t="inlineStr">
        <is>
          <t>Prospect</t>
        </is>
      </c>
      <c r="K270" s="45" t="inlineStr">
        <is>
          <t>SHARIF Maaz</t>
        </is>
      </c>
      <c r="L270" s="45" t="inlineStr">
        <is>
          <t xml:space="preserve"> </t>
        </is>
      </c>
      <c r="M270" s="45">
        <f>IF(COUNTIF($R$3:$R$100, D270) &gt; 0, TRUE, FALSE)</f>
        <v/>
      </c>
    </row>
    <row r="271" ht="31.2" customHeight="1" s="287">
      <c r="A271" s="45" t="inlineStr">
        <is>
          <t>Request</t>
        </is>
      </c>
      <c r="B271" s="45" t="inlineStr">
        <is>
          <t xml:space="preserve"> </t>
        </is>
      </c>
      <c r="C271" s="45" t="inlineStr">
        <is>
          <t>14/1/2025</t>
        </is>
      </c>
      <c r="D271" s="45" t="inlineStr">
        <is>
          <t>4200H/222A-B934</t>
        </is>
      </c>
      <c r="E271" s="45">
        <f>IFERROR(VLOOKUP(TRIM(D271), Collection!$B$2:$D$1001, 2, FALSE), "")</f>
        <v/>
      </c>
      <c r="F271" s="48">
        <f>IFERROR(VLOOKUP(TRIM(D271), Collection!$B$2:$D$1001, 3, FALSE), "")</f>
        <v/>
      </c>
      <c r="G271" s="48">
        <f>IFERROR(VALUE(SUBSTITUTE(SUBSTITUTE(F271, "Price", ""), "AED", "")), "")</f>
        <v/>
      </c>
      <c r="H271" s="45" t="inlineStr">
        <is>
          <t>Phone sales Middle East</t>
        </is>
      </c>
      <c r="I271" s="45" t="n">
        <v>103634777</v>
      </c>
      <c r="J271" s="45" t="inlineStr">
        <is>
          <t>Prospect</t>
        </is>
      </c>
      <c r="K271" s="45" t="inlineStr">
        <is>
          <t>SHARIF Maaz</t>
        </is>
      </c>
      <c r="L271" s="45" t="inlineStr">
        <is>
          <t xml:space="preserve"> </t>
        </is>
      </c>
      <c r="M271" s="45">
        <f>IF(COUNTIF($R$3:$R$100, D271) &gt; 0, TRUE, FALSE)</f>
        <v/>
      </c>
    </row>
    <row r="272" ht="93.59999999999999" customHeight="1" s="287">
      <c r="A272" s="45" t="inlineStr">
        <is>
          <t>Request</t>
        </is>
      </c>
      <c r="B272" s="45" t="inlineStr">
        <is>
          <t xml:space="preserve"> </t>
        </is>
      </c>
      <c r="C272" s="46" t="n">
        <v>45962</v>
      </c>
      <c r="D272" s="45" t="inlineStr">
        <is>
          <t>7920V/210A-B334</t>
        </is>
      </c>
      <c r="E272" s="45">
        <f>IFERROR(VLOOKUP(TRIM(D272), Collection!$B$2:$D$1001, 2, FALSE), "")</f>
        <v/>
      </c>
      <c r="F272" s="48">
        <f>IFERROR(VLOOKUP(TRIM(D272), Collection!$B$2:$D$1001, 3, FALSE), "")</f>
        <v/>
      </c>
      <c r="G272" s="48">
        <f>IFERROR(VALUE(SUBSTITUTE(SUBSTITUTE(F272, "Price", ""), "AED", "")), "")</f>
        <v/>
      </c>
      <c r="H272" s="45" t="inlineStr">
        <is>
          <t>Phone sales Middle East</t>
        </is>
      </c>
      <c r="I272" s="45" t="n">
        <v>103576190</v>
      </c>
      <c r="J272" s="45" t="inlineStr">
        <is>
          <t>Prospect</t>
        </is>
      </c>
      <c r="K272" s="45" t="inlineStr">
        <is>
          <t>SHARIF Maaz</t>
        </is>
      </c>
      <c r="L272" s="45" t="inlineStr">
        <is>
          <t>The client showed interest in the Dual Time and he will be visiting Geneva from 5 of Feb until the 7th Feb 2025</t>
        </is>
      </c>
      <c r="M272" s="45">
        <f>IF(COUNTIF($R$3:$R$100, D272) &gt; 0, TRUE, FALSE)</f>
        <v/>
      </c>
    </row>
    <row r="273" ht="31.2" customHeight="1" s="287">
      <c r="A273" s="45" t="inlineStr">
        <is>
          <t>Request</t>
        </is>
      </c>
      <c r="B273" s="45" t="inlineStr">
        <is>
          <t xml:space="preserve"> </t>
        </is>
      </c>
      <c r="C273" s="46" t="n">
        <v>45931</v>
      </c>
      <c r="D273" s="45" t="inlineStr">
        <is>
          <t>4600E/000A-B442</t>
        </is>
      </c>
      <c r="E273" s="45">
        <f>IFERROR(VLOOKUP(TRIM(D273), Collection!$B$2:$D$1001, 2, FALSE), "")</f>
        <v/>
      </c>
      <c r="F273" s="48">
        <f>IFERROR(VLOOKUP(TRIM(D273), Collection!$B$2:$D$1001, 3, FALSE), "")</f>
        <v/>
      </c>
      <c r="G273" s="48">
        <f>IFERROR(VALUE(SUBSTITUTE(SUBSTITUTE(F273, "Price", ""), "AED", "")), "")</f>
        <v/>
      </c>
      <c r="H273" s="45" t="inlineStr">
        <is>
          <t>Phone sales Middle East</t>
        </is>
      </c>
      <c r="I273" s="45" t="n">
        <v>103437674</v>
      </c>
      <c r="J273" s="45" t="inlineStr">
        <is>
          <t>Prospect</t>
        </is>
      </c>
      <c r="K273" s="45" t="inlineStr">
        <is>
          <t>SHARIF Maaz</t>
        </is>
      </c>
      <c r="L273" s="45" t="inlineStr">
        <is>
          <t>The client stated that he will go and try it</t>
        </is>
      </c>
      <c r="M273" s="45">
        <f>IF(COUNTIF($R$3:$R$100, D273) &gt; 0, TRUE, FALSE)</f>
        <v/>
      </c>
    </row>
    <row r="274" ht="31.2" customHeight="1" s="287">
      <c r="A274" s="45" t="inlineStr">
        <is>
          <t>Cancelled</t>
        </is>
      </c>
      <c r="B274" s="45" t="inlineStr">
        <is>
          <t>Cancelled</t>
        </is>
      </c>
      <c r="C274" s="46" t="n">
        <v>45689</v>
      </c>
      <c r="D274" s="45" t="inlineStr">
        <is>
          <t>5520V/210A-B481</t>
        </is>
      </c>
      <c r="E274" s="45">
        <f>IFERROR(VLOOKUP(TRIM(D274), Collection!$B$2:$D$1001, 2, FALSE), "")</f>
        <v/>
      </c>
      <c r="F274" s="48">
        <f>IFERROR(VLOOKUP(TRIM(D274), Collection!$B$2:$D$1001, 3, FALSE), "")</f>
        <v/>
      </c>
      <c r="G274" s="48">
        <f>IFERROR(VALUE(SUBSTITUTE(SUBSTITUTE(F274, "Price", ""), "AED", "")), "")</f>
        <v/>
      </c>
      <c r="H274" s="45" t="inlineStr">
        <is>
          <t>Phone sales Middle East</t>
        </is>
      </c>
      <c r="I274" s="45" t="n">
        <v>103437947</v>
      </c>
      <c r="J274" s="45" t="inlineStr">
        <is>
          <t>Prospect</t>
        </is>
      </c>
      <c r="K274" s="45" t="inlineStr">
        <is>
          <t>OMARI Asma</t>
        </is>
      </c>
      <c r="L274" s="45" t="inlineStr">
        <is>
          <t>Mr. Taylan Sayin</t>
        </is>
      </c>
      <c r="M274" s="45">
        <f>IF(COUNTIF($R$3:$R$100, D274) &gt; 0, TRUE, FALSE)</f>
        <v/>
      </c>
    </row>
    <row r="275" ht="265.2" customHeight="1" s="287">
      <c r="A275" s="45" t="inlineStr">
        <is>
          <t>Request</t>
        </is>
      </c>
      <c r="B275" s="45" t="inlineStr">
        <is>
          <t xml:space="preserve"> </t>
        </is>
      </c>
      <c r="C275" s="46" t="n">
        <v>45689</v>
      </c>
      <c r="D275" s="45" t="inlineStr">
        <is>
          <t>7920V/210A-B334</t>
        </is>
      </c>
      <c r="E275" s="45">
        <f>IFERROR(VLOOKUP(TRIM(D275), Collection!$B$2:$D$1001, 2, FALSE), "")</f>
        <v/>
      </c>
      <c r="F275" s="48">
        <f>IFERROR(VLOOKUP(TRIM(D275), Collection!$B$2:$D$1001, 3, FALSE), "")</f>
        <v/>
      </c>
      <c r="G275" s="48">
        <f>IFERROR(VALUE(SUBSTITUTE(SUBSTITUTE(F275, "Price", ""), "AED", "")), "")</f>
        <v/>
      </c>
      <c r="H275" s="45" t="inlineStr">
        <is>
          <t>Phone sales Middle East</t>
        </is>
      </c>
      <c r="I275" s="45" t="n">
        <v>103437674</v>
      </c>
      <c r="J275" s="45" t="inlineStr">
        <is>
          <t>Prospect</t>
        </is>
      </c>
      <c r="K275" s="45" t="inlineStr">
        <is>
          <t>SHARIF Maaz</t>
        </is>
      </c>
      <c r="L275" s="45" t="inlineStr">
        <is>
          <t>as per the client expressing interest in two models:
- **Overseas Dual Time (Steel)**
- **1921 (40mm and 36mm)**
Mr. Khan described his existing collection, which includes:
- **Omega**
- **Panerai**
- **Vintage Raymond Weil**</t>
        </is>
      </c>
      <c r="M275" s="45">
        <f>IF(COUNTIF($R$3:$R$100, D275) &gt; 0, TRUE, FALSE)</f>
        <v/>
      </c>
    </row>
    <row r="276" ht="62.4" customHeight="1" s="287">
      <c r="A276" s="45" t="inlineStr">
        <is>
          <t>Request</t>
        </is>
      </c>
      <c r="B276" s="45" t="inlineStr">
        <is>
          <t xml:space="preserve"> </t>
        </is>
      </c>
      <c r="C276" s="46" t="n">
        <v>45658</v>
      </c>
      <c r="D276" s="45" t="inlineStr">
        <is>
          <t>7920V/210R-B965</t>
        </is>
      </c>
      <c r="E276" s="45">
        <f>IFERROR(VLOOKUP(TRIM(D276), Collection!$B$2:$D$1001, 2, FALSE), "")</f>
        <v/>
      </c>
      <c r="F276" s="48">
        <f>IFERROR(VLOOKUP(TRIM(D276), Collection!$B$2:$D$1001, 3, FALSE), "")</f>
        <v/>
      </c>
      <c r="G276" s="48">
        <f>IFERROR(VALUE(SUBSTITUTE(SUBSTITUTE(F276, "Price", ""), "AED", "")), "")</f>
        <v/>
      </c>
      <c r="H276" s="45" t="inlineStr">
        <is>
          <t>Phone sales Middle East</t>
        </is>
      </c>
      <c r="I276" s="45" t="n">
        <v>103671316</v>
      </c>
      <c r="J276" s="45" t="inlineStr">
        <is>
          <t>Prospect</t>
        </is>
      </c>
      <c r="K276" s="45" t="inlineStr">
        <is>
          <t>SHARIF Maaz</t>
        </is>
      </c>
      <c r="L276" s="45" t="inlineStr">
        <is>
          <t>The client is interested in the timepeice but still thinking of his budget</t>
        </is>
      </c>
      <c r="M276" s="45">
        <f>IF(COUNTIF($R$3:$R$100, D276) &gt; 0, TRUE, FALSE)</f>
        <v/>
      </c>
    </row>
    <row r="277" ht="31.2" customHeight="1" s="287">
      <c r="A277" s="45" t="inlineStr">
        <is>
          <t>Sold</t>
        </is>
      </c>
      <c r="B277" s="45" t="inlineStr">
        <is>
          <t>Confirmed</t>
        </is>
      </c>
      <c r="C277" s="45" t="inlineStr">
        <is>
          <t>27/12/2024</t>
        </is>
      </c>
      <c r="D277" s="45" t="inlineStr">
        <is>
          <t>5520V/210A-B148</t>
        </is>
      </c>
      <c r="E277" s="45">
        <f>IFERROR(VLOOKUP(TRIM(D277), Collection!$B$2:$D$1001, 2, FALSE), "")</f>
        <v/>
      </c>
      <c r="F277" s="48">
        <f>IFERROR(VLOOKUP(TRIM(D277), Collection!$B$2:$D$1001, 3, FALSE), "")</f>
        <v/>
      </c>
      <c r="G277" s="48">
        <f>IFERROR(VALUE(SUBSTITUTE(SUBSTITUTE(F277, "Price", ""), "AED", "")), "")</f>
        <v/>
      </c>
      <c r="H277" s="45" t="inlineStr">
        <is>
          <t>Phone sales Middle East</t>
        </is>
      </c>
      <c r="I277" s="45" t="n">
        <v>102277427</v>
      </c>
      <c r="J277" s="45" t="inlineStr">
        <is>
          <t>Prospect</t>
        </is>
      </c>
      <c r="K277" s="45" t="inlineStr">
        <is>
          <t>OMARI Asma</t>
        </is>
      </c>
      <c r="L277" s="45" t="inlineStr">
        <is>
          <t>Fida Hussain junjua</t>
        </is>
      </c>
      <c r="M277" s="45">
        <f>IF(COUNTIF($R$3:$R$100, D277) &gt; 0, TRUE, FALSE)</f>
        <v/>
      </c>
    </row>
    <row r="278" ht="31.2" customHeight="1" s="287">
      <c r="A278" s="45" t="inlineStr">
        <is>
          <t>Request</t>
        </is>
      </c>
      <c r="B278" s="45" t="inlineStr">
        <is>
          <t xml:space="preserve"> </t>
        </is>
      </c>
      <c r="C278" s="45" t="inlineStr">
        <is>
          <t>26/12/2024</t>
        </is>
      </c>
      <c r="D278" s="45" t="inlineStr">
        <is>
          <t>4520V/210A-B128</t>
        </is>
      </c>
      <c r="E278" s="45">
        <f>IFERROR(VLOOKUP(TRIM(D278), Collection!$B$2:$D$1001, 2, FALSE), "")</f>
        <v/>
      </c>
      <c r="F278" s="48">
        <f>IFERROR(VLOOKUP(TRIM(D278), Collection!$B$2:$D$1001, 3, FALSE), "")</f>
        <v/>
      </c>
      <c r="G278" s="48">
        <f>IFERROR(VALUE(SUBSTITUTE(SUBSTITUTE(F278, "Price", ""), "AED", "")), "")</f>
        <v/>
      </c>
      <c r="H278" s="45" t="inlineStr">
        <is>
          <t>Phone sales Middle East</t>
        </is>
      </c>
      <c r="I278" s="45" t="n">
        <v>103100862</v>
      </c>
      <c r="J278" s="45" t="inlineStr">
        <is>
          <t>Prospect</t>
        </is>
      </c>
      <c r="K278" s="45" t="inlineStr">
        <is>
          <t>TAHHAN Riham</t>
        </is>
      </c>
      <c r="L278" s="45" t="inlineStr">
        <is>
          <t xml:space="preserve"> </t>
        </is>
      </c>
      <c r="M278" s="45">
        <f>IF(COUNTIF($R$3:$R$100, D278) &gt; 0, TRUE, FALSE)</f>
        <v/>
      </c>
    </row>
    <row r="279" ht="109.2" customHeight="1" s="287">
      <c r="A279" s="45" t="inlineStr">
        <is>
          <t>Request</t>
        </is>
      </c>
      <c r="B279" s="45" t="inlineStr">
        <is>
          <t>Postponed</t>
        </is>
      </c>
      <c r="C279" s="45" t="inlineStr">
        <is>
          <t>26/12/2024</t>
        </is>
      </c>
      <c r="D279" s="45" t="inlineStr">
        <is>
          <t>4520V/210A-B483</t>
        </is>
      </c>
      <c r="E279" s="45">
        <f>IFERROR(VLOOKUP(TRIM(D279), Collection!$B$2:$D$1001, 2, FALSE), "")</f>
        <v/>
      </c>
      <c r="F279" s="48">
        <f>IFERROR(VLOOKUP(TRIM(D279), Collection!$B$2:$D$1001, 3, FALSE), "")</f>
        <v/>
      </c>
      <c r="G279" s="48">
        <f>IFERROR(VALUE(SUBSTITUTE(SUBSTITUTE(F279, "Price", ""), "AED", "")), "")</f>
        <v/>
      </c>
      <c r="H279" s="45" t="inlineStr">
        <is>
          <t>Phone sales Middle East</t>
        </is>
      </c>
      <c r="I279" s="45" t="n">
        <v>99502446</v>
      </c>
      <c r="J279" s="45" t="inlineStr">
        <is>
          <t>Prospect</t>
        </is>
      </c>
      <c r="K279" s="45" t="inlineStr">
        <is>
          <t>TAHHAN Riham</t>
        </is>
      </c>
      <c r="L279" s="45" t="inlineStr">
        <is>
          <t>The client added his interest in Lebanon two years ago but no one contacted him. He is interested in this timepiece and can come to UAE</t>
        </is>
      </c>
      <c r="M279" s="45">
        <f>IF(COUNTIF($R$3:$R$100, D279) &gt; 0, TRUE, FALSE)</f>
        <v/>
      </c>
    </row>
    <row r="280" ht="171.6" customHeight="1" s="287">
      <c r="A280" s="45" t="inlineStr">
        <is>
          <t>Request</t>
        </is>
      </c>
      <c r="B280" s="45" t="inlineStr">
        <is>
          <t>Confirmed</t>
        </is>
      </c>
      <c r="C280" s="45" t="inlineStr">
        <is>
          <t>25/12/2024</t>
        </is>
      </c>
      <c r="D280" s="45" t="inlineStr">
        <is>
          <t>5520V/210A-B148</t>
        </is>
      </c>
      <c r="E280" s="45">
        <f>IFERROR(VLOOKUP(TRIM(D280), Collection!$B$2:$D$1001, 2, FALSE), "")</f>
        <v/>
      </c>
      <c r="F280" s="48">
        <f>IFERROR(VLOOKUP(TRIM(D280), Collection!$B$2:$D$1001, 3, FALSE), "")</f>
        <v/>
      </c>
      <c r="G280" s="48">
        <f>IFERROR(VALUE(SUBSTITUTE(SUBSTITUTE(F280, "Price", ""), "AED", "")), "")</f>
        <v/>
      </c>
      <c r="H280" s="45" t="inlineStr">
        <is>
          <t>Phone sales Middle East</t>
        </is>
      </c>
      <c r="I280" s="45" t="n">
        <v>102505094</v>
      </c>
      <c r="J280" s="45" t="inlineStr">
        <is>
          <t>Prospect</t>
        </is>
      </c>
      <c r="K280" s="45" t="inlineStr">
        <is>
          <t>SHARIF Maaz</t>
        </is>
      </c>
      <c r="L280" s="45" t="inlineStr">
        <is>
          <t>The client wants to purchase the Overseas chronograph 5520V/210A-B148
and has another request for the black one. He wants to try the blue one now and complete the payment</t>
        </is>
      </c>
      <c r="M280" s="45">
        <f>IF(COUNTIF($R$3:$R$100, D280) &gt; 0, TRUE, FALSE)</f>
        <v/>
      </c>
    </row>
    <row r="281" ht="31.2" customHeight="1" s="287">
      <c r="A281" s="45" t="inlineStr">
        <is>
          <t>Request</t>
        </is>
      </c>
      <c r="B281" s="45" t="inlineStr">
        <is>
          <t xml:space="preserve"> </t>
        </is>
      </c>
      <c r="C281" s="45" t="inlineStr">
        <is>
          <t>21/12/2024</t>
        </is>
      </c>
      <c r="D281" s="45" t="inlineStr">
        <is>
          <t>7920V/210A-B334</t>
        </is>
      </c>
      <c r="E281" s="45">
        <f>IFERROR(VLOOKUP(TRIM(D281), Collection!$B$2:$D$1001, 2, FALSE), "")</f>
        <v/>
      </c>
      <c r="F281" s="48">
        <f>IFERROR(VLOOKUP(TRIM(D281), Collection!$B$2:$D$1001, 3, FALSE), "")</f>
        <v/>
      </c>
      <c r="G281" s="48">
        <f>IFERROR(VALUE(SUBSTITUTE(SUBSTITUTE(F281, "Price", ""), "AED", "")), "")</f>
        <v/>
      </c>
      <c r="H281" s="45" t="inlineStr">
        <is>
          <t>Phone sales Middle East</t>
        </is>
      </c>
      <c r="I281" s="45" t="n">
        <v>102928395</v>
      </c>
      <c r="J281" s="45" t="inlineStr">
        <is>
          <t>Prospect</t>
        </is>
      </c>
      <c r="K281" s="45" t="inlineStr">
        <is>
          <t>SHARIF Maaz</t>
        </is>
      </c>
      <c r="L281" s="45" t="inlineStr">
        <is>
          <t>The client is watch collecter</t>
        </is>
      </c>
      <c r="M281" s="45">
        <f>IF(COUNTIF($R$3:$R$100, D281) &gt; 0, TRUE, FALSE)</f>
        <v/>
      </c>
    </row>
    <row r="282" ht="31.2" customHeight="1" s="287">
      <c r="A282" s="45" t="inlineStr">
        <is>
          <t>Request</t>
        </is>
      </c>
      <c r="B282" s="45" t="inlineStr">
        <is>
          <t xml:space="preserve"> </t>
        </is>
      </c>
      <c r="C282" s="45" t="inlineStr">
        <is>
          <t>21/12/2024</t>
        </is>
      </c>
      <c r="D282" s="45" t="inlineStr">
        <is>
          <t>4520V/210A-B128</t>
        </is>
      </c>
      <c r="E282" s="45">
        <f>IFERROR(VLOOKUP(TRIM(D282), Collection!$B$2:$D$1001, 2, FALSE), "")</f>
        <v/>
      </c>
      <c r="F282" s="48">
        <f>IFERROR(VLOOKUP(TRIM(D282), Collection!$B$2:$D$1001, 3, FALSE), "")</f>
        <v/>
      </c>
      <c r="G282" s="48">
        <f>IFERROR(VALUE(SUBSTITUTE(SUBSTITUTE(F282, "Price", ""), "AED", "")), "")</f>
        <v/>
      </c>
      <c r="H282" s="45" t="inlineStr">
        <is>
          <t>Phone sales Middle East</t>
        </is>
      </c>
      <c r="I282" s="45" t="n">
        <v>103124476</v>
      </c>
      <c r="J282" s="45" t="inlineStr">
        <is>
          <t>Prospect</t>
        </is>
      </c>
      <c r="K282" s="45" t="inlineStr">
        <is>
          <t>TAHHAN Riham</t>
        </is>
      </c>
      <c r="L282" s="45" t="inlineStr">
        <is>
          <t xml:space="preserve"> </t>
        </is>
      </c>
      <c r="M282" s="45">
        <f>IF(COUNTIF($R$3:$R$100, D282) &gt; 0, TRUE, FALSE)</f>
        <v/>
      </c>
    </row>
    <row r="283" ht="31.2" customHeight="1" s="287">
      <c r="A283" s="45" t="inlineStr">
        <is>
          <t>Request</t>
        </is>
      </c>
      <c r="B283" s="45" t="inlineStr">
        <is>
          <t xml:space="preserve"> </t>
        </is>
      </c>
      <c r="C283" s="45" t="inlineStr">
        <is>
          <t>20/12/2024</t>
        </is>
      </c>
      <c r="D283" s="45" t="inlineStr">
        <is>
          <t>4520V/210A-B483</t>
        </is>
      </c>
      <c r="E283" s="45">
        <f>IFERROR(VLOOKUP(TRIM(D283), Collection!$B$2:$D$1001, 2, FALSE), "")</f>
        <v/>
      </c>
      <c r="F283" s="48">
        <f>IFERROR(VLOOKUP(TRIM(D283), Collection!$B$2:$D$1001, 3, FALSE), "")</f>
        <v/>
      </c>
      <c r="G283" s="48">
        <f>IFERROR(VALUE(SUBSTITUTE(SUBSTITUTE(F283, "Price", ""), "AED", "")), "")</f>
        <v/>
      </c>
      <c r="H283" s="45" t="inlineStr">
        <is>
          <t>Phone sales Middle East</t>
        </is>
      </c>
      <c r="I283" s="45" t="n">
        <v>102945078</v>
      </c>
      <c r="J283" s="45" t="inlineStr">
        <is>
          <t>Prospect</t>
        </is>
      </c>
      <c r="K283" s="45" t="inlineStr">
        <is>
          <t>TAHHAN Riham</t>
        </is>
      </c>
      <c r="L283" s="45" t="inlineStr">
        <is>
          <t xml:space="preserve"> </t>
        </is>
      </c>
      <c r="M283" s="45">
        <f>IF(COUNTIF($R$3:$R$100, D283) &gt; 0, TRUE, FALSE)</f>
        <v/>
      </c>
    </row>
    <row r="284" ht="46.95" customHeight="1" s="287">
      <c r="A284" s="45" t="inlineStr">
        <is>
          <t>Request</t>
        </is>
      </c>
      <c r="B284" s="45" t="inlineStr">
        <is>
          <t>Postponed</t>
        </is>
      </c>
      <c r="C284" s="45" t="inlineStr">
        <is>
          <t>19/12/2024</t>
        </is>
      </c>
      <c r="D284" s="45" t="inlineStr">
        <is>
          <t>5520V/210A-B481</t>
        </is>
      </c>
      <c r="E284" s="45">
        <f>IFERROR(VLOOKUP(TRIM(D284), Collection!$B$2:$D$1001, 2, FALSE), "")</f>
        <v/>
      </c>
      <c r="F284" s="48">
        <f>IFERROR(VLOOKUP(TRIM(D284), Collection!$B$2:$D$1001, 3, FALSE), "")</f>
        <v/>
      </c>
      <c r="G284" s="48">
        <f>IFERROR(VALUE(SUBSTITUTE(SUBSTITUTE(F284, "Price", ""), "AED", "")), "")</f>
        <v/>
      </c>
      <c r="H284" s="45" t="inlineStr">
        <is>
          <t>Phone sales Middle East</t>
        </is>
      </c>
      <c r="I284" s="45" t="n">
        <v>102505094</v>
      </c>
      <c r="J284" s="45" t="inlineStr">
        <is>
          <t>Prospect</t>
        </is>
      </c>
      <c r="K284" s="45" t="inlineStr">
        <is>
          <t>SHARIF Maaz</t>
        </is>
      </c>
      <c r="L284" s="45" t="inlineStr">
        <is>
          <t>The client would like to be listed for the chronograph</t>
        </is>
      </c>
      <c r="M284" s="45">
        <f>IF(COUNTIF($R$3:$R$100, D284) &gt; 0, TRUE, FALSE)</f>
        <v/>
      </c>
    </row>
    <row r="285" ht="62.4" customHeight="1" s="287">
      <c r="A285" s="45" t="inlineStr">
        <is>
          <t>Request</t>
        </is>
      </c>
      <c r="B285" s="45" t="inlineStr">
        <is>
          <t>Confirmed</t>
        </is>
      </c>
      <c r="C285" s="45" t="inlineStr">
        <is>
          <t>19/12/2024</t>
        </is>
      </c>
      <c r="D285" s="45" t="inlineStr">
        <is>
          <t>7920V/210A-B546</t>
        </is>
      </c>
      <c r="E285" s="45">
        <f>IFERROR(VLOOKUP(TRIM(D285), Collection!$B$2:$D$1001, 2, FALSE), "")</f>
        <v/>
      </c>
      <c r="F285" s="48">
        <f>IFERROR(VLOOKUP(TRIM(D285), Collection!$B$2:$D$1001, 3, FALSE), "")</f>
        <v/>
      </c>
      <c r="G285" s="48">
        <f>IFERROR(VALUE(SUBSTITUTE(SUBSTITUTE(F285, "Price", ""), "AED", "")), "")</f>
        <v/>
      </c>
      <c r="H285" s="45" t="inlineStr">
        <is>
          <t>Phone sales Middle East</t>
        </is>
      </c>
      <c r="I285" s="45" t="n">
        <v>102928395</v>
      </c>
      <c r="J285" s="45" t="inlineStr">
        <is>
          <t>Prospect</t>
        </is>
      </c>
      <c r="K285" s="45" t="inlineStr">
        <is>
          <t>SHARIF Maaz</t>
        </is>
      </c>
      <c r="L285" s="45" t="inlineStr">
        <is>
          <t>The client is a collecter with big interest  on the overseas collection</t>
        </is>
      </c>
      <c r="M285" s="45">
        <f>IF(COUNTIF($R$3:$R$100, D285) &gt; 0, TRUE, FALSE)</f>
        <v/>
      </c>
    </row>
    <row r="286" ht="31.2" customHeight="1" s="287">
      <c r="A286" s="45" t="inlineStr">
        <is>
          <t>Sold</t>
        </is>
      </c>
      <c r="B286" s="45" t="inlineStr">
        <is>
          <t>Confirmed</t>
        </is>
      </c>
      <c r="C286" s="45" t="inlineStr">
        <is>
          <t>19/12/2024</t>
        </is>
      </c>
      <c r="D286" s="45" t="inlineStr">
        <is>
          <t>5520V/210A-B148</t>
        </is>
      </c>
      <c r="E286" s="45">
        <f>IFERROR(VLOOKUP(TRIM(D286), Collection!$B$2:$D$1001, 2, FALSE), "")</f>
        <v/>
      </c>
      <c r="F286" s="48">
        <f>IFERROR(VLOOKUP(TRIM(D286), Collection!$B$2:$D$1001, 3, FALSE), "")</f>
        <v/>
      </c>
      <c r="G286" s="48">
        <f>IFERROR(VALUE(SUBSTITUTE(SUBSTITUTE(F286, "Price", ""), "AED", "")), "")</f>
        <v/>
      </c>
      <c r="H286" s="45" t="inlineStr">
        <is>
          <t>Phone sales Middle East</t>
        </is>
      </c>
      <c r="I286" s="45" t="n">
        <v>102965997</v>
      </c>
      <c r="J286" s="45" t="inlineStr">
        <is>
          <t>Prospect</t>
        </is>
      </c>
      <c r="K286" s="45" t="inlineStr">
        <is>
          <t>TAHHAN Riham</t>
        </is>
      </c>
      <c r="L286" s="45" t="inlineStr">
        <is>
          <t xml:space="preserve"> </t>
        </is>
      </c>
      <c r="M286" s="45">
        <f>IF(COUNTIF($R$3:$R$100, D286) &gt; 0, TRUE, FALSE)</f>
        <v/>
      </c>
    </row>
    <row r="287" ht="62.4" customHeight="1" s="287">
      <c r="A287" s="45" t="inlineStr">
        <is>
          <t>Request</t>
        </is>
      </c>
      <c r="B287" s="45" t="inlineStr">
        <is>
          <t xml:space="preserve"> </t>
        </is>
      </c>
      <c r="C287" s="45" t="inlineStr">
        <is>
          <t>18/12/2024</t>
        </is>
      </c>
      <c r="D287" s="45" t="inlineStr">
        <is>
          <t>4520V/210A-B128</t>
        </is>
      </c>
      <c r="E287" s="45">
        <f>IFERROR(VLOOKUP(TRIM(D287), Collection!$B$2:$D$1001, 2, FALSE), "")</f>
        <v/>
      </c>
      <c r="F287" s="48">
        <f>IFERROR(VLOOKUP(TRIM(D287), Collection!$B$2:$D$1001, 3, FALSE), "")</f>
        <v/>
      </c>
      <c r="G287" s="48">
        <f>IFERROR(VALUE(SUBSTITUTE(SUBSTITUTE(F287, "Price", ""), "AED", "")), "")</f>
        <v/>
      </c>
      <c r="H287" s="45" t="inlineStr">
        <is>
          <t>Phone sales Middle East</t>
        </is>
      </c>
      <c r="I287" s="45" t="n">
        <v>103081456</v>
      </c>
      <c r="J287" s="45" t="inlineStr">
        <is>
          <t>Prospect</t>
        </is>
      </c>
      <c r="K287" s="45" t="inlineStr">
        <is>
          <t>TAHHAN Riham</t>
        </is>
      </c>
      <c r="L287" s="45" t="inlineStr">
        <is>
          <t>The client got promoted recently and would like to get this timepiece.</t>
        </is>
      </c>
      <c r="M287" s="45">
        <f>IF(COUNTIF($R$3:$R$100, D287) &gt; 0, TRUE, FALSE)</f>
        <v/>
      </c>
    </row>
    <row r="288" ht="62.4" customHeight="1" s="287">
      <c r="A288" s="45" t="inlineStr">
        <is>
          <t>Cancelled</t>
        </is>
      </c>
      <c r="B288" s="45" t="inlineStr">
        <is>
          <t>Cancelled</t>
        </is>
      </c>
      <c r="C288" s="45" t="inlineStr">
        <is>
          <t>18/12/2024</t>
        </is>
      </c>
      <c r="D288" s="45" t="inlineStr">
        <is>
          <t>4520V/210R-B967</t>
        </is>
      </c>
      <c r="E288" s="45">
        <f>IFERROR(VLOOKUP(TRIM(D288), Collection!$B$2:$D$1001, 2, FALSE), "")</f>
        <v/>
      </c>
      <c r="F288" s="48">
        <f>IFERROR(VLOOKUP(TRIM(D288), Collection!$B$2:$D$1001, 3, FALSE), "")</f>
        <v/>
      </c>
      <c r="G288" s="48">
        <f>IFERROR(VALUE(SUBSTITUTE(SUBSTITUTE(F288, "Price", ""), "AED", "")), "")</f>
        <v/>
      </c>
      <c r="H288" s="45" t="inlineStr">
        <is>
          <t>Phone sales Middle East</t>
        </is>
      </c>
      <c r="I288" s="45" t="n">
        <v>103058008</v>
      </c>
      <c r="J288" s="45" t="inlineStr">
        <is>
          <t>Prospect</t>
        </is>
      </c>
      <c r="K288" s="45" t="inlineStr">
        <is>
          <t>TAHHAN Riham</t>
        </is>
      </c>
      <c r="L288" s="45" t="inlineStr">
        <is>
          <t>To gift it to his father as a replacement of the 222 steel that he has.</t>
        </is>
      </c>
      <c r="M288" s="45">
        <f>IF(COUNTIF($R$3:$R$100, D288) &gt; 0, TRUE, FALSE)</f>
        <v/>
      </c>
    </row>
    <row r="289" ht="31.2" customHeight="1" s="287">
      <c r="A289" s="45" t="inlineStr">
        <is>
          <t>Cancelled</t>
        </is>
      </c>
      <c r="B289" s="45" t="inlineStr">
        <is>
          <t>Cancelled</t>
        </is>
      </c>
      <c r="C289" s="45" t="inlineStr">
        <is>
          <t>18/12/2024</t>
        </is>
      </c>
      <c r="D289" s="45" t="inlineStr">
        <is>
          <t>4200H/222J-B935</t>
        </is>
      </c>
      <c r="E289" s="45">
        <f>IFERROR(VLOOKUP(TRIM(D289), Collection!$B$2:$D$1001, 2, FALSE), "")</f>
        <v/>
      </c>
      <c r="F289" s="48">
        <f>IFERROR(VLOOKUP(TRIM(D289), Collection!$B$2:$D$1001, 3, FALSE), "")</f>
        <v/>
      </c>
      <c r="G289" s="48">
        <f>IFERROR(VALUE(SUBSTITUTE(SUBSTITUTE(F289, "Price", ""), "AED", "")), "")</f>
        <v/>
      </c>
      <c r="H289" s="45" t="inlineStr">
        <is>
          <t>Phone sales Middle East</t>
        </is>
      </c>
      <c r="I289" s="45" t="n">
        <v>103058008</v>
      </c>
      <c r="J289" s="45" t="inlineStr">
        <is>
          <t>Prospect</t>
        </is>
      </c>
      <c r="K289" s="45" t="inlineStr">
        <is>
          <t>TAHHAN Riham</t>
        </is>
      </c>
      <c r="L289" s="45" t="inlineStr">
        <is>
          <t xml:space="preserve"> </t>
        </is>
      </c>
      <c r="M289" s="45">
        <f>IF(COUNTIF($R$3:$R$100, D289) &gt; 0, TRUE, FALSE)</f>
        <v/>
      </c>
    </row>
    <row r="290" ht="31.2" customHeight="1" s="287">
      <c r="A290" s="45" t="inlineStr">
        <is>
          <t>Cancelled</t>
        </is>
      </c>
      <c r="B290" s="45" t="inlineStr">
        <is>
          <t>Cancelled</t>
        </is>
      </c>
      <c r="C290" s="45" t="inlineStr">
        <is>
          <t>17/12/2024</t>
        </is>
      </c>
      <c r="D290" s="45" t="inlineStr">
        <is>
          <t>4600E/000A-B442</t>
        </is>
      </c>
      <c r="E290" s="45">
        <f>IFERROR(VLOOKUP(TRIM(D290), Collection!$B$2:$D$1001, 2, FALSE), "")</f>
        <v/>
      </c>
      <c r="F290" s="48">
        <f>IFERROR(VLOOKUP(TRIM(D290), Collection!$B$2:$D$1001, 3, FALSE), "")</f>
        <v/>
      </c>
      <c r="G290" s="48">
        <f>IFERROR(VALUE(SUBSTITUTE(SUBSTITUTE(F290, "Price", ""), "AED", "")), "")</f>
        <v/>
      </c>
      <c r="H290" s="45" t="inlineStr">
        <is>
          <t>Phone sales Middle East</t>
        </is>
      </c>
      <c r="I290" s="45" t="n">
        <v>103057654</v>
      </c>
      <c r="J290" s="45" t="inlineStr">
        <is>
          <t>Prospect</t>
        </is>
      </c>
      <c r="K290" s="45" t="inlineStr">
        <is>
          <t>TAHHAN Riham</t>
        </is>
      </c>
      <c r="L290" s="45" t="inlineStr">
        <is>
          <t xml:space="preserve"> </t>
        </is>
      </c>
      <c r="M290" s="45">
        <f>IF(COUNTIF($R$3:$R$100, D290) &gt; 0, TRUE, FALSE)</f>
        <v/>
      </c>
    </row>
    <row r="291" ht="202.95" customHeight="1" s="287">
      <c r="A291" s="45" t="inlineStr">
        <is>
          <t>Request</t>
        </is>
      </c>
      <c r="B291" s="45" t="inlineStr">
        <is>
          <t>Confirmed</t>
        </is>
      </c>
      <c r="C291" s="45" t="inlineStr">
        <is>
          <t>17/12/2024</t>
        </is>
      </c>
      <c r="D291" s="45" t="inlineStr">
        <is>
          <t>4300V/220G-B946</t>
        </is>
      </c>
      <c r="E291" s="45">
        <f>IFERROR(VLOOKUP(TRIM(D291), Collection!$B$2:$D$1001, 2, FALSE), "")</f>
        <v/>
      </c>
      <c r="F291" s="48">
        <f>IFERROR(VLOOKUP(TRIM(D291), Collection!$B$2:$D$1001, 3, FALSE), "")</f>
        <v/>
      </c>
      <c r="G291" s="48">
        <f>IFERROR(VALUE(SUBSTITUTE(SUBSTITUTE(F291, "Price", ""), "AED", "")), "")</f>
        <v/>
      </c>
      <c r="H291" s="45" t="inlineStr">
        <is>
          <t>Phone sales Middle East</t>
        </is>
      </c>
      <c r="I291" s="45" t="n">
        <v>103058741</v>
      </c>
      <c r="J291" s="45" t="inlineStr">
        <is>
          <t>Prospect</t>
        </is>
      </c>
      <c r="K291" s="45" t="inlineStr">
        <is>
          <t>SHARIF Maaz</t>
        </is>
      </c>
      <c r="L291" s="45" t="inlineStr">
        <is>
          <t>The client is of exceptional stature, with deep-rooted connections to family-operated holding companies and a distinguished legacy in multi-generational wealth management, reflecting both influence and enduring financial sophistication.</t>
        </is>
      </c>
      <c r="M291" s="45">
        <f>IF(COUNTIF($R$3:$R$100, D291) &gt; 0, TRUE, FALSE)</f>
        <v/>
      </c>
    </row>
    <row r="292" ht="78" customHeight="1" s="287">
      <c r="A292" s="45" t="inlineStr">
        <is>
          <t>Cancelled</t>
        </is>
      </c>
      <c r="B292" s="45" t="inlineStr">
        <is>
          <t>Cancelled</t>
        </is>
      </c>
      <c r="C292" s="45" t="inlineStr">
        <is>
          <t>14/12/2024</t>
        </is>
      </c>
      <c r="D292" s="45" t="inlineStr">
        <is>
          <t>7920V/210A-B334</t>
        </is>
      </c>
      <c r="E292" s="45">
        <f>IFERROR(VLOOKUP(TRIM(D292), Collection!$B$2:$D$1001, 2, FALSE), "")</f>
        <v/>
      </c>
      <c r="F292" s="48">
        <f>IFERROR(VLOOKUP(TRIM(D292), Collection!$B$2:$D$1001, 3, FALSE), "")</f>
        <v/>
      </c>
      <c r="G292" s="48">
        <f>IFERROR(VALUE(SUBSTITUTE(SUBSTITUTE(F292, "Price", ""), "AED", "")), "")</f>
        <v/>
      </c>
      <c r="H292" s="45" t="inlineStr">
        <is>
          <t>Phone sales Middle East</t>
        </is>
      </c>
      <c r="I292" s="45" t="n">
        <v>102965997</v>
      </c>
      <c r="J292" s="45" t="inlineStr">
        <is>
          <t>Prospect</t>
        </is>
      </c>
      <c r="K292" s="45" t="inlineStr">
        <is>
          <t>TAHHAN Riham</t>
        </is>
      </c>
      <c r="L292" s="45" t="inlineStr">
        <is>
          <t>The client would like to buy this timepiece a gift for his brother - His birthday is on August 11</t>
        </is>
      </c>
      <c r="M292" s="45">
        <f>IF(COUNTIF($R$3:$R$100, D292) &gt; 0, TRUE, FALSE)</f>
        <v/>
      </c>
    </row>
    <row r="293" ht="124.95" customHeight="1" s="287">
      <c r="A293" s="45" t="inlineStr">
        <is>
          <t>Request</t>
        </is>
      </c>
      <c r="B293" s="45" t="inlineStr">
        <is>
          <t xml:space="preserve"> </t>
        </is>
      </c>
      <c r="C293" s="45" t="inlineStr">
        <is>
          <t>14/12/2024</t>
        </is>
      </c>
      <c r="D293" s="45" t="inlineStr">
        <is>
          <t>4520V/210A-B128</t>
        </is>
      </c>
      <c r="E293" s="45">
        <f>IFERROR(VLOOKUP(TRIM(D293), Collection!$B$2:$D$1001, 2, FALSE), "")</f>
        <v/>
      </c>
      <c r="F293" s="48">
        <f>IFERROR(VLOOKUP(TRIM(D293), Collection!$B$2:$D$1001, 3, FALSE), "")</f>
        <v/>
      </c>
      <c r="G293" s="48">
        <f>IFERROR(VALUE(SUBSTITUTE(SUBSTITUTE(F293, "Price", ""), "AED", "")), "")</f>
        <v/>
      </c>
      <c r="H293" s="45" t="inlineStr">
        <is>
          <t>Phone sales Middle East</t>
        </is>
      </c>
      <c r="I293" s="45" t="n">
        <v>102991728</v>
      </c>
      <c r="J293" s="45" t="inlineStr">
        <is>
          <t>Prospect</t>
        </is>
      </c>
      <c r="K293" s="45" t="inlineStr">
        <is>
          <t>TAHHAN Riham</t>
        </is>
      </c>
      <c r="L293" s="45" t="inlineStr">
        <is>
          <t>The client is a watch collcter, appreciative of the brand history and heritage and considers having this timepiece will make him a successful watch collector.</t>
        </is>
      </c>
      <c r="M293" s="45">
        <f>IF(COUNTIF($R$3:$R$100, D293) &gt; 0, TRUE, FALSE)</f>
        <v/>
      </c>
    </row>
    <row r="294" ht="124.95" customHeight="1" s="287">
      <c r="A294" s="45" t="inlineStr">
        <is>
          <t>Cancelled</t>
        </is>
      </c>
      <c r="B294" s="45" t="inlineStr">
        <is>
          <t>Cancelled</t>
        </is>
      </c>
      <c r="C294" s="45" t="inlineStr">
        <is>
          <t>13/12/2024</t>
        </is>
      </c>
      <c r="D294" s="45" t="inlineStr">
        <is>
          <t>4520V/210A-B126</t>
        </is>
      </c>
      <c r="E294" s="45">
        <f>IFERROR(VLOOKUP(TRIM(D294), Collection!$B$2:$D$1001, 2, FALSE), "")</f>
        <v/>
      </c>
      <c r="F294" s="48">
        <f>IFERROR(VLOOKUP(TRIM(D294), Collection!$B$2:$D$1001, 3, FALSE), "")</f>
        <v/>
      </c>
      <c r="G294" s="48">
        <f>IFERROR(VALUE(SUBSTITUTE(SUBSTITUTE(F294, "Price", ""), "AED", "")), "")</f>
        <v/>
      </c>
      <c r="H294" s="45" t="inlineStr">
        <is>
          <t>Phone sales Middle East</t>
        </is>
      </c>
      <c r="I294" s="45" t="n">
        <v>102951000</v>
      </c>
      <c r="J294" s="45" t="inlineStr">
        <is>
          <t>Prospect</t>
        </is>
      </c>
      <c r="K294" s="45" t="inlineStr">
        <is>
          <t>TAHHAN Riham</t>
        </is>
      </c>
      <c r="L294" s="45" t="inlineStr">
        <is>
          <t>The client is interested in getting the Overseas for special occasion and will also purchase the fiftysix 4600E/110A-B487 for day to day use.</t>
        </is>
      </c>
      <c r="M294" s="45">
        <f>IF(COUNTIF($R$3:$R$100, D294) &gt; 0, TRUE, FALSE)</f>
        <v/>
      </c>
    </row>
    <row r="295" ht="31.2" customHeight="1" s="287">
      <c r="A295" s="45" t="inlineStr">
        <is>
          <t>Request</t>
        </is>
      </c>
      <c r="B295" s="45" t="inlineStr">
        <is>
          <t xml:space="preserve"> </t>
        </is>
      </c>
      <c r="C295" s="46" t="n">
        <v>45577</v>
      </c>
      <c r="D295" s="45" t="inlineStr">
        <is>
          <t>4520V/210A-B128</t>
        </is>
      </c>
      <c r="E295" s="45">
        <f>IFERROR(VLOOKUP(TRIM(D295), Collection!$B$2:$D$1001, 2, FALSE), "")</f>
        <v/>
      </c>
      <c r="F295" s="48">
        <f>IFERROR(VLOOKUP(TRIM(D295), Collection!$B$2:$D$1001, 3, FALSE), "")</f>
        <v/>
      </c>
      <c r="G295" s="48">
        <f>IFERROR(VALUE(SUBSTITUTE(SUBSTITUTE(F295, "Price", ""), "AED", "")), "")</f>
        <v/>
      </c>
      <c r="H295" s="45" t="inlineStr">
        <is>
          <t>Phone sales Middle East</t>
        </is>
      </c>
      <c r="I295" s="45" t="n">
        <v>102904196</v>
      </c>
      <c r="J295" s="45" t="inlineStr">
        <is>
          <t>Prospect</t>
        </is>
      </c>
      <c r="K295" s="45" t="inlineStr">
        <is>
          <t>TAHHAN Riham</t>
        </is>
      </c>
      <c r="L295" s="45" t="inlineStr">
        <is>
          <t xml:space="preserve"> </t>
        </is>
      </c>
      <c r="M295" s="45">
        <f>IF(COUNTIF($R$3:$R$100, D295) &gt; 0, TRUE, FALSE)</f>
        <v/>
      </c>
    </row>
    <row r="296" ht="31.2" customHeight="1" s="287">
      <c r="A296" s="45" t="inlineStr">
        <is>
          <t>Sold</t>
        </is>
      </c>
      <c r="B296" s="45" t="inlineStr">
        <is>
          <t>Confirmed</t>
        </is>
      </c>
      <c r="C296" s="46" t="n">
        <v>45577</v>
      </c>
      <c r="D296" s="45" t="inlineStr">
        <is>
          <t>4520V/210A-B128</t>
        </is>
      </c>
      <c r="E296" s="45">
        <f>IFERROR(VLOOKUP(TRIM(D296), Collection!$B$2:$D$1001, 2, FALSE), "")</f>
        <v/>
      </c>
      <c r="F296" s="48">
        <f>IFERROR(VLOOKUP(TRIM(D296), Collection!$B$2:$D$1001, 3, FALSE), "")</f>
        <v/>
      </c>
      <c r="G296" s="48">
        <f>IFERROR(VALUE(SUBSTITUTE(SUBSTITUTE(F296, "Price", ""), "AED", "")), "")</f>
        <v/>
      </c>
      <c r="H296" s="45" t="inlineStr">
        <is>
          <t>Phone sales Middle East</t>
        </is>
      </c>
      <c r="I296" s="45" t="n">
        <v>102905570</v>
      </c>
      <c r="J296" s="45" t="inlineStr">
        <is>
          <t>Prospect</t>
        </is>
      </c>
      <c r="K296" s="45" t="inlineStr">
        <is>
          <t>TAHHAN Riham</t>
        </is>
      </c>
      <c r="L296" s="45" t="inlineStr">
        <is>
          <t xml:space="preserve"> </t>
        </is>
      </c>
      <c r="M296" s="45">
        <f>IF(COUNTIF($R$3:$R$100, D296) &gt; 0, TRUE, FALSE)</f>
        <v/>
      </c>
    </row>
    <row r="297" ht="46.95" customHeight="1" s="287">
      <c r="A297" s="45" t="inlineStr">
        <is>
          <t>Request</t>
        </is>
      </c>
      <c r="B297" s="45" t="inlineStr">
        <is>
          <t>Postponed</t>
        </is>
      </c>
      <c r="C297" s="46" t="n">
        <v>45424</v>
      </c>
      <c r="D297" s="45" t="inlineStr">
        <is>
          <t>4520V/210R-B967</t>
        </is>
      </c>
      <c r="E297" s="45">
        <f>IFERROR(VLOOKUP(TRIM(D297), Collection!$B$2:$D$1001, 2, FALSE), "")</f>
        <v/>
      </c>
      <c r="F297" s="48">
        <f>IFERROR(VLOOKUP(TRIM(D297), Collection!$B$2:$D$1001, 3, FALSE), "")</f>
        <v/>
      </c>
      <c r="G297" s="48">
        <f>IFERROR(VALUE(SUBSTITUTE(SUBSTITUTE(F297, "Price", ""), "AED", "")), "")</f>
        <v/>
      </c>
      <c r="H297" s="45" t="inlineStr">
        <is>
          <t>Phone sales Middle East</t>
        </is>
      </c>
      <c r="I297" s="45" t="n">
        <v>102735123</v>
      </c>
      <c r="J297" s="45" t="inlineStr">
        <is>
          <t>Prospect</t>
        </is>
      </c>
      <c r="K297" s="45" t="inlineStr">
        <is>
          <t>OMARI Asma</t>
        </is>
      </c>
      <c r="L297" s="45" t="inlineStr">
        <is>
          <t>Mr. Chirag Arora : also interested in the historiques 222</t>
        </is>
      </c>
      <c r="M297" s="45">
        <f>IF(COUNTIF($R$3:$R$100, D297) &gt; 0, TRUE, FALSE)</f>
        <v/>
      </c>
    </row>
    <row r="298" ht="78" customHeight="1" s="287">
      <c r="A298" s="45" t="inlineStr">
        <is>
          <t>Request</t>
        </is>
      </c>
      <c r="B298" s="45" t="inlineStr">
        <is>
          <t>Postponed</t>
        </is>
      </c>
      <c r="C298" s="46" t="n">
        <v>45424</v>
      </c>
      <c r="D298" s="45" t="inlineStr">
        <is>
          <t>4200H/222J-B935</t>
        </is>
      </c>
      <c r="E298" s="45">
        <f>IFERROR(VLOOKUP(TRIM(D298), Collection!$B$2:$D$1001, 2, FALSE), "")</f>
        <v/>
      </c>
      <c r="F298" s="48">
        <f>IFERROR(VLOOKUP(TRIM(D298), Collection!$B$2:$D$1001, 3, FALSE), "")</f>
        <v/>
      </c>
      <c r="G298" s="48">
        <f>IFERROR(VALUE(SUBSTITUTE(SUBSTITUTE(F298, "Price", ""), "AED", "")), "")</f>
        <v/>
      </c>
      <c r="H298" s="45" t="inlineStr">
        <is>
          <t>Phone sales Middle East</t>
        </is>
      </c>
      <c r="I298" s="45" t="n">
        <v>102735123</v>
      </c>
      <c r="J298" s="45" t="inlineStr">
        <is>
          <t>Prospect</t>
        </is>
      </c>
      <c r="K298" s="45" t="inlineStr">
        <is>
          <t>OMARI Asma</t>
        </is>
      </c>
      <c r="L298" s="45" t="inlineStr">
        <is>
          <t>Mr. Chirag Arora : is also interested in the overeseas gold selfwinding green dial.</t>
        </is>
      </c>
      <c r="M298" s="45">
        <f>IF(COUNTIF($R$3:$R$100, D298) &gt; 0, TRUE, FALSE)</f>
        <v/>
      </c>
    </row>
    <row r="299" ht="62.4" customHeight="1" s="287">
      <c r="A299" s="45" t="inlineStr">
        <is>
          <t>Request</t>
        </is>
      </c>
      <c r="B299" s="45" t="inlineStr">
        <is>
          <t xml:space="preserve"> </t>
        </is>
      </c>
      <c r="C299" s="46" t="n">
        <v>45394</v>
      </c>
      <c r="D299" s="45" t="inlineStr">
        <is>
          <t>4520V/210A-B128</t>
        </is>
      </c>
      <c r="E299" s="45">
        <f>IFERROR(VLOOKUP(TRIM(D299), Collection!$B$2:$D$1001, 2, FALSE), "")</f>
        <v/>
      </c>
      <c r="F299" s="48">
        <f>IFERROR(VLOOKUP(TRIM(D299), Collection!$B$2:$D$1001, 3, FALSE), "")</f>
        <v/>
      </c>
      <c r="G299" s="48">
        <f>IFERROR(VALUE(SUBSTITUTE(SUBSTITUTE(F299, "Price", ""), "AED", "")), "")</f>
        <v/>
      </c>
      <c r="H299" s="45" t="inlineStr">
        <is>
          <t>Phone sales Middle East</t>
        </is>
      </c>
      <c r="I299" s="45" t="n">
        <v>102637104</v>
      </c>
      <c r="J299" s="45" t="inlineStr">
        <is>
          <t>Prospect</t>
        </is>
      </c>
      <c r="K299" s="45" t="inlineStr">
        <is>
          <t>SHARIF Maaz</t>
        </is>
      </c>
      <c r="L299" s="45" t="inlineStr">
        <is>
          <t>The client is based in India , and willing to come to the UAE for 128</t>
        </is>
      </c>
      <c r="M299" s="45">
        <f>IF(COUNTIF($R$3:$R$100, D299) &gt; 0, TRUE, FALSE)</f>
        <v/>
      </c>
    </row>
    <row r="300" ht="31.2" customHeight="1" s="287">
      <c r="A300" s="45" t="inlineStr">
        <is>
          <t>Request</t>
        </is>
      </c>
      <c r="B300" s="45" t="inlineStr">
        <is>
          <t xml:space="preserve"> </t>
        </is>
      </c>
      <c r="C300" s="45" t="inlineStr">
        <is>
          <t>28/11/2024</t>
        </is>
      </c>
      <c r="D300" s="45" t="inlineStr">
        <is>
          <t>7920V/210A-B334</t>
        </is>
      </c>
      <c r="E300" s="45">
        <f>IFERROR(VLOOKUP(TRIM(D300), Collection!$B$2:$D$1001, 2, FALSE), "")</f>
        <v/>
      </c>
      <c r="F300" s="48">
        <f>IFERROR(VLOOKUP(TRIM(D300), Collection!$B$2:$D$1001, 3, FALSE), "")</f>
        <v/>
      </c>
      <c r="G300" s="48">
        <f>IFERROR(VALUE(SUBSTITUTE(SUBSTITUTE(F300, "Price", ""), "AED", "")), "")</f>
        <v/>
      </c>
      <c r="H300" s="45" t="inlineStr">
        <is>
          <t>Phone sales Middle East</t>
        </is>
      </c>
      <c r="I300" s="45" t="n">
        <v>102618733</v>
      </c>
      <c r="J300" s="45" t="inlineStr">
        <is>
          <t>Prospect</t>
        </is>
      </c>
      <c r="K300" s="45" t="inlineStr">
        <is>
          <t>OMARI Asma</t>
        </is>
      </c>
      <c r="L300" s="45" t="inlineStr">
        <is>
          <t>Mr. Asim Alowais</t>
        </is>
      </c>
      <c r="M300" s="45">
        <f>IF(COUNTIF($R$3:$R$100, D300) &gt; 0, TRUE, FALSE)</f>
        <v/>
      </c>
    </row>
    <row r="301" ht="31.2" customHeight="1" s="287">
      <c r="A301" s="45" t="inlineStr">
        <is>
          <t>Request</t>
        </is>
      </c>
      <c r="B301" s="45" t="inlineStr">
        <is>
          <t xml:space="preserve"> </t>
        </is>
      </c>
      <c r="C301" s="45" t="inlineStr">
        <is>
          <t>27/11/2024</t>
        </is>
      </c>
      <c r="D301" s="45" t="inlineStr">
        <is>
          <t>7920V/210A-B334</t>
        </is>
      </c>
      <c r="E301" s="45">
        <f>IFERROR(VLOOKUP(TRIM(D301), Collection!$B$2:$D$1001, 2, FALSE), "")</f>
        <v/>
      </c>
      <c r="F301" s="48">
        <f>IFERROR(VLOOKUP(TRIM(D301), Collection!$B$2:$D$1001, 3, FALSE), "")</f>
        <v/>
      </c>
      <c r="G301" s="48">
        <f>IFERROR(VALUE(SUBSTITUTE(SUBSTITUTE(F301, "Price", ""), "AED", "")), "")</f>
        <v/>
      </c>
      <c r="H301" s="45" t="inlineStr">
        <is>
          <t>Phone sales Middle East</t>
        </is>
      </c>
      <c r="I301" s="45" t="n">
        <v>102600071</v>
      </c>
      <c r="J301" s="45" t="inlineStr">
        <is>
          <t>Prospect</t>
        </is>
      </c>
      <c r="K301" s="45" t="inlineStr">
        <is>
          <t>OMARI Asma</t>
        </is>
      </c>
      <c r="L301" s="45" t="inlineStr">
        <is>
          <t>Mr. Anthony Delpiano contacted us via email</t>
        </is>
      </c>
      <c r="M301" s="45">
        <f>IF(COUNTIF($R$3:$R$100, D301) &gt; 0, TRUE, FALSE)</f>
        <v/>
      </c>
    </row>
    <row r="302" ht="78" customHeight="1" s="287">
      <c r="A302" s="45" t="inlineStr">
        <is>
          <t>Request</t>
        </is>
      </c>
      <c r="B302" s="45" t="inlineStr">
        <is>
          <t xml:space="preserve"> </t>
        </is>
      </c>
      <c r="C302" s="45" t="inlineStr">
        <is>
          <t>26/11/2024</t>
        </is>
      </c>
      <c r="D302" s="45" t="inlineStr">
        <is>
          <t>4520V/210A-B128</t>
        </is>
      </c>
      <c r="E302" s="45">
        <f>IFERROR(VLOOKUP(TRIM(D302), Collection!$B$2:$D$1001, 2, FALSE), "")</f>
        <v/>
      </c>
      <c r="F302" s="48">
        <f>IFERROR(VLOOKUP(TRIM(D302), Collection!$B$2:$D$1001, 3, FALSE), "")</f>
        <v/>
      </c>
      <c r="G302" s="48">
        <f>IFERROR(VALUE(SUBSTITUTE(SUBSTITUTE(F302, "Price", ""), "AED", "")), "")</f>
        <v/>
      </c>
      <c r="H302" s="45" t="inlineStr">
        <is>
          <t>Phone sales Middle East</t>
        </is>
      </c>
      <c r="I302" s="45" t="n">
        <v>102549877</v>
      </c>
      <c r="J302" s="45" t="inlineStr">
        <is>
          <t>Prospect</t>
        </is>
      </c>
      <c r="K302" s="45" t="inlineStr">
        <is>
          <t>OMARI Asma</t>
        </is>
      </c>
      <c r="L302" s="45" t="inlineStr">
        <is>
          <t>Mr Abdelhadi Mohamed interested in the Overseas Blue dial but he is also open for alternatives.</t>
        </is>
      </c>
      <c r="M302" s="45">
        <f>IF(COUNTIF($R$3:$R$100, D302) &gt; 0, TRUE, FALSE)</f>
        <v/>
      </c>
    </row>
    <row r="303" ht="124.95" customHeight="1" s="287">
      <c r="A303" s="45" t="inlineStr">
        <is>
          <t>Cancelled</t>
        </is>
      </c>
      <c r="B303" s="45" t="inlineStr">
        <is>
          <t>Cancelled</t>
        </is>
      </c>
      <c r="C303" s="45" t="inlineStr">
        <is>
          <t>23/11/2024</t>
        </is>
      </c>
      <c r="D303" s="45" t="inlineStr">
        <is>
          <t>4000V/210A-B911</t>
        </is>
      </c>
      <c r="E303" s="45">
        <f>IFERROR(VLOOKUP(TRIM(D303), Collection!$B$2:$D$1001, 2, FALSE), "")</f>
        <v/>
      </c>
      <c r="F303" s="48">
        <f>IFERROR(VLOOKUP(TRIM(D303), Collection!$B$2:$D$1001, 3, FALSE), "")</f>
        <v/>
      </c>
      <c r="G303" s="48">
        <f>IFERROR(VALUE(SUBSTITUTE(SUBSTITUTE(F303, "Price", ""), "AED", "")), "")</f>
        <v/>
      </c>
      <c r="H303" s="45" t="inlineStr">
        <is>
          <t>Phone sales Middle East</t>
        </is>
      </c>
      <c r="I303" s="45" t="n">
        <v>92404764</v>
      </c>
      <c r="J303" s="45" t="inlineStr">
        <is>
          <t>Prospect</t>
        </is>
      </c>
      <c r="K303" s="45" t="inlineStr">
        <is>
          <t>OMARI Asma</t>
        </is>
      </c>
      <c r="L303" s="45" t="inlineStr">
        <is>
          <t>Client was initially interested in the 222 but now he would like to register for the Overseasmoon phase retrograde date: for his son birthday on 28 Nov.</t>
        </is>
      </c>
      <c r="M303" s="45">
        <f>IF(COUNTIF($R$3:$R$100, D303) &gt; 0, TRUE, FALSE)</f>
        <v/>
      </c>
    </row>
    <row r="304" ht="62.4" customHeight="1" s="287">
      <c r="A304" s="45" t="inlineStr">
        <is>
          <t>Request</t>
        </is>
      </c>
      <c r="B304" s="45" t="inlineStr">
        <is>
          <t xml:space="preserve"> </t>
        </is>
      </c>
      <c r="C304" s="45" t="inlineStr">
        <is>
          <t>21/11/2024</t>
        </is>
      </c>
      <c r="D304" s="45" t="inlineStr">
        <is>
          <t>4520V/210A-B128</t>
        </is>
      </c>
      <c r="E304" s="45">
        <f>IFERROR(VLOOKUP(TRIM(D304), Collection!$B$2:$D$1001, 2, FALSE), "")</f>
        <v/>
      </c>
      <c r="F304" s="48">
        <f>IFERROR(VLOOKUP(TRIM(D304), Collection!$B$2:$D$1001, 3, FALSE), "")</f>
        <v/>
      </c>
      <c r="G304" s="48">
        <f>IFERROR(VALUE(SUBSTITUTE(SUBSTITUTE(F304, "Price", ""), "AED", "")), "")</f>
        <v/>
      </c>
      <c r="H304" s="45" t="inlineStr">
        <is>
          <t>Phone sales Middle East</t>
        </is>
      </c>
      <c r="I304" s="45" t="n">
        <v>101623615</v>
      </c>
      <c r="J304" s="45" t="inlineStr">
        <is>
          <t>Prospect</t>
        </is>
      </c>
      <c r="K304" s="45" t="inlineStr">
        <is>
          <t>TAHHAN Riham</t>
        </is>
      </c>
      <c r="L304" s="45" t="inlineStr">
        <is>
          <t>Added to the waiting list for the OVS retrograde moonphase</t>
        </is>
      </c>
      <c r="M304" s="45">
        <f>IF(COUNTIF($R$3:$R$100, D304) &gt; 0, TRUE, FALSE)</f>
        <v/>
      </c>
    </row>
    <row r="305" ht="93.59999999999999" customHeight="1" s="287">
      <c r="A305" s="45" t="inlineStr">
        <is>
          <t>Request</t>
        </is>
      </c>
      <c r="B305" s="45" t="inlineStr">
        <is>
          <t xml:space="preserve"> </t>
        </is>
      </c>
      <c r="C305" s="45" t="inlineStr">
        <is>
          <t>20/11/2024</t>
        </is>
      </c>
      <c r="D305" s="45" t="inlineStr">
        <is>
          <t>1225V/200A-B590</t>
        </is>
      </c>
      <c r="E305" s="45">
        <f>IFERROR(VLOOKUP(TRIM(D305), Collection!$B$2:$D$1001, 2, FALSE), "")</f>
        <v/>
      </c>
      <c r="F305" s="48">
        <f>IFERROR(VLOOKUP(TRIM(D305), Collection!$B$2:$D$1001, 3, FALSE), "")</f>
        <v/>
      </c>
      <c r="G305" s="48">
        <f>IFERROR(VALUE(SUBSTITUTE(SUBSTITUTE(F305, "Price", ""), "AED", "")), "")</f>
        <v/>
      </c>
      <c r="H305" s="45" t="inlineStr">
        <is>
          <t>Phone sales Middle East</t>
        </is>
      </c>
      <c r="I305" s="45" t="n">
        <v>102502922</v>
      </c>
      <c r="J305" s="45" t="inlineStr">
        <is>
          <t>Prospect</t>
        </is>
      </c>
      <c r="K305" s="45" t="inlineStr">
        <is>
          <t>SHARIF Maaz</t>
        </is>
      </c>
      <c r="L305" s="45" t="inlineStr">
        <is>
          <t>the client would like to purchases the Overseasquartz
1225V/200A-B590 33 mm Steel</t>
        </is>
      </c>
      <c r="M305" s="45">
        <f>IF(COUNTIF($R$3:$R$100, D305) &gt; 0, TRUE, FALSE)</f>
        <v/>
      </c>
    </row>
    <row r="306" ht="109.2" customHeight="1" s="287">
      <c r="A306" s="45" t="inlineStr">
        <is>
          <t>Request</t>
        </is>
      </c>
      <c r="B306" s="45" t="inlineStr">
        <is>
          <t xml:space="preserve"> </t>
        </is>
      </c>
      <c r="C306" s="45" t="inlineStr">
        <is>
          <t>20/11/2024</t>
        </is>
      </c>
      <c r="D306" s="45" t="inlineStr">
        <is>
          <t>7920V/210A-B334</t>
        </is>
      </c>
      <c r="E306" s="45">
        <f>IFERROR(VLOOKUP(TRIM(D306), Collection!$B$2:$D$1001, 2, FALSE), "")</f>
        <v/>
      </c>
      <c r="F306" s="48">
        <f>IFERROR(VLOOKUP(TRIM(D306), Collection!$B$2:$D$1001, 3, FALSE), "")</f>
        <v/>
      </c>
      <c r="G306" s="48">
        <f>IFERROR(VALUE(SUBSTITUTE(SUBSTITUTE(F306, "Price", ""), "AED", "")), "")</f>
        <v/>
      </c>
      <c r="H306" s="45" t="inlineStr">
        <is>
          <t>Phone sales Middle East</t>
        </is>
      </c>
      <c r="I306" s="45" t="n">
        <v>101472623</v>
      </c>
      <c r="J306" s="45" t="inlineStr">
        <is>
          <t>Prospect</t>
        </is>
      </c>
      <c r="K306" s="45" t="inlineStr">
        <is>
          <t>SHARIF Maaz</t>
        </is>
      </c>
      <c r="L306" s="45" t="inlineStr">
        <is>
          <t>**Overseas Dual Time**: Mr. Nassef has expressed a preference for this model due to its suitability to his wrist size (41 mm).</t>
        </is>
      </c>
      <c r="M306" s="45">
        <f>IF(COUNTIF($R$3:$R$100, D306) &gt; 0, TRUE, FALSE)</f>
        <v/>
      </c>
    </row>
    <row r="307" ht="124.95" customHeight="1" s="287">
      <c r="A307" s="45" t="inlineStr">
        <is>
          <t>Request</t>
        </is>
      </c>
      <c r="B307" s="45" t="inlineStr">
        <is>
          <t xml:space="preserve"> </t>
        </is>
      </c>
      <c r="C307" s="45" t="inlineStr">
        <is>
          <t>20/11/2024</t>
        </is>
      </c>
      <c r="D307" s="45" t="inlineStr">
        <is>
          <t>4520V/210A-B128</t>
        </is>
      </c>
      <c r="E307" s="45">
        <f>IFERROR(VLOOKUP(TRIM(D307), Collection!$B$2:$D$1001, 2, FALSE), "")</f>
        <v/>
      </c>
      <c r="F307" s="48">
        <f>IFERROR(VLOOKUP(TRIM(D307), Collection!$B$2:$D$1001, 3, FALSE), "")</f>
        <v/>
      </c>
      <c r="G307" s="48">
        <f>IFERROR(VALUE(SUBSTITUTE(SUBSTITUTE(F307, "Price", ""), "AED", "")), "")</f>
        <v/>
      </c>
      <c r="H307" s="45" t="inlineStr">
        <is>
          <t>Phone sales Middle East</t>
        </is>
      </c>
      <c r="I307" s="45" t="n">
        <v>102494314</v>
      </c>
      <c r="J307" s="45" t="inlineStr">
        <is>
          <t>Client</t>
        </is>
      </c>
      <c r="K307" s="45" t="inlineStr">
        <is>
          <t>TAHHAN Riham</t>
        </is>
      </c>
      <c r="L307" s="45" t="inlineStr">
        <is>
          <t>The client is an owner of a fiftysix - from korea- he is already added to the korean waitlist - but he shifted to UAE and would like to be added as well</t>
        </is>
      </c>
      <c r="M307" s="45">
        <f>IF(COUNTIF($R$3:$R$100, D307) &gt; 0, TRUE, FALSE)</f>
        <v/>
      </c>
    </row>
    <row r="308" ht="93.59999999999999" customHeight="1" s="287">
      <c r="A308" s="45" t="inlineStr">
        <is>
          <t>Request</t>
        </is>
      </c>
      <c r="B308" s="45" t="inlineStr">
        <is>
          <t>Postponed</t>
        </is>
      </c>
      <c r="C308" s="45" t="inlineStr">
        <is>
          <t>20/11/2024</t>
        </is>
      </c>
      <c r="D308" s="45" t="inlineStr">
        <is>
          <t>7920V/210A-B334</t>
        </is>
      </c>
      <c r="E308" s="45">
        <f>IFERROR(VLOOKUP(TRIM(D308), Collection!$B$2:$D$1001, 2, FALSE), "")</f>
        <v/>
      </c>
      <c r="F308" s="48">
        <f>IFERROR(VLOOKUP(TRIM(D308), Collection!$B$2:$D$1001, 3, FALSE), "")</f>
        <v/>
      </c>
      <c r="G308" s="48">
        <f>IFERROR(VALUE(SUBSTITUTE(SUBSTITUTE(F308, "Price", ""), "AED", "")), "")</f>
        <v/>
      </c>
      <c r="H308" s="45" t="inlineStr">
        <is>
          <t>Phone sales Middle East</t>
        </is>
      </c>
      <c r="I308" s="45" t="n">
        <v>102505094</v>
      </c>
      <c r="J308" s="45" t="inlineStr">
        <is>
          <t>Prospect</t>
        </is>
      </c>
      <c r="K308" s="45" t="inlineStr">
        <is>
          <t>SHARIF Maaz</t>
        </is>
      </c>
      <c r="L308" s="45" t="inlineStr">
        <is>
          <t>The client wants to own his first VC and add it to his collection which inclouds , Rolexes, AP’s and Pateks’</t>
        </is>
      </c>
      <c r="M308" s="45">
        <f>IF(COUNTIF($R$3:$R$100, D308) &gt; 0, TRUE, FALSE)</f>
        <v/>
      </c>
    </row>
    <row r="309" ht="31.2" customHeight="1" s="287">
      <c r="A309" s="45" t="inlineStr">
        <is>
          <t>Request</t>
        </is>
      </c>
      <c r="B309" s="45" t="inlineStr">
        <is>
          <t xml:space="preserve"> </t>
        </is>
      </c>
      <c r="C309" s="45" t="inlineStr">
        <is>
          <t>16/11/2024</t>
        </is>
      </c>
      <c r="D309" s="45" t="inlineStr">
        <is>
          <t>4520V/210A-B128</t>
        </is>
      </c>
      <c r="E309" s="45">
        <f>IFERROR(VLOOKUP(TRIM(D309), Collection!$B$2:$D$1001, 2, FALSE), "")</f>
        <v/>
      </c>
      <c r="F309" s="48">
        <f>IFERROR(VLOOKUP(TRIM(D309), Collection!$B$2:$D$1001, 3, FALSE), "")</f>
        <v/>
      </c>
      <c r="G309" s="48">
        <f>IFERROR(VALUE(SUBSTITUTE(SUBSTITUTE(F309, "Price", ""), "AED", "")), "")</f>
        <v/>
      </c>
      <c r="H309" s="45" t="inlineStr">
        <is>
          <t>Phone sales Middle East</t>
        </is>
      </c>
      <c r="I309" s="45" t="n">
        <v>102442135</v>
      </c>
      <c r="J309" s="45" t="inlineStr">
        <is>
          <t>Prospect</t>
        </is>
      </c>
      <c r="K309" s="45" t="inlineStr">
        <is>
          <t>TAHHAN Riham</t>
        </is>
      </c>
      <c r="L309" s="45" t="n"/>
      <c r="M309" s="45">
        <f>IF(COUNTIF($R$3:$R$100, D309) &gt; 0, TRUE, FALSE)</f>
        <v/>
      </c>
    </row>
    <row r="310" ht="31.2" customHeight="1" s="287">
      <c r="A310" s="45" t="inlineStr">
        <is>
          <t>Cancelled</t>
        </is>
      </c>
      <c r="B310" s="45" t="inlineStr">
        <is>
          <t>Cancelled</t>
        </is>
      </c>
      <c r="C310" s="45" t="inlineStr">
        <is>
          <t>16/11/2024</t>
        </is>
      </c>
      <c r="D310" s="45" t="inlineStr">
        <is>
          <t>4520V/210A-B126</t>
        </is>
      </c>
      <c r="E310" s="45">
        <f>IFERROR(VLOOKUP(TRIM(D310), Collection!$B$2:$D$1001, 2, FALSE), "")</f>
        <v/>
      </c>
      <c r="F310" s="48">
        <f>IFERROR(VLOOKUP(TRIM(D310), Collection!$B$2:$D$1001, 3, FALSE), "")</f>
        <v/>
      </c>
      <c r="G310" s="48">
        <f>IFERROR(VALUE(SUBSTITUTE(SUBSTITUTE(F310, "Price", ""), "AED", "")), "")</f>
        <v/>
      </c>
      <c r="H310" s="45" t="inlineStr">
        <is>
          <t>Phone sales Middle East</t>
        </is>
      </c>
      <c r="I310" s="45" t="n">
        <v>102442135</v>
      </c>
      <c r="J310" s="45" t="inlineStr">
        <is>
          <t>Prospect</t>
        </is>
      </c>
      <c r="K310" s="45" t="inlineStr">
        <is>
          <t>TAHHAN Riham</t>
        </is>
      </c>
      <c r="L310" s="45" t="inlineStr">
        <is>
          <t xml:space="preserve"> </t>
        </is>
      </c>
      <c r="M310" s="45">
        <f>IF(COUNTIF($R$3:$R$100, D310) &gt; 0, TRUE, FALSE)</f>
        <v/>
      </c>
    </row>
    <row r="311" ht="62.4" customHeight="1" s="287">
      <c r="A311" s="45" t="inlineStr">
        <is>
          <t>Request</t>
        </is>
      </c>
      <c r="B311" s="45" t="inlineStr">
        <is>
          <t>Pending client feedback</t>
        </is>
      </c>
      <c r="C311" s="45" t="inlineStr">
        <is>
          <t>15/11/2024</t>
        </is>
      </c>
      <c r="D311" s="45" t="inlineStr">
        <is>
          <t>4600V/200A-B980</t>
        </is>
      </c>
      <c r="E311" s="45">
        <f>IFERROR(VLOOKUP(TRIM(D311), Collection!$B$2:$D$1001, 2, FALSE), "")</f>
        <v/>
      </c>
      <c r="F311" s="48">
        <f>IFERROR(VLOOKUP(TRIM(D311), Collection!$B$2:$D$1001, 3, FALSE), "")</f>
        <v/>
      </c>
      <c r="G311" s="48">
        <f>IFERROR(VALUE(SUBSTITUTE(SUBSTITUTE(F311, "Price", ""), "AED", "")), "")</f>
        <v/>
      </c>
      <c r="H311" s="45" t="inlineStr">
        <is>
          <t>Phone sales Middle East</t>
        </is>
      </c>
      <c r="I311" s="45" t="n">
        <v>102424724</v>
      </c>
      <c r="J311" s="45" t="inlineStr">
        <is>
          <t>Prospect</t>
        </is>
      </c>
      <c r="K311" s="45" t="inlineStr">
        <is>
          <t>SHARIF Maaz</t>
        </is>
      </c>
      <c r="L311" s="45" t="inlineStr">
        <is>
          <t>The client would like to purchase the oversease for his wife as  Christmas gift</t>
        </is>
      </c>
      <c r="M311" s="45">
        <f>IF(COUNTIF($R$3:$R$100, D311) &gt; 0, TRUE, FALSE)</f>
        <v/>
      </c>
    </row>
    <row r="312" ht="46.95" customHeight="1" s="287">
      <c r="A312" s="45" t="inlineStr">
        <is>
          <t>Request</t>
        </is>
      </c>
      <c r="B312" s="45" t="inlineStr">
        <is>
          <t>Confirmed</t>
        </is>
      </c>
      <c r="C312" s="45" t="inlineStr">
        <is>
          <t>14/11/2024</t>
        </is>
      </c>
      <c r="D312" s="45" t="inlineStr">
        <is>
          <t>4520V/210A-B128</t>
        </is>
      </c>
      <c r="E312" s="45">
        <f>IFERROR(VLOOKUP(TRIM(D312), Collection!$B$2:$D$1001, 2, FALSE), "")</f>
        <v/>
      </c>
      <c r="F312" s="48">
        <f>IFERROR(VLOOKUP(TRIM(D312), Collection!$B$2:$D$1001, 3, FALSE), "")</f>
        <v/>
      </c>
      <c r="G312" s="48">
        <f>IFERROR(VALUE(SUBSTITUTE(SUBSTITUTE(F312, "Price", ""), "AED", "")), "")</f>
        <v/>
      </c>
      <c r="H312" s="45" t="inlineStr">
        <is>
          <t>Phone sales Middle East</t>
        </is>
      </c>
      <c r="I312" s="45" t="n">
        <v>98700258</v>
      </c>
      <c r="J312" s="45" t="inlineStr">
        <is>
          <t>Prospect</t>
        </is>
      </c>
      <c r="K312" s="45" t="inlineStr">
        <is>
          <t>SHARIF Maaz</t>
        </is>
      </c>
      <c r="L312" s="45" t="inlineStr">
        <is>
          <t>The client would like to purchases the overseas blue simple</t>
        </is>
      </c>
      <c r="M312" s="45">
        <f>IF(COUNTIF($R$3:$R$100, D312) &gt; 0, TRUE, FALSE)</f>
        <v/>
      </c>
    </row>
    <row r="313" ht="109.2" customHeight="1" s="287">
      <c r="A313" s="45" t="inlineStr">
        <is>
          <t>Request</t>
        </is>
      </c>
      <c r="B313" s="45" t="inlineStr">
        <is>
          <t>Pending client feedback</t>
        </is>
      </c>
      <c r="C313" s="45" t="inlineStr">
        <is>
          <t>14/11/2024</t>
        </is>
      </c>
      <c r="D313" s="45" t="inlineStr">
        <is>
          <t>6000V/110A-B544</t>
        </is>
      </c>
      <c r="E313" s="45">
        <f>IFERROR(VLOOKUP(TRIM(D313), Collection!$B$2:$D$1001, 2, FALSE), "")</f>
        <v/>
      </c>
      <c r="F313" s="48">
        <f>IFERROR(VLOOKUP(TRIM(D313), Collection!$B$2:$D$1001, 3, FALSE), "")</f>
        <v/>
      </c>
      <c r="G313" s="48">
        <f>IFERROR(VALUE(SUBSTITUTE(SUBSTITUTE(F313, "Price", ""), "AED", "")), "")</f>
        <v/>
      </c>
      <c r="H313" s="45" t="inlineStr">
        <is>
          <t>Phone sales Middle East</t>
        </is>
      </c>
      <c r="I313" s="45" t="n">
        <v>98700258</v>
      </c>
      <c r="J313" s="45" t="inlineStr">
        <is>
          <t>Prospect</t>
        </is>
      </c>
      <c r="K313" s="45" t="inlineStr">
        <is>
          <t>SHARIF Maaz</t>
        </is>
      </c>
      <c r="L313" s="45" t="inlineStr">
        <is>
          <t>The client would like to purchase the overseas and stated that , he considers him self a Vacheron Constantin ambassador</t>
        </is>
      </c>
      <c r="M313" s="45">
        <f>IF(COUNTIF($R$3:$R$100, D313) &gt; 0, TRUE, FALSE)</f>
        <v/>
      </c>
    </row>
    <row r="314" ht="234" customHeight="1" s="287">
      <c r="A314" s="45" t="inlineStr">
        <is>
          <t>Request</t>
        </is>
      </c>
      <c r="B314" s="45" t="inlineStr">
        <is>
          <t xml:space="preserve"> </t>
        </is>
      </c>
      <c r="C314" s="45" t="inlineStr">
        <is>
          <t>13/11/2024</t>
        </is>
      </c>
      <c r="D314" s="45" t="inlineStr">
        <is>
          <t>4520V/210A-B128</t>
        </is>
      </c>
      <c r="E314" s="45">
        <f>IFERROR(VLOOKUP(TRIM(D314), Collection!$B$2:$D$1001, 2, FALSE), "")</f>
        <v/>
      </c>
      <c r="F314" s="48">
        <f>IFERROR(VLOOKUP(TRIM(D314), Collection!$B$2:$D$1001, 3, FALSE), "")</f>
        <v/>
      </c>
      <c r="G314" s="48">
        <f>IFERROR(VALUE(SUBSTITUTE(SUBSTITUTE(F314, "Price", ""), "AED", "")), "")</f>
        <v/>
      </c>
      <c r="H314" s="45" t="inlineStr">
        <is>
          <t>Phone sales Middle East</t>
        </is>
      </c>
      <c r="I314" s="45" t="n">
        <v>102395824</v>
      </c>
      <c r="J314" s="45" t="inlineStr">
        <is>
          <t>Prospect</t>
        </is>
      </c>
      <c r="K314" s="45" t="inlineStr">
        <is>
          <t>SHARIF Maaz</t>
        </is>
      </c>
      <c r="L314" s="45" t="inlineStr">
        <is>
          <t>The customer appreciates the simplicity and elegance of the model, as well as the collapsible strap, which aligns with his lifestyle.
The customer has tried on the model in-store and confirmed his intent to purchase it as soon as it becomes available.</t>
        </is>
      </c>
      <c r="M314" s="45">
        <f>IF(COUNTIF($R$3:$R$100, D314) &gt; 0, TRUE, FALSE)</f>
        <v/>
      </c>
    </row>
    <row r="315" ht="109.2" customHeight="1" s="287">
      <c r="A315" s="45" t="inlineStr">
        <is>
          <t>Cancelled</t>
        </is>
      </c>
      <c r="B315" s="45" t="inlineStr">
        <is>
          <t>Cancelled</t>
        </is>
      </c>
      <c r="C315" s="46" t="n">
        <v>45637</v>
      </c>
      <c r="D315" s="45" t="inlineStr">
        <is>
          <t>7920V/210R-B965</t>
        </is>
      </c>
      <c r="E315" s="45">
        <f>IFERROR(VLOOKUP(TRIM(D315), Collection!$B$2:$D$1001, 2, FALSE), "")</f>
        <v/>
      </c>
      <c r="F315" s="48">
        <f>IFERROR(VLOOKUP(TRIM(D315), Collection!$B$2:$D$1001, 3, FALSE), "")</f>
        <v/>
      </c>
      <c r="G315" s="48">
        <f>IFERROR(VALUE(SUBSTITUTE(SUBSTITUTE(F315, "Price", ""), "AED", "")), "")</f>
        <v/>
      </c>
      <c r="H315" s="45" t="inlineStr">
        <is>
          <t>Phone sales Middle East</t>
        </is>
      </c>
      <c r="I315" s="45" t="n">
        <v>102381381</v>
      </c>
      <c r="J315" s="45" t="inlineStr">
        <is>
          <t>Prospect</t>
        </is>
      </c>
      <c r="K315" s="45" t="inlineStr">
        <is>
          <t>TAHHAN Riham</t>
        </is>
      </c>
      <c r="L315" s="45" t="inlineStr">
        <is>
          <t>The client already bought the OVS chronograph - pink gold and blue dial and would like to add this timepiece to his collection</t>
        </is>
      </c>
      <c r="M315" s="45">
        <f>IF(COUNTIF($R$3:$R$100, D315) &gt; 0, TRUE, FALSE)</f>
        <v/>
      </c>
    </row>
    <row r="316" ht="31.2" customHeight="1" s="287">
      <c r="A316" s="45" t="inlineStr">
        <is>
          <t>Cancelled</t>
        </is>
      </c>
      <c r="B316" s="45" t="inlineStr">
        <is>
          <t>Cancelled</t>
        </is>
      </c>
      <c r="C316" s="46" t="n">
        <v>45546</v>
      </c>
      <c r="D316" s="45" t="inlineStr">
        <is>
          <t>7920V/210A-B334</t>
        </is>
      </c>
      <c r="E316" s="45">
        <f>IFERROR(VLOOKUP(TRIM(D316), Collection!$B$2:$D$1001, 2, FALSE), "")</f>
        <v/>
      </c>
      <c r="F316" s="48">
        <f>IFERROR(VLOOKUP(TRIM(D316), Collection!$B$2:$D$1001, 3, FALSE), "")</f>
        <v/>
      </c>
      <c r="G316" s="48">
        <f>IFERROR(VALUE(SUBSTITUTE(SUBSTITUTE(F316, "Price", ""), "AED", "")), "")</f>
        <v/>
      </c>
      <c r="H316" s="45" t="inlineStr">
        <is>
          <t>Phone sales Middle East</t>
        </is>
      </c>
      <c r="I316" s="45" t="n">
        <v>92403624</v>
      </c>
      <c r="J316" s="45" t="inlineStr">
        <is>
          <t>Prospect</t>
        </is>
      </c>
      <c r="K316" s="45" t="inlineStr">
        <is>
          <t>TAHHAN Riham</t>
        </is>
      </c>
      <c r="L316" s="45" t="inlineStr">
        <is>
          <t xml:space="preserve"> </t>
        </is>
      </c>
      <c r="M316" s="45">
        <f>IF(COUNTIF($R$3:$R$100, D316) &gt; 0, TRUE, FALSE)</f>
        <v/>
      </c>
    </row>
    <row r="317" ht="31.2" customHeight="1" s="287">
      <c r="A317" s="45" t="inlineStr">
        <is>
          <t>Cancelled</t>
        </is>
      </c>
      <c r="B317" s="45" t="inlineStr">
        <is>
          <t>Cancelled</t>
        </is>
      </c>
      <c r="C317" s="46" t="n">
        <v>45484</v>
      </c>
      <c r="D317" s="45" t="inlineStr">
        <is>
          <t>7920V/210A-B546</t>
        </is>
      </c>
      <c r="E317" s="45">
        <f>IFERROR(VLOOKUP(TRIM(D317), Collection!$B$2:$D$1001, 2, FALSE), "")</f>
        <v/>
      </c>
      <c r="F317" s="48">
        <f>IFERROR(VLOOKUP(TRIM(D317), Collection!$B$2:$D$1001, 3, FALSE), "")</f>
        <v/>
      </c>
      <c r="G317" s="48">
        <f>IFERROR(VALUE(SUBSTITUTE(SUBSTITUTE(F317, "Price", ""), "AED", "")), "")</f>
        <v/>
      </c>
      <c r="H317" s="45" t="inlineStr">
        <is>
          <t>Phone sales Middle East</t>
        </is>
      </c>
      <c r="I317" s="45" t="n">
        <v>101641502</v>
      </c>
      <c r="J317" s="45" t="inlineStr">
        <is>
          <t>Prospect</t>
        </is>
      </c>
      <c r="K317" s="45" t="inlineStr">
        <is>
          <t>TAHHAN Riham</t>
        </is>
      </c>
      <c r="L317" s="45" t="inlineStr">
        <is>
          <t xml:space="preserve"> </t>
        </is>
      </c>
      <c r="M317" s="45">
        <f>IF(COUNTIF($R$3:$R$100, D317) &gt; 0, TRUE, FALSE)</f>
        <v/>
      </c>
    </row>
    <row r="318" ht="31.2" customHeight="1" s="287">
      <c r="A318" s="45" t="inlineStr">
        <is>
          <t>Cancelled</t>
        </is>
      </c>
      <c r="B318" s="45" t="inlineStr">
        <is>
          <t>Cancelled</t>
        </is>
      </c>
      <c r="C318" s="46" t="n">
        <v>45454</v>
      </c>
      <c r="D318" s="45" t="inlineStr">
        <is>
          <t>7920V/210A-B334</t>
        </is>
      </c>
      <c r="E318" s="45">
        <f>IFERROR(VLOOKUP(TRIM(D318), Collection!$B$2:$D$1001, 2, FALSE), "")</f>
        <v/>
      </c>
      <c r="F318" s="48">
        <f>IFERROR(VLOOKUP(TRIM(D318), Collection!$B$2:$D$1001, 3, FALSE), "")</f>
        <v/>
      </c>
      <c r="G318" s="48">
        <f>IFERROR(VALUE(SUBSTITUTE(SUBSTITUTE(F318, "Price", ""), "AED", "")), "")</f>
        <v/>
      </c>
      <c r="H318" s="45" t="inlineStr">
        <is>
          <t>Phone sales Middle East</t>
        </is>
      </c>
      <c r="I318" s="45" t="n">
        <v>101987055</v>
      </c>
      <c r="J318" s="45" t="inlineStr">
        <is>
          <t>Prospect</t>
        </is>
      </c>
      <c r="K318" s="45" t="inlineStr">
        <is>
          <t>TAHHAN Riham</t>
        </is>
      </c>
      <c r="L318" s="45" t="inlineStr">
        <is>
          <t xml:space="preserve"> </t>
        </is>
      </c>
      <c r="M318" s="45">
        <f>IF(COUNTIF($R$3:$R$100, D318) &gt; 0, TRUE, FALSE)</f>
        <v/>
      </c>
    </row>
    <row r="319" ht="218.4" customHeight="1" s="287">
      <c r="A319" s="45" t="inlineStr">
        <is>
          <t>Request</t>
        </is>
      </c>
      <c r="B319" s="45" t="inlineStr">
        <is>
          <t xml:space="preserve"> </t>
        </is>
      </c>
      <c r="C319" s="46" t="n">
        <v>45423</v>
      </c>
      <c r="D319" s="45" t="inlineStr">
        <is>
          <t>7920V/210A-B334</t>
        </is>
      </c>
      <c r="E319" s="45">
        <f>IFERROR(VLOOKUP(TRIM(D319), Collection!$B$2:$D$1001, 2, FALSE), "")</f>
        <v/>
      </c>
      <c r="F319" s="48">
        <f>IFERROR(VLOOKUP(TRIM(D319), Collection!$B$2:$D$1001, 3, FALSE), "")</f>
        <v/>
      </c>
      <c r="G319" s="48">
        <f>IFERROR(VALUE(SUBSTITUTE(SUBSTITUTE(F319, "Price", ""), "AED", "")), "")</f>
        <v/>
      </c>
      <c r="H319" s="45" t="inlineStr">
        <is>
          <t>Phone sales Middle East</t>
        </is>
      </c>
      <c r="I319" s="45" t="n">
        <v>98635975</v>
      </c>
      <c r="J319" s="45" t="inlineStr">
        <is>
          <t>VVIC</t>
        </is>
      </c>
      <c r="K319" s="45" t="inlineStr">
        <is>
          <t>SHARIF Maaz</t>
        </is>
      </c>
      <c r="L319" s="45" t="inlineStr">
        <is>
          <t>My client Al Owis recently reached out to express his satisfaction with the service he received previously. He inquired about the dual time and mentioned that he would like to purchase it as a gift for his uncle, His Excellency Abdul Rahman Al Owais.</t>
        </is>
      </c>
      <c r="M319" s="45">
        <f>IF(COUNTIF($R$3:$R$100, D319) &gt; 0, TRUE, FALSE)</f>
        <v/>
      </c>
    </row>
    <row r="320" ht="62.4" customHeight="1" s="287">
      <c r="A320" s="45" t="inlineStr">
        <is>
          <t>Cancelled</t>
        </is>
      </c>
      <c r="B320" s="45" t="inlineStr">
        <is>
          <t>Cancelled</t>
        </is>
      </c>
      <c r="C320" s="46" t="n">
        <v>45423</v>
      </c>
      <c r="D320" s="45" t="inlineStr">
        <is>
          <t>7920V/210A-B334</t>
        </is>
      </c>
      <c r="E320" s="45">
        <f>IFERROR(VLOOKUP(TRIM(D320), Collection!$B$2:$D$1001, 2, FALSE), "")</f>
        <v/>
      </c>
      <c r="F320" s="48">
        <f>IFERROR(VLOOKUP(TRIM(D320), Collection!$B$2:$D$1001, 3, FALSE), "")</f>
        <v/>
      </c>
      <c r="G320" s="48">
        <f>IFERROR(VALUE(SUBSTITUTE(SUBSTITUTE(F320, "Price", ""), "AED", "")), "")</f>
        <v/>
      </c>
      <c r="H320" s="45" t="inlineStr">
        <is>
          <t>Phone sales Middle East</t>
        </is>
      </c>
      <c r="I320" s="45" t="n">
        <v>92401119</v>
      </c>
      <c r="J320" s="45" t="inlineStr">
        <is>
          <t>Prospect</t>
        </is>
      </c>
      <c r="K320" s="45" t="inlineStr">
        <is>
          <t>OMARI Asma</t>
        </is>
      </c>
      <c r="L320" s="45" t="inlineStr">
        <is>
          <t>Client was registred by Yangli for the blue dial and 2 ladies watches</t>
        </is>
      </c>
      <c r="M320" s="45">
        <f>IF(COUNTIF($R$3:$R$100, D320) &gt; 0, TRUE, FALSE)</f>
        <v/>
      </c>
    </row>
    <row r="321" ht="46.95" customHeight="1" s="287">
      <c r="A321" s="45" t="inlineStr">
        <is>
          <t>Cancelled</t>
        </is>
      </c>
      <c r="B321" s="45" t="inlineStr">
        <is>
          <t>Cancelled</t>
        </is>
      </c>
      <c r="C321" s="46" t="n">
        <v>45423</v>
      </c>
      <c r="D321" s="45" t="inlineStr">
        <is>
          <t>7920V/210A-B546</t>
        </is>
      </c>
      <c r="E321" s="45">
        <f>IFERROR(VLOOKUP(TRIM(D321), Collection!$B$2:$D$1001, 2, FALSE), "")</f>
        <v/>
      </c>
      <c r="F321" s="48">
        <f>IFERROR(VLOOKUP(TRIM(D321), Collection!$B$2:$D$1001, 3, FALSE), "")</f>
        <v/>
      </c>
      <c r="G321" s="48">
        <f>IFERROR(VALUE(SUBSTITUTE(SUBSTITUTE(F321, "Price", ""), "AED", "")), "")</f>
        <v/>
      </c>
      <c r="H321" s="45" t="inlineStr">
        <is>
          <t>Phone sales Middle East</t>
        </is>
      </c>
      <c r="I321" s="45" t="n">
        <v>102281183</v>
      </c>
      <c r="J321" s="45" t="inlineStr">
        <is>
          <t>Prospect</t>
        </is>
      </c>
      <c r="K321" s="45" t="inlineStr">
        <is>
          <t>OMARI Asma</t>
        </is>
      </c>
      <c r="L321" s="45" t="inlineStr">
        <is>
          <t>Client is open for other options invited his to the boutique.</t>
        </is>
      </c>
      <c r="M321" s="45">
        <f>IF(COUNTIF($R$3:$R$100, D321) &gt; 0, TRUE, FALSE)</f>
        <v/>
      </c>
    </row>
    <row r="322" ht="78" customHeight="1" s="287">
      <c r="A322" s="45" t="inlineStr">
        <is>
          <t>Request</t>
        </is>
      </c>
      <c r="B322" s="45" t="inlineStr">
        <is>
          <t xml:space="preserve"> </t>
        </is>
      </c>
      <c r="C322" s="46" t="n">
        <v>45423</v>
      </c>
      <c r="D322" s="45" t="inlineStr">
        <is>
          <t>4520V/210A-B483</t>
        </is>
      </c>
      <c r="E322" s="45">
        <f>IFERROR(VLOOKUP(TRIM(D322), Collection!$B$2:$D$1001, 2, FALSE), "")</f>
        <v/>
      </c>
      <c r="F322" s="48">
        <f>IFERROR(VLOOKUP(TRIM(D322), Collection!$B$2:$D$1001, 3, FALSE), "")</f>
        <v/>
      </c>
      <c r="G322" s="48">
        <f>IFERROR(VALUE(SUBSTITUTE(SUBSTITUTE(F322, "Price", ""), "AED", "")), "")</f>
        <v/>
      </c>
      <c r="H322" s="45" t="inlineStr">
        <is>
          <t>Phone sales Middle East</t>
        </is>
      </c>
      <c r="I322" s="45" t="n">
        <v>98711501</v>
      </c>
      <c r="J322" s="45" t="inlineStr">
        <is>
          <t>Prospect</t>
        </is>
      </c>
      <c r="K322" s="45" t="inlineStr">
        <is>
          <t>SHARIF Maaz</t>
        </is>
      </c>
      <c r="L322" s="45" t="inlineStr">
        <is>
          <t>The client is Al Firdan family memebers   interested in the black and blue dual time</t>
        </is>
      </c>
      <c r="M322" s="45">
        <f>IF(COUNTIF($R$3:$R$100, D322) &gt; 0, TRUE, FALSE)</f>
        <v/>
      </c>
    </row>
    <row r="323" ht="62.4" customHeight="1" s="287">
      <c r="A323" s="45" t="inlineStr">
        <is>
          <t>Request</t>
        </is>
      </c>
      <c r="B323" s="45" t="inlineStr">
        <is>
          <t xml:space="preserve"> </t>
        </is>
      </c>
      <c r="C323" s="46" t="n">
        <v>45333</v>
      </c>
      <c r="D323" s="45" t="inlineStr">
        <is>
          <t>4520V/210A-B128</t>
        </is>
      </c>
      <c r="E323" s="45">
        <f>IFERROR(VLOOKUP(TRIM(D323), Collection!$B$2:$D$1001, 2, FALSE), "")</f>
        <v/>
      </c>
      <c r="F323" s="48">
        <f>IFERROR(VLOOKUP(TRIM(D323), Collection!$B$2:$D$1001, 3, FALSE), "")</f>
        <v/>
      </c>
      <c r="G323" s="48">
        <f>IFERROR(VALUE(SUBSTITUTE(SUBSTITUTE(F323, "Price", ""), "AED", "")), "")</f>
        <v/>
      </c>
      <c r="H323" s="45" t="inlineStr">
        <is>
          <t>Phone sales Middle East</t>
        </is>
      </c>
      <c r="I323" s="45" t="n">
        <v>102232596</v>
      </c>
      <c r="J323" s="45" t="inlineStr">
        <is>
          <t>Prospect</t>
        </is>
      </c>
      <c r="K323" s="45" t="inlineStr">
        <is>
          <t>SHARIF Maaz</t>
        </is>
      </c>
      <c r="L323" s="45" t="inlineStr">
        <is>
          <t>VVIP Client - Mr. Abdulaziz  is very interested in the timepeice</t>
        </is>
      </c>
      <c r="M323" s="45">
        <f>IF(COUNTIF($R$3:$R$100, D323) &gt; 0, TRUE, FALSE)</f>
        <v/>
      </c>
    </row>
    <row r="324" ht="46.95" customHeight="1" s="287">
      <c r="A324" s="45" t="inlineStr">
        <is>
          <t>Request</t>
        </is>
      </c>
      <c r="B324" s="45" t="inlineStr">
        <is>
          <t xml:space="preserve"> </t>
        </is>
      </c>
      <c r="C324" s="46" t="n">
        <v>45333</v>
      </c>
      <c r="D324" s="45" t="inlineStr">
        <is>
          <t>7920V/210A-B334</t>
        </is>
      </c>
      <c r="E324" s="45">
        <f>IFERROR(VLOOKUP(TRIM(D324), Collection!$B$2:$D$1001, 2, FALSE), "")</f>
        <v/>
      </c>
      <c r="F324" s="48">
        <f>IFERROR(VLOOKUP(TRIM(D324), Collection!$B$2:$D$1001, 3, FALSE), "")</f>
        <v/>
      </c>
      <c r="G324" s="48">
        <f>IFERROR(VALUE(SUBSTITUTE(SUBSTITUTE(F324, "Price", ""), "AED", "")), "")</f>
        <v/>
      </c>
      <c r="H324" s="45" t="inlineStr">
        <is>
          <t>Phone sales Middle East</t>
        </is>
      </c>
      <c r="I324" s="45" t="n">
        <v>102220776</v>
      </c>
      <c r="J324" s="45" t="inlineStr">
        <is>
          <t>Prospect</t>
        </is>
      </c>
      <c r="K324" s="45" t="inlineStr">
        <is>
          <t>SHARIF Maaz</t>
        </is>
      </c>
      <c r="L324" s="45" t="inlineStr">
        <is>
          <t>The client is intrested in the OVERSEAS DUAL TIME \n</t>
        </is>
      </c>
      <c r="M324" s="45">
        <f>IF(COUNTIF($R$3:$R$100, D324) &gt; 0, TRUE, FALSE)</f>
        <v/>
      </c>
    </row>
    <row r="325" ht="62.4" customHeight="1" s="287">
      <c r="A325" s="45" t="inlineStr">
        <is>
          <t>Cancelled</t>
        </is>
      </c>
      <c r="B325" s="45" t="inlineStr">
        <is>
          <t>Cancelled</t>
        </is>
      </c>
      <c r="C325" s="45" t="inlineStr">
        <is>
          <t>31/10/2024</t>
        </is>
      </c>
      <c r="D325" s="45" t="inlineStr">
        <is>
          <t>4520V/210A-B128</t>
        </is>
      </c>
      <c r="E325" s="45">
        <f>IFERROR(VLOOKUP(TRIM(D325), Collection!$B$2:$D$1001, 2, FALSE), "")</f>
        <v/>
      </c>
      <c r="F325" s="48">
        <f>IFERROR(VLOOKUP(TRIM(D325), Collection!$B$2:$D$1001, 3, FALSE), "")</f>
        <v/>
      </c>
      <c r="G325" s="48">
        <f>IFERROR(VALUE(SUBSTITUTE(SUBSTITUTE(F325, "Price", ""), "AED", "")), "")</f>
        <v/>
      </c>
      <c r="H325" s="45" t="inlineStr">
        <is>
          <t>Phone sales Middle East</t>
        </is>
      </c>
      <c r="I325" s="45" t="n">
        <v>102176002</v>
      </c>
      <c r="J325" s="45" t="inlineStr">
        <is>
          <t>Prospect</t>
        </is>
      </c>
      <c r="K325" s="45" t="inlineStr">
        <is>
          <t>SHARIF Maaz</t>
        </is>
      </c>
      <c r="L325" s="45" t="inlineStr">
        <is>
          <t>The client is very interested in the overseas blue bay tower.</t>
        </is>
      </c>
      <c r="M325" s="45">
        <f>IF(COUNTIF($R$3:$R$100, D325) &gt; 0, TRUE, FALSE)</f>
        <v/>
      </c>
    </row>
    <row r="326" ht="31.2" customHeight="1" s="287">
      <c r="A326" s="45" t="inlineStr">
        <is>
          <t>Cancelled</t>
        </is>
      </c>
      <c r="B326" s="45" t="inlineStr">
        <is>
          <t>Cancelled</t>
        </is>
      </c>
      <c r="C326" s="45" t="inlineStr">
        <is>
          <t>30/10/2024</t>
        </is>
      </c>
      <c r="D326" s="45" t="inlineStr">
        <is>
          <t>5520V/210A-B148</t>
        </is>
      </c>
      <c r="E326" s="45">
        <f>IFERROR(VLOOKUP(TRIM(D326), Collection!$B$2:$D$1001, 2, FALSE), "")</f>
        <v/>
      </c>
      <c r="F326" s="48">
        <f>IFERROR(VLOOKUP(TRIM(D326), Collection!$B$2:$D$1001, 3, FALSE), "")</f>
        <v/>
      </c>
      <c r="G326" s="48">
        <f>IFERROR(VALUE(SUBSTITUTE(SUBSTITUTE(F326, "Price", ""), "AED", "")), "")</f>
        <v/>
      </c>
      <c r="H326" s="45" t="inlineStr">
        <is>
          <t>Phone sales Middle East</t>
        </is>
      </c>
      <c r="I326" s="45" t="n">
        <v>102193096</v>
      </c>
      <c r="J326" s="45" t="inlineStr">
        <is>
          <t>Prospect</t>
        </is>
      </c>
      <c r="K326" s="45" t="inlineStr">
        <is>
          <t>TAHHAN Riham</t>
        </is>
      </c>
      <c r="L326" s="45" t="inlineStr">
        <is>
          <t xml:space="preserve"> </t>
        </is>
      </c>
      <c r="M326" s="45">
        <f>IF(COUNTIF($R$3:$R$100, D326) &gt; 0, TRUE, FALSE)</f>
        <v/>
      </c>
    </row>
    <row r="327" ht="31.2" customHeight="1" s="287">
      <c r="A327" s="45" t="inlineStr">
        <is>
          <t>Request</t>
        </is>
      </c>
      <c r="B327" s="45" t="inlineStr">
        <is>
          <t xml:space="preserve"> </t>
        </is>
      </c>
      <c r="C327" s="45" t="inlineStr">
        <is>
          <t>30/10/2024</t>
        </is>
      </c>
      <c r="D327" s="45" t="inlineStr">
        <is>
          <t>7920V/210A-B334</t>
        </is>
      </c>
      <c r="E327" s="45">
        <f>IFERROR(VLOOKUP(TRIM(D327), Collection!$B$2:$D$1001, 2, FALSE), "")</f>
        <v/>
      </c>
      <c r="F327" s="48">
        <f>IFERROR(VLOOKUP(TRIM(D327), Collection!$B$2:$D$1001, 3, FALSE), "")</f>
        <v/>
      </c>
      <c r="G327" s="48">
        <f>IFERROR(VALUE(SUBSTITUTE(SUBSTITUTE(F327, "Price", ""), "AED", "")), "")</f>
        <v/>
      </c>
      <c r="H327" s="45" t="inlineStr">
        <is>
          <t>Phone sales Middle East</t>
        </is>
      </c>
      <c r="I327" s="45" t="n">
        <v>102193096</v>
      </c>
      <c r="J327" s="45" t="inlineStr">
        <is>
          <t>Prospect</t>
        </is>
      </c>
      <c r="K327" s="45" t="inlineStr">
        <is>
          <t>TAHHAN Riham</t>
        </is>
      </c>
      <c r="L327" s="45" t="inlineStr">
        <is>
          <t xml:space="preserve"> </t>
        </is>
      </c>
      <c r="M327" s="45">
        <f>IF(COUNTIF($R$3:$R$100, D327) &gt; 0, TRUE, FALSE)</f>
        <v/>
      </c>
    </row>
    <row r="328" ht="31.2" customHeight="1" s="287">
      <c r="A328" s="45" t="inlineStr">
        <is>
          <t>Request</t>
        </is>
      </c>
      <c r="B328" s="45" t="inlineStr">
        <is>
          <t xml:space="preserve"> </t>
        </is>
      </c>
      <c r="C328" s="45" t="inlineStr">
        <is>
          <t>30/10/2024</t>
        </is>
      </c>
      <c r="D328" s="45" t="inlineStr">
        <is>
          <t>4520V/210A-B128</t>
        </is>
      </c>
      <c r="E328" s="45">
        <f>IFERROR(VLOOKUP(TRIM(D328), Collection!$B$2:$D$1001, 2, FALSE), "")</f>
        <v/>
      </c>
      <c r="F328" s="48">
        <f>IFERROR(VLOOKUP(TRIM(D328), Collection!$B$2:$D$1001, 3, FALSE), "")</f>
        <v/>
      </c>
      <c r="G328" s="48">
        <f>IFERROR(VALUE(SUBSTITUTE(SUBSTITUTE(F328, "Price", ""), "AED", "")), "")</f>
        <v/>
      </c>
      <c r="H328" s="45" t="inlineStr">
        <is>
          <t>Phone sales Middle East</t>
        </is>
      </c>
      <c r="I328" s="45" t="n">
        <v>102176002</v>
      </c>
      <c r="J328" s="45" t="inlineStr">
        <is>
          <t>Prospect</t>
        </is>
      </c>
      <c r="K328" s="45" t="inlineStr">
        <is>
          <t>SHARIF Maaz</t>
        </is>
      </c>
      <c r="L328" s="45" t="inlineStr">
        <is>
          <t xml:space="preserve"> </t>
        </is>
      </c>
      <c r="M328" s="45">
        <f>IF(COUNTIF($R$3:$R$100, D328) &gt; 0, TRUE, FALSE)</f>
        <v/>
      </c>
    </row>
    <row r="329" ht="62.4" customHeight="1" s="287">
      <c r="A329" s="45" t="inlineStr">
        <is>
          <t>Cancelled</t>
        </is>
      </c>
      <c r="B329" s="45" t="inlineStr">
        <is>
          <t>Cancelled</t>
        </is>
      </c>
      <c r="C329" s="45" t="inlineStr">
        <is>
          <t>30/10/2024</t>
        </is>
      </c>
      <c r="D329" s="45" t="inlineStr">
        <is>
          <t>6000V/210T-H032</t>
        </is>
      </c>
      <c r="E329" s="45">
        <f>IFERROR(VLOOKUP(TRIM(D329), Collection!$B$2:$D$1001, 2, FALSE), "")</f>
        <v/>
      </c>
      <c r="F329" s="48">
        <f>IFERROR(VLOOKUP(TRIM(D329), Collection!$B$2:$D$1001, 3, FALSE), "")</f>
        <v/>
      </c>
      <c r="G329" s="48">
        <f>IFERROR(VALUE(SUBSTITUTE(SUBSTITUTE(F329, "Price", ""), "AED", "")), "")</f>
        <v/>
      </c>
      <c r="H329" s="45" t="inlineStr">
        <is>
          <t>Phone sales Middle East</t>
        </is>
      </c>
      <c r="I329" s="45" t="n">
        <v>102113813</v>
      </c>
      <c r="J329" s="45" t="inlineStr">
        <is>
          <t>Prospect</t>
        </is>
      </c>
      <c r="K329" s="45" t="inlineStr">
        <is>
          <t>SHARIF Maaz</t>
        </is>
      </c>
      <c r="L329" s="45" t="inlineStr">
        <is>
          <t>the client would like to purchases
overseas tourbillon</t>
        </is>
      </c>
      <c r="M329" s="45">
        <f>IF(COUNTIF($R$3:$R$100, D329) &gt; 0, TRUE, FALSE)</f>
        <v/>
      </c>
    </row>
    <row r="330" ht="93.59999999999999" customHeight="1" s="287">
      <c r="A330" s="45" t="inlineStr">
        <is>
          <t>Request</t>
        </is>
      </c>
      <c r="B330" s="45" t="inlineStr">
        <is>
          <t xml:space="preserve"> </t>
        </is>
      </c>
      <c r="C330" s="45" t="inlineStr">
        <is>
          <t>26/10/2024</t>
        </is>
      </c>
      <c r="D330" s="45" t="inlineStr">
        <is>
          <t>4520V/210A-B128</t>
        </is>
      </c>
      <c r="E330" s="45">
        <f>IFERROR(VLOOKUP(TRIM(D330), Collection!$B$2:$D$1001, 2, FALSE), "")</f>
        <v/>
      </c>
      <c r="F330" s="48">
        <f>IFERROR(VLOOKUP(TRIM(D330), Collection!$B$2:$D$1001, 3, FALSE), "")</f>
        <v/>
      </c>
      <c r="G330" s="48">
        <f>IFERROR(VALUE(SUBSTITUTE(SUBSTITUTE(F330, "Price", ""), "AED", "")), "")</f>
        <v/>
      </c>
      <c r="H330" s="45" t="inlineStr">
        <is>
          <t>Phone sales Middle East</t>
        </is>
      </c>
      <c r="I330" s="45" t="n">
        <v>0</v>
      </c>
      <c r="J330" s="45" t="inlineStr">
        <is>
          <t>Prospect</t>
        </is>
      </c>
      <c r="K330" s="45" t="inlineStr">
        <is>
          <t>SHARIF Maaz</t>
        </is>
      </c>
      <c r="L330" s="45" t="inlineStr">
        <is>
          <t>The clinet is a high profile., unfortunately SF didnt create id yet. the client will be going to KSA on Monday morning</t>
        </is>
      </c>
      <c r="M330" s="45">
        <f>IF(COUNTIF($R$3:$R$100, D330) &gt; 0, TRUE, FALSE)</f>
        <v/>
      </c>
    </row>
    <row r="331" ht="93.59999999999999" customHeight="1" s="287">
      <c r="A331" s="45" t="inlineStr">
        <is>
          <t>Request</t>
        </is>
      </c>
      <c r="B331" s="45" t="inlineStr">
        <is>
          <t xml:space="preserve"> </t>
        </is>
      </c>
      <c r="C331" s="45" t="inlineStr">
        <is>
          <t>25/10/2024</t>
        </is>
      </c>
      <c r="D331" s="45" t="inlineStr">
        <is>
          <t>4520V/210A-B128</t>
        </is>
      </c>
      <c r="E331" s="45">
        <f>IFERROR(VLOOKUP(TRIM(D331), Collection!$B$2:$D$1001, 2, FALSE), "")</f>
        <v/>
      </c>
      <c r="F331" s="48">
        <f>IFERROR(VLOOKUP(TRIM(D331), Collection!$B$2:$D$1001, 3, FALSE), "")</f>
        <v/>
      </c>
      <c r="G331" s="48">
        <f>IFERROR(VALUE(SUBSTITUTE(SUBSTITUTE(F331, "Price", ""), "AED", "")), "")</f>
        <v/>
      </c>
      <c r="H331" s="45" t="inlineStr">
        <is>
          <t>Phone sales Middle East</t>
        </is>
      </c>
      <c r="I331" s="45" t="n">
        <v>102113813</v>
      </c>
      <c r="J331" s="45" t="inlineStr">
        <is>
          <t>Prospect</t>
        </is>
      </c>
      <c r="K331" s="45" t="inlineStr">
        <is>
          <t>SHARIF Maaz</t>
        </is>
      </c>
      <c r="L331" s="45" t="inlineStr">
        <is>
          <t>The client is interested in the blue simple day overseas and would like to come to the boutique to try it.</t>
        </is>
      </c>
      <c r="M331" s="45">
        <f>IF(COUNTIF($R$3:$R$100, D331) &gt; 0, TRUE, FALSE)</f>
        <v/>
      </c>
    </row>
    <row r="332" ht="31.2" customHeight="1" s="287">
      <c r="A332" s="45" t="inlineStr">
        <is>
          <t>Cancelled</t>
        </is>
      </c>
      <c r="B332" s="45" t="inlineStr">
        <is>
          <t>Cancelled</t>
        </is>
      </c>
      <c r="C332" s="45" t="inlineStr">
        <is>
          <t>25/10/2024</t>
        </is>
      </c>
      <c r="D332" s="45" t="inlineStr">
        <is>
          <t>4520V/210A-B126</t>
        </is>
      </c>
      <c r="E332" s="45">
        <f>IFERROR(VLOOKUP(TRIM(D332), Collection!$B$2:$D$1001, 2, FALSE), "")</f>
        <v/>
      </c>
      <c r="F332" s="48">
        <f>IFERROR(VLOOKUP(TRIM(D332), Collection!$B$2:$D$1001, 3, FALSE), "")</f>
        <v/>
      </c>
      <c r="G332" s="48">
        <f>IFERROR(VALUE(SUBSTITUTE(SUBSTITUTE(F332, "Price", ""), "AED", "")), "")</f>
        <v/>
      </c>
      <c r="H332" s="45" t="inlineStr">
        <is>
          <t>Phone sales Middle East</t>
        </is>
      </c>
      <c r="I332" s="45" t="n">
        <v>101917600</v>
      </c>
      <c r="J332" s="45" t="inlineStr">
        <is>
          <t>Prospect</t>
        </is>
      </c>
      <c r="K332" s="45" t="inlineStr">
        <is>
          <t>TAHHAN Riham</t>
        </is>
      </c>
      <c r="L332" s="45" t="inlineStr">
        <is>
          <t xml:space="preserve"> </t>
        </is>
      </c>
      <c r="M332" s="45">
        <f>IF(COUNTIF($R$3:$R$100, D332) &gt; 0, TRUE, FALSE)</f>
        <v/>
      </c>
    </row>
    <row r="333" ht="31.2" customHeight="1" s="287">
      <c r="A333" s="45" t="inlineStr">
        <is>
          <t>Cancelled</t>
        </is>
      </c>
      <c r="B333" s="45" t="inlineStr">
        <is>
          <t>Cancelled</t>
        </is>
      </c>
      <c r="C333" s="45" t="inlineStr">
        <is>
          <t>24/10/2024</t>
        </is>
      </c>
      <c r="D333" s="45" t="inlineStr">
        <is>
          <t>7920V/210A-B334</t>
        </is>
      </c>
      <c r="E333" s="45">
        <f>IFERROR(VLOOKUP(TRIM(D333), Collection!$B$2:$D$1001, 2, FALSE), "")</f>
        <v/>
      </c>
      <c r="F333" s="48">
        <f>IFERROR(VLOOKUP(TRIM(D333), Collection!$B$2:$D$1001, 3, FALSE), "")</f>
        <v/>
      </c>
      <c r="G333" s="48">
        <f>IFERROR(VALUE(SUBSTITUTE(SUBSTITUTE(F333, "Price", ""), "AED", "")), "")</f>
        <v/>
      </c>
      <c r="H333" s="45" t="inlineStr">
        <is>
          <t>Phone sales Middle East</t>
        </is>
      </c>
      <c r="I333" s="45" t="n">
        <v>101917600</v>
      </c>
      <c r="J333" s="45" t="inlineStr">
        <is>
          <t>Prospect</t>
        </is>
      </c>
      <c r="K333" s="45" t="inlineStr">
        <is>
          <t>TAHHAN Riham</t>
        </is>
      </c>
      <c r="L333" s="45" t="inlineStr">
        <is>
          <t xml:space="preserve"> </t>
        </is>
      </c>
      <c r="M333" s="45">
        <f>IF(COUNTIF($R$3:$R$100, D333) &gt; 0, TRUE, FALSE)</f>
        <v/>
      </c>
    </row>
    <row r="334" ht="31.2" customHeight="1" s="287">
      <c r="A334" s="45" t="inlineStr">
        <is>
          <t>Cancelled</t>
        </is>
      </c>
      <c r="B334" s="45" t="inlineStr">
        <is>
          <t>Cancelled</t>
        </is>
      </c>
      <c r="C334" s="45" t="inlineStr">
        <is>
          <t>24/10/2024</t>
        </is>
      </c>
      <c r="D334" s="45" t="inlineStr">
        <is>
          <t>4520V/210A-B128</t>
        </is>
      </c>
      <c r="E334" s="45">
        <f>IFERROR(VLOOKUP(TRIM(D334), Collection!$B$2:$D$1001, 2, FALSE), "")</f>
        <v/>
      </c>
      <c r="F334" s="48">
        <f>IFERROR(VLOOKUP(TRIM(D334), Collection!$B$2:$D$1001, 3, FALSE), "")</f>
        <v/>
      </c>
      <c r="G334" s="48">
        <f>IFERROR(VALUE(SUBSTITUTE(SUBSTITUTE(F334, "Price", ""), "AED", "")), "")</f>
        <v/>
      </c>
      <c r="H334" s="45" t="inlineStr">
        <is>
          <t>Phone sales Middle East</t>
        </is>
      </c>
      <c r="I334" s="45" t="n">
        <v>101917600</v>
      </c>
      <c r="J334" s="45" t="inlineStr">
        <is>
          <t>Prospect</t>
        </is>
      </c>
      <c r="K334" s="45" t="inlineStr">
        <is>
          <t>TAHHAN Riham</t>
        </is>
      </c>
      <c r="L334" s="45" t="inlineStr">
        <is>
          <t xml:space="preserve"> </t>
        </is>
      </c>
      <c r="M334" s="45">
        <f>IF(COUNTIF($R$3:$R$100, D334) &gt; 0, TRUE, FALSE)</f>
        <v/>
      </c>
    </row>
    <row r="335" ht="31.2" customHeight="1" s="287">
      <c r="A335" s="45" t="inlineStr">
        <is>
          <t>Request</t>
        </is>
      </c>
      <c r="B335" s="45" t="inlineStr">
        <is>
          <t xml:space="preserve"> </t>
        </is>
      </c>
      <c r="C335" s="45" t="inlineStr">
        <is>
          <t>22/10/2024</t>
        </is>
      </c>
      <c r="D335" s="45" t="inlineStr">
        <is>
          <t>4520V/210A-B128</t>
        </is>
      </c>
      <c r="E335" s="45">
        <f>IFERROR(VLOOKUP(TRIM(D335), Collection!$B$2:$D$1001, 2, FALSE), "")</f>
        <v/>
      </c>
      <c r="F335" s="48">
        <f>IFERROR(VLOOKUP(TRIM(D335), Collection!$B$2:$D$1001, 3, FALSE), "")</f>
        <v/>
      </c>
      <c r="G335" s="48">
        <f>IFERROR(VALUE(SUBSTITUTE(SUBSTITUTE(F335, "Price", ""), "AED", "")), "")</f>
        <v/>
      </c>
      <c r="H335" s="45" t="inlineStr">
        <is>
          <t>Phone sales Middle East</t>
        </is>
      </c>
      <c r="I335" s="45" t="n">
        <v>102076880</v>
      </c>
      <c r="J335" s="45" t="inlineStr">
        <is>
          <t>Prospect</t>
        </is>
      </c>
      <c r="K335" s="45" t="inlineStr">
        <is>
          <t>TAHHAN Riham</t>
        </is>
      </c>
      <c r="L335" s="45" t="inlineStr">
        <is>
          <t xml:space="preserve"> </t>
        </is>
      </c>
      <c r="M335" s="45">
        <f>IF(COUNTIF($R$3:$R$100, D335) &gt; 0, TRUE, FALSE)</f>
        <v/>
      </c>
    </row>
    <row r="336" ht="31.2" customHeight="1" s="287">
      <c r="A336" s="45" t="inlineStr">
        <is>
          <t>Sold</t>
        </is>
      </c>
      <c r="B336" s="45" t="inlineStr">
        <is>
          <t>Confirmed</t>
        </is>
      </c>
      <c r="C336" s="45" t="inlineStr">
        <is>
          <t>22/10/2024</t>
        </is>
      </c>
      <c r="D336" s="45" t="inlineStr">
        <is>
          <t>5520V/210A-B481</t>
        </is>
      </c>
      <c r="E336" s="45">
        <f>IFERROR(VLOOKUP(TRIM(D336), Collection!$B$2:$D$1001, 2, FALSE), "")</f>
        <v/>
      </c>
      <c r="F336" s="48">
        <f>IFERROR(VLOOKUP(TRIM(D336), Collection!$B$2:$D$1001, 3, FALSE), "")</f>
        <v/>
      </c>
      <c r="G336" s="48">
        <f>IFERROR(VALUE(SUBSTITUTE(SUBSTITUTE(F336, "Price", ""), "AED", "")), "")</f>
        <v/>
      </c>
      <c r="H336" s="45" t="inlineStr">
        <is>
          <t>Phone sales Middle East</t>
        </is>
      </c>
      <c r="I336" s="45" t="n">
        <v>102078501</v>
      </c>
      <c r="J336" s="45" t="inlineStr">
        <is>
          <t>Prospect</t>
        </is>
      </c>
      <c r="K336" s="45" t="inlineStr">
        <is>
          <t>OMARI Asma</t>
        </is>
      </c>
      <c r="L336" s="45" t="inlineStr">
        <is>
          <t xml:space="preserve"> </t>
        </is>
      </c>
      <c r="M336" s="45">
        <f>IF(COUNTIF($R$3:$R$100, D336) &gt; 0, TRUE, FALSE)</f>
        <v/>
      </c>
    </row>
    <row r="337" ht="93.59999999999999" customHeight="1" s="287">
      <c r="A337" s="45" t="inlineStr">
        <is>
          <t>Request</t>
        </is>
      </c>
      <c r="B337" s="45" t="inlineStr">
        <is>
          <t>Confirmed</t>
        </is>
      </c>
      <c r="C337" s="45" t="inlineStr">
        <is>
          <t>20/10/2024</t>
        </is>
      </c>
      <c r="D337" s="45" t="inlineStr">
        <is>
          <t>7920V/210A-B334</t>
        </is>
      </c>
      <c r="E337" s="45">
        <f>IFERROR(VLOOKUP(TRIM(D337), Collection!$B$2:$D$1001, 2, FALSE), "")</f>
        <v/>
      </c>
      <c r="F337" s="48">
        <f>IFERROR(VLOOKUP(TRIM(D337), Collection!$B$2:$D$1001, 3, FALSE), "")</f>
        <v/>
      </c>
      <c r="G337" s="48">
        <f>IFERROR(VALUE(SUBSTITUTE(SUBSTITUTE(F337, "Price", ""), "AED", "")), "")</f>
        <v/>
      </c>
      <c r="H337" s="45" t="inlineStr">
        <is>
          <t>Phone sales Middle East</t>
        </is>
      </c>
      <c r="I337" s="45" t="n">
        <v>98711501</v>
      </c>
      <c r="J337" s="45" t="inlineStr">
        <is>
          <t>Prospect</t>
        </is>
      </c>
      <c r="K337" s="45" t="inlineStr">
        <is>
          <t>SHARIF Maaz</t>
        </is>
      </c>
      <c r="L337" s="45" t="inlineStr">
        <is>
          <t>VVIC | The Mr. Ali showed his interest in the  timepeice and would like to meet and would like to purchase the watch</t>
        </is>
      </c>
      <c r="M337" s="45">
        <f>IF(COUNTIF($R$3:$R$100, D337) &gt; 0, TRUE, FALSE)</f>
        <v/>
      </c>
    </row>
    <row r="338" ht="78" customHeight="1" s="287">
      <c r="A338" s="45" t="inlineStr">
        <is>
          <t>Request</t>
        </is>
      </c>
      <c r="B338" s="45" t="inlineStr">
        <is>
          <t xml:space="preserve"> </t>
        </is>
      </c>
      <c r="C338" s="45" t="inlineStr">
        <is>
          <t>19/10/2024</t>
        </is>
      </c>
      <c r="D338" s="45" t="inlineStr">
        <is>
          <t>4520V/210A-B128</t>
        </is>
      </c>
      <c r="E338" s="45">
        <f>IFERROR(VLOOKUP(TRIM(D338), Collection!$B$2:$D$1001, 2, FALSE), "")</f>
        <v/>
      </c>
      <c r="F338" s="48">
        <f>IFERROR(VLOOKUP(TRIM(D338), Collection!$B$2:$D$1001, 3, FALSE), "")</f>
        <v/>
      </c>
      <c r="G338" s="48">
        <f>IFERROR(VALUE(SUBSTITUTE(SUBSTITUTE(F338, "Price", ""), "AED", "")), "")</f>
        <v/>
      </c>
      <c r="H338" s="45" t="inlineStr">
        <is>
          <t>Phone sales Middle East</t>
        </is>
      </c>
      <c r="I338" s="45" t="n">
        <v>0</v>
      </c>
      <c r="J338" s="45" t="inlineStr">
        <is>
          <t>Prospect</t>
        </is>
      </c>
      <c r="K338" s="45" t="inlineStr">
        <is>
          <t>SHARIF Maaz</t>
        </is>
      </c>
      <c r="L338" s="45" t="inlineStr">
        <is>
          <t>The client is interested in the blue dial the ID still not appearing will update it accordingly</t>
        </is>
      </c>
      <c r="M338" s="45">
        <f>IF(COUNTIF($R$3:$R$100, D338) &gt; 0, TRUE, FALSE)</f>
        <v/>
      </c>
    </row>
    <row r="339" ht="31.2" customHeight="1" s="287">
      <c r="A339" s="45" t="inlineStr">
        <is>
          <t>Request</t>
        </is>
      </c>
      <c r="B339" s="45" t="inlineStr">
        <is>
          <t xml:space="preserve"> </t>
        </is>
      </c>
      <c r="C339" s="45" t="inlineStr">
        <is>
          <t>19/10/2024</t>
        </is>
      </c>
      <c r="D339" s="45" t="inlineStr">
        <is>
          <t>4520V/210A-B128</t>
        </is>
      </c>
      <c r="E339" s="45">
        <f>IFERROR(VLOOKUP(TRIM(D339), Collection!$B$2:$D$1001, 2, FALSE), "")</f>
        <v/>
      </c>
      <c r="F339" s="48">
        <f>IFERROR(VLOOKUP(TRIM(D339), Collection!$B$2:$D$1001, 3, FALSE), "")</f>
        <v/>
      </c>
      <c r="G339" s="48">
        <f>IFERROR(VALUE(SUBSTITUTE(SUBSTITUTE(F339, "Price", ""), "AED", "")), "")</f>
        <v/>
      </c>
      <c r="H339" s="45" t="inlineStr">
        <is>
          <t>Phone sales Middle East</t>
        </is>
      </c>
      <c r="I339" s="45" t="n">
        <v>102015200</v>
      </c>
      <c r="J339" s="45" t="inlineStr">
        <is>
          <t>Prospect</t>
        </is>
      </c>
      <c r="K339" s="45" t="inlineStr">
        <is>
          <t>TAHHAN Riham</t>
        </is>
      </c>
      <c r="L339" s="45" t="inlineStr">
        <is>
          <t xml:space="preserve"> </t>
        </is>
      </c>
      <c r="M339" s="45">
        <f>IF(COUNTIF($R$3:$R$100, D339) &gt; 0, TRUE, FALSE)</f>
        <v/>
      </c>
    </row>
    <row r="340" ht="62.4" customHeight="1" s="287">
      <c r="A340" s="45" t="inlineStr">
        <is>
          <t>Pre-order</t>
        </is>
      </c>
      <c r="B340" s="45" t="inlineStr">
        <is>
          <t>Confirmed</t>
        </is>
      </c>
      <c r="C340" s="45" t="inlineStr">
        <is>
          <t>18/10/2024</t>
        </is>
      </c>
      <c r="D340" s="45" t="inlineStr">
        <is>
          <t>4300V/220R-B064</t>
        </is>
      </c>
      <c r="E340" s="45">
        <f>IFERROR(VLOOKUP(TRIM(D340), Collection!$B$2:$D$1001, 2, FALSE), "")</f>
        <v/>
      </c>
      <c r="F340" s="48">
        <f>IFERROR(VLOOKUP(TRIM(D340), Collection!$B$2:$D$1001, 3, FALSE), "")</f>
        <v/>
      </c>
      <c r="G340" s="48">
        <f>IFERROR(VALUE(SUBSTITUTE(SUBSTITUTE(F340, "Price", ""), "AED", "")), "")</f>
        <v/>
      </c>
      <c r="H340" s="45" t="inlineStr">
        <is>
          <t>Phone sales Middle East</t>
        </is>
      </c>
      <c r="I340" s="45" t="n">
        <v>101987118</v>
      </c>
      <c r="J340" s="45" t="inlineStr">
        <is>
          <t>Prospect</t>
        </is>
      </c>
      <c r="K340" s="45" t="inlineStr">
        <is>
          <t>TAHHAN Riham</t>
        </is>
      </c>
      <c r="L340" s="45" t="inlineStr">
        <is>
          <t xml:space="preserve"> </t>
        </is>
      </c>
      <c r="M340" s="45">
        <f>IF(COUNTIF($R$3:$R$100, D340) &gt; 0, TRUE, FALSE)</f>
        <v/>
      </c>
    </row>
    <row r="341" ht="31.2" customHeight="1" s="287">
      <c r="A341" s="45" t="inlineStr">
        <is>
          <t>Cancelled</t>
        </is>
      </c>
      <c r="B341" s="45" t="inlineStr">
        <is>
          <t>Cancelled</t>
        </is>
      </c>
      <c r="C341" s="45" t="inlineStr">
        <is>
          <t>17/10/2024</t>
        </is>
      </c>
      <c r="D341" s="45" t="inlineStr">
        <is>
          <t>5520V/210A-B148</t>
        </is>
      </c>
      <c r="E341" s="45">
        <f>IFERROR(VLOOKUP(TRIM(D341), Collection!$B$2:$D$1001, 2, FALSE), "")</f>
        <v/>
      </c>
      <c r="F341" s="48">
        <f>IFERROR(VLOOKUP(TRIM(D341), Collection!$B$2:$D$1001, 3, FALSE), "")</f>
        <v/>
      </c>
      <c r="G341" s="48">
        <f>IFERROR(VALUE(SUBSTITUTE(SUBSTITUTE(F341, "Price", ""), "AED", "")), "")</f>
        <v/>
      </c>
      <c r="H341" s="45" t="inlineStr">
        <is>
          <t>Phone sales Middle East</t>
        </is>
      </c>
      <c r="I341" s="45" t="n">
        <v>97412230</v>
      </c>
      <c r="J341" s="45" t="inlineStr">
        <is>
          <t>Prospect</t>
        </is>
      </c>
      <c r="K341" s="45" t="inlineStr">
        <is>
          <t>OMARI Asma</t>
        </is>
      </c>
      <c r="L341" s="45" t="inlineStr">
        <is>
          <t>Client has limited budget</t>
        </is>
      </c>
      <c r="M341" s="45">
        <f>IF(COUNTIF($R$3:$R$100, D341) &gt; 0, TRUE, FALSE)</f>
        <v/>
      </c>
    </row>
    <row r="342" ht="31.2" customHeight="1" s="287">
      <c r="A342" s="45" t="inlineStr">
        <is>
          <t>Sold</t>
        </is>
      </c>
      <c r="B342" s="45" t="inlineStr">
        <is>
          <t>Confirmed</t>
        </is>
      </c>
      <c r="C342" s="45" t="inlineStr">
        <is>
          <t>17/10/2024</t>
        </is>
      </c>
      <c r="D342" s="45" t="inlineStr">
        <is>
          <t>4600E/000A-B442</t>
        </is>
      </c>
      <c r="E342" s="45">
        <f>IFERROR(VLOOKUP(TRIM(D342), Collection!$B$2:$D$1001, 2, FALSE), "")</f>
        <v/>
      </c>
      <c r="F342" s="48">
        <f>IFERROR(VLOOKUP(TRIM(D342), Collection!$B$2:$D$1001, 3, FALSE), "")</f>
        <v/>
      </c>
      <c r="G342" s="48">
        <f>IFERROR(VALUE(SUBSTITUTE(SUBSTITUTE(F342, "Price", ""), "AED", "")), "")</f>
        <v/>
      </c>
      <c r="H342" s="45" t="inlineStr">
        <is>
          <t>Phone sales Middle East</t>
        </is>
      </c>
      <c r="I342" s="45" t="n">
        <v>101319151</v>
      </c>
      <c r="J342" s="45" t="inlineStr">
        <is>
          <t>Prospect</t>
        </is>
      </c>
      <c r="K342" s="45" t="inlineStr">
        <is>
          <t>TAHHAN Riham</t>
        </is>
      </c>
      <c r="L342" s="45" t="inlineStr">
        <is>
          <t xml:space="preserve"> </t>
        </is>
      </c>
      <c r="M342" s="45">
        <f>IF(COUNTIF($R$3:$R$100, D342) &gt; 0, TRUE, FALSE)</f>
        <v/>
      </c>
    </row>
    <row r="343" ht="234" customHeight="1" s="287">
      <c r="A343" s="45" t="inlineStr">
        <is>
          <t>Sold</t>
        </is>
      </c>
      <c r="B343" s="45" t="inlineStr">
        <is>
          <t>Confirmed</t>
        </is>
      </c>
      <c r="C343" s="45" t="inlineStr">
        <is>
          <t>17/10/2024</t>
        </is>
      </c>
      <c r="D343" s="45" t="inlineStr">
        <is>
          <t>5520V/210R-B966</t>
        </is>
      </c>
      <c r="E343" s="45">
        <f>IFERROR(VLOOKUP(TRIM(D343), Collection!$B$2:$D$1001, 2, FALSE), "")</f>
        <v/>
      </c>
      <c r="F343" s="48">
        <f>IFERROR(VLOOKUP(TRIM(D343), Collection!$B$2:$D$1001, 3, FALSE), "")</f>
        <v/>
      </c>
      <c r="G343" s="48">
        <f>IFERROR(VALUE(SUBSTITUTE(SUBSTITUTE(F343, "Price", ""), "AED", "")), "")</f>
        <v/>
      </c>
      <c r="H343" s="45" t="inlineStr">
        <is>
          <t>Phone sales Middle East</t>
        </is>
      </c>
      <c r="I343" s="45" t="n">
        <v>101923321</v>
      </c>
      <c r="J343" s="45" t="inlineStr">
        <is>
          <t>Prospect</t>
        </is>
      </c>
      <c r="K343" s="45" t="inlineStr">
        <is>
          <t>SHARIF Maaz</t>
        </is>
      </c>
      <c r="L343" s="45" t="inlineStr">
        <is>
          <t>\\
Interested in buying the **Overseas Chronograph**
5520V/210R-B966  as a birthday gift for her husband in November. She’s comparing the 41mm 7920V/210R-B965 | and 42.5mm models, as she’s concerned about the size difference.</t>
        </is>
      </c>
      <c r="M343" s="45">
        <f>IF(COUNTIF($R$3:$R$100, D343) &gt; 0, TRUE, FALSE)</f>
        <v/>
      </c>
    </row>
    <row r="344" ht="78" customHeight="1" s="287">
      <c r="A344" s="45" t="inlineStr">
        <is>
          <t>Cancelled</t>
        </is>
      </c>
      <c r="B344" s="45" t="inlineStr">
        <is>
          <t>Cancelled</t>
        </is>
      </c>
      <c r="C344" s="45" t="inlineStr">
        <is>
          <t>17/10/2024</t>
        </is>
      </c>
      <c r="D344" s="45" t="inlineStr">
        <is>
          <t>7920V/210R-B965</t>
        </is>
      </c>
      <c r="E344" s="45">
        <f>IFERROR(VLOOKUP(TRIM(D344), Collection!$B$2:$D$1001, 2, FALSE), "")</f>
        <v/>
      </c>
      <c r="F344" s="48">
        <f>IFERROR(VLOOKUP(TRIM(D344), Collection!$B$2:$D$1001, 3, FALSE), "")</f>
        <v/>
      </c>
      <c r="G344" s="48">
        <f>IFERROR(VALUE(SUBSTITUTE(SUBSTITUTE(F344, "Price", ""), "AED", "")), "")</f>
        <v/>
      </c>
      <c r="H344" s="45" t="inlineStr">
        <is>
          <t>Phone sales Middle East</t>
        </is>
      </c>
      <c r="I344" s="45" t="n">
        <v>101923321</v>
      </c>
      <c r="J344" s="45" t="inlineStr">
        <is>
          <t>Prospect</t>
        </is>
      </c>
      <c r="K344" s="45" t="inlineStr">
        <is>
          <t>SHARIF Maaz</t>
        </is>
      </c>
      <c r="L344" s="45" t="inlineStr">
        <is>
          <t>The client will be taken either the dual time or the
Overseas chronograph</t>
        </is>
      </c>
      <c r="M344" s="45">
        <f>IF(COUNTIF($R$3:$R$100, D344) &gt; 0, TRUE, FALSE)</f>
        <v/>
      </c>
    </row>
    <row r="345" ht="46.95" customHeight="1" s="287">
      <c r="A345" s="45" t="inlineStr">
        <is>
          <t>Cancelled</t>
        </is>
      </c>
      <c r="B345" s="45" t="inlineStr">
        <is>
          <t>Cancelled</t>
        </is>
      </c>
      <c r="C345" s="45" t="inlineStr">
        <is>
          <t>17/10/2024</t>
        </is>
      </c>
      <c r="D345" s="45" t="inlineStr">
        <is>
          <t>82035/000R-9359</t>
        </is>
      </c>
      <c r="E345" s="45">
        <f>IFERROR(VLOOKUP(TRIM(D345), Collection!$B$2:$D$1001, 2, FALSE), "")</f>
        <v/>
      </c>
      <c r="F345" s="48">
        <f>IFERROR(VLOOKUP(TRIM(D345), Collection!$B$2:$D$1001, 3, FALSE), "")</f>
        <v/>
      </c>
      <c r="G345" s="48">
        <f>IFERROR(VALUE(SUBSTITUTE(SUBSTITUTE(F345, "Price", ""), "AED", "")), "")</f>
        <v/>
      </c>
      <c r="H345" s="45" t="inlineStr">
        <is>
          <t>Phone sales Middle East</t>
        </is>
      </c>
      <c r="I345" s="45" t="n">
        <v>101952731</v>
      </c>
      <c r="J345" s="45" t="inlineStr">
        <is>
          <t>Prospect</t>
        </is>
      </c>
      <c r="K345" s="45" t="inlineStr">
        <is>
          <t>SHARIF Maaz</t>
        </is>
      </c>
      <c r="L345" s="45" t="inlineStr">
        <is>
          <t>Waiting for the client confirmation when he will come to UAE</t>
        </is>
      </c>
      <c r="M345" s="45">
        <f>IF(COUNTIF($R$3:$R$100, D345) &gt; 0, TRUE, FALSE)</f>
        <v/>
      </c>
    </row>
    <row r="346" ht="31.2" customHeight="1" s="287">
      <c r="A346" s="45" t="inlineStr">
        <is>
          <t>Request</t>
        </is>
      </c>
      <c r="B346" s="45" t="inlineStr">
        <is>
          <t xml:space="preserve"> </t>
        </is>
      </c>
      <c r="C346" s="45" t="inlineStr">
        <is>
          <t>16/10/2024</t>
        </is>
      </c>
      <c r="D346" s="45" t="inlineStr">
        <is>
          <t>7920V/210A-B334</t>
        </is>
      </c>
      <c r="E346" s="45">
        <f>IFERROR(VLOOKUP(TRIM(D346), Collection!$B$2:$D$1001, 2, FALSE), "")</f>
        <v/>
      </c>
      <c r="F346" s="48">
        <f>IFERROR(VLOOKUP(TRIM(D346), Collection!$B$2:$D$1001, 3, FALSE), "")</f>
        <v/>
      </c>
      <c r="G346" s="48">
        <f>IFERROR(VALUE(SUBSTITUTE(SUBSTITUTE(F346, "Price", ""), "AED", "")), "")</f>
        <v/>
      </c>
      <c r="H346" s="45" t="inlineStr">
        <is>
          <t>Phone sales Middle East</t>
        </is>
      </c>
      <c r="I346" s="45" t="n">
        <v>92407429</v>
      </c>
      <c r="J346" s="45" t="inlineStr">
        <is>
          <t>Prospect</t>
        </is>
      </c>
      <c r="K346" s="45" t="inlineStr">
        <is>
          <t>TAHHAN Riham</t>
        </is>
      </c>
      <c r="L346" s="45" t="inlineStr">
        <is>
          <t xml:space="preserve"> </t>
        </is>
      </c>
      <c r="M346" s="45">
        <f>IF(COUNTIF($R$3:$R$100, D346) &gt; 0, TRUE, FALSE)</f>
        <v/>
      </c>
    </row>
    <row r="347" ht="124.95" customHeight="1" s="287">
      <c r="A347" s="45" t="inlineStr">
        <is>
          <t>Request</t>
        </is>
      </c>
      <c r="B347" s="45" t="inlineStr">
        <is>
          <t>Pending client feedback</t>
        </is>
      </c>
      <c r="C347" s="45" t="inlineStr">
        <is>
          <t>16/10/2024</t>
        </is>
      </c>
      <c r="D347" s="45" t="inlineStr">
        <is>
          <t>4000V/210A-B911</t>
        </is>
      </c>
      <c r="E347" s="45">
        <f>IFERROR(VLOOKUP(TRIM(D347), Collection!$B$2:$D$1001, 2, FALSE), "")</f>
        <v/>
      </c>
      <c r="F347" s="48">
        <f>IFERROR(VLOOKUP(TRIM(D347), Collection!$B$2:$D$1001, 3, FALSE), "")</f>
        <v/>
      </c>
      <c r="G347" s="48">
        <f>IFERROR(VALUE(SUBSTITUTE(SUBSTITUTE(F347, "Price", ""), "AED", "")), "")</f>
        <v/>
      </c>
      <c r="H347" s="45" t="inlineStr">
        <is>
          <t>Phone sales Middle East</t>
        </is>
      </c>
      <c r="I347" s="45" t="n">
        <v>102003092</v>
      </c>
      <c r="J347" s="45" t="inlineStr">
        <is>
          <t>Prospect</t>
        </is>
      </c>
      <c r="K347" s="45" t="inlineStr">
        <is>
          <t>SHARIF Maaz</t>
        </is>
      </c>
      <c r="L347" s="45" t="inlineStr">
        <is>
          <t>The client is open for the Overseas moon phase retrograde date
As per the client hes going in a trip therefore , will love to purchase it from UAE</t>
        </is>
      </c>
      <c r="M347" s="45">
        <f>IF(COUNTIF($R$3:$R$100, D347) &gt; 0, TRUE, FALSE)</f>
        <v/>
      </c>
    </row>
    <row r="348" ht="62.4" customHeight="1" s="287">
      <c r="A348" s="45" t="inlineStr">
        <is>
          <t>Sold</t>
        </is>
      </c>
      <c r="B348" s="45" t="inlineStr">
        <is>
          <t>Confirmed</t>
        </is>
      </c>
      <c r="C348" s="45" t="inlineStr">
        <is>
          <t>15/10/2024</t>
        </is>
      </c>
      <c r="D348" s="45" t="inlineStr">
        <is>
          <t>4520V/210A-B128</t>
        </is>
      </c>
      <c r="E348" s="45">
        <f>IFERROR(VLOOKUP(TRIM(D348), Collection!$B$2:$D$1001, 2, FALSE), "")</f>
        <v/>
      </c>
      <c r="F348" s="48">
        <f>IFERROR(VLOOKUP(TRIM(D348), Collection!$B$2:$D$1001, 3, FALSE), "")</f>
        <v/>
      </c>
      <c r="G348" s="48">
        <f>IFERROR(VALUE(SUBSTITUTE(SUBSTITUTE(F348, "Price", ""), "AED", "")), "")</f>
        <v/>
      </c>
      <c r="H348" s="45" t="inlineStr">
        <is>
          <t>Phone sales Middle East</t>
        </is>
      </c>
      <c r="I348" s="45" t="n">
        <v>101705197</v>
      </c>
      <c r="J348" s="45" t="inlineStr">
        <is>
          <t>Prospect</t>
        </is>
      </c>
      <c r="K348" s="45" t="inlineStr">
        <is>
          <t>TAHHAN Riham</t>
        </is>
      </c>
      <c r="L348" s="45" t="inlineStr">
        <is>
          <t>he is the son of the Minister of Federal Supreme Council Affairs in UAE</t>
        </is>
      </c>
      <c r="M348" s="45">
        <f>IF(COUNTIF($R$3:$R$100, D348) &gt; 0, TRUE, FALSE)</f>
        <v/>
      </c>
    </row>
    <row r="349" ht="124.95" customHeight="1" s="287">
      <c r="A349" s="45" t="inlineStr">
        <is>
          <t>Cancelled</t>
        </is>
      </c>
      <c r="B349" s="45" t="inlineStr">
        <is>
          <t>Cancelled</t>
        </is>
      </c>
      <c r="C349" s="45" t="inlineStr">
        <is>
          <t>15/10/2024</t>
        </is>
      </c>
      <c r="D349" s="45" t="inlineStr">
        <is>
          <t>5520V/210A-B686</t>
        </is>
      </c>
      <c r="E349" s="45">
        <f>IFERROR(VLOOKUP(TRIM(D349), Collection!$B$2:$D$1001, 2, FALSE), "")</f>
        <v/>
      </c>
      <c r="F349" s="48">
        <f>IFERROR(VLOOKUP(TRIM(D349), Collection!$B$2:$D$1001, 3, FALSE), "")</f>
        <v/>
      </c>
      <c r="G349" s="48">
        <f>IFERROR(VALUE(SUBSTITUTE(SUBSTITUTE(F349, "Price", ""), "AED", "")), "")</f>
        <v/>
      </c>
      <c r="H349" s="45" t="inlineStr">
        <is>
          <t>Phone sales Middle East</t>
        </is>
      </c>
      <c r="I349" s="45" t="n">
        <v>101293683</v>
      </c>
      <c r="J349" s="45" t="inlineStr">
        <is>
          <t>Prospect</t>
        </is>
      </c>
      <c r="K349" s="45" t="inlineStr">
        <is>
          <t>OMARI Asma</t>
        </is>
      </c>
      <c r="L349" s="45" t="inlineStr">
        <is>
          <t>The client wanted **[Overseas chronograph](https://richemont.lightning.force.com/lightning/r/RICSC_Transaction__c/01t1i000004DZbzAAG/view).**</t>
        </is>
      </c>
      <c r="M349" s="45">
        <f>IF(COUNTIF($R$3:$R$100, D349) &gt; 0, TRUE, FALSE)</f>
        <v/>
      </c>
    </row>
    <row r="350" ht="62.4" customHeight="1" s="287">
      <c r="A350" s="45" t="inlineStr">
        <is>
          <t>Cancelled</t>
        </is>
      </c>
      <c r="B350" s="45" t="inlineStr">
        <is>
          <t>Cancelled</t>
        </is>
      </c>
      <c r="C350" s="45" t="inlineStr">
        <is>
          <t>15/10/2024</t>
        </is>
      </c>
      <c r="D350" s="45" t="inlineStr">
        <is>
          <t>4520V/210A-B128</t>
        </is>
      </c>
      <c r="E350" s="45">
        <f>IFERROR(VLOOKUP(TRIM(D350), Collection!$B$2:$D$1001, 2, FALSE), "")</f>
        <v/>
      </c>
      <c r="F350" s="48">
        <f>IFERROR(VLOOKUP(TRIM(D350), Collection!$B$2:$D$1001, 3, FALSE), "")</f>
        <v/>
      </c>
      <c r="G350" s="48">
        <f>IFERROR(VALUE(SUBSTITUTE(SUBSTITUTE(F350, "Price", ""), "AED", "")), "")</f>
        <v/>
      </c>
      <c r="H350" s="45" t="inlineStr">
        <is>
          <t>Phone sales Middle East</t>
        </is>
      </c>
      <c r="I350" s="45" t="n">
        <v>101987055</v>
      </c>
      <c r="J350" s="45" t="inlineStr">
        <is>
          <t>Prospect</t>
        </is>
      </c>
      <c r="K350" s="45" t="inlineStr">
        <is>
          <t>TAHHAN Riham</t>
        </is>
      </c>
      <c r="L350" s="45" t="inlineStr">
        <is>
          <t>The client is not open to other references and he only wants this</t>
        </is>
      </c>
      <c r="M350" s="45">
        <f>IF(COUNTIF($R$3:$R$100, D350) &gt; 0, TRUE, FALSE)</f>
        <v/>
      </c>
    </row>
    <row r="351" ht="31.2" customHeight="1" s="287">
      <c r="A351" s="45" t="inlineStr">
        <is>
          <t>Cancelled</t>
        </is>
      </c>
      <c r="B351" s="45" t="inlineStr">
        <is>
          <t>Cancelled</t>
        </is>
      </c>
      <c r="C351" s="46" t="n">
        <v>45606</v>
      </c>
      <c r="D351" s="45" t="inlineStr">
        <is>
          <t>4520V/210A-B128</t>
        </is>
      </c>
      <c r="E351" s="45">
        <f>IFERROR(VLOOKUP(TRIM(D351), Collection!$B$2:$D$1001, 2, FALSE), "")</f>
        <v/>
      </c>
      <c r="F351" s="48">
        <f>IFERROR(VLOOKUP(TRIM(D351), Collection!$B$2:$D$1001, 3, FALSE), "")</f>
        <v/>
      </c>
      <c r="G351" s="48">
        <f>IFERROR(VALUE(SUBSTITUTE(SUBSTITUTE(F351, "Price", ""), "AED", "")), "")</f>
        <v/>
      </c>
      <c r="H351" s="45" t="inlineStr">
        <is>
          <t>Phone sales Middle East</t>
        </is>
      </c>
      <c r="I351" s="45" t="n">
        <v>101917600</v>
      </c>
      <c r="J351" s="45" t="inlineStr">
        <is>
          <t>Prospect</t>
        </is>
      </c>
      <c r="K351" s="45" t="inlineStr">
        <is>
          <t>TAHHAN Riham</t>
        </is>
      </c>
      <c r="L351" s="45" t="inlineStr">
        <is>
          <t xml:space="preserve"> </t>
        </is>
      </c>
      <c r="M351" s="45">
        <f>IF(COUNTIF($R$3:$R$100, D351) &gt; 0, TRUE, FALSE)</f>
        <v/>
      </c>
    </row>
    <row r="352" ht="31.2" customHeight="1" s="287">
      <c r="A352" s="45" t="inlineStr">
        <is>
          <t>Request</t>
        </is>
      </c>
      <c r="B352" s="45" t="inlineStr">
        <is>
          <t xml:space="preserve"> </t>
        </is>
      </c>
      <c r="C352" s="46" t="n">
        <v>45606</v>
      </c>
      <c r="D352" s="45" t="inlineStr">
        <is>
          <t>7920V/210A-B334</t>
        </is>
      </c>
      <c r="E352" s="45">
        <f>IFERROR(VLOOKUP(TRIM(D352), Collection!$B$2:$D$1001, 2, FALSE), "")</f>
        <v/>
      </c>
      <c r="F352" s="48">
        <f>IFERROR(VLOOKUP(TRIM(D352), Collection!$B$2:$D$1001, 3, FALSE), "")</f>
        <v/>
      </c>
      <c r="G352" s="48">
        <f>IFERROR(VALUE(SUBSTITUTE(SUBSTITUTE(F352, "Price", ""), "AED", "")), "")</f>
        <v/>
      </c>
      <c r="H352" s="45" t="inlineStr">
        <is>
          <t>Phone sales Middle East</t>
        </is>
      </c>
      <c r="I352" s="45" t="n">
        <v>101917600</v>
      </c>
      <c r="J352" s="45" t="inlineStr">
        <is>
          <t>Prospect</t>
        </is>
      </c>
      <c r="K352" s="45" t="inlineStr">
        <is>
          <t>TAHHAN Riham</t>
        </is>
      </c>
      <c r="L352" s="45" t="inlineStr">
        <is>
          <t xml:space="preserve"> </t>
        </is>
      </c>
      <c r="M352" s="45">
        <f>IF(COUNTIF($R$3:$R$100, D352) &gt; 0, TRUE, FALSE)</f>
        <v/>
      </c>
    </row>
    <row r="353" ht="31.2" customHeight="1" s="287">
      <c r="A353" s="45" t="inlineStr">
        <is>
          <t>Cancelled</t>
        </is>
      </c>
      <c r="B353" s="45" t="inlineStr">
        <is>
          <t>Cancelled</t>
        </is>
      </c>
      <c r="C353" s="46" t="n">
        <v>45575</v>
      </c>
      <c r="D353" s="45" t="inlineStr">
        <is>
          <t>4520V/210A-B128</t>
        </is>
      </c>
      <c r="E353" s="45">
        <f>IFERROR(VLOOKUP(TRIM(D353), Collection!$B$2:$D$1001, 2, FALSE), "")</f>
        <v/>
      </c>
      <c r="F353" s="48">
        <f>IFERROR(VLOOKUP(TRIM(D353), Collection!$B$2:$D$1001, 3, FALSE), "")</f>
        <v/>
      </c>
      <c r="G353" s="48">
        <f>IFERROR(VALUE(SUBSTITUTE(SUBSTITUTE(F353, "Price", ""), "AED", "")), "")</f>
        <v/>
      </c>
      <c r="H353" s="45" t="inlineStr">
        <is>
          <t>Phone sales Middle East</t>
        </is>
      </c>
      <c r="I353" s="45" t="n">
        <v>101876625</v>
      </c>
      <c r="J353" s="45" t="inlineStr">
        <is>
          <t>Prospect</t>
        </is>
      </c>
      <c r="K353" s="45" t="inlineStr">
        <is>
          <t>SHARIF Maaz</t>
        </is>
      </c>
      <c r="L353" s="45" t="inlineStr">
        <is>
          <t>the client is intersted in the overseas</t>
        </is>
      </c>
      <c r="M353" s="45">
        <f>IF(COUNTIF($R$3:$R$100, D353) &gt; 0, TRUE, FALSE)</f>
        <v/>
      </c>
    </row>
    <row r="354" ht="46.95" customHeight="1" s="287">
      <c r="A354" s="45" t="inlineStr">
        <is>
          <t>Request</t>
        </is>
      </c>
      <c r="B354" s="45" t="inlineStr">
        <is>
          <t xml:space="preserve"> </t>
        </is>
      </c>
      <c r="C354" s="46" t="n">
        <v>45575</v>
      </c>
      <c r="D354" s="45" t="inlineStr">
        <is>
          <t>7920V/210A-B333</t>
        </is>
      </c>
      <c r="E354" s="45">
        <f>IFERROR(VLOOKUP(TRIM(D354), Collection!$B$2:$D$1001, 2, FALSE), "")</f>
        <v/>
      </c>
      <c r="F354" s="48">
        <f>IFERROR(VLOOKUP(TRIM(D354), Collection!$B$2:$D$1001, 3, FALSE), "")</f>
        <v/>
      </c>
      <c r="G354" s="48">
        <f>IFERROR(VALUE(SUBSTITUTE(SUBSTITUTE(F354, "Price", ""), "AED", "")), "")</f>
        <v/>
      </c>
      <c r="H354" s="45" t="inlineStr">
        <is>
          <t>Phone sales Middle East</t>
        </is>
      </c>
      <c r="I354" s="45" t="n">
        <v>92407429</v>
      </c>
      <c r="J354" s="45" t="inlineStr">
        <is>
          <t>Client</t>
        </is>
      </c>
      <c r="K354" s="45" t="inlineStr">
        <is>
          <t>TAHHAN Riham</t>
        </is>
      </c>
      <c r="L354" s="45" t="inlineStr">
        <is>
          <t>The client lives in Saudi however he can come to Dubai</t>
        </is>
      </c>
      <c r="M354" s="45">
        <f>IF(COUNTIF($R$3:$R$100, D354) &gt; 0, TRUE, FALSE)</f>
        <v/>
      </c>
    </row>
    <row r="355" ht="46.95" customHeight="1" s="287">
      <c r="A355" s="45" t="inlineStr">
        <is>
          <t>Request</t>
        </is>
      </c>
      <c r="B355" s="45" t="inlineStr">
        <is>
          <t>Postponed</t>
        </is>
      </c>
      <c r="C355" s="46" t="n">
        <v>45575</v>
      </c>
      <c r="D355" s="45" t="inlineStr">
        <is>
          <t>4520V/210R-B705</t>
        </is>
      </c>
      <c r="E355" s="45">
        <f>IFERROR(VLOOKUP(TRIM(D355), Collection!$B$2:$D$1001, 2, FALSE), "")</f>
        <v/>
      </c>
      <c r="F355" s="48">
        <f>IFERROR(VLOOKUP(TRIM(D355), Collection!$B$2:$D$1001, 3, FALSE), "")</f>
        <v/>
      </c>
      <c r="G355" s="48">
        <f>IFERROR(VALUE(SUBSTITUTE(SUBSTITUTE(F355, "Price", ""), "AED", "")), "")</f>
        <v/>
      </c>
      <c r="H355" s="45" t="inlineStr">
        <is>
          <t>Phone sales Middle East</t>
        </is>
      </c>
      <c r="I355" s="45" t="n">
        <v>92404145</v>
      </c>
      <c r="J355" s="45" t="inlineStr">
        <is>
          <t>Client</t>
        </is>
      </c>
      <c r="K355" s="45" t="inlineStr">
        <is>
          <t>TAHHAN Riham</t>
        </is>
      </c>
      <c r="L355" s="45" t="inlineStr">
        <is>
          <t>The client is residing in Saudi however he can visit UAE</t>
        </is>
      </c>
      <c r="M355" s="45">
        <f>IF(COUNTIF($R$3:$R$100, D355) &gt; 0, TRUE, FALSE)</f>
        <v/>
      </c>
    </row>
    <row r="356" ht="62.4" customHeight="1" s="287">
      <c r="A356" s="45" t="inlineStr">
        <is>
          <t>Cancelled</t>
        </is>
      </c>
      <c r="B356" s="45" t="inlineStr">
        <is>
          <t>Cancelled</t>
        </is>
      </c>
      <c r="C356" s="46" t="n">
        <v>45545</v>
      </c>
      <c r="D356" s="45" t="inlineStr">
        <is>
          <t>4520V/210A-B128</t>
        </is>
      </c>
      <c r="E356" s="45">
        <f>IFERROR(VLOOKUP(TRIM(D356), Collection!$B$2:$D$1001, 2, FALSE), "")</f>
        <v/>
      </c>
      <c r="F356" s="48">
        <f>IFERROR(VLOOKUP(TRIM(D356), Collection!$B$2:$D$1001, 3, FALSE), "")</f>
        <v/>
      </c>
      <c r="G356" s="48">
        <f>IFERROR(VALUE(SUBSTITUTE(SUBSTITUTE(F356, "Price", ""), "AED", "")), "")</f>
        <v/>
      </c>
      <c r="H356" s="45" t="inlineStr">
        <is>
          <t>Phone sales Middle East</t>
        </is>
      </c>
      <c r="I356" s="45" t="n">
        <v>101808480</v>
      </c>
      <c r="J356" s="45" t="inlineStr">
        <is>
          <t>Prospect</t>
        </is>
      </c>
      <c r="K356" s="45" t="inlineStr">
        <is>
          <t>SHARIF Maaz</t>
        </is>
      </c>
      <c r="L356" s="45" t="inlineStr">
        <is>
          <t>the client is intrested in either the self winding or the daul time</t>
        </is>
      </c>
      <c r="M356" s="45">
        <f>IF(COUNTIF($R$3:$R$100, D356) &gt; 0, TRUE, FALSE)</f>
        <v/>
      </c>
    </row>
    <row r="357" ht="62.4" customHeight="1" s="287">
      <c r="A357" s="45" t="inlineStr">
        <is>
          <t>Sold</t>
        </is>
      </c>
      <c r="B357" s="45" t="inlineStr">
        <is>
          <t>Pending client feedback</t>
        </is>
      </c>
      <c r="C357" s="46" t="n">
        <v>45545</v>
      </c>
      <c r="D357" s="45" t="inlineStr">
        <is>
          <t>4300V/220G-B946</t>
        </is>
      </c>
      <c r="E357" s="45">
        <f>IFERROR(VLOOKUP(TRIM(D357), Collection!$B$2:$D$1001, 2, FALSE), "")</f>
        <v/>
      </c>
      <c r="F357" s="48">
        <f>IFERROR(VLOOKUP(TRIM(D357), Collection!$B$2:$D$1001, 3, FALSE), "")</f>
        <v/>
      </c>
      <c r="G357" s="48">
        <f>IFERROR(VALUE(SUBSTITUTE(SUBSTITUTE(F357, "Price", ""), "AED", "")), "")</f>
        <v/>
      </c>
      <c r="H357" s="45" t="inlineStr">
        <is>
          <t>Phone sales Middle East</t>
        </is>
      </c>
      <c r="I357" s="45" t="n">
        <v>101808480</v>
      </c>
      <c r="J357" s="45" t="inlineStr">
        <is>
          <t>Prospect</t>
        </is>
      </c>
      <c r="K357" s="45" t="inlineStr">
        <is>
          <t>SHARIF Maaz</t>
        </is>
      </c>
      <c r="L357" s="45" t="inlineStr">
        <is>
          <t>another intreset for the client. for the self winding</t>
        </is>
      </c>
      <c r="M357" s="45">
        <f>IF(COUNTIF($R$3:$R$100, D357) &gt; 0, TRUE, FALSE)</f>
        <v/>
      </c>
    </row>
    <row r="358" ht="31.2" customHeight="1" s="287">
      <c r="A358" s="45" t="inlineStr">
        <is>
          <t>Cancelled</t>
        </is>
      </c>
      <c r="B358" s="45" t="inlineStr">
        <is>
          <t>Cancelled</t>
        </is>
      </c>
      <c r="C358" s="46" t="n">
        <v>45545</v>
      </c>
      <c r="D358" s="45" t="inlineStr">
        <is>
          <t>4520V/210A-B126</t>
        </is>
      </c>
      <c r="E358" s="45">
        <f>IFERROR(VLOOKUP(TRIM(D358), Collection!$B$2:$D$1001, 2, FALSE), "")</f>
        <v/>
      </c>
      <c r="F358" s="48">
        <f>IFERROR(VLOOKUP(TRIM(D358), Collection!$B$2:$D$1001, 3, FALSE), "")</f>
        <v/>
      </c>
      <c r="G358" s="48">
        <f>IFERROR(VALUE(SUBSTITUTE(SUBSTITUTE(F358, "Price", ""), "AED", "")), "")</f>
        <v/>
      </c>
      <c r="H358" s="45" t="inlineStr">
        <is>
          <t>Phone sales Middle East</t>
        </is>
      </c>
      <c r="I358" s="45" t="n">
        <v>101876625</v>
      </c>
      <c r="J358" s="45" t="inlineStr">
        <is>
          <t>Prospect</t>
        </is>
      </c>
      <c r="K358" s="45" t="inlineStr">
        <is>
          <t>SHARIF Maaz</t>
        </is>
      </c>
      <c r="L358" s="45" t="inlineStr">
        <is>
          <t xml:space="preserve"> </t>
        </is>
      </c>
      <c r="M358" s="45">
        <f>IF(COUNTIF($R$3:$R$100, D358) &gt; 0, TRUE, FALSE)</f>
        <v/>
      </c>
    </row>
    <row r="359" ht="31.2" customHeight="1" s="287">
      <c r="A359" s="45" t="inlineStr">
        <is>
          <t>Request</t>
        </is>
      </c>
      <c r="B359" s="45" t="inlineStr">
        <is>
          <t>Postponed</t>
        </is>
      </c>
      <c r="C359" s="46" t="n">
        <v>45514</v>
      </c>
      <c r="D359" s="45" t="inlineStr">
        <is>
          <t>4520V/210A-B483</t>
        </is>
      </c>
      <c r="E359" s="45">
        <f>IFERROR(VLOOKUP(TRIM(D359), Collection!$B$2:$D$1001, 2, FALSE), "")</f>
        <v/>
      </c>
      <c r="F359" s="48">
        <f>IFERROR(VLOOKUP(TRIM(D359), Collection!$B$2:$D$1001, 3, FALSE), "")</f>
        <v/>
      </c>
      <c r="G359" s="48">
        <f>IFERROR(VALUE(SUBSTITUTE(SUBSTITUTE(F359, "Price", ""), "AED", "")), "")</f>
        <v/>
      </c>
      <c r="H359" s="45" t="inlineStr">
        <is>
          <t>Phone sales Middle East</t>
        </is>
      </c>
      <c r="I359" s="45" t="n">
        <v>101823588</v>
      </c>
      <c r="J359" s="45" t="inlineStr">
        <is>
          <t>Prospect</t>
        </is>
      </c>
      <c r="K359" s="45" t="inlineStr">
        <is>
          <t>TAHHAN Riham</t>
        </is>
      </c>
      <c r="L359" s="45" t="inlineStr">
        <is>
          <t xml:space="preserve"> </t>
        </is>
      </c>
      <c r="M359" s="45">
        <f>IF(COUNTIF($R$3:$R$100, D359) &gt; 0, TRUE, FALSE)</f>
        <v/>
      </c>
    </row>
    <row r="360" ht="31.2" customHeight="1" s="287">
      <c r="A360" s="45" t="inlineStr">
        <is>
          <t>Cancelled</t>
        </is>
      </c>
      <c r="B360" s="45" t="inlineStr">
        <is>
          <t>Cancelled</t>
        </is>
      </c>
      <c r="C360" s="46" t="n">
        <v>45514</v>
      </c>
      <c r="D360" s="45" t="inlineStr">
        <is>
          <t>7920V/210A-B334</t>
        </is>
      </c>
      <c r="E360" s="45">
        <f>IFERROR(VLOOKUP(TRIM(D360), Collection!$B$2:$D$1001, 2, FALSE), "")</f>
        <v/>
      </c>
      <c r="F360" s="48">
        <f>IFERROR(VLOOKUP(TRIM(D360), Collection!$B$2:$D$1001, 3, FALSE), "")</f>
        <v/>
      </c>
      <c r="G360" s="48">
        <f>IFERROR(VALUE(SUBSTITUTE(SUBSTITUTE(F360, "Price", ""), "AED", "")), "")</f>
        <v/>
      </c>
      <c r="H360" s="45" t="inlineStr">
        <is>
          <t>Phone sales Middle East</t>
        </is>
      </c>
      <c r="I360" s="45" t="n">
        <v>101893659</v>
      </c>
      <c r="J360" s="45" t="inlineStr">
        <is>
          <t>Prospect</t>
        </is>
      </c>
      <c r="K360" s="45" t="inlineStr">
        <is>
          <t>TAHHAN Riham</t>
        </is>
      </c>
      <c r="L360" s="45" t="inlineStr">
        <is>
          <t xml:space="preserve"> </t>
        </is>
      </c>
      <c r="M360" s="45">
        <f>IF(COUNTIF($R$3:$R$100, D360) &gt; 0, TRUE, FALSE)</f>
        <v/>
      </c>
    </row>
    <row r="361" ht="31.2" customHeight="1" s="287">
      <c r="A361" s="45" t="inlineStr">
        <is>
          <t>Cancelled</t>
        </is>
      </c>
      <c r="B361" s="45" t="inlineStr">
        <is>
          <t>Cancelled</t>
        </is>
      </c>
      <c r="C361" s="46" t="n">
        <v>45514</v>
      </c>
      <c r="D361" s="45" t="inlineStr">
        <is>
          <t>5520V/210A-B148</t>
        </is>
      </c>
      <c r="E361" s="45">
        <f>IFERROR(VLOOKUP(TRIM(D361), Collection!$B$2:$D$1001, 2, FALSE), "")</f>
        <v/>
      </c>
      <c r="F361" s="48">
        <f>IFERROR(VLOOKUP(TRIM(D361), Collection!$B$2:$D$1001, 3, FALSE), "")</f>
        <v/>
      </c>
      <c r="G361" s="48">
        <f>IFERROR(VALUE(SUBSTITUTE(SUBSTITUTE(F361, "Price", ""), "AED", "")), "")</f>
        <v/>
      </c>
      <c r="H361" s="45" t="inlineStr">
        <is>
          <t>Phone sales Middle East</t>
        </is>
      </c>
      <c r="I361" s="45" t="n">
        <v>101893659</v>
      </c>
      <c r="J361" s="45" t="inlineStr">
        <is>
          <t>Prospect</t>
        </is>
      </c>
      <c r="K361" s="45" t="inlineStr">
        <is>
          <t>TAHHAN Riham</t>
        </is>
      </c>
      <c r="L361" s="45" t="inlineStr">
        <is>
          <t xml:space="preserve"> </t>
        </is>
      </c>
      <c r="M361" s="45">
        <f>IF(COUNTIF($R$3:$R$100, D361) &gt; 0, TRUE, FALSE)</f>
        <v/>
      </c>
    </row>
    <row r="362" ht="78" customHeight="1" s="287">
      <c r="A362" s="45" t="inlineStr">
        <is>
          <t>Sold</t>
        </is>
      </c>
      <c r="B362" s="45" t="inlineStr">
        <is>
          <t>Pending client feedback</t>
        </is>
      </c>
      <c r="C362" s="46" t="n">
        <v>45422</v>
      </c>
      <c r="D362" s="45" t="inlineStr">
        <is>
          <t>7920V/210A-B334</t>
        </is>
      </c>
      <c r="E362" s="45">
        <f>IFERROR(VLOOKUP(TRIM(D362), Collection!$B$2:$D$1001, 2, FALSE), "")</f>
        <v/>
      </c>
      <c r="F362" s="48">
        <f>IFERROR(VLOOKUP(TRIM(D362), Collection!$B$2:$D$1001, 3, FALSE), "")</f>
        <v/>
      </c>
      <c r="G362" s="48">
        <f>IFERROR(VALUE(SUBSTITUTE(SUBSTITUTE(F362, "Price", ""), "AED", "")), "")</f>
        <v/>
      </c>
      <c r="H362" s="45" t="inlineStr">
        <is>
          <t>Phone sales Middle East</t>
        </is>
      </c>
      <c r="I362" s="45" t="n">
        <v>101808480</v>
      </c>
      <c r="J362" s="45" t="inlineStr">
        <is>
          <t>Prospect</t>
        </is>
      </c>
      <c r="K362" s="45" t="inlineStr">
        <is>
          <t>SHARIF Maaz</t>
        </is>
      </c>
      <c r="L362" s="45" t="inlineStr">
        <is>
          <t>the client stated that  hes interested in the overseas blue dial (dual time or self winding)</t>
        </is>
      </c>
      <c r="M362" s="45">
        <f>IF(COUNTIF($R$3:$R$100, D362) &gt; 0, TRUE, FALSE)</f>
        <v/>
      </c>
    </row>
    <row r="363" ht="218.4" customHeight="1" s="287">
      <c r="A363" s="45" t="inlineStr">
        <is>
          <t>Request</t>
        </is>
      </c>
      <c r="B363" s="45" t="inlineStr">
        <is>
          <t>Confirmed</t>
        </is>
      </c>
      <c r="C363" s="46" t="n">
        <v>45332</v>
      </c>
      <c r="D363" s="45" t="inlineStr">
        <is>
          <t>4000V/210A-B911</t>
        </is>
      </c>
      <c r="E363" s="45">
        <f>IFERROR(VLOOKUP(TRIM(D363), Collection!$B$2:$D$1001, 2, FALSE), "")</f>
        <v/>
      </c>
      <c r="F363" s="48">
        <f>IFERROR(VLOOKUP(TRIM(D363), Collection!$B$2:$D$1001, 3, FALSE), "")</f>
        <v/>
      </c>
      <c r="G363" s="48">
        <f>IFERROR(VALUE(SUBSTITUTE(SUBSTITUTE(F363, "Price", ""), "AED", "")), "")</f>
        <v/>
      </c>
      <c r="H363" s="45" t="inlineStr">
        <is>
          <t>Phone sales Middle East</t>
        </is>
      </c>
      <c r="I363" s="45" t="n">
        <v>101770162</v>
      </c>
      <c r="J363" s="45" t="inlineStr">
        <is>
          <t>Prospect</t>
        </is>
      </c>
      <c r="K363" s="45" t="inlineStr">
        <is>
          <t>SHARIF Maaz</t>
        </is>
      </c>
      <c r="L363" s="47" t="inlineStr">
        <is>
          <t>- No gold, prefers stainless steel.
- Moon phase complication holds personal significance.
- Interested in watches that symbolize achievement and uniqueness.
- Likes the blue dial for its versatility under different light conditions.</t>
        </is>
      </c>
      <c r="M363" s="45">
        <f>IF(COUNTIF($R$3:$R$100, D363) &gt; 0, TRUE, FALSE)</f>
        <v/>
      </c>
    </row>
    <row r="364" ht="46.95" customHeight="1" s="287">
      <c r="A364" s="45" t="inlineStr">
        <is>
          <t>Request</t>
        </is>
      </c>
      <c r="B364" s="45" t="inlineStr">
        <is>
          <t xml:space="preserve"> </t>
        </is>
      </c>
      <c r="C364" s="45" t="inlineStr">
        <is>
          <t>28/9/2024</t>
        </is>
      </c>
      <c r="D364" s="45" t="inlineStr">
        <is>
          <t>7920V/210A-B334</t>
        </is>
      </c>
      <c r="E364" s="45">
        <f>IFERROR(VLOOKUP(TRIM(D364), Collection!$B$2:$D$1001, 2, FALSE), "")</f>
        <v/>
      </c>
      <c r="F364" s="48">
        <f>IFERROR(VLOOKUP(TRIM(D364), Collection!$B$2:$D$1001, 3, FALSE), "")</f>
        <v/>
      </c>
      <c r="G364" s="48">
        <f>IFERROR(VALUE(SUBSTITUTE(SUBSTITUTE(F364, "Price", ""), "AED", "")), "")</f>
        <v/>
      </c>
      <c r="H364" s="45" t="inlineStr">
        <is>
          <t>Phone sales Middle East</t>
        </is>
      </c>
      <c r="I364" s="45" t="n">
        <v>101624260</v>
      </c>
      <c r="J364" s="45" t="inlineStr">
        <is>
          <t>Prospect</t>
        </is>
      </c>
      <c r="K364" s="45" t="inlineStr">
        <is>
          <t>OMARI Asma</t>
        </is>
      </c>
      <c r="L364" s="45" t="inlineStr">
        <is>
          <t>Client will be visiting Dubai in November and December</t>
        </is>
      </c>
      <c r="M364" s="45">
        <f>IF(COUNTIF($R$3:$R$100, D364) &gt; 0, TRUE, FALSE)</f>
        <v/>
      </c>
    </row>
    <row r="365" ht="31.2" customHeight="1" s="287">
      <c r="A365" s="45" t="inlineStr">
        <is>
          <t>Cancelled</t>
        </is>
      </c>
      <c r="B365" s="45" t="inlineStr">
        <is>
          <t>Cancelled</t>
        </is>
      </c>
      <c r="C365" s="45" t="inlineStr">
        <is>
          <t>26/9/2024</t>
        </is>
      </c>
      <c r="D365" s="45" t="inlineStr">
        <is>
          <t>4600E/000A-B487</t>
        </is>
      </c>
      <c r="E365" s="45">
        <f>IFERROR(VLOOKUP(TRIM(D365), Collection!$B$2:$D$1001, 2, FALSE), "")</f>
        <v/>
      </c>
      <c r="F365" s="48">
        <f>IFERROR(VLOOKUP(TRIM(D365), Collection!$B$2:$D$1001, 3, FALSE), "")</f>
        <v/>
      </c>
      <c r="G365" s="48">
        <f>IFERROR(VALUE(SUBSTITUTE(SUBSTITUTE(F365, "Price", ""), "AED", "")), "")</f>
        <v/>
      </c>
      <c r="H365" s="45" t="inlineStr">
        <is>
          <t>Phone sales Middle East</t>
        </is>
      </c>
      <c r="I365" s="45" t="n">
        <v>101705220</v>
      </c>
      <c r="J365" s="45" t="inlineStr">
        <is>
          <t>Prospect</t>
        </is>
      </c>
      <c r="K365" s="45" t="inlineStr">
        <is>
          <t>TAHHAN Riham</t>
        </is>
      </c>
      <c r="L365" s="45" t="inlineStr">
        <is>
          <t xml:space="preserve"> </t>
        </is>
      </c>
      <c r="M365" s="45">
        <f>IF(COUNTIF($R$3:$R$100, D365) &gt; 0, TRUE, FALSE)</f>
        <v/>
      </c>
    </row>
    <row r="366" ht="31.2" customHeight="1" s="287">
      <c r="A366" s="45" t="inlineStr">
        <is>
          <t>Request</t>
        </is>
      </c>
      <c r="B366" s="45" t="inlineStr">
        <is>
          <t xml:space="preserve"> </t>
        </is>
      </c>
      <c r="C366" s="45" t="inlineStr">
        <is>
          <t>26/9/2024</t>
        </is>
      </c>
      <c r="D366" s="45" t="inlineStr">
        <is>
          <t>4200H/222J-B935</t>
        </is>
      </c>
      <c r="E366" s="45">
        <f>IFERROR(VLOOKUP(TRIM(D366), Collection!$B$2:$D$1001, 2, FALSE), "")</f>
        <v/>
      </c>
      <c r="F366" s="48">
        <f>IFERROR(VLOOKUP(TRIM(D366), Collection!$B$2:$D$1001, 3, FALSE), "")</f>
        <v/>
      </c>
      <c r="G366" s="48">
        <f>IFERROR(VALUE(SUBSTITUTE(SUBSTITUTE(F366, "Price", ""), "AED", "")), "")</f>
        <v/>
      </c>
      <c r="H366" s="45" t="inlineStr">
        <is>
          <t>Phone sales Middle East</t>
        </is>
      </c>
      <c r="I366" s="45" t="n">
        <v>101705253</v>
      </c>
      <c r="J366" s="45" t="inlineStr">
        <is>
          <t>Prospect</t>
        </is>
      </c>
      <c r="K366" s="45" t="inlineStr">
        <is>
          <t>TAHHAN Riham</t>
        </is>
      </c>
      <c r="L366" s="45" t="inlineStr">
        <is>
          <t xml:space="preserve"> </t>
        </is>
      </c>
      <c r="M366" s="45">
        <f>IF(COUNTIF($R$3:$R$100, D366) &gt; 0, TRUE, FALSE)</f>
        <v/>
      </c>
    </row>
    <row r="367" ht="171.6" customHeight="1" s="287">
      <c r="A367" s="45" t="inlineStr">
        <is>
          <t>Request</t>
        </is>
      </c>
      <c r="B367" s="45" t="inlineStr">
        <is>
          <t xml:space="preserve"> </t>
        </is>
      </c>
      <c r="C367" s="45" t="inlineStr">
        <is>
          <t>24/9/2024</t>
        </is>
      </c>
      <c r="D367" s="45" t="inlineStr">
        <is>
          <t>1225V/200A-B590</t>
        </is>
      </c>
      <c r="E367" s="45">
        <f>IFERROR(VLOOKUP(TRIM(D367), Collection!$B$2:$D$1001, 2, FALSE), "")</f>
        <v/>
      </c>
      <c r="F367" s="48">
        <f>IFERROR(VLOOKUP(TRIM(D367), Collection!$B$2:$D$1001, 3, FALSE), "")</f>
        <v/>
      </c>
      <c r="G367" s="48">
        <f>IFERROR(VALUE(SUBSTITUTE(SUBSTITUTE(F367, "Price", ""), "AED", "")), "")</f>
        <v/>
      </c>
      <c r="H367" s="45" t="inlineStr">
        <is>
          <t>Phone sales Middle East</t>
        </is>
      </c>
      <c r="I367" s="45" t="n">
        <v>101680942</v>
      </c>
      <c r="J367" s="45" t="inlineStr">
        <is>
          <t>Prospect</t>
        </is>
      </c>
      <c r="K367" s="45" t="inlineStr">
        <is>
          <t>SHARIF Maaz</t>
        </is>
      </c>
      <c r="L367" s="45" t="inlineStr">
        <is>
          <t>The client is willing to pay via a payment link for the Overseas Quartz | X12AC590. This purchase is intended as a marriage gift for his wife, which he plans to present to her during their wedding in December.</t>
        </is>
      </c>
      <c r="M367" s="45">
        <f>IF(COUNTIF($R$3:$R$100, D367) &gt; 0, TRUE, FALSE)</f>
        <v/>
      </c>
    </row>
    <row r="368" ht="140.4" customHeight="1" s="287">
      <c r="A368" s="45" t="inlineStr">
        <is>
          <t>Request</t>
        </is>
      </c>
      <c r="B368" s="45" t="inlineStr">
        <is>
          <t xml:space="preserve"> </t>
        </is>
      </c>
      <c r="C368" s="45" t="inlineStr">
        <is>
          <t>24/9/2024</t>
        </is>
      </c>
      <c r="D368" s="45" t="inlineStr">
        <is>
          <t>7920V/210A-B334</t>
        </is>
      </c>
      <c r="E368" s="45">
        <f>IFERROR(VLOOKUP(TRIM(D368), Collection!$B$2:$D$1001, 2, FALSE), "")</f>
        <v/>
      </c>
      <c r="F368" s="48">
        <f>IFERROR(VLOOKUP(TRIM(D368), Collection!$B$2:$D$1001, 3, FALSE), "")</f>
        <v/>
      </c>
      <c r="G368" s="48">
        <f>IFERROR(VALUE(SUBSTITUTE(SUBSTITUTE(F368, "Price", ""), "AED", "")), "")</f>
        <v/>
      </c>
      <c r="H368" s="45" t="inlineStr">
        <is>
          <t>Phone sales Middle East</t>
        </is>
      </c>
      <c r="I368" s="45" t="n">
        <v>101467478</v>
      </c>
      <c r="J368" s="45" t="inlineStr">
        <is>
          <t>Prospect</t>
        </is>
      </c>
      <c r="K368" s="45" t="inlineStr">
        <is>
          <t>SHARIF Maaz</t>
        </is>
      </c>
      <c r="L368" s="45" t="inlineStr">
        <is>
          <t>The client would like to proceed with the Overseas. He mentioned that either he or a family member will be coming to the UAE, and he will confirm the details.</t>
        </is>
      </c>
      <c r="M368" s="45">
        <f>IF(COUNTIF($R$3:$R$100, D368) &gt; 0, TRUE, FALSE)</f>
        <v/>
      </c>
    </row>
    <row r="369" ht="62.4" customHeight="1" s="287">
      <c r="A369" s="45" t="inlineStr">
        <is>
          <t>Cancelled</t>
        </is>
      </c>
      <c r="B369" s="45" t="inlineStr">
        <is>
          <t>Cancelled</t>
        </is>
      </c>
      <c r="C369" s="45" t="inlineStr">
        <is>
          <t>21/9/2024</t>
        </is>
      </c>
      <c r="D369" s="45" t="inlineStr">
        <is>
          <t>4520V/210A-B483</t>
        </is>
      </c>
      <c r="E369" s="45">
        <f>IFERROR(VLOOKUP(TRIM(D369), Collection!$B$2:$D$1001, 2, FALSE), "")</f>
        <v/>
      </c>
      <c r="F369" s="48">
        <f>IFERROR(VLOOKUP(TRIM(D369), Collection!$B$2:$D$1001, 3, FALSE), "")</f>
        <v/>
      </c>
      <c r="G369" s="48">
        <f>IFERROR(VALUE(SUBSTITUTE(SUBSTITUTE(F369, "Price", ""), "AED", "")), "")</f>
        <v/>
      </c>
      <c r="H369" s="45" t="inlineStr">
        <is>
          <t>Phone sales Middle East</t>
        </is>
      </c>
      <c r="I369" s="45" t="n">
        <v>101641502</v>
      </c>
      <c r="J369" s="45" t="inlineStr">
        <is>
          <t>Prospect</t>
        </is>
      </c>
      <c r="K369" s="45" t="inlineStr">
        <is>
          <t>TAHHAN Riham</t>
        </is>
      </c>
      <c r="L369" s="45" t="inlineStr">
        <is>
          <t>The client wanted to celebrate his promotion by gifting himself this timepiece</t>
        </is>
      </c>
      <c r="M369" s="45">
        <f>IF(COUNTIF($R$3:$R$100, D369) &gt; 0, TRUE, FALSE)</f>
        <v/>
      </c>
    </row>
    <row r="370" ht="46.95" customHeight="1" s="287">
      <c r="A370" s="45" t="inlineStr">
        <is>
          <t>Cancelled</t>
        </is>
      </c>
      <c r="B370" s="45" t="inlineStr">
        <is>
          <t>Cancelled</t>
        </is>
      </c>
      <c r="C370" s="45" t="inlineStr">
        <is>
          <t>20/9/2024</t>
        </is>
      </c>
      <c r="D370" s="45" t="inlineStr">
        <is>
          <t>4000V/210A-B911</t>
        </is>
      </c>
      <c r="E370" s="45">
        <f>IFERROR(VLOOKUP(TRIM(D370), Collection!$B$2:$D$1001, 2, FALSE), "")</f>
        <v/>
      </c>
      <c r="F370" s="48">
        <f>IFERROR(VLOOKUP(TRIM(D370), Collection!$B$2:$D$1001, 3, FALSE), "")</f>
        <v/>
      </c>
      <c r="G370" s="48">
        <f>IFERROR(VALUE(SUBSTITUTE(SUBSTITUTE(F370, "Price", ""), "AED", "")), "")</f>
        <v/>
      </c>
      <c r="H370" s="45" t="inlineStr">
        <is>
          <t>Phone sales Middle East</t>
        </is>
      </c>
      <c r="I370" s="45" t="n">
        <v>101623615</v>
      </c>
      <c r="J370" s="45" t="inlineStr">
        <is>
          <t>Prospect</t>
        </is>
      </c>
      <c r="K370" s="45" t="inlineStr">
        <is>
          <t>TAHHAN Riham</t>
        </is>
      </c>
      <c r="L370" s="45" t="inlineStr">
        <is>
          <t xml:space="preserve"> </t>
        </is>
      </c>
      <c r="M370" s="45">
        <f>IF(COUNTIF($R$3:$R$100, D370) &gt; 0, TRUE, FALSE)</f>
        <v/>
      </c>
    </row>
    <row r="371" ht="62.4" customHeight="1" s="287">
      <c r="A371" s="45" t="inlineStr">
        <is>
          <t>Request</t>
        </is>
      </c>
      <c r="B371" s="45" t="inlineStr">
        <is>
          <t xml:space="preserve"> </t>
        </is>
      </c>
      <c r="C371" s="45" t="inlineStr">
        <is>
          <t>19/9/2024</t>
        </is>
      </c>
      <c r="D371" s="45" t="inlineStr">
        <is>
          <t>4520V/210A-B128</t>
        </is>
      </c>
      <c r="E371" s="45">
        <f>IFERROR(VLOOKUP(TRIM(D371), Collection!$B$2:$D$1001, 2, FALSE), "")</f>
        <v/>
      </c>
      <c r="F371" s="48">
        <f>IFERROR(VLOOKUP(TRIM(D371), Collection!$B$2:$D$1001, 3, FALSE), "")</f>
        <v/>
      </c>
      <c r="G371" s="48">
        <f>IFERROR(VALUE(SUBSTITUTE(SUBSTITUTE(F371, "Price", ""), "AED", "")), "")</f>
        <v/>
      </c>
      <c r="H371" s="45" t="inlineStr">
        <is>
          <t>Phone sales Middle East</t>
        </is>
      </c>
      <c r="I371" s="45" t="n">
        <v>101584188</v>
      </c>
      <c r="J371" s="45" t="inlineStr">
        <is>
          <t>Prospect</t>
        </is>
      </c>
      <c r="K371" s="45" t="inlineStr">
        <is>
          <t>TAHHAN Riham</t>
        </is>
      </c>
      <c r="L371" s="45" t="inlineStr">
        <is>
          <t>he is looking to buy the timepiece for the celebration for his 10 year anniversary</t>
        </is>
      </c>
      <c r="M371" s="45">
        <f>IF(COUNTIF($R$3:$R$100, D371) &gt; 0, TRUE, FALSE)</f>
        <v/>
      </c>
    </row>
    <row r="372" ht="46.95" customHeight="1" s="287">
      <c r="A372" s="45" t="inlineStr">
        <is>
          <t>Request</t>
        </is>
      </c>
      <c r="B372" s="45" t="inlineStr">
        <is>
          <t>Postponed</t>
        </is>
      </c>
      <c r="C372" s="45" t="inlineStr">
        <is>
          <t>19/9/2024</t>
        </is>
      </c>
      <c r="D372" s="45" t="inlineStr">
        <is>
          <t>5520V/210R-B966</t>
        </is>
      </c>
      <c r="E372" s="45">
        <f>IFERROR(VLOOKUP(TRIM(D372), Collection!$B$2:$D$1001, 2, FALSE), "")</f>
        <v/>
      </c>
      <c r="F372" s="48">
        <f>IFERROR(VLOOKUP(TRIM(D372), Collection!$B$2:$D$1001, 3, FALSE), "")</f>
        <v/>
      </c>
      <c r="G372" s="48">
        <f>IFERROR(VALUE(SUBSTITUTE(SUBSTITUTE(F372, "Price", ""), "AED", "")), "")</f>
        <v/>
      </c>
      <c r="H372" s="45" t="inlineStr">
        <is>
          <t>Phone sales Middle East</t>
        </is>
      </c>
      <c r="I372" s="45" t="n">
        <v>101615228</v>
      </c>
      <c r="J372" s="45" t="inlineStr">
        <is>
          <t>Prospect</t>
        </is>
      </c>
      <c r="K372" s="45" t="inlineStr">
        <is>
          <t>TAHHAN Riham</t>
        </is>
      </c>
      <c r="L372" s="45" t="inlineStr">
        <is>
          <t xml:space="preserve"> </t>
        </is>
      </c>
      <c r="M372" s="45">
        <f>IF(COUNTIF($R$3:$R$100, D372) &gt; 0, TRUE, FALSE)</f>
        <v/>
      </c>
    </row>
    <row r="373" ht="31.2" customHeight="1" s="287">
      <c r="A373" s="45" t="inlineStr">
        <is>
          <t>Request</t>
        </is>
      </c>
      <c r="B373" s="45" t="inlineStr">
        <is>
          <t xml:space="preserve"> </t>
        </is>
      </c>
      <c r="C373" s="45" t="inlineStr">
        <is>
          <t>18/9/2024</t>
        </is>
      </c>
      <c r="D373" s="45" t="inlineStr">
        <is>
          <t>4520V/210A-B128</t>
        </is>
      </c>
      <c r="E373" s="45">
        <f>IFERROR(VLOOKUP(TRIM(D373), Collection!$B$2:$D$1001, 2, FALSE), "")</f>
        <v/>
      </c>
      <c r="F373" s="48">
        <f>IFERROR(VLOOKUP(TRIM(D373), Collection!$B$2:$D$1001, 3, FALSE), "")</f>
        <v/>
      </c>
      <c r="G373" s="48">
        <f>IFERROR(VALUE(SUBSTITUTE(SUBSTITUTE(F373, "Price", ""), "AED", "")), "")</f>
        <v/>
      </c>
      <c r="H373" s="45" t="inlineStr">
        <is>
          <t>Phone sales Middle East</t>
        </is>
      </c>
      <c r="I373" s="45" t="n">
        <v>101498463</v>
      </c>
      <c r="J373" s="45" t="inlineStr">
        <is>
          <t>Prospect</t>
        </is>
      </c>
      <c r="K373" s="45" t="inlineStr">
        <is>
          <t>OMARI Asma</t>
        </is>
      </c>
      <c r="L373" s="45" t="inlineStr">
        <is>
          <t xml:space="preserve"> </t>
        </is>
      </c>
      <c r="M373" s="45">
        <f>IF(COUNTIF($R$3:$R$100, D373) &gt; 0, TRUE, FALSE)</f>
        <v/>
      </c>
    </row>
    <row r="374" ht="46.95" customHeight="1" s="287">
      <c r="A374" s="45" t="inlineStr">
        <is>
          <t>Request</t>
        </is>
      </c>
      <c r="B374" s="45" t="inlineStr">
        <is>
          <t xml:space="preserve"> </t>
        </is>
      </c>
      <c r="C374" s="45" t="inlineStr">
        <is>
          <t>17/9/2024</t>
        </is>
      </c>
      <c r="D374" s="45" t="inlineStr">
        <is>
          <t>4520V/210A-B128</t>
        </is>
      </c>
      <c r="E374" s="45">
        <f>IFERROR(VLOOKUP(TRIM(D374), Collection!$B$2:$D$1001, 2, FALSE), "")</f>
        <v/>
      </c>
      <c r="F374" s="48">
        <f>IFERROR(VLOOKUP(TRIM(D374), Collection!$B$2:$D$1001, 3, FALSE), "")</f>
        <v/>
      </c>
      <c r="G374" s="48">
        <f>IFERROR(VALUE(SUBSTITUTE(SUBSTITUTE(F374, "Price", ""), "AED", "")), "")</f>
        <v/>
      </c>
      <c r="H374" s="45" t="inlineStr">
        <is>
          <t>Phone sales Middle East</t>
        </is>
      </c>
      <c r="I374" s="45" t="n">
        <v>101522662</v>
      </c>
      <c r="J374" s="45" t="inlineStr">
        <is>
          <t>Prospect</t>
        </is>
      </c>
      <c r="K374" s="45" t="inlineStr">
        <is>
          <t>SHARIF Maaz</t>
        </is>
      </c>
      <c r="L374" s="45" t="inlineStr">
        <is>
          <t>The client showed interest  in the oversease blue dial ,</t>
        </is>
      </c>
      <c r="M374" s="45">
        <f>IF(COUNTIF($R$3:$R$100, D374) &gt; 0, TRUE, FALSE)</f>
        <v/>
      </c>
    </row>
    <row r="375" ht="171.6" customHeight="1" s="287">
      <c r="A375" s="45" t="inlineStr">
        <is>
          <t>Cancelled</t>
        </is>
      </c>
      <c r="B375" s="45" t="inlineStr">
        <is>
          <t>Cancelled</t>
        </is>
      </c>
      <c r="C375" s="45" t="inlineStr">
        <is>
          <t>13/9/2024</t>
        </is>
      </c>
      <c r="D375" s="45" t="inlineStr">
        <is>
          <t>5520V/210A-B686</t>
        </is>
      </c>
      <c r="E375" s="45">
        <f>IFERROR(VLOOKUP(TRIM(D375), Collection!$B$2:$D$1001, 2, FALSE), "")</f>
        <v/>
      </c>
      <c r="F375" s="48">
        <f>IFERROR(VLOOKUP(TRIM(D375), Collection!$B$2:$D$1001, 3, FALSE), "")</f>
        <v/>
      </c>
      <c r="G375" s="48">
        <f>IFERROR(VALUE(SUBSTITUTE(SUBSTITUTE(F375, "Price", ""), "AED", "")), "")</f>
        <v/>
      </c>
      <c r="H375" s="45" t="inlineStr">
        <is>
          <t>Phone sales Middle East</t>
        </is>
      </c>
      <c r="I375" s="45" t="n">
        <v>101467474</v>
      </c>
      <c r="J375" s="45" t="inlineStr">
        <is>
          <t>Prospect</t>
        </is>
      </c>
      <c r="K375" s="45" t="inlineStr">
        <is>
          <t>TAHHAN Riham</t>
        </is>
      </c>
      <c r="L375" s="45" t="inlineStr">
        <is>
          <t>The client is the **President &amp; Group Chief Executive Officer at Pakistan Telecommunication Co.** **Ltd.** **and Pakistan Telecommunications Mobile Ltd**. He is interested in this timepiece.</t>
        </is>
      </c>
      <c r="M375" s="45">
        <f>IF(COUNTIF($R$3:$R$100, D375) &gt; 0, TRUE, FALSE)</f>
        <v/>
      </c>
    </row>
    <row r="376" ht="31.2" customHeight="1" s="287">
      <c r="A376" s="45" t="inlineStr">
        <is>
          <t>Request</t>
        </is>
      </c>
      <c r="B376" s="45" t="inlineStr">
        <is>
          <t xml:space="preserve"> </t>
        </is>
      </c>
      <c r="C376" s="46" t="n">
        <v>45635</v>
      </c>
      <c r="D376" s="45" t="inlineStr">
        <is>
          <t>7920V/210A-B334</t>
        </is>
      </c>
      <c r="E376" s="45">
        <f>IFERROR(VLOOKUP(TRIM(D376), Collection!$B$2:$D$1001, 2, FALSE), "")</f>
        <v/>
      </c>
      <c r="F376" s="48">
        <f>IFERROR(VLOOKUP(TRIM(D376), Collection!$B$2:$D$1001, 3, FALSE), "")</f>
        <v/>
      </c>
      <c r="G376" s="48">
        <f>IFERROR(VALUE(SUBSTITUTE(SUBSTITUTE(F376, "Price", ""), "AED", "")), "")</f>
        <v/>
      </c>
      <c r="H376" s="45" t="inlineStr">
        <is>
          <t>Phone sales Middle East</t>
        </is>
      </c>
      <c r="I376" s="45" t="n">
        <v>92400340</v>
      </c>
      <c r="J376" s="45" t="inlineStr">
        <is>
          <t>Client</t>
        </is>
      </c>
      <c r="K376" s="45" t="inlineStr">
        <is>
          <t>TAHHAN Riham</t>
        </is>
      </c>
      <c r="L376" s="45" t="inlineStr">
        <is>
          <t xml:space="preserve"> </t>
        </is>
      </c>
      <c r="M376" s="45">
        <f>IF(COUNTIF($R$3:$R$100, D376) &gt; 0, TRUE, FALSE)</f>
        <v/>
      </c>
    </row>
    <row r="377" ht="78" customHeight="1" s="287">
      <c r="A377" s="45" t="inlineStr">
        <is>
          <t>Request</t>
        </is>
      </c>
      <c r="B377" s="45" t="inlineStr">
        <is>
          <t>Postponed</t>
        </is>
      </c>
      <c r="C377" s="46" t="n">
        <v>45574</v>
      </c>
      <c r="D377" s="45" t="inlineStr">
        <is>
          <t>7920V/210A-B334</t>
        </is>
      </c>
      <c r="E377" s="45">
        <f>IFERROR(VLOOKUP(TRIM(D377), Collection!$B$2:$D$1001, 2, FALSE), "")</f>
        <v/>
      </c>
      <c r="F377" s="48">
        <f>IFERROR(VLOOKUP(TRIM(D377), Collection!$B$2:$D$1001, 3, FALSE), "")</f>
        <v/>
      </c>
      <c r="G377" s="48">
        <f>IFERROR(VALUE(SUBSTITUTE(SUBSTITUTE(F377, "Price", ""), "AED", "")), "")</f>
        <v/>
      </c>
      <c r="H377" s="45" t="inlineStr">
        <is>
          <t>Phone sales Middle East</t>
        </is>
      </c>
      <c r="I377" s="45" t="n">
        <v>101319151</v>
      </c>
      <c r="J377" s="45" t="inlineStr">
        <is>
          <t>Prospect</t>
        </is>
      </c>
      <c r="K377" s="45" t="inlineStr">
        <is>
          <t>TAHHAN Riham</t>
        </is>
      </c>
      <c r="L377" s="45" t="inlineStr">
        <is>
          <t>She is interested in gifting this timepiece to her husband, for their anniversary celebration.</t>
        </is>
      </c>
      <c r="M377" s="45">
        <f>IF(COUNTIF($R$3:$R$100, D377) &gt; 0, TRUE, FALSE)</f>
        <v/>
      </c>
    </row>
    <row r="378" ht="78" customHeight="1" s="287">
      <c r="A378" s="45" t="inlineStr">
        <is>
          <t>Request</t>
        </is>
      </c>
      <c r="B378" s="45" t="inlineStr">
        <is>
          <t xml:space="preserve"> </t>
        </is>
      </c>
      <c r="C378" s="46" t="n">
        <v>45574</v>
      </c>
      <c r="D378" s="45" t="inlineStr">
        <is>
          <t>4520V/210R-B705</t>
        </is>
      </c>
      <c r="E378" s="45">
        <f>IFERROR(VLOOKUP(TRIM(D378), Collection!$B$2:$D$1001, 2, FALSE), "")</f>
        <v/>
      </c>
      <c r="F378" s="48">
        <f>IFERROR(VLOOKUP(TRIM(D378), Collection!$B$2:$D$1001, 3, FALSE), "")</f>
        <v/>
      </c>
      <c r="G378" s="48">
        <f>IFERROR(VALUE(SUBSTITUTE(SUBSTITUTE(F378, "Price", ""), "AED", "")), "")</f>
        <v/>
      </c>
      <c r="H378" s="45" t="inlineStr">
        <is>
          <t>Phone sales Middle East</t>
        </is>
      </c>
      <c r="I378" s="45" t="n">
        <v>100995935</v>
      </c>
      <c r="J378" s="45" t="inlineStr">
        <is>
          <t>Prospect</t>
        </is>
      </c>
      <c r="K378" s="45" t="inlineStr">
        <is>
          <t>SHARIF Maaz</t>
        </is>
      </c>
      <c r="L378" s="45" t="inlineStr">
        <is>
          <t>The client purchased the  Fiftysix self-winding and  now planing for the oversease blue dail</t>
        </is>
      </c>
      <c r="M378" s="45">
        <f>IF(COUNTIF($R$3:$R$100, D378) &gt; 0, TRUE, FALSE)</f>
        <v/>
      </c>
    </row>
    <row r="379" ht="62.4" customHeight="1" s="287">
      <c r="A379" s="45" t="inlineStr">
        <is>
          <t>Request</t>
        </is>
      </c>
      <c r="B379" s="45" t="inlineStr">
        <is>
          <t xml:space="preserve"> </t>
        </is>
      </c>
      <c r="C379" s="46" t="n">
        <v>45574</v>
      </c>
      <c r="D379" s="45" t="inlineStr">
        <is>
          <t>4520V/210A-B128</t>
        </is>
      </c>
      <c r="E379" s="45">
        <f>IFERROR(VLOOKUP(TRIM(D379), Collection!$B$2:$D$1001, 2, FALSE), "")</f>
        <v/>
      </c>
      <c r="F379" s="48">
        <f>IFERROR(VLOOKUP(TRIM(D379), Collection!$B$2:$D$1001, 3, FALSE), "")</f>
        <v/>
      </c>
      <c r="G379" s="48">
        <f>IFERROR(VALUE(SUBSTITUTE(SUBSTITUTE(F379, "Price", ""), "AED", "")), "")</f>
        <v/>
      </c>
      <c r="H379" s="45" t="inlineStr">
        <is>
          <t>Phone sales Middle East</t>
        </is>
      </c>
      <c r="I379" s="45" t="n">
        <v>100995935</v>
      </c>
      <c r="J379" s="45" t="inlineStr">
        <is>
          <t>Prospect</t>
        </is>
      </c>
      <c r="K379" s="45" t="inlineStr">
        <is>
          <t>SHARIF Maaz</t>
        </is>
      </c>
      <c r="L379" s="45" t="inlineStr">
        <is>
          <t>The client is interested in purchasing the Overseas Blue Dial.</t>
        </is>
      </c>
      <c r="M379" s="45">
        <f>IF(COUNTIF($R$3:$R$100, D379) &gt; 0, TRUE, FALSE)</f>
        <v/>
      </c>
    </row>
    <row r="380" ht="31.2" customHeight="1" s="287">
      <c r="A380" s="45" t="inlineStr">
        <is>
          <t>Request</t>
        </is>
      </c>
      <c r="B380" s="45" t="inlineStr">
        <is>
          <t xml:space="preserve"> </t>
        </is>
      </c>
      <c r="C380" s="46" t="n">
        <v>45574</v>
      </c>
      <c r="D380" s="45" t="inlineStr">
        <is>
          <t>7920V/210A-B334</t>
        </is>
      </c>
      <c r="E380" s="45">
        <f>IFERROR(VLOOKUP(TRIM(D380), Collection!$B$2:$D$1001, 2, FALSE), "")</f>
        <v/>
      </c>
      <c r="F380" s="48">
        <f>IFERROR(VLOOKUP(TRIM(D380), Collection!$B$2:$D$1001, 3, FALSE), "")</f>
        <v/>
      </c>
      <c r="G380" s="48">
        <f>IFERROR(VALUE(SUBSTITUTE(SUBSTITUTE(F380, "Price", ""), "AED", "")), "")</f>
        <v/>
      </c>
      <c r="H380" s="45" t="inlineStr">
        <is>
          <t>Phone sales Middle East</t>
        </is>
      </c>
      <c r="I380" s="45" t="n">
        <v>101424152</v>
      </c>
      <c r="J380" s="45" t="inlineStr">
        <is>
          <t>Prospect</t>
        </is>
      </c>
      <c r="K380" s="45" t="inlineStr">
        <is>
          <t>OMARI Asma</t>
        </is>
      </c>
      <c r="L380" s="45" t="inlineStr">
        <is>
          <t xml:space="preserve"> </t>
        </is>
      </c>
      <c r="M380" s="45">
        <f>IF(COUNTIF($R$3:$R$100, D380) &gt; 0, TRUE, FALSE)</f>
        <v/>
      </c>
    </row>
    <row r="381" ht="31.2" customHeight="1" s="287">
      <c r="A381" s="45" t="inlineStr">
        <is>
          <t>Request</t>
        </is>
      </c>
      <c r="B381" s="45" t="inlineStr">
        <is>
          <t xml:space="preserve"> </t>
        </is>
      </c>
      <c r="C381" s="46" t="n">
        <v>45574</v>
      </c>
      <c r="D381" s="45" t="inlineStr">
        <is>
          <t>4520V/210A-B128</t>
        </is>
      </c>
      <c r="E381" s="45">
        <f>IFERROR(VLOOKUP(TRIM(D381), Collection!$B$2:$D$1001, 2, FALSE), "")</f>
        <v/>
      </c>
      <c r="F381" s="48">
        <f>IFERROR(VLOOKUP(TRIM(D381), Collection!$B$2:$D$1001, 3, FALSE), "")</f>
        <v/>
      </c>
      <c r="G381" s="48">
        <f>IFERROR(VALUE(SUBSTITUTE(SUBSTITUTE(F381, "Price", ""), "AED", "")), "")</f>
        <v/>
      </c>
      <c r="H381" s="45" t="inlineStr">
        <is>
          <t>Phone sales Middle East</t>
        </is>
      </c>
      <c r="I381" s="45" t="n">
        <v>101413931</v>
      </c>
      <c r="J381" s="45" t="inlineStr">
        <is>
          <t>Prospect</t>
        </is>
      </c>
      <c r="K381" s="45" t="inlineStr">
        <is>
          <t>SHARIF Maaz</t>
        </is>
      </c>
      <c r="L381" s="45" t="inlineStr">
        <is>
          <t>The client is intrested in the overseas</t>
        </is>
      </c>
      <c r="M381" s="45">
        <f>IF(COUNTIF($R$3:$R$100, D381) &gt; 0, TRUE, FALSE)</f>
        <v/>
      </c>
    </row>
    <row r="382" ht="46.95" customHeight="1" s="287">
      <c r="A382" s="45" t="inlineStr">
        <is>
          <t>Request</t>
        </is>
      </c>
      <c r="B382" s="45" t="inlineStr">
        <is>
          <t xml:space="preserve"> </t>
        </is>
      </c>
      <c r="C382" s="46" t="n">
        <v>45574</v>
      </c>
      <c r="D382" s="45" t="inlineStr">
        <is>
          <t>4600E/110A-B487</t>
        </is>
      </c>
      <c r="E382" s="45">
        <f>IFERROR(VLOOKUP(TRIM(D382), Collection!$B$2:$D$1001, 2, FALSE), "")</f>
        <v/>
      </c>
      <c r="F382" s="48">
        <f>IFERROR(VLOOKUP(TRIM(D382), Collection!$B$2:$D$1001, 3, FALSE), "")</f>
        <v/>
      </c>
      <c r="G382" s="48">
        <f>IFERROR(VALUE(SUBSTITUTE(SUBSTITUTE(F382, "Price", ""), "AED", "")), "")</f>
        <v/>
      </c>
      <c r="H382" s="45" t="inlineStr">
        <is>
          <t>Phone sales Middle East</t>
        </is>
      </c>
      <c r="I382" s="45" t="n">
        <v>101413931</v>
      </c>
      <c r="J382" s="45" t="inlineStr">
        <is>
          <t>Prospect</t>
        </is>
      </c>
      <c r="K382" s="45" t="inlineStr">
        <is>
          <t>SHARIF Maaz</t>
        </is>
      </c>
      <c r="L382" s="45" t="inlineStr">
        <is>
          <t>the client is interested in both the oversease and fiftysix</t>
        </is>
      </c>
      <c r="M382" s="45">
        <f>IF(COUNTIF($R$3:$R$100, D382) &gt; 0, TRUE, FALSE)</f>
        <v/>
      </c>
    </row>
    <row r="383" ht="62.4" customHeight="1" s="287">
      <c r="A383" s="45" t="inlineStr">
        <is>
          <t>Request</t>
        </is>
      </c>
      <c r="B383" s="45" t="inlineStr">
        <is>
          <t xml:space="preserve"> </t>
        </is>
      </c>
      <c r="C383" s="46" t="n">
        <v>45574</v>
      </c>
      <c r="D383" s="45" t="inlineStr">
        <is>
          <t>4520V/210A-B483</t>
        </is>
      </c>
      <c r="E383" s="45">
        <f>IFERROR(VLOOKUP(TRIM(D383), Collection!$B$2:$D$1001, 2, FALSE), "")</f>
        <v/>
      </c>
      <c r="F383" s="48">
        <f>IFERROR(VLOOKUP(TRIM(D383), Collection!$B$2:$D$1001, 3, FALSE), "")</f>
        <v/>
      </c>
      <c r="G383" s="48">
        <f>IFERROR(VALUE(SUBSTITUTE(SUBSTITUTE(F383, "Price", ""), "AED", "")), "")</f>
        <v/>
      </c>
      <c r="H383" s="45" t="inlineStr">
        <is>
          <t>Phone sales Middle East</t>
        </is>
      </c>
      <c r="I383" s="45" t="n">
        <v>101413931</v>
      </c>
      <c r="J383" s="45" t="inlineStr">
        <is>
          <t>Prospect</t>
        </is>
      </c>
      <c r="K383" s="45" t="inlineStr">
        <is>
          <t>SHARIF Maaz</t>
        </is>
      </c>
      <c r="L383" s="45" t="inlineStr">
        <is>
          <t>the client would like to purchase both fiftysix and oversease black dial</t>
        </is>
      </c>
      <c r="M383" s="45">
        <f>IF(COUNTIF($R$3:$R$100, D383) &gt; 0, TRUE, FALSE)</f>
        <v/>
      </c>
    </row>
    <row r="384" ht="46.95" customHeight="1" s="287">
      <c r="A384" s="45" t="inlineStr">
        <is>
          <t>Request</t>
        </is>
      </c>
      <c r="B384" s="45" t="inlineStr">
        <is>
          <t xml:space="preserve"> </t>
        </is>
      </c>
      <c r="C384" s="46" t="n">
        <v>45574</v>
      </c>
      <c r="D384" s="45" t="inlineStr">
        <is>
          <t>4520V/210A-B483</t>
        </is>
      </c>
      <c r="E384" s="45">
        <f>IFERROR(VLOOKUP(TRIM(D384), Collection!$B$2:$D$1001, 2, FALSE), "")</f>
        <v/>
      </c>
      <c r="F384" s="48">
        <f>IFERROR(VLOOKUP(TRIM(D384), Collection!$B$2:$D$1001, 3, FALSE), "")</f>
        <v/>
      </c>
      <c r="G384" s="48">
        <f>IFERROR(VALUE(SUBSTITUTE(SUBSTITUTE(F384, "Price", ""), "AED", "")), "")</f>
        <v/>
      </c>
      <c r="H384" s="45" t="inlineStr">
        <is>
          <t>Phone sales Middle East</t>
        </is>
      </c>
      <c r="I384" s="45" t="n">
        <v>101413931</v>
      </c>
      <c r="J384" s="45" t="inlineStr">
        <is>
          <t>Prospect</t>
        </is>
      </c>
      <c r="K384" s="45" t="inlineStr">
        <is>
          <t>SHARIF Maaz</t>
        </is>
      </c>
      <c r="L384" s="45" t="inlineStr">
        <is>
          <t>the client would like to purchase the oversease black dial</t>
        </is>
      </c>
      <c r="M384" s="45">
        <f>IF(COUNTIF($R$3:$R$100, D384) &gt; 0, TRUE, FALSE)</f>
        <v/>
      </c>
    </row>
    <row r="385" ht="62.4" customHeight="1" s="287">
      <c r="A385" s="45" t="inlineStr">
        <is>
          <t>Request</t>
        </is>
      </c>
      <c r="B385" s="45" t="inlineStr">
        <is>
          <t xml:space="preserve"> </t>
        </is>
      </c>
      <c r="C385" s="46" t="n">
        <v>45574</v>
      </c>
      <c r="D385" s="45" t="inlineStr">
        <is>
          <t>4520V/210A-B128</t>
        </is>
      </c>
      <c r="E385" s="45">
        <f>IFERROR(VLOOKUP(TRIM(D385), Collection!$B$2:$D$1001, 2, FALSE), "")</f>
        <v/>
      </c>
      <c r="F385" s="48">
        <f>IFERROR(VLOOKUP(TRIM(D385), Collection!$B$2:$D$1001, 3, FALSE), "")</f>
        <v/>
      </c>
      <c r="G385" s="48">
        <f>IFERROR(VALUE(SUBSTITUTE(SUBSTITUTE(F385, "Price", ""), "AED", "")), "")</f>
        <v/>
      </c>
      <c r="H385" s="45" t="inlineStr">
        <is>
          <t>Phone sales Middle East</t>
        </is>
      </c>
      <c r="I385" s="45" t="n">
        <v>101467308</v>
      </c>
      <c r="J385" s="45" t="inlineStr">
        <is>
          <t>Prospect</t>
        </is>
      </c>
      <c r="K385" s="45" t="inlineStr">
        <is>
          <t>SHARIF Maaz</t>
        </is>
      </c>
      <c r="L385" s="45" t="inlineStr">
        <is>
          <t>The client shows intreset in the oversease self winding</t>
        </is>
      </c>
      <c r="M385" s="45">
        <f>IF(COUNTIF($R$3:$R$100, D385) &gt; 0, TRUE, FALSE)</f>
        <v/>
      </c>
    </row>
    <row r="386" ht="46.95" customHeight="1" s="287">
      <c r="A386" s="45" t="inlineStr">
        <is>
          <t>Request</t>
        </is>
      </c>
      <c r="B386" s="45" t="inlineStr">
        <is>
          <t>Confirmed</t>
        </is>
      </c>
      <c r="C386" s="46" t="n">
        <v>45574</v>
      </c>
      <c r="D386" s="45" t="inlineStr">
        <is>
          <t>4600E/000R-H101</t>
        </is>
      </c>
      <c r="E386" s="45">
        <f>IFERROR(VLOOKUP(TRIM(D386), Collection!$B$2:$D$1001, 2, FALSE), "")</f>
        <v/>
      </c>
      <c r="F386" s="48">
        <f>IFERROR(VLOOKUP(TRIM(D386), Collection!$B$2:$D$1001, 3, FALSE), "")</f>
        <v/>
      </c>
      <c r="G386" s="48">
        <f>IFERROR(VALUE(SUBSTITUTE(SUBSTITUTE(F386, "Price", ""), "AED", "")), "")</f>
        <v/>
      </c>
      <c r="H386" s="45" t="inlineStr">
        <is>
          <t>Phone sales Middle East</t>
        </is>
      </c>
      <c r="I386" s="45" t="n">
        <v>101467913</v>
      </c>
      <c r="J386" s="45" t="inlineStr">
        <is>
          <t>Prospect</t>
        </is>
      </c>
      <c r="K386" s="45" t="inlineStr">
        <is>
          <t>SHARIF Maaz</t>
        </is>
      </c>
      <c r="L386" s="45" t="inlineStr">
        <is>
          <t>The client is interested in the fiftysix  black dial</t>
        </is>
      </c>
      <c r="M386" s="45">
        <f>IF(COUNTIF($R$3:$R$100, D386) &gt; 0, TRUE, FALSE)</f>
        <v/>
      </c>
    </row>
    <row r="387" ht="31.2" customHeight="1" s="287">
      <c r="A387" s="45" t="inlineStr">
        <is>
          <t>Request</t>
        </is>
      </c>
      <c r="B387" s="45" t="inlineStr">
        <is>
          <t xml:space="preserve"> </t>
        </is>
      </c>
      <c r="C387" s="46" t="n">
        <v>45482</v>
      </c>
      <c r="D387" s="45" t="inlineStr">
        <is>
          <t>7920V/210A-B334</t>
        </is>
      </c>
      <c r="E387" s="45">
        <f>IFERROR(VLOOKUP(TRIM(D387), Collection!$B$2:$D$1001, 2, FALSE), "")</f>
        <v/>
      </c>
      <c r="F387" s="48">
        <f>IFERROR(VLOOKUP(TRIM(D387), Collection!$B$2:$D$1001, 3, FALSE), "")</f>
        <v/>
      </c>
      <c r="G387" s="48">
        <f>IFERROR(VALUE(SUBSTITUTE(SUBSTITUTE(F387, "Price", ""), "AED", "")), "")</f>
        <v/>
      </c>
      <c r="H387" s="45" t="inlineStr">
        <is>
          <t>Phone sales Middle East</t>
        </is>
      </c>
      <c r="I387" s="45" t="n">
        <v>101428000</v>
      </c>
      <c r="J387" s="45" t="inlineStr">
        <is>
          <t>Prospect</t>
        </is>
      </c>
      <c r="K387" s="45" t="inlineStr">
        <is>
          <t>TAHHAN Riham</t>
        </is>
      </c>
      <c r="L387" s="45" t="inlineStr">
        <is>
          <t xml:space="preserve"> </t>
        </is>
      </c>
      <c r="M387" s="45">
        <f>IF(COUNTIF($R$3:$R$100, D387) &gt; 0, TRUE, FALSE)</f>
        <v/>
      </c>
    </row>
    <row r="388" ht="31.2" customHeight="1" s="287">
      <c r="A388" s="45" t="inlineStr">
        <is>
          <t>Request</t>
        </is>
      </c>
      <c r="B388" s="45" t="inlineStr">
        <is>
          <t xml:space="preserve"> </t>
        </is>
      </c>
      <c r="C388" s="46" t="n">
        <v>45482</v>
      </c>
      <c r="D388" s="45" t="inlineStr">
        <is>
          <t>4520V/210A-B128</t>
        </is>
      </c>
      <c r="E388" s="45">
        <f>IFERROR(VLOOKUP(TRIM(D388), Collection!$B$2:$D$1001, 2, FALSE), "")</f>
        <v/>
      </c>
      <c r="F388" s="48">
        <f>IFERROR(VLOOKUP(TRIM(D388), Collection!$B$2:$D$1001, 3, FALSE), "")</f>
        <v/>
      </c>
      <c r="G388" s="48">
        <f>IFERROR(VALUE(SUBSTITUTE(SUBSTITUTE(F388, "Price", ""), "AED", "")), "")</f>
        <v/>
      </c>
      <c r="H388" s="45" t="inlineStr">
        <is>
          <t>Phone sales Middle East</t>
        </is>
      </c>
      <c r="I388" s="45" t="n">
        <v>101428000</v>
      </c>
      <c r="J388" s="45" t="inlineStr">
        <is>
          <t>Prospect</t>
        </is>
      </c>
      <c r="K388" s="45" t="inlineStr">
        <is>
          <t>TAHHAN Riham</t>
        </is>
      </c>
      <c r="L388" s="45" t="inlineStr">
        <is>
          <t xml:space="preserve"> </t>
        </is>
      </c>
      <c r="M388" s="45">
        <f>IF(COUNTIF($R$3:$R$100, D388) &gt; 0, TRUE, FALSE)</f>
        <v/>
      </c>
    </row>
    <row r="389" ht="46.95" customHeight="1" s="287">
      <c r="A389" s="45" t="inlineStr">
        <is>
          <t>Request</t>
        </is>
      </c>
      <c r="B389" s="45" t="inlineStr">
        <is>
          <t xml:space="preserve"> </t>
        </is>
      </c>
      <c r="C389" s="46" t="n">
        <v>45421</v>
      </c>
      <c r="D389" s="45" t="inlineStr">
        <is>
          <t>4600E/000A-B442</t>
        </is>
      </c>
      <c r="E389" s="45">
        <f>IFERROR(VLOOKUP(TRIM(D389), Collection!$B$2:$D$1001, 2, FALSE), "")</f>
        <v/>
      </c>
      <c r="F389" s="48">
        <f>IFERROR(VLOOKUP(TRIM(D389), Collection!$B$2:$D$1001, 3, FALSE), "")</f>
        <v/>
      </c>
      <c r="G389" s="48">
        <f>IFERROR(VALUE(SUBSTITUTE(SUBSTITUTE(F389, "Price", ""), "AED", "")), "")</f>
        <v/>
      </c>
      <c r="H389" s="45" t="inlineStr">
        <is>
          <t>Phone sales Middle East</t>
        </is>
      </c>
      <c r="I389" s="45" t="n">
        <v>101369992</v>
      </c>
      <c r="J389" s="45" t="inlineStr">
        <is>
          <t>Prospect</t>
        </is>
      </c>
      <c r="K389" s="45" t="inlineStr">
        <is>
          <t>SHARIF Maaz</t>
        </is>
      </c>
      <c r="L389" s="45" t="inlineStr">
        <is>
          <t>The client is intrested in the fiftysix self winding gray</t>
        </is>
      </c>
      <c r="M389" s="45">
        <f>IF(COUNTIF($R$3:$R$100, D389) &gt; 0, TRUE, FALSE)</f>
        <v/>
      </c>
    </row>
    <row r="390" ht="93.59999999999999" customHeight="1" s="287">
      <c r="A390" s="45" t="inlineStr">
        <is>
          <t>Request</t>
        </is>
      </c>
      <c r="B390" s="45" t="inlineStr">
        <is>
          <t xml:space="preserve"> </t>
        </is>
      </c>
      <c r="C390" s="46" t="n">
        <v>45391</v>
      </c>
      <c r="D390" s="45" t="inlineStr">
        <is>
          <t>4520V/210A-B483</t>
        </is>
      </c>
      <c r="E390" s="45">
        <f>IFERROR(VLOOKUP(TRIM(D390), Collection!$B$2:$D$1001, 2, FALSE), "")</f>
        <v/>
      </c>
      <c r="F390" s="48">
        <f>IFERROR(VLOOKUP(TRIM(D390), Collection!$B$2:$D$1001, 3, FALSE), "")</f>
        <v/>
      </c>
      <c r="G390" s="48">
        <f>IFERROR(VALUE(SUBSTITUTE(SUBSTITUTE(F390, "Price", ""), "AED", "")), "")</f>
        <v/>
      </c>
      <c r="H390" s="45" t="inlineStr">
        <is>
          <t>Phone sales Middle East</t>
        </is>
      </c>
      <c r="I390" s="45" t="n">
        <v>101314200</v>
      </c>
      <c r="J390" s="45" t="inlineStr">
        <is>
          <t>Prospect</t>
        </is>
      </c>
      <c r="K390" s="45" t="inlineStr">
        <is>
          <t>SHARIF Maaz</t>
        </is>
      </c>
      <c r="L390" s="45" t="inlineStr">
        <is>
          <t>The client is interested in the black dial Overseas and has an appointment at Suite 1755.</t>
        </is>
      </c>
      <c r="M390" s="45">
        <f>IF(COUNTIF($R$3:$R$100, D390) &gt; 0, TRUE, FALSE)</f>
        <v/>
      </c>
    </row>
    <row r="391" ht="140.4" customHeight="1" s="287">
      <c r="A391" s="45" t="inlineStr">
        <is>
          <t>Request</t>
        </is>
      </c>
      <c r="B391" s="45" t="inlineStr">
        <is>
          <t>Confirmed</t>
        </is>
      </c>
      <c r="C391" s="46" t="n">
        <v>45391</v>
      </c>
      <c r="D391" s="45" t="inlineStr">
        <is>
          <t>4600E/000R-H101</t>
        </is>
      </c>
      <c r="E391" s="45">
        <f>IFERROR(VLOOKUP(TRIM(D391), Collection!$B$2:$D$1001, 2, FALSE), "")</f>
        <v/>
      </c>
      <c r="F391" s="48">
        <f>IFERROR(VLOOKUP(TRIM(D391), Collection!$B$2:$D$1001, 3, FALSE), "")</f>
        <v/>
      </c>
      <c r="G391" s="48">
        <f>IFERROR(VALUE(SUBSTITUTE(SUBSTITUTE(F391, "Price", ""), "AED", "")), "")</f>
        <v/>
      </c>
      <c r="H391" s="45" t="inlineStr">
        <is>
          <t>Phone sales Middle East</t>
        </is>
      </c>
      <c r="I391" s="45" t="n">
        <v>101314200</v>
      </c>
      <c r="J391" s="45" t="inlineStr">
        <is>
          <t>Prospect</t>
        </is>
      </c>
      <c r="K391" s="45" t="inlineStr">
        <is>
          <t>SHARIF Maaz</t>
        </is>
      </c>
      <c r="L391" s="45" t="inlineStr">
        <is>
          <t>The client wanted to Purchase  either the oversease 4520V/210A-B483 or the fifitysix , with Mohammed support she made a full payment  4600E/000R-H101</t>
        </is>
      </c>
      <c r="M391" s="45">
        <f>IF(COUNTIF($R$3:$R$100, D391) &gt; 0, TRUE, FALSE)</f>
        <v/>
      </c>
    </row>
    <row r="392" ht="31.2" customHeight="1" s="287">
      <c r="A392" s="45" t="inlineStr">
        <is>
          <t>Cancelled</t>
        </is>
      </c>
      <c r="B392" s="45" t="inlineStr">
        <is>
          <t>Cancelled</t>
        </is>
      </c>
      <c r="C392" s="46" t="n">
        <v>45391</v>
      </c>
      <c r="D392" s="45" t="inlineStr">
        <is>
          <t>4600E/000A-B442</t>
        </is>
      </c>
      <c r="E392" s="45">
        <f>IFERROR(VLOOKUP(TRIM(D392), Collection!$B$2:$D$1001, 2, FALSE), "")</f>
        <v/>
      </c>
      <c r="F392" s="48">
        <f>IFERROR(VLOOKUP(TRIM(D392), Collection!$B$2:$D$1001, 3, FALSE), "")</f>
        <v/>
      </c>
      <c r="G392" s="48">
        <f>IFERROR(VALUE(SUBSTITUTE(SUBSTITUTE(F392, "Price", ""), "AED", "")), "")</f>
        <v/>
      </c>
      <c r="H392" s="45" t="inlineStr">
        <is>
          <t>Phone sales Middle East</t>
        </is>
      </c>
      <c r="I392" s="45" t="n">
        <v>101009393</v>
      </c>
      <c r="J392" s="45" t="inlineStr">
        <is>
          <t>Prospect</t>
        </is>
      </c>
      <c r="K392" s="45" t="inlineStr">
        <is>
          <t>TAHHAN Riham</t>
        </is>
      </c>
      <c r="L392" s="45" t="inlineStr">
        <is>
          <t xml:space="preserve"> </t>
        </is>
      </c>
      <c r="M392" s="45">
        <f>IF(COUNTIF($R$3:$R$100, D392) &gt; 0, TRUE, FALSE)</f>
        <v/>
      </c>
    </row>
    <row r="393" ht="31.2" customHeight="1" s="287">
      <c r="A393" s="45" t="inlineStr">
        <is>
          <t>Cancelled</t>
        </is>
      </c>
      <c r="B393" s="45" t="inlineStr">
        <is>
          <t>Cancelled</t>
        </is>
      </c>
      <c r="C393" s="46" t="n">
        <v>45360</v>
      </c>
      <c r="D393" s="45" t="inlineStr">
        <is>
          <t>7920V/210A-B334</t>
        </is>
      </c>
      <c r="E393" s="45">
        <f>IFERROR(VLOOKUP(TRIM(D393), Collection!$B$2:$D$1001, 2, FALSE), "")</f>
        <v/>
      </c>
      <c r="F393" s="48">
        <f>IFERROR(VLOOKUP(TRIM(D393), Collection!$B$2:$D$1001, 3, FALSE), "")</f>
        <v/>
      </c>
      <c r="G393" s="48">
        <f>IFERROR(VALUE(SUBSTITUTE(SUBSTITUTE(F393, "Price", ""), "AED", "")), "")</f>
        <v/>
      </c>
      <c r="H393" s="45" t="inlineStr">
        <is>
          <t>Phone sales Middle East</t>
        </is>
      </c>
      <c r="I393" s="45" t="n">
        <v>101364406</v>
      </c>
      <c r="J393" s="45" t="inlineStr">
        <is>
          <t>Prospect</t>
        </is>
      </c>
      <c r="K393" s="45" t="inlineStr">
        <is>
          <t>TAHHAN Riham</t>
        </is>
      </c>
      <c r="L393" s="45" t="inlineStr">
        <is>
          <t xml:space="preserve"> </t>
        </is>
      </c>
      <c r="M393" s="45">
        <f>IF(COUNTIF($R$3:$R$100, D393) &gt; 0, TRUE, FALSE)</f>
        <v/>
      </c>
    </row>
    <row r="394" ht="46.95" customHeight="1" s="287">
      <c r="A394" s="45" t="inlineStr">
        <is>
          <t>Request</t>
        </is>
      </c>
      <c r="B394" s="45" t="inlineStr">
        <is>
          <t xml:space="preserve"> </t>
        </is>
      </c>
      <c r="C394" s="45" t="inlineStr">
        <is>
          <t>30/8/2024</t>
        </is>
      </c>
      <c r="D394" s="45" t="inlineStr">
        <is>
          <t>4520V/210A-B483</t>
        </is>
      </c>
      <c r="E394" s="45">
        <f>IFERROR(VLOOKUP(TRIM(D394), Collection!$B$2:$D$1001, 2, FALSE), "")</f>
        <v/>
      </c>
      <c r="F394" s="48">
        <f>IFERROR(VLOOKUP(TRIM(D394), Collection!$B$2:$D$1001, 3, FALSE), "")</f>
        <v/>
      </c>
      <c r="G394" s="48">
        <f>IFERROR(VALUE(SUBSTITUTE(SUBSTITUTE(F394, "Price", ""), "AED", "")), "")</f>
        <v/>
      </c>
      <c r="H394" s="45" t="inlineStr">
        <is>
          <t>Phone sales Middle East</t>
        </is>
      </c>
      <c r="I394" s="45" t="n">
        <v>101314200</v>
      </c>
      <c r="J394" s="45" t="inlineStr">
        <is>
          <t>Prospect</t>
        </is>
      </c>
      <c r="K394" s="45" t="inlineStr">
        <is>
          <t>SHARIF Maaz</t>
        </is>
      </c>
      <c r="L394" s="45" t="inlineStr">
        <is>
          <t>The client would like to purchase Overseas self-winding black Dial</t>
        </is>
      </c>
      <c r="M394" s="45">
        <f>IF(COUNTIF($R$3:$R$100, D394) &gt; 0, TRUE, FALSE)</f>
        <v/>
      </c>
    </row>
    <row r="395" ht="31.2" customHeight="1" s="287">
      <c r="A395" s="45" t="inlineStr">
        <is>
          <t>Request</t>
        </is>
      </c>
      <c r="B395" s="45" t="inlineStr">
        <is>
          <t xml:space="preserve"> </t>
        </is>
      </c>
      <c r="C395" s="45" t="inlineStr">
        <is>
          <t>29/8/2024</t>
        </is>
      </c>
      <c r="D395" s="45" t="inlineStr">
        <is>
          <t>7920V/210A-B334</t>
        </is>
      </c>
      <c r="E395" s="45">
        <f>IFERROR(VLOOKUP(TRIM(D395), Collection!$B$2:$D$1001, 2, FALSE), "")</f>
        <v/>
      </c>
      <c r="F395" s="48">
        <f>IFERROR(VLOOKUP(TRIM(D395), Collection!$B$2:$D$1001, 3, FALSE), "")</f>
        <v/>
      </c>
      <c r="G395" s="48">
        <f>IFERROR(VALUE(SUBSTITUTE(SUBSTITUTE(F395, "Price", ""), "AED", "")), "")</f>
        <v/>
      </c>
      <c r="H395" s="45" t="inlineStr">
        <is>
          <t>Phone sales Middle East</t>
        </is>
      </c>
      <c r="I395" s="45" t="n">
        <v>101302751</v>
      </c>
      <c r="J395" s="45" t="inlineStr">
        <is>
          <t>Prospect</t>
        </is>
      </c>
      <c r="K395" s="45" t="inlineStr">
        <is>
          <t>TAHHAN Riham</t>
        </is>
      </c>
      <c r="L395" s="45" t="n"/>
      <c r="M395" s="45">
        <f>IF(COUNTIF($R$3:$R$100, D395) &gt; 0, TRUE, FALSE)</f>
        <v/>
      </c>
    </row>
    <row r="396" ht="31.2" customHeight="1" s="287">
      <c r="A396" s="45" t="inlineStr">
        <is>
          <t>Request</t>
        </is>
      </c>
      <c r="B396" s="45" t="inlineStr">
        <is>
          <t xml:space="preserve"> </t>
        </is>
      </c>
      <c r="C396" s="45" t="inlineStr">
        <is>
          <t>28/8/2024</t>
        </is>
      </c>
      <c r="D396" s="45" t="inlineStr">
        <is>
          <t>4520V/210A-B128</t>
        </is>
      </c>
      <c r="E396" s="45">
        <f>IFERROR(VLOOKUP(TRIM(D396), Collection!$B$2:$D$1001, 2, FALSE), "")</f>
        <v/>
      </c>
      <c r="F396" s="48">
        <f>IFERROR(VLOOKUP(TRIM(D396), Collection!$B$2:$D$1001, 3, FALSE), "")</f>
        <v/>
      </c>
      <c r="G396" s="48">
        <f>IFERROR(VALUE(SUBSTITUTE(SUBSTITUTE(F396, "Price", ""), "AED", "")), "")</f>
        <v/>
      </c>
      <c r="H396" s="45" t="inlineStr">
        <is>
          <t>Phone sales Middle East</t>
        </is>
      </c>
      <c r="I396" s="45" t="n">
        <v>101283226</v>
      </c>
      <c r="J396" s="45" t="inlineStr">
        <is>
          <t>Prospect</t>
        </is>
      </c>
      <c r="K396" s="45" t="inlineStr">
        <is>
          <t>OMARI Asma</t>
        </is>
      </c>
      <c r="L396" s="45" t="inlineStr">
        <is>
          <t>Client is open to the other collections.</t>
        </is>
      </c>
      <c r="M396" s="45">
        <f>IF(COUNTIF($R$3:$R$100, D396) &gt; 0, TRUE, FALSE)</f>
        <v/>
      </c>
    </row>
    <row r="397" ht="46.95" customHeight="1" s="287">
      <c r="A397" s="45" t="inlineStr">
        <is>
          <t>Cancelled</t>
        </is>
      </c>
      <c r="B397" s="45" t="inlineStr">
        <is>
          <t>Cancelled</t>
        </is>
      </c>
      <c r="C397" s="45" t="inlineStr">
        <is>
          <t>23/8/2024</t>
        </is>
      </c>
      <c r="D397" s="45" t="inlineStr">
        <is>
          <t>1225V/200A-B590</t>
        </is>
      </c>
      <c r="E397" s="45">
        <f>IFERROR(VLOOKUP(TRIM(D397), Collection!$B$2:$D$1001, 2, FALSE), "")</f>
        <v/>
      </c>
      <c r="F397" s="48">
        <f>IFERROR(VLOOKUP(TRIM(D397), Collection!$B$2:$D$1001, 3, FALSE), "")</f>
        <v/>
      </c>
      <c r="G397" s="48">
        <f>IFERROR(VALUE(SUBSTITUTE(SUBSTITUTE(F397, "Price", ""), "AED", "")), "")</f>
        <v/>
      </c>
      <c r="H397" s="45" t="inlineStr">
        <is>
          <t>Phone sales Middle East</t>
        </is>
      </c>
      <c r="I397" s="45" t="n">
        <v>101220865</v>
      </c>
      <c r="J397" s="45" t="inlineStr">
        <is>
          <t>Prospect</t>
        </is>
      </c>
      <c r="K397" s="45" t="inlineStr">
        <is>
          <t>SHARIF Maaz</t>
        </is>
      </c>
      <c r="L397" s="45" t="inlineStr">
        <is>
          <t>The client is very interested in the OVERSEAS STEEL</t>
        </is>
      </c>
      <c r="M397" s="45">
        <f>IF(COUNTIF($R$3:$R$100, D397) &gt; 0, TRUE, FALSE)</f>
        <v/>
      </c>
    </row>
    <row r="398" ht="93.59999999999999" customHeight="1" s="287">
      <c r="A398" s="45" t="inlineStr">
        <is>
          <t>Request</t>
        </is>
      </c>
      <c r="B398" s="45" t="inlineStr">
        <is>
          <t xml:space="preserve"> </t>
        </is>
      </c>
      <c r="C398" s="45" t="inlineStr">
        <is>
          <t>22/8/2024</t>
        </is>
      </c>
      <c r="D398" s="45" t="inlineStr">
        <is>
          <t>4520V/210A-B128</t>
        </is>
      </c>
      <c r="E398" s="45">
        <f>IFERROR(VLOOKUP(TRIM(D398), Collection!$B$2:$D$1001, 2, FALSE), "")</f>
        <v/>
      </c>
      <c r="F398" s="48">
        <f>IFERROR(VLOOKUP(TRIM(D398), Collection!$B$2:$D$1001, 3, FALSE), "")</f>
        <v/>
      </c>
      <c r="G398" s="48">
        <f>IFERROR(VALUE(SUBSTITUTE(SUBSTITUTE(F398, "Price", ""), "AED", "")), "")</f>
        <v/>
      </c>
      <c r="H398" s="45" t="inlineStr">
        <is>
          <t>Phone sales Middle East</t>
        </is>
      </c>
      <c r="I398" s="45" t="n">
        <v>101145972</v>
      </c>
      <c r="J398" s="45" t="inlineStr">
        <is>
          <t>Prospect</t>
        </is>
      </c>
      <c r="K398" s="45" t="inlineStr">
        <is>
          <t>SHARIF Maaz</t>
        </is>
      </c>
      <c r="L398" s="45" t="inlineStr">
        <is>
          <t>The client is very interested in the overseas self winding and will love to purchase it upon availability</t>
        </is>
      </c>
      <c r="M398" s="45">
        <f>IF(COUNTIF($R$3:$R$100, D398) &gt; 0, TRUE, FALSE)</f>
        <v/>
      </c>
    </row>
    <row r="399" ht="31.2" customHeight="1" s="287">
      <c r="A399" s="45" t="inlineStr">
        <is>
          <t>Request</t>
        </is>
      </c>
      <c r="B399" s="45" t="inlineStr">
        <is>
          <t xml:space="preserve"> </t>
        </is>
      </c>
      <c r="C399" s="45" t="inlineStr">
        <is>
          <t>21/8/2024</t>
        </is>
      </c>
      <c r="D399" s="45" t="inlineStr">
        <is>
          <t>4520V/210A-B128</t>
        </is>
      </c>
      <c r="E399" s="45">
        <f>IFERROR(VLOOKUP(TRIM(D399), Collection!$B$2:$D$1001, 2, FALSE), "")</f>
        <v/>
      </c>
      <c r="F399" s="48">
        <f>IFERROR(VLOOKUP(TRIM(D399), Collection!$B$2:$D$1001, 3, FALSE), "")</f>
        <v/>
      </c>
      <c r="G399" s="48">
        <f>IFERROR(VALUE(SUBSTITUTE(SUBSTITUTE(F399, "Price", ""), "AED", "")), "")</f>
        <v/>
      </c>
      <c r="H399" s="45" t="inlineStr">
        <is>
          <t>Phone sales Middle East</t>
        </is>
      </c>
      <c r="I399" s="45" t="n">
        <v>101196299</v>
      </c>
      <c r="J399" s="45" t="inlineStr">
        <is>
          <t>Prospect</t>
        </is>
      </c>
      <c r="K399" s="45" t="inlineStr">
        <is>
          <t>TAHHAN Riham</t>
        </is>
      </c>
      <c r="L399" s="45" t="n"/>
      <c r="M399" s="45">
        <f>IF(COUNTIF($R$3:$R$100, D399) &gt; 0, TRUE, FALSE)</f>
        <v/>
      </c>
    </row>
    <row r="400" ht="78" customHeight="1" s="287">
      <c r="A400" s="45" t="inlineStr">
        <is>
          <t>Request</t>
        </is>
      </c>
      <c r="B400" s="45" t="inlineStr">
        <is>
          <t>Confirmed</t>
        </is>
      </c>
      <c r="C400" s="45" t="inlineStr">
        <is>
          <t>15/8/2024</t>
        </is>
      </c>
      <c r="D400" s="45" t="inlineStr">
        <is>
          <t>5520V/210R-B966</t>
        </is>
      </c>
      <c r="E400" s="45">
        <f>IFERROR(VLOOKUP(TRIM(D400), Collection!$B$2:$D$1001, 2, FALSE), "")</f>
        <v/>
      </c>
      <c r="F400" s="48">
        <f>IFERROR(VLOOKUP(TRIM(D400), Collection!$B$2:$D$1001, 3, FALSE), "")</f>
        <v/>
      </c>
      <c r="G400" s="48">
        <f>IFERROR(VALUE(SUBSTITUTE(SUBSTITUTE(F400, "Price", ""), "AED", "")), "")</f>
        <v/>
      </c>
      <c r="H400" s="45" t="inlineStr">
        <is>
          <t>Phone sales Middle East</t>
        </is>
      </c>
      <c r="I400" s="45" t="n">
        <v>101110183</v>
      </c>
      <c r="J400" s="45" t="inlineStr">
        <is>
          <t>Prospect</t>
        </is>
      </c>
      <c r="K400" s="45" t="inlineStr">
        <is>
          <t>SHARIF Maaz</t>
        </is>
      </c>
      <c r="L400" s="45" t="inlineStr">
        <is>
          <t>The client expressed a strong interest in the Overseas chronograph and insisted on being added to the list</t>
        </is>
      </c>
      <c r="M400" s="45">
        <f>IF(COUNTIF($R$3:$R$100, D400) &gt; 0, TRUE, FALSE)</f>
        <v/>
      </c>
    </row>
    <row r="401" ht="93.59999999999999" customHeight="1" s="287">
      <c r="A401" s="45" t="inlineStr">
        <is>
          <t>Request</t>
        </is>
      </c>
      <c r="B401" s="45" t="inlineStr">
        <is>
          <t xml:space="preserve"> </t>
        </is>
      </c>
      <c r="C401" s="45" t="inlineStr">
        <is>
          <t>14/8/2024</t>
        </is>
      </c>
      <c r="D401" s="45" t="inlineStr">
        <is>
          <t>5520V/210A-B481</t>
        </is>
      </c>
      <c r="E401" s="45">
        <f>IFERROR(VLOOKUP(TRIM(D401), Collection!$B$2:$D$1001, 2, FALSE), "")</f>
        <v/>
      </c>
      <c r="F401" s="48">
        <f>IFERROR(VLOOKUP(TRIM(D401), Collection!$B$2:$D$1001, 3, FALSE), "")</f>
        <v/>
      </c>
      <c r="G401" s="48">
        <f>IFERROR(VALUE(SUBSTITUTE(SUBSTITUTE(F401, "Price", ""), "AED", "")), "")</f>
        <v/>
      </c>
      <c r="H401" s="45" t="inlineStr">
        <is>
          <t>Phone sales Middle East</t>
        </is>
      </c>
      <c r="I401" s="45" t="n">
        <v>101104408</v>
      </c>
      <c r="J401" s="45" t="inlineStr">
        <is>
          <t>Prospect</t>
        </is>
      </c>
      <c r="K401" s="45" t="inlineStr">
        <is>
          <t>SHARIF Maaz</t>
        </is>
      </c>
      <c r="L401" s="45" t="inlineStr">
        <is>
          <t>The client is interested in both the  Overseas chronographand the  Historiques American 1921</t>
        </is>
      </c>
      <c r="M401" s="45">
        <f>IF(COUNTIF($R$3:$R$100, D401) &gt; 0, TRUE, FALSE)</f>
        <v/>
      </c>
    </row>
    <row r="402" ht="109.2" customHeight="1" s="287">
      <c r="A402" s="45" t="inlineStr">
        <is>
          <t>Cancelled</t>
        </is>
      </c>
      <c r="B402" s="45" t="inlineStr">
        <is>
          <t>Cancelled</t>
        </is>
      </c>
      <c r="C402" s="45" t="inlineStr">
        <is>
          <t>14/8/2024</t>
        </is>
      </c>
      <c r="D402" s="45" t="inlineStr">
        <is>
          <t>7920V/210A-B334</t>
        </is>
      </c>
      <c r="E402" s="45">
        <f>IFERROR(VLOOKUP(TRIM(D402), Collection!$B$2:$D$1001, 2, FALSE), "")</f>
        <v/>
      </c>
      <c r="F402" s="48">
        <f>IFERROR(VLOOKUP(TRIM(D402), Collection!$B$2:$D$1001, 3, FALSE), "")</f>
        <v/>
      </c>
      <c r="G402" s="48">
        <f>IFERROR(VALUE(SUBSTITUTE(SUBSTITUTE(F402, "Price", ""), "AED", "")), "")</f>
        <v/>
      </c>
      <c r="H402" s="45" t="inlineStr">
        <is>
          <t>Phone sales Middle East</t>
        </is>
      </c>
      <c r="I402" s="45" t="n">
        <v>101104467</v>
      </c>
      <c r="J402" s="45" t="inlineStr">
        <is>
          <t>Prospect</t>
        </is>
      </c>
      <c r="K402" s="45" t="inlineStr">
        <is>
          <t>TAHHAN Riham</t>
        </is>
      </c>
      <c r="L402" s="45" t="inlineStr">
        <is>
          <t>The client mentioned that he has AP-Royal Oak and Rolex timepieces and he really fond of our timepieces and would like to acquire one.</t>
        </is>
      </c>
      <c r="M402" s="45">
        <f>IF(COUNTIF($R$3:$R$100, D402) &gt; 0, TRUE, FALSE)</f>
        <v/>
      </c>
    </row>
    <row r="403" ht="109.2" customHeight="1" s="287">
      <c r="A403" s="45" t="inlineStr">
        <is>
          <t>Cancelled</t>
        </is>
      </c>
      <c r="B403" s="45" t="inlineStr">
        <is>
          <t>Cancelled</t>
        </is>
      </c>
      <c r="C403" s="45" t="inlineStr">
        <is>
          <t>14/8/2024</t>
        </is>
      </c>
      <c r="D403" s="45" t="inlineStr">
        <is>
          <t>5520V/210A-B148</t>
        </is>
      </c>
      <c r="E403" s="45">
        <f>IFERROR(VLOOKUP(TRIM(D403), Collection!$B$2:$D$1001, 2, FALSE), "")</f>
        <v/>
      </c>
      <c r="F403" s="48">
        <f>IFERROR(VLOOKUP(TRIM(D403), Collection!$B$2:$D$1001, 3, FALSE), "")</f>
        <v/>
      </c>
      <c r="G403" s="48">
        <f>IFERROR(VALUE(SUBSTITUTE(SUBSTITUTE(F403, "Price", ""), "AED", "")), "")</f>
        <v/>
      </c>
      <c r="H403" s="45" t="inlineStr">
        <is>
          <t>Phone sales Middle East</t>
        </is>
      </c>
      <c r="I403" s="45" t="n">
        <v>101104467</v>
      </c>
      <c r="J403" s="45" t="inlineStr">
        <is>
          <t>Prospect</t>
        </is>
      </c>
      <c r="K403" s="45" t="inlineStr">
        <is>
          <t>TAHHAN Riham</t>
        </is>
      </c>
      <c r="L403" s="45" t="inlineStr">
        <is>
          <t>The client mentioned that he has AP-Royal Oak and Rolex timepieces and he really fond of our timepieces and would like to acquire one.</t>
        </is>
      </c>
      <c r="M403" s="45">
        <f>IF(COUNTIF($R$3:$R$100, D403) &gt; 0, TRUE, FALSE)</f>
        <v/>
      </c>
    </row>
    <row r="404" ht="78" customHeight="1" s="287">
      <c r="A404" s="45" t="inlineStr">
        <is>
          <t>Cancelled</t>
        </is>
      </c>
      <c r="B404" s="45" t="inlineStr">
        <is>
          <t>Cancelled</t>
        </is>
      </c>
      <c r="C404" s="46" t="n">
        <v>45573</v>
      </c>
      <c r="D404" s="45" t="inlineStr">
        <is>
          <t>4000V/210A-B911</t>
        </is>
      </c>
      <c r="E404" s="45">
        <f>IFERROR(VLOOKUP(TRIM(D404), Collection!$B$2:$D$1001, 2, FALSE), "")</f>
        <v/>
      </c>
      <c r="F404" s="48">
        <f>IFERROR(VLOOKUP(TRIM(D404), Collection!$B$2:$D$1001, 3, FALSE), "")</f>
        <v/>
      </c>
      <c r="G404" s="48">
        <f>IFERROR(VALUE(SUBSTITUTE(SUBSTITUTE(F404, "Price", ""), "AED", "")), "")</f>
        <v/>
      </c>
      <c r="H404" s="45" t="inlineStr">
        <is>
          <t>Phone sales Middle East</t>
        </is>
      </c>
      <c r="I404" s="45" t="n">
        <v>101055665</v>
      </c>
      <c r="J404" s="45" t="inlineStr">
        <is>
          <t>Prospect</t>
        </is>
      </c>
      <c r="K404" s="45" t="inlineStr">
        <is>
          <t>TAHHAN Riham</t>
        </is>
      </c>
      <c r="L404" s="45" t="inlineStr">
        <is>
          <t>The client would like to acquire this timepiece as a gift for his father’s 58th birthday</t>
        </is>
      </c>
      <c r="M404" s="45">
        <f>IF(COUNTIF($R$3:$R$100, D404) &gt; 0, TRUE, FALSE)</f>
        <v/>
      </c>
    </row>
    <row r="405" ht="109.2" customHeight="1" s="287">
      <c r="A405" s="45" t="inlineStr">
        <is>
          <t>Cancelled</t>
        </is>
      </c>
      <c r="B405" s="45" t="inlineStr">
        <is>
          <t>Cancelled</t>
        </is>
      </c>
      <c r="C405" s="46" t="n">
        <v>45512</v>
      </c>
      <c r="D405" s="45" t="inlineStr">
        <is>
          <t>4520V/210R-B967</t>
        </is>
      </c>
      <c r="E405" s="45">
        <f>IFERROR(VLOOKUP(TRIM(D405), Collection!$B$2:$D$1001, 2, FALSE), "")</f>
        <v/>
      </c>
      <c r="F405" s="48">
        <f>IFERROR(VLOOKUP(TRIM(D405), Collection!$B$2:$D$1001, 3, FALSE), "")</f>
        <v/>
      </c>
      <c r="G405" s="48">
        <f>IFERROR(VALUE(SUBSTITUTE(SUBSTITUTE(F405, "Price", ""), "AED", "")), "")</f>
        <v/>
      </c>
      <c r="H405" s="45" t="inlineStr">
        <is>
          <t>Phone sales Middle East</t>
        </is>
      </c>
      <c r="I405" s="45" t="n">
        <v>101009517</v>
      </c>
      <c r="J405" s="45" t="inlineStr">
        <is>
          <t>Prospect</t>
        </is>
      </c>
      <c r="K405" s="45" t="inlineStr">
        <is>
          <t>TAHHAN Riham</t>
        </is>
      </c>
      <c r="L405" s="45" t="inlineStr">
        <is>
          <t>The client is willing to come to UAE if opportunity arises so he can gift himself a Vacheron Constantin timepiece since he turned 50 this year</t>
        </is>
      </c>
      <c r="M405" s="45">
        <f>IF(COUNTIF($R$3:$R$100, D405) &gt; 0, TRUE, FALSE)</f>
        <v/>
      </c>
    </row>
    <row r="406" ht="109.2" customHeight="1" s="287">
      <c r="A406" s="45" t="inlineStr">
        <is>
          <t>Cancelled</t>
        </is>
      </c>
      <c r="B406" s="45" t="inlineStr">
        <is>
          <t>Cancelled</t>
        </is>
      </c>
      <c r="C406" s="46" t="n">
        <v>45512</v>
      </c>
      <c r="D406" s="45" t="inlineStr">
        <is>
          <t>7920V/210R-B965</t>
        </is>
      </c>
      <c r="E406" s="45">
        <f>IFERROR(VLOOKUP(TRIM(D406), Collection!$B$2:$D$1001, 2, FALSE), "")</f>
        <v/>
      </c>
      <c r="F406" s="48">
        <f>IFERROR(VLOOKUP(TRIM(D406), Collection!$B$2:$D$1001, 3, FALSE), "")</f>
        <v/>
      </c>
      <c r="G406" s="48">
        <f>IFERROR(VALUE(SUBSTITUTE(SUBSTITUTE(F406, "Price", ""), "AED", "")), "")</f>
        <v/>
      </c>
      <c r="H406" s="45" t="inlineStr">
        <is>
          <t>Phone sales Middle East</t>
        </is>
      </c>
      <c r="I406" s="45" t="n">
        <v>101009517</v>
      </c>
      <c r="J406" s="45" t="inlineStr">
        <is>
          <t>Prospect</t>
        </is>
      </c>
      <c r="K406" s="45" t="inlineStr">
        <is>
          <t>TAHHAN Riham</t>
        </is>
      </c>
      <c r="L406" s="45" t="inlineStr">
        <is>
          <t>The client is willing to come to UAE if opportunity arises so he can gift himself a Vacheron Constantin timepiece since he turned 50 this year</t>
        </is>
      </c>
      <c r="M406" s="45">
        <f>IF(COUNTIF($R$3:$R$100, D406) &gt; 0, TRUE, FALSE)</f>
        <v/>
      </c>
    </row>
    <row r="407" ht="31.2" customHeight="1" s="287">
      <c r="A407" s="45" t="inlineStr">
        <is>
          <t>Cancelled</t>
        </is>
      </c>
      <c r="B407" s="45" t="inlineStr">
        <is>
          <t>Cancelled</t>
        </is>
      </c>
      <c r="C407" s="46" t="n">
        <v>45512</v>
      </c>
      <c r="D407" s="45" t="inlineStr">
        <is>
          <t>5520V/210R-B952</t>
        </is>
      </c>
      <c r="E407" s="45">
        <f>IFERROR(VLOOKUP(TRIM(D407), Collection!$B$2:$D$1001, 2, FALSE), "")</f>
        <v/>
      </c>
      <c r="F407" s="48">
        <f>IFERROR(VLOOKUP(TRIM(D407), Collection!$B$2:$D$1001, 3, FALSE), "")</f>
        <v/>
      </c>
      <c r="G407" s="48">
        <f>IFERROR(VALUE(SUBSTITUTE(SUBSTITUTE(F407, "Price", ""), "AED", "")), "")</f>
        <v/>
      </c>
      <c r="H407" s="45" t="inlineStr">
        <is>
          <t>Phone sales Middle East</t>
        </is>
      </c>
      <c r="I407" s="45" t="n">
        <v>101032092</v>
      </c>
      <c r="J407" s="45" t="inlineStr">
        <is>
          <t>Prospect</t>
        </is>
      </c>
      <c r="K407" s="45" t="inlineStr">
        <is>
          <t>TAHHAN Riham</t>
        </is>
      </c>
      <c r="L407" s="45" t="n"/>
      <c r="M407" s="45">
        <f>IF(COUNTIF($R$3:$R$100, D407) &gt; 0, TRUE, FALSE)</f>
        <v/>
      </c>
    </row>
    <row r="408" ht="78" customHeight="1" s="287">
      <c r="A408" s="45" t="inlineStr">
        <is>
          <t>Sold</t>
        </is>
      </c>
      <c r="B408" s="45" t="inlineStr">
        <is>
          <t>Confirmed</t>
        </is>
      </c>
      <c r="C408" s="46" t="n">
        <v>45512</v>
      </c>
      <c r="D408" s="45" t="inlineStr">
        <is>
          <t>7920V/210R-B965</t>
        </is>
      </c>
      <c r="E408" s="45">
        <f>IFERROR(VLOOKUP(TRIM(D408), Collection!$B$2:$D$1001, 2, FALSE), "")</f>
        <v/>
      </c>
      <c r="F408" s="48">
        <f>IFERROR(VLOOKUP(TRIM(D408), Collection!$B$2:$D$1001, 3, FALSE), "")</f>
        <v/>
      </c>
      <c r="G408" s="48">
        <f>IFERROR(VALUE(SUBSTITUTE(SUBSTITUTE(F408, "Price", ""), "AED", "")), "")</f>
        <v/>
      </c>
      <c r="H408" s="45" t="inlineStr">
        <is>
          <t>Phone sales Middle East</t>
        </is>
      </c>
      <c r="I408" s="45" t="n">
        <v>100436027</v>
      </c>
      <c r="J408" s="45" t="inlineStr">
        <is>
          <t>Prospect</t>
        </is>
      </c>
      <c r="K408" s="45" t="inlineStr">
        <is>
          <t>OMARI Asma</t>
        </is>
      </c>
      <c r="L408" s="45" t="inlineStr">
        <is>
          <t>The client was told to come to pay a deposit. He stated hes willing to do that and dont mind that</t>
        </is>
      </c>
      <c r="M408" s="45">
        <f>IF(COUNTIF($R$3:$R$100, D408) &gt; 0, TRUE, FALSE)</f>
        <v/>
      </c>
    </row>
    <row r="409" ht="62.4" customHeight="1" s="287">
      <c r="A409" s="45" t="inlineStr">
        <is>
          <t>Request</t>
        </is>
      </c>
      <c r="B409" s="45" t="inlineStr">
        <is>
          <t xml:space="preserve"> </t>
        </is>
      </c>
      <c r="C409" s="46" t="n">
        <v>45512</v>
      </c>
      <c r="D409" s="45" t="inlineStr">
        <is>
          <t>7920V/000R-B336</t>
        </is>
      </c>
      <c r="E409" s="45">
        <f>IFERROR(VLOOKUP(TRIM(D409), Collection!$B$2:$D$1001, 2, FALSE), "")</f>
        <v/>
      </c>
      <c r="F409" s="48">
        <f>IFERROR(VLOOKUP(TRIM(D409), Collection!$B$2:$D$1001, 3, FALSE), "")</f>
        <v/>
      </c>
      <c r="G409" s="48">
        <f>IFERROR(VALUE(SUBSTITUTE(SUBSTITUTE(F409, "Price", ""), "AED", "")), "")</f>
        <v/>
      </c>
      <c r="H409" s="45" t="inlineStr">
        <is>
          <t>Phone sales Middle East</t>
        </is>
      </c>
      <c r="I409" s="45" t="n">
        <v>101036635</v>
      </c>
      <c r="J409" s="45" t="inlineStr">
        <is>
          <t>Prospect</t>
        </is>
      </c>
      <c r="K409" s="45" t="inlineStr">
        <is>
          <t>SHARIF Maaz</t>
        </is>
      </c>
      <c r="L409" s="45" t="inlineStr">
        <is>
          <t>The client stated that hes will to come to the boutique to pay the full amount</t>
        </is>
      </c>
      <c r="M409" s="45">
        <f>IF(COUNTIF($R$3:$R$100, D409) &gt; 0, TRUE, FALSE)</f>
        <v/>
      </c>
    </row>
    <row r="410" ht="62.4" customHeight="1" s="287">
      <c r="A410" s="45" t="inlineStr">
        <is>
          <t>Cancelled</t>
        </is>
      </c>
      <c r="B410" s="45" t="inlineStr">
        <is>
          <t>Cancelled</t>
        </is>
      </c>
      <c r="C410" s="46" t="n">
        <v>45481</v>
      </c>
      <c r="D410" s="45" t="inlineStr">
        <is>
          <t>7920V/210A-B334</t>
        </is>
      </c>
      <c r="E410" s="45">
        <f>IFERROR(VLOOKUP(TRIM(D410), Collection!$B$2:$D$1001, 2, FALSE), "")</f>
        <v/>
      </c>
      <c r="F410" s="48">
        <f>IFERROR(VLOOKUP(TRIM(D410), Collection!$B$2:$D$1001, 3, FALSE), "")</f>
        <v/>
      </c>
      <c r="G410" s="48">
        <f>IFERROR(VALUE(SUBSTITUTE(SUBSTITUTE(F410, "Price", ""), "AED", "")), "")</f>
        <v/>
      </c>
      <c r="H410" s="45" t="inlineStr">
        <is>
          <t>Phone sales Middle East</t>
        </is>
      </c>
      <c r="I410" s="45" t="n">
        <v>101011549</v>
      </c>
      <c r="J410" s="45" t="inlineStr">
        <is>
          <t>Prospect</t>
        </is>
      </c>
      <c r="K410" s="45" t="inlineStr">
        <is>
          <t>TAHHAN Riham</t>
        </is>
      </c>
      <c r="L410" s="45" t="inlineStr">
        <is>
          <t>The client is looking for a gift for his father and willing to come to UAE for purchase</t>
        </is>
      </c>
      <c r="M410" s="45">
        <f>IF(COUNTIF($R$3:$R$100, D410) &gt; 0, TRUE, FALSE)</f>
        <v/>
      </c>
    </row>
    <row r="411" ht="78" customHeight="1" s="287">
      <c r="A411" s="45" t="inlineStr">
        <is>
          <t>Cancelled</t>
        </is>
      </c>
      <c r="B411" s="45" t="inlineStr">
        <is>
          <t>Cancelled</t>
        </is>
      </c>
      <c r="C411" s="46" t="n">
        <v>45481</v>
      </c>
      <c r="D411" s="45" t="inlineStr">
        <is>
          <t>7920V/210A-B546</t>
        </is>
      </c>
      <c r="E411" s="45">
        <f>IFERROR(VLOOKUP(TRIM(D411), Collection!$B$2:$D$1001, 2, FALSE), "")</f>
        <v/>
      </c>
      <c r="F411" s="48">
        <f>IFERROR(VLOOKUP(TRIM(D411), Collection!$B$2:$D$1001, 3, FALSE), "")</f>
        <v/>
      </c>
      <c r="G411" s="48">
        <f>IFERROR(VALUE(SUBSTITUTE(SUBSTITUTE(F411, "Price", ""), "AED", "")), "")</f>
        <v/>
      </c>
      <c r="H411" s="45" t="inlineStr">
        <is>
          <t>Phone sales Middle East</t>
        </is>
      </c>
      <c r="I411" s="45" t="n">
        <v>101011549</v>
      </c>
      <c r="J411" s="45" t="inlineStr">
        <is>
          <t>Prospect</t>
        </is>
      </c>
      <c r="K411" s="45" t="inlineStr">
        <is>
          <t>TAHHAN Riham</t>
        </is>
      </c>
      <c r="L411" s="45" t="inlineStr">
        <is>
          <t>The client is looking for a gift for his father’s birthday and willing to come to UAE</t>
        </is>
      </c>
      <c r="M411" s="45">
        <f>IF(COUNTIF($R$3:$R$100, D411) &gt; 0, TRUE, FALSE)</f>
        <v/>
      </c>
    </row>
    <row r="412" ht="46.95" customHeight="1" s="287">
      <c r="A412" s="45" t="inlineStr">
        <is>
          <t>Cancelled</t>
        </is>
      </c>
      <c r="B412" s="45" t="inlineStr">
        <is>
          <t>Cancelled</t>
        </is>
      </c>
      <c r="C412" s="46" t="n">
        <v>45451</v>
      </c>
      <c r="D412" s="45" t="inlineStr">
        <is>
          <t>4520V/210A-B128</t>
        </is>
      </c>
      <c r="E412" s="45">
        <f>IFERROR(VLOOKUP(TRIM(D412), Collection!$B$2:$D$1001, 2, FALSE), "")</f>
        <v/>
      </c>
      <c r="F412" s="48">
        <f>IFERROR(VLOOKUP(TRIM(D412), Collection!$B$2:$D$1001, 3, FALSE), "")</f>
        <v/>
      </c>
      <c r="G412" s="48">
        <f>IFERROR(VALUE(SUBSTITUTE(SUBSTITUTE(F412, "Price", ""), "AED", "")), "")</f>
        <v/>
      </c>
      <c r="H412" s="45" t="inlineStr">
        <is>
          <t>Phone sales Middle East</t>
        </is>
      </c>
      <c r="I412" s="45" t="n">
        <v>101009517</v>
      </c>
      <c r="J412" s="45" t="inlineStr">
        <is>
          <t>Prospect</t>
        </is>
      </c>
      <c r="K412" s="45" t="inlineStr">
        <is>
          <t>TAHHAN Riham</t>
        </is>
      </c>
      <c r="L412" s="45" t="inlineStr">
        <is>
          <t>The client is willing to come to the UAE to get the timepiece.</t>
        </is>
      </c>
      <c r="M412" s="45">
        <f>IF(COUNTIF($R$3:$R$100, D412) &gt; 0, TRUE, FALSE)</f>
        <v/>
      </c>
    </row>
    <row r="413" ht="46.95" customHeight="1" s="287">
      <c r="A413" s="45" t="inlineStr">
        <is>
          <t>Request</t>
        </is>
      </c>
      <c r="B413" s="45" t="inlineStr">
        <is>
          <t>Postponed</t>
        </is>
      </c>
      <c r="C413" s="46" t="n">
        <v>45451</v>
      </c>
      <c r="D413" s="45" t="inlineStr">
        <is>
          <t>4520V/210R-B705</t>
        </is>
      </c>
      <c r="E413" s="45">
        <f>IFERROR(VLOOKUP(TRIM(D413), Collection!$B$2:$D$1001, 2, FALSE), "")</f>
        <v/>
      </c>
      <c r="F413" s="48">
        <f>IFERROR(VLOOKUP(TRIM(D413), Collection!$B$2:$D$1001, 3, FALSE), "")</f>
        <v/>
      </c>
      <c r="G413" s="48">
        <f>IFERROR(VALUE(SUBSTITUTE(SUBSTITUTE(F413, "Price", ""), "AED", "")), "")</f>
        <v/>
      </c>
      <c r="H413" s="45" t="inlineStr">
        <is>
          <t>Phone sales Middle East</t>
        </is>
      </c>
      <c r="I413" s="45" t="n">
        <v>101009517</v>
      </c>
      <c r="J413" s="45" t="inlineStr">
        <is>
          <t>Prospect</t>
        </is>
      </c>
      <c r="K413" s="45" t="inlineStr">
        <is>
          <t>TAHHAN Riham</t>
        </is>
      </c>
      <c r="L413" s="45" t="inlineStr">
        <is>
          <t>The client is willing to come to India to get the timepiece</t>
        </is>
      </c>
      <c r="M413" s="45">
        <f>IF(COUNTIF($R$3:$R$100, D413) &gt; 0, TRUE, FALSE)</f>
        <v/>
      </c>
    </row>
    <row r="414" ht="46.95" customHeight="1" s="287">
      <c r="A414" s="45" t="inlineStr">
        <is>
          <t>Cancelled</t>
        </is>
      </c>
      <c r="B414" s="45" t="inlineStr">
        <is>
          <t>Cancelled</t>
        </is>
      </c>
      <c r="C414" s="46" t="n">
        <v>45451</v>
      </c>
      <c r="D414" s="45" t="inlineStr">
        <is>
          <t>4520V/210R-B705</t>
        </is>
      </c>
      <c r="E414" s="45">
        <f>IFERROR(VLOOKUP(TRIM(D414), Collection!$B$2:$D$1001, 2, FALSE), "")</f>
        <v/>
      </c>
      <c r="F414" s="48">
        <f>IFERROR(VLOOKUP(TRIM(D414), Collection!$B$2:$D$1001, 3, FALSE), "")</f>
        <v/>
      </c>
      <c r="G414" s="48">
        <f>IFERROR(VALUE(SUBSTITUTE(SUBSTITUTE(F414, "Price", ""), "AED", "")), "")</f>
        <v/>
      </c>
      <c r="H414" s="45" t="inlineStr">
        <is>
          <t>Phone sales Middle East</t>
        </is>
      </c>
      <c r="I414" s="45" t="n">
        <v>100962157</v>
      </c>
      <c r="J414" s="45" t="inlineStr">
        <is>
          <t>Prospect</t>
        </is>
      </c>
      <c r="K414" s="45" t="inlineStr">
        <is>
          <t>TAHHAN Riham</t>
        </is>
      </c>
      <c r="L414" s="45" t="inlineStr">
        <is>
          <t>The client is willing to travel to UAE to get this timepiece</t>
        </is>
      </c>
      <c r="M414" s="45">
        <f>IF(COUNTIF($R$3:$R$100, D414) &gt; 0, TRUE, FALSE)</f>
        <v/>
      </c>
    </row>
    <row r="415" ht="62.4" customHeight="1" s="287">
      <c r="A415" s="45" t="inlineStr">
        <is>
          <t>Cancelled</t>
        </is>
      </c>
      <c r="B415" s="45" t="inlineStr">
        <is>
          <t>Cancelled</t>
        </is>
      </c>
      <c r="C415" s="46" t="n">
        <v>45451</v>
      </c>
      <c r="D415" s="45" t="inlineStr">
        <is>
          <t>4300V/220R-B509</t>
        </is>
      </c>
      <c r="E415" s="45">
        <f>IFERROR(VLOOKUP(TRIM(D415), Collection!$B$2:$D$1001, 2, FALSE), "")</f>
        <v/>
      </c>
      <c r="F415" s="48">
        <f>IFERROR(VLOOKUP(TRIM(D415), Collection!$B$2:$D$1001, 3, FALSE), "")</f>
        <v/>
      </c>
      <c r="G415" s="48">
        <f>IFERROR(VALUE(SUBSTITUTE(SUBSTITUTE(F415, "Price", ""), "AED", "")), "")</f>
        <v/>
      </c>
      <c r="H415" s="45" t="inlineStr">
        <is>
          <t>Phone sales Middle East</t>
        </is>
      </c>
      <c r="I415" s="45" t="n">
        <v>100962157</v>
      </c>
      <c r="J415" s="45" t="inlineStr">
        <is>
          <t>Prospect</t>
        </is>
      </c>
      <c r="K415" s="45" t="inlineStr">
        <is>
          <t>TAHHAN Riham</t>
        </is>
      </c>
      <c r="L415" s="45" t="inlineStr">
        <is>
          <t>The client is willing to come to India to purchase the timepiece</t>
        </is>
      </c>
      <c r="M415" s="45">
        <f>IF(COUNTIF($R$3:$R$100, D415) &gt; 0, TRUE, FALSE)</f>
        <v/>
      </c>
    </row>
    <row r="416" ht="93.59999999999999" customHeight="1" s="287">
      <c r="A416" s="45" t="inlineStr">
        <is>
          <t>Request</t>
        </is>
      </c>
      <c r="B416" s="45" t="inlineStr">
        <is>
          <t xml:space="preserve"> </t>
        </is>
      </c>
      <c r="C416" s="45" t="inlineStr">
        <is>
          <t>24/7/2024</t>
        </is>
      </c>
      <c r="D416" s="45" t="inlineStr">
        <is>
          <t>4600E/000A-B442</t>
        </is>
      </c>
      <c r="E416" s="45">
        <f>IFERROR(VLOOKUP(TRIM(D416), Collection!$B$2:$D$1001, 2, FALSE), "")</f>
        <v/>
      </c>
      <c r="F416" s="48">
        <f>IFERROR(VLOOKUP(TRIM(D416), Collection!$B$2:$D$1001, 3, FALSE), "")</f>
        <v/>
      </c>
      <c r="G416" s="48">
        <f>IFERROR(VALUE(SUBSTITUTE(SUBSTITUTE(F416, "Price", ""), "AED", "")), "")</f>
        <v/>
      </c>
      <c r="H416" s="45" t="inlineStr">
        <is>
          <t>Phone sales Middle East</t>
        </is>
      </c>
      <c r="I416" s="45" t="n">
        <v>100830227</v>
      </c>
      <c r="J416" s="45" t="inlineStr">
        <is>
          <t>Prospect</t>
        </is>
      </c>
      <c r="K416" s="45" t="inlineStr">
        <is>
          <t>SHARIF Maaz</t>
        </is>
      </c>
      <c r="L416" s="45" t="inlineStr">
        <is>
          <t>The client is interested in the fiftysix 600E/000A-B442 as well  Overseas chronograph X55AC481</t>
        </is>
      </c>
      <c r="M416" s="45">
        <f>IF(COUNTIF($R$3:$R$100, D416) &gt; 0, TRUE, FALSE)</f>
        <v/>
      </c>
    </row>
    <row r="417" ht="93.59999999999999" customHeight="1" s="287">
      <c r="A417" s="45" t="inlineStr">
        <is>
          <t>Request</t>
        </is>
      </c>
      <c r="B417" s="45" t="inlineStr">
        <is>
          <t xml:space="preserve"> </t>
        </is>
      </c>
      <c r="C417" s="45" t="inlineStr">
        <is>
          <t>24/7/2024</t>
        </is>
      </c>
      <c r="D417" s="45" t="inlineStr">
        <is>
          <t>4200H/222J-B935</t>
        </is>
      </c>
      <c r="E417" s="45">
        <f>IFERROR(VLOOKUP(TRIM(D417), Collection!$B$2:$D$1001, 2, FALSE), "")</f>
        <v/>
      </c>
      <c r="F417" s="48">
        <f>IFERROR(VLOOKUP(TRIM(D417), Collection!$B$2:$D$1001, 3, FALSE), "")</f>
        <v/>
      </c>
      <c r="G417" s="48">
        <f>IFERROR(VALUE(SUBSTITUTE(SUBSTITUTE(F417, "Price", ""), "AED", "")), "")</f>
        <v/>
      </c>
      <c r="H417" s="45" t="inlineStr">
        <is>
          <t>Phone sales Middle East</t>
        </is>
      </c>
      <c r="I417" s="45" t="n">
        <v>100833648</v>
      </c>
      <c r="J417" s="45" t="inlineStr">
        <is>
          <t>Prospect</t>
        </is>
      </c>
      <c r="K417" s="45" t="inlineStr">
        <is>
          <t>SHARIF Maaz</t>
        </is>
      </c>
      <c r="L417" s="45" t="inlineStr">
        <is>
          <t>The client stated that once we confirm the availability of the watch he will be traveling to UAE to purchase</t>
        </is>
      </c>
      <c r="M417" s="45">
        <f>IF(COUNTIF($R$3:$R$100, D417) &gt; 0, TRUE, FALSE)</f>
        <v/>
      </c>
    </row>
    <row r="418" ht="78" customHeight="1" s="287">
      <c r="A418" s="45" t="inlineStr">
        <is>
          <t>Request</t>
        </is>
      </c>
      <c r="B418" s="45" t="inlineStr">
        <is>
          <t xml:space="preserve"> </t>
        </is>
      </c>
      <c r="C418" s="45" t="inlineStr">
        <is>
          <t>23/7/2024</t>
        </is>
      </c>
      <c r="D418" s="45" t="inlineStr">
        <is>
          <t>4520V/210A-B128</t>
        </is>
      </c>
      <c r="E418" s="45">
        <f>IFERROR(VLOOKUP(TRIM(D418), Collection!$B$2:$D$1001, 2, FALSE), "")</f>
        <v/>
      </c>
      <c r="F418" s="48">
        <f>IFERROR(VLOOKUP(TRIM(D418), Collection!$B$2:$D$1001, 3, FALSE), "")</f>
        <v/>
      </c>
      <c r="G418" s="48">
        <f>IFERROR(VALUE(SUBSTITUTE(SUBSTITUTE(F418, "Price", ""), "AED", "")), "")</f>
        <v/>
      </c>
      <c r="H418" s="45" t="inlineStr">
        <is>
          <t>Phone sales Middle East</t>
        </is>
      </c>
      <c r="I418" s="45" t="n">
        <v>100793790</v>
      </c>
      <c r="J418" s="45" t="inlineStr">
        <is>
          <t>Prospect</t>
        </is>
      </c>
      <c r="K418" s="45" t="inlineStr">
        <is>
          <t>SHARIF Maaz</t>
        </is>
      </c>
      <c r="L418" s="45" t="inlineStr">
        <is>
          <t>The client is interested in the oversease self winding  living in Dubai</t>
        </is>
      </c>
      <c r="M418" s="45">
        <f>IF(COUNTIF($R$3:$R$100, D418) &gt; 0, TRUE, FALSE)</f>
        <v/>
      </c>
    </row>
    <row r="419" ht="78" customHeight="1" s="287">
      <c r="A419" s="45" t="inlineStr">
        <is>
          <t>Request</t>
        </is>
      </c>
      <c r="B419" s="45" t="inlineStr">
        <is>
          <t xml:space="preserve"> </t>
        </is>
      </c>
      <c r="C419" s="45" t="inlineStr">
        <is>
          <t>23/7/2024</t>
        </is>
      </c>
      <c r="D419" s="45" t="inlineStr">
        <is>
          <t>4520V/210A-B128</t>
        </is>
      </c>
      <c r="E419" s="45">
        <f>IFERROR(VLOOKUP(TRIM(D419), Collection!$B$2:$D$1001, 2, FALSE), "")</f>
        <v/>
      </c>
      <c r="F419" s="48">
        <f>IFERROR(VLOOKUP(TRIM(D419), Collection!$B$2:$D$1001, 3, FALSE), "")</f>
        <v/>
      </c>
      <c r="G419" s="48">
        <f>IFERROR(VALUE(SUBSTITUTE(SUBSTITUTE(F419, "Price", ""), "AED", "")), "")</f>
        <v/>
      </c>
      <c r="H419" s="45" t="inlineStr">
        <is>
          <t>Phone sales Middle East</t>
        </is>
      </c>
      <c r="I419" s="45" t="n">
        <v>100788006</v>
      </c>
      <c r="J419" s="45" t="inlineStr">
        <is>
          <t>Prospect</t>
        </is>
      </c>
      <c r="K419" s="45" t="inlineStr">
        <is>
          <t>SHARIF Maaz</t>
        </is>
      </c>
      <c r="L419" s="45" t="inlineStr">
        <is>
          <t>The client ins interested in 2 timepeices ( 6000V/110A-B544 \ 4520V/210A-B128)</t>
        </is>
      </c>
      <c r="M419" s="45">
        <f>IF(COUNTIF($R$3:$R$100, D419) &gt; 0, TRUE, FALSE)</f>
        <v/>
      </c>
    </row>
    <row r="420" ht="156" customHeight="1" s="287">
      <c r="A420" s="45" t="inlineStr">
        <is>
          <t>Cancelled</t>
        </is>
      </c>
      <c r="B420" s="45" t="inlineStr">
        <is>
          <t>Cancelled</t>
        </is>
      </c>
      <c r="C420" s="45" t="inlineStr">
        <is>
          <t>20/7/2024</t>
        </is>
      </c>
      <c r="D420" s="45" t="inlineStr">
        <is>
          <t>6000V/110A-B544</t>
        </is>
      </c>
      <c r="E420" s="45">
        <f>IFERROR(VLOOKUP(TRIM(D420), Collection!$B$2:$D$1001, 2, FALSE), "")</f>
        <v/>
      </c>
      <c r="F420" s="48">
        <f>IFERROR(VLOOKUP(TRIM(D420), Collection!$B$2:$D$1001, 3, FALSE), "")</f>
        <v/>
      </c>
      <c r="G420" s="48">
        <f>IFERROR(VALUE(SUBSTITUTE(SUBSTITUTE(F420, "Price", ""), "AED", "")), "")</f>
        <v/>
      </c>
      <c r="H420" s="45" t="inlineStr">
        <is>
          <t>Phone sales Middle East</t>
        </is>
      </c>
      <c r="I420" s="45" t="n">
        <v>100788004</v>
      </c>
      <c r="J420" s="45" t="inlineStr">
        <is>
          <t>Prospect</t>
        </is>
      </c>
      <c r="K420" s="45" t="inlineStr">
        <is>
          <t>SHARIF Maaz</t>
        </is>
      </c>
      <c r="L420" s="45" t="inlineStr">
        <is>
          <t>The client would like to purchase one of the 2 overseas , either [Overseas tourbillon](https://richemont.lightning.force.com/lightning/r/01t1i000003IYweAAG/view) or the Overseas self-winding</t>
        </is>
      </c>
      <c r="M420" s="45">
        <f>IF(COUNTIF($R$3:$R$100, D420) &gt; 0, TRUE, FALSE)</f>
        <v/>
      </c>
    </row>
    <row r="421" ht="140.4" customHeight="1" s="287">
      <c r="A421" s="45" t="inlineStr">
        <is>
          <t>Request</t>
        </is>
      </c>
      <c r="B421" s="45" t="inlineStr">
        <is>
          <t xml:space="preserve"> </t>
        </is>
      </c>
      <c r="C421" s="45" t="inlineStr">
        <is>
          <t>17/7/2024</t>
        </is>
      </c>
      <c r="D421" s="45" t="inlineStr">
        <is>
          <t>4520V/210A-B128</t>
        </is>
      </c>
      <c r="E421" s="45">
        <f>IFERROR(VLOOKUP(TRIM(D421), Collection!$B$2:$D$1001, 2, FALSE), "")</f>
        <v/>
      </c>
      <c r="F421" s="48">
        <f>IFERROR(VLOOKUP(TRIM(D421), Collection!$B$2:$D$1001, 3, FALSE), "")</f>
        <v/>
      </c>
      <c r="G421" s="48">
        <f>IFERROR(VALUE(SUBSTITUTE(SUBSTITUTE(F421, "Price", ""), "AED", "")), "")</f>
        <v/>
      </c>
      <c r="H421" s="45" t="inlineStr">
        <is>
          <t>Phone sales Middle East</t>
        </is>
      </c>
      <c r="I421" s="45" t="n">
        <v>100737696</v>
      </c>
      <c r="J421" s="45" t="inlineStr">
        <is>
          <t>Prospect</t>
        </is>
      </c>
      <c r="K421" s="45" t="inlineStr">
        <is>
          <t>SHARIF Maaz</t>
        </is>
      </c>
      <c r="L421" s="45" t="inlineStr">
        <is>
          <t>the client is interested in purchasing the **[Overseas self-winding ](https://richemont.lightning.force.com/lightning/r/01t1i000004DWYiAAO/view)**</t>
        </is>
      </c>
      <c r="M421" s="45">
        <f>IF(COUNTIF($R$3:$R$100, D421) &gt; 0, TRUE, FALSE)</f>
        <v/>
      </c>
    </row>
    <row r="422" ht="46.95" customHeight="1" s="287">
      <c r="A422" s="45" t="inlineStr">
        <is>
          <t>Request</t>
        </is>
      </c>
      <c r="B422" s="45" t="inlineStr">
        <is>
          <t xml:space="preserve"> </t>
        </is>
      </c>
      <c r="C422" s="45" t="inlineStr">
        <is>
          <t>16/7/2024</t>
        </is>
      </c>
      <c r="D422" s="45" t="inlineStr">
        <is>
          <t>4520V/210A-B128</t>
        </is>
      </c>
      <c r="E422" s="45">
        <f>IFERROR(VLOOKUP(TRIM(D422), Collection!$B$2:$D$1001, 2, FALSE), "")</f>
        <v/>
      </c>
      <c r="F422" s="48">
        <f>IFERROR(VLOOKUP(TRIM(D422), Collection!$B$2:$D$1001, 3, FALSE), "")</f>
        <v/>
      </c>
      <c r="G422" s="48">
        <f>IFERROR(VALUE(SUBSTITUTE(SUBSTITUTE(F422, "Price", ""), "AED", "")), "")</f>
        <v/>
      </c>
      <c r="H422" s="45" t="inlineStr">
        <is>
          <t>Phone sales Middle East</t>
        </is>
      </c>
      <c r="I422" s="45" t="n">
        <v>100599306</v>
      </c>
      <c r="J422" s="45" t="inlineStr">
        <is>
          <t>Prospect</t>
        </is>
      </c>
      <c r="K422" s="45" t="inlineStr">
        <is>
          <t>SHARIF Maaz</t>
        </is>
      </c>
      <c r="L422" s="45" t="inlineStr">
        <is>
          <t>The client wish to be added to the waiting list</t>
        </is>
      </c>
      <c r="M422" s="45">
        <f>IF(COUNTIF($R$3:$R$100, D422) &gt; 0, TRUE, FALSE)</f>
        <v/>
      </c>
    </row>
    <row r="423" ht="78" customHeight="1" s="287">
      <c r="A423" s="45" t="inlineStr">
        <is>
          <t>Request</t>
        </is>
      </c>
      <c r="B423" s="45" t="inlineStr">
        <is>
          <t>Pending client feedback</t>
        </is>
      </c>
      <c r="C423" s="45" t="inlineStr">
        <is>
          <t>16/7/2024</t>
        </is>
      </c>
      <c r="D423" s="45" t="inlineStr">
        <is>
          <t>5100T/000P-H041</t>
        </is>
      </c>
      <c r="E423" s="45">
        <f>IFERROR(VLOOKUP(TRIM(D423), Collection!$B$2:$D$1001, 2, FALSE), "")</f>
        <v/>
      </c>
      <c r="F423" s="48">
        <f>IFERROR(VLOOKUP(TRIM(D423), Collection!$B$2:$D$1001, 3, FALSE), "")</f>
        <v/>
      </c>
      <c r="G423" s="48">
        <f>IFERROR(VALUE(SUBSTITUTE(SUBSTITUTE(F423, "Price", ""), "AED", "")), "")</f>
        <v/>
      </c>
      <c r="H423" s="45" t="inlineStr">
        <is>
          <t>Phone sales Middle East</t>
        </is>
      </c>
      <c r="I423" s="45" t="n">
        <v>100736346</v>
      </c>
      <c r="J423" s="45" t="inlineStr">
        <is>
          <t>Prospect</t>
        </is>
      </c>
      <c r="K423" s="45" t="inlineStr">
        <is>
          <t>SHARIF Maaz</t>
        </is>
      </c>
      <c r="L423" s="45" t="inlineStr">
        <is>
          <t>The client is interested in Traditionnelle tourbillon chronograph,</t>
        </is>
      </c>
      <c r="M423" s="45">
        <f>IF(COUNTIF($R$3:$R$100, D423) &gt; 0, TRUE, FALSE)</f>
        <v/>
      </c>
    </row>
    <row r="424" ht="62.4" customHeight="1" s="287">
      <c r="A424" s="45" t="inlineStr">
        <is>
          <t>Request</t>
        </is>
      </c>
      <c r="B424" s="45" t="inlineStr">
        <is>
          <t>Pending client feedback</t>
        </is>
      </c>
      <c r="C424" s="45" t="inlineStr">
        <is>
          <t>13/7/2024</t>
        </is>
      </c>
      <c r="D424" s="45" t="inlineStr">
        <is>
          <t>7920V/210A-B334</t>
        </is>
      </c>
      <c r="E424" s="45">
        <f>IFERROR(VLOOKUP(TRIM(D424), Collection!$B$2:$D$1001, 2, FALSE), "")</f>
        <v/>
      </c>
      <c r="F424" s="48">
        <f>IFERROR(VLOOKUP(TRIM(D424), Collection!$B$2:$D$1001, 3, FALSE), "")</f>
        <v/>
      </c>
      <c r="G424" s="48">
        <f>IFERROR(VALUE(SUBSTITUTE(SUBSTITUTE(F424, "Price", ""), "AED", "")), "")</f>
        <v/>
      </c>
      <c r="H424" s="45" t="inlineStr">
        <is>
          <t>Phone sales Middle East</t>
        </is>
      </c>
      <c r="I424" s="45" t="n">
        <v>100668746</v>
      </c>
      <c r="J424" s="45" t="inlineStr">
        <is>
          <t>Prospect</t>
        </is>
      </c>
      <c r="K424" s="45" t="inlineStr">
        <is>
          <t>SHARIF Maaz</t>
        </is>
      </c>
      <c r="L424" s="45" t="inlineStr">
        <is>
          <t>The client is interested in the  Overseas dual time “ very interested</t>
        </is>
      </c>
      <c r="M424" s="45">
        <f>IF(COUNTIF($R$3:$R$100, D424) &gt; 0, TRUE, FALSE)</f>
        <v/>
      </c>
    </row>
    <row r="425" ht="171.6" customHeight="1" s="287">
      <c r="A425" s="45" t="inlineStr">
        <is>
          <t>Request</t>
        </is>
      </c>
      <c r="B425" s="45" t="inlineStr">
        <is>
          <t xml:space="preserve"> </t>
        </is>
      </c>
      <c r="C425" s="46" t="n">
        <v>45572</v>
      </c>
      <c r="D425" s="45" t="inlineStr">
        <is>
          <t>7920V/210A-B334</t>
        </is>
      </c>
      <c r="E425" s="45">
        <f>IFERROR(VLOOKUP(TRIM(D425), Collection!$B$2:$D$1001, 2, FALSE), "")</f>
        <v/>
      </c>
      <c r="F425" s="48">
        <f>IFERROR(VLOOKUP(TRIM(D425), Collection!$B$2:$D$1001, 3, FALSE), "")</f>
        <v/>
      </c>
      <c r="G425" s="48">
        <f>IFERROR(VALUE(SUBSTITUTE(SUBSTITUTE(F425, "Price", ""), "AED", "")), "")</f>
        <v/>
      </c>
      <c r="H425" s="45" t="inlineStr">
        <is>
          <t>Phone sales Middle East</t>
        </is>
      </c>
      <c r="I425" s="45" t="n">
        <v>100634537</v>
      </c>
      <c r="J425" s="45" t="inlineStr">
        <is>
          <t>Prospect</t>
        </is>
      </c>
      <c r="K425" s="45" t="inlineStr">
        <is>
          <t>SHARIF Maaz</t>
        </is>
      </c>
      <c r="L425" s="45" t="inlineStr">
        <is>
          <t>Mr. Ahmad, who has previously expressed his interest in the Overseas Dual Time, has been in communication with Yasser. We have committed to contacting Mr. Ahmad once the timepiece becomes available.</t>
        </is>
      </c>
      <c r="M425" s="45">
        <f>IF(COUNTIF($R$3:$R$100, D425) &gt; 0, TRUE, FALSE)</f>
        <v/>
      </c>
    </row>
    <row r="426" ht="31.2" customHeight="1" s="287">
      <c r="A426" s="45" t="inlineStr">
        <is>
          <t>Request</t>
        </is>
      </c>
      <c r="B426" s="45" t="inlineStr">
        <is>
          <t xml:space="preserve"> </t>
        </is>
      </c>
      <c r="C426" s="46" t="n">
        <v>45419</v>
      </c>
      <c r="D426" s="45" t="inlineStr">
        <is>
          <t>4520V/210A-B128</t>
        </is>
      </c>
      <c r="E426" s="45">
        <f>IFERROR(VLOOKUP(TRIM(D426), Collection!$B$2:$D$1001, 2, FALSE), "")</f>
        <v/>
      </c>
      <c r="F426" s="48">
        <f>IFERROR(VLOOKUP(TRIM(D426), Collection!$B$2:$D$1001, 3, FALSE), "")</f>
        <v/>
      </c>
      <c r="G426" s="48">
        <f>IFERROR(VALUE(SUBSTITUTE(SUBSTITUTE(F426, "Price", ""), "AED", "")), "")</f>
        <v/>
      </c>
      <c r="H426" s="45" t="inlineStr">
        <is>
          <t>Phone sales Middle East</t>
        </is>
      </c>
      <c r="I426" s="45" t="n">
        <v>100582839</v>
      </c>
      <c r="J426" s="45" t="inlineStr">
        <is>
          <t>Prospect</t>
        </is>
      </c>
      <c r="K426" s="45" t="inlineStr">
        <is>
          <t>OMARI Asma</t>
        </is>
      </c>
      <c r="L426" s="45" t="inlineStr">
        <is>
          <t xml:space="preserve"> </t>
        </is>
      </c>
      <c r="M426" s="45">
        <f>IF(COUNTIF($R$3:$R$100, D426) &gt; 0, TRUE, FALSE)</f>
        <v/>
      </c>
    </row>
    <row r="427" ht="31.2" customHeight="1" s="287">
      <c r="A427" s="45" t="inlineStr">
        <is>
          <t>Request</t>
        </is>
      </c>
      <c r="B427" s="45" t="inlineStr">
        <is>
          <t xml:space="preserve"> </t>
        </is>
      </c>
      <c r="C427" s="46" t="n">
        <v>45389</v>
      </c>
      <c r="D427" s="45" t="inlineStr">
        <is>
          <t>4520V/210A-B128</t>
        </is>
      </c>
      <c r="E427" s="45">
        <f>IFERROR(VLOOKUP(TRIM(D427), Collection!$B$2:$D$1001, 2, FALSE), "")</f>
        <v/>
      </c>
      <c r="F427" s="48">
        <f>IFERROR(VLOOKUP(TRIM(D427), Collection!$B$2:$D$1001, 3, FALSE), "")</f>
        <v/>
      </c>
      <c r="G427" s="48">
        <f>IFERROR(VALUE(SUBSTITUTE(SUBSTITUTE(F427, "Price", ""), "AED", "")), "")</f>
        <v/>
      </c>
      <c r="H427" s="45" t="inlineStr">
        <is>
          <t>Phone sales Middle East</t>
        </is>
      </c>
      <c r="I427" s="45" t="n">
        <v>100537423</v>
      </c>
      <c r="J427" s="45" t="inlineStr">
        <is>
          <t>Prospect</t>
        </is>
      </c>
      <c r="K427" s="45" t="inlineStr">
        <is>
          <t>OMARI Asma</t>
        </is>
      </c>
      <c r="L427" s="45" t="inlineStr">
        <is>
          <t>Client for Maaz</t>
        </is>
      </c>
      <c r="M427" s="45">
        <f>IF(COUNTIF($R$3:$R$100, D427) &gt; 0, TRUE, FALSE)</f>
        <v/>
      </c>
    </row>
    <row r="428" ht="46.95" customHeight="1" s="287">
      <c r="A428" s="45" t="inlineStr">
        <is>
          <t>Request</t>
        </is>
      </c>
      <c r="B428" s="45" t="inlineStr">
        <is>
          <t xml:space="preserve"> </t>
        </is>
      </c>
      <c r="C428" s="45" t="inlineStr">
        <is>
          <t>28/6/2024</t>
        </is>
      </c>
      <c r="D428" s="45" t="inlineStr">
        <is>
          <t>4520V/210A-B128</t>
        </is>
      </c>
      <c r="E428" s="45">
        <f>IFERROR(VLOOKUP(TRIM(D428), Collection!$B$2:$D$1001, 2, FALSE), "")</f>
        <v/>
      </c>
      <c r="F428" s="48">
        <f>IFERROR(VLOOKUP(TRIM(D428), Collection!$B$2:$D$1001, 3, FALSE), "")</f>
        <v/>
      </c>
      <c r="G428" s="48">
        <f>IFERROR(VALUE(SUBSTITUTE(SUBSTITUTE(F428, "Price", ""), "AED", "")), "")</f>
        <v/>
      </c>
      <c r="H428" s="45" t="inlineStr">
        <is>
          <t>Phone sales Middle East</t>
        </is>
      </c>
      <c r="I428" s="45" t="n">
        <v>100480073</v>
      </c>
      <c r="J428" s="45" t="inlineStr">
        <is>
          <t>Prospect</t>
        </is>
      </c>
      <c r="K428" s="45" t="inlineStr">
        <is>
          <t>OMARI Asma</t>
        </is>
      </c>
      <c r="L428" s="45" t="inlineStr">
        <is>
          <t>Client lives in Cyprus and has an office in UAE</t>
        </is>
      </c>
      <c r="M428" s="45">
        <f>IF(COUNTIF($R$3:$R$100, D428) &gt; 0, TRUE, FALSE)</f>
        <v/>
      </c>
    </row>
    <row r="429" ht="31.2" customHeight="1" s="287">
      <c r="A429" s="45" t="inlineStr">
        <is>
          <t>Cancelled</t>
        </is>
      </c>
      <c r="B429" s="45" t="inlineStr">
        <is>
          <t>Cancelled</t>
        </is>
      </c>
      <c r="C429" s="45" t="inlineStr">
        <is>
          <t>28/6/2024</t>
        </is>
      </c>
      <c r="D429" s="45" t="inlineStr">
        <is>
          <t>5520V/210R-B952</t>
        </is>
      </c>
      <c r="E429" s="45">
        <f>IFERROR(VLOOKUP(TRIM(D429), Collection!$B$2:$D$1001, 2, FALSE), "")</f>
        <v/>
      </c>
      <c r="F429" s="48">
        <f>IFERROR(VLOOKUP(TRIM(D429), Collection!$B$2:$D$1001, 3, FALSE), "")</f>
        <v/>
      </c>
      <c r="G429" s="48">
        <f>IFERROR(VALUE(SUBSTITUTE(SUBSTITUTE(F429, "Price", ""), "AED", "")), "")</f>
        <v/>
      </c>
      <c r="H429" s="45" t="inlineStr">
        <is>
          <t>Phone sales Middle East</t>
        </is>
      </c>
      <c r="I429" s="45" t="n">
        <v>100482907</v>
      </c>
      <c r="J429" s="45" t="inlineStr">
        <is>
          <t>Prospect</t>
        </is>
      </c>
      <c r="K429" s="45" t="inlineStr">
        <is>
          <t>OMARI Asma</t>
        </is>
      </c>
      <c r="L429" s="45" t="inlineStr">
        <is>
          <t xml:space="preserve"> </t>
        </is>
      </c>
      <c r="M429" s="45">
        <f>IF(COUNTIF($R$3:$R$100, D429) &gt; 0, TRUE, FALSE)</f>
        <v/>
      </c>
    </row>
    <row r="430" ht="124.95" customHeight="1" s="287">
      <c r="A430" s="45" t="inlineStr">
        <is>
          <t>Request</t>
        </is>
      </c>
      <c r="B430" s="45" t="inlineStr">
        <is>
          <t xml:space="preserve"> </t>
        </is>
      </c>
      <c r="C430" s="45" t="inlineStr">
        <is>
          <t>25/6/2024</t>
        </is>
      </c>
      <c r="D430" s="45" t="inlineStr">
        <is>
          <t>4520V/210A-B128</t>
        </is>
      </c>
      <c r="E430" s="45">
        <f>IFERROR(VLOOKUP(TRIM(D430), Collection!$B$2:$D$1001, 2, FALSE), "")</f>
        <v/>
      </c>
      <c r="F430" s="48">
        <f>IFERROR(VLOOKUP(TRIM(D430), Collection!$B$2:$D$1001, 3, FALSE), "")</f>
        <v/>
      </c>
      <c r="G430" s="48">
        <f>IFERROR(VALUE(SUBSTITUTE(SUBSTITUTE(F430, "Price", ""), "AED", "")), "")</f>
        <v/>
      </c>
      <c r="H430" s="45" t="inlineStr">
        <is>
          <t>Phone sales Middle East</t>
        </is>
      </c>
      <c r="I430" s="45" t="n">
        <v>100432455</v>
      </c>
      <c r="J430" s="45" t="inlineStr">
        <is>
          <t>Prospect</t>
        </is>
      </c>
      <c r="K430" s="45" t="inlineStr">
        <is>
          <t>OMARI Asma</t>
        </is>
      </c>
      <c r="L430" s="45" t="inlineStr">
        <is>
          <t>Client would like to build a relation with the btq to purchase a piece in the occasion of celebrating the opening of a new branch of his business.</t>
        </is>
      </c>
      <c r="M430" s="45">
        <f>IF(COUNTIF($R$3:$R$100, D430) &gt; 0, TRUE, FALSE)</f>
        <v/>
      </c>
    </row>
    <row r="431" ht="62.4" customHeight="1" s="287">
      <c r="A431" s="45" t="inlineStr">
        <is>
          <t>Cancelled</t>
        </is>
      </c>
      <c r="B431" s="45" t="inlineStr">
        <is>
          <t>Cancelled</t>
        </is>
      </c>
      <c r="C431" s="45" t="inlineStr">
        <is>
          <t>22/6/2024</t>
        </is>
      </c>
      <c r="D431" s="45" t="inlineStr">
        <is>
          <t>4300V/220R-B547</t>
        </is>
      </c>
      <c r="E431" s="45">
        <f>IFERROR(VLOOKUP(TRIM(D431), Collection!$B$2:$D$1001, 2, FALSE), "")</f>
        <v/>
      </c>
      <c r="F431" s="48">
        <f>IFERROR(VLOOKUP(TRIM(D431), Collection!$B$2:$D$1001, 3, FALSE), "")</f>
        <v/>
      </c>
      <c r="G431" s="48">
        <f>IFERROR(VALUE(SUBSTITUTE(SUBSTITUTE(F431, "Price", ""), "AED", "")), "")</f>
        <v/>
      </c>
      <c r="H431" s="45" t="inlineStr">
        <is>
          <t>Phone sales Middle East</t>
        </is>
      </c>
      <c r="I431" s="45" t="n">
        <v>100394867</v>
      </c>
      <c r="J431" s="45" t="inlineStr">
        <is>
          <t>Prospect</t>
        </is>
      </c>
      <c r="K431" s="45" t="inlineStr">
        <is>
          <t>OMARI Asma</t>
        </is>
      </c>
      <c r="L431" s="45" t="inlineStr">
        <is>
          <t>Client is interested in this model and also the Overseas tourbillon Skeleton.</t>
        </is>
      </c>
      <c r="M431" s="45">
        <f>IF(COUNTIF($R$3:$R$100, D431) &gt; 0, TRUE, FALSE)</f>
        <v/>
      </c>
    </row>
    <row r="432" ht="62.4" customHeight="1" s="287">
      <c r="A432" s="45" t="inlineStr">
        <is>
          <t>Request</t>
        </is>
      </c>
      <c r="B432" s="45" t="inlineStr">
        <is>
          <t xml:space="preserve"> </t>
        </is>
      </c>
      <c r="C432" s="45" t="inlineStr">
        <is>
          <t>20/6/2024</t>
        </is>
      </c>
      <c r="D432" s="45" t="inlineStr">
        <is>
          <t>4520V/210A-B128</t>
        </is>
      </c>
      <c r="E432" s="45">
        <f>IFERROR(VLOOKUP(TRIM(D432), Collection!$B$2:$D$1001, 2, FALSE), "")</f>
        <v/>
      </c>
      <c r="F432" s="48">
        <f>IFERROR(VLOOKUP(TRIM(D432), Collection!$B$2:$D$1001, 3, FALSE), "")</f>
        <v/>
      </c>
      <c r="G432" s="48">
        <f>IFERROR(VALUE(SUBSTITUTE(SUBSTITUTE(F432, "Price", ""), "AED", "")), "")</f>
        <v/>
      </c>
      <c r="H432" s="45" t="inlineStr">
        <is>
          <t>Phone sales Middle East</t>
        </is>
      </c>
      <c r="I432" s="45" t="n">
        <v>100279807</v>
      </c>
      <c r="J432" s="45" t="inlineStr">
        <is>
          <t>Prospect</t>
        </is>
      </c>
      <c r="K432" s="45" t="inlineStr">
        <is>
          <t>OMARI Asma</t>
        </is>
      </c>
      <c r="L432" s="45" t="inlineStr">
        <is>
          <t>Client is in India would like to add his name to the waiting list in Dubai.</t>
        </is>
      </c>
      <c r="M432" s="45">
        <f>IF(COUNTIF($R$3:$R$100, D432) &gt; 0, TRUE, FALSE)</f>
        <v/>
      </c>
    </row>
    <row r="433" ht="78" customHeight="1" s="287">
      <c r="A433" s="45" t="inlineStr">
        <is>
          <t>Request</t>
        </is>
      </c>
      <c r="B433" s="45" t="inlineStr">
        <is>
          <t xml:space="preserve"> </t>
        </is>
      </c>
      <c r="C433" s="45" t="inlineStr">
        <is>
          <t>20/6/2024</t>
        </is>
      </c>
      <c r="D433" s="45" t="inlineStr">
        <is>
          <t>4520V/210A-B128</t>
        </is>
      </c>
      <c r="E433" s="45">
        <f>IFERROR(VLOOKUP(TRIM(D433), Collection!$B$2:$D$1001, 2, FALSE), "")</f>
        <v/>
      </c>
      <c r="F433" s="48">
        <f>IFERROR(VLOOKUP(TRIM(D433), Collection!$B$2:$D$1001, 3, FALSE), "")</f>
        <v/>
      </c>
      <c r="G433" s="48">
        <f>IFERROR(VALUE(SUBSTITUTE(SUBSTITUTE(F433, "Price", ""), "AED", "")), "")</f>
        <v/>
      </c>
      <c r="H433" s="45" t="inlineStr">
        <is>
          <t>Phone sales Middle East</t>
        </is>
      </c>
      <c r="I433" s="45" t="n">
        <v>100355498</v>
      </c>
      <c r="J433" s="45" t="inlineStr">
        <is>
          <t>Prospect</t>
        </is>
      </c>
      <c r="K433" s="45" t="inlineStr">
        <is>
          <t>OMARI Asma</t>
        </is>
      </c>
      <c r="L433" s="45" t="inlineStr">
        <is>
          <t>Client would like to add his name to the waiting list of the Overseas self winding in steel with blue dial</t>
        </is>
      </c>
      <c r="M433" s="45">
        <f>IF(COUNTIF($R$3:$R$100, D433) &gt; 0, TRUE, FALSE)</f>
        <v/>
      </c>
    </row>
    <row r="434" ht="46.95" customHeight="1" s="287">
      <c r="A434" s="45" t="inlineStr">
        <is>
          <t>Cancelled</t>
        </is>
      </c>
      <c r="B434" s="45" t="inlineStr">
        <is>
          <t>Cancelled</t>
        </is>
      </c>
      <c r="C434" s="45" t="inlineStr">
        <is>
          <t>20/6/2024</t>
        </is>
      </c>
      <c r="D434" s="45" t="inlineStr">
        <is>
          <t>4520V/210A-B126</t>
        </is>
      </c>
      <c r="E434" s="45">
        <f>IFERROR(VLOOKUP(TRIM(D434), Collection!$B$2:$D$1001, 2, FALSE), "")</f>
        <v/>
      </c>
      <c r="F434" s="48">
        <f>IFERROR(VLOOKUP(TRIM(D434), Collection!$B$2:$D$1001, 3, FALSE), "")</f>
        <v/>
      </c>
      <c r="G434" s="48">
        <f>IFERROR(VALUE(SUBSTITUTE(SUBSTITUTE(F434, "Price", ""), "AED", "")), "")</f>
        <v/>
      </c>
      <c r="H434" s="45" t="inlineStr">
        <is>
          <t>Phone sales Middle East</t>
        </is>
      </c>
      <c r="I434" s="45" t="n">
        <v>100341519</v>
      </c>
      <c r="J434" s="45" t="inlineStr">
        <is>
          <t>Prospect</t>
        </is>
      </c>
      <c r="K434" s="45" t="inlineStr">
        <is>
          <t>OMARI Asma</t>
        </is>
      </c>
      <c r="L434" s="45" t="inlineStr">
        <is>
          <t>The client is interested in the timepiece</t>
        </is>
      </c>
      <c r="M434" s="45">
        <f>IF(COUNTIF($R$3:$R$100, D434) &gt; 0, TRUE, FALSE)</f>
        <v/>
      </c>
    </row>
    <row r="435" ht="46.95" customHeight="1" s="287">
      <c r="A435" s="45" t="inlineStr">
        <is>
          <t>Cancelled</t>
        </is>
      </c>
      <c r="B435" s="45" t="inlineStr">
        <is>
          <t>Cancelled</t>
        </is>
      </c>
      <c r="C435" s="45" t="inlineStr">
        <is>
          <t>20/6/2024</t>
        </is>
      </c>
      <c r="D435" s="45" t="inlineStr">
        <is>
          <t>7920V/210A-B333</t>
        </is>
      </c>
      <c r="E435" s="45">
        <f>IFERROR(VLOOKUP(TRIM(D435), Collection!$B$2:$D$1001, 2, FALSE), "")</f>
        <v/>
      </c>
      <c r="F435" s="48">
        <f>IFERROR(VLOOKUP(TRIM(D435), Collection!$B$2:$D$1001, 3, FALSE), "")</f>
        <v/>
      </c>
      <c r="G435" s="48">
        <f>IFERROR(VALUE(SUBSTITUTE(SUBSTITUTE(F435, "Price", ""), "AED", "")), "")</f>
        <v/>
      </c>
      <c r="H435" s="45" t="inlineStr">
        <is>
          <t>Phone sales Middle East</t>
        </is>
      </c>
      <c r="I435" s="45" t="n">
        <v>100341519</v>
      </c>
      <c r="J435" s="45" t="inlineStr">
        <is>
          <t>Prospect</t>
        </is>
      </c>
      <c r="K435" s="45" t="inlineStr">
        <is>
          <t>OMARI Asma</t>
        </is>
      </c>
      <c r="L435" s="45" t="inlineStr">
        <is>
          <t>The client is interested in the timepiece</t>
        </is>
      </c>
      <c r="M435" s="45">
        <f>IF(COUNTIF($R$3:$R$100, D435) &gt; 0, TRUE, FALSE)</f>
        <v/>
      </c>
    </row>
    <row r="436" ht="62.4" customHeight="1" s="287">
      <c r="A436" s="45" t="inlineStr">
        <is>
          <t>Request</t>
        </is>
      </c>
      <c r="B436" s="45" t="inlineStr">
        <is>
          <t xml:space="preserve"> </t>
        </is>
      </c>
      <c r="C436" s="45" t="inlineStr">
        <is>
          <t>19/6/2024</t>
        </is>
      </c>
      <c r="D436" s="45" t="inlineStr">
        <is>
          <t>4520V/210A-B128</t>
        </is>
      </c>
      <c r="E436" s="45">
        <f>IFERROR(VLOOKUP(TRIM(D436), Collection!$B$2:$D$1001, 2, FALSE), "")</f>
        <v/>
      </c>
      <c r="F436" s="48">
        <f>IFERROR(VLOOKUP(TRIM(D436), Collection!$B$2:$D$1001, 3, FALSE), "")</f>
        <v/>
      </c>
      <c r="G436" s="48">
        <f>IFERROR(VALUE(SUBSTITUTE(SUBSTITUTE(F436, "Price", ""), "AED", "")), "")</f>
        <v/>
      </c>
      <c r="H436" s="45" t="inlineStr">
        <is>
          <t>Phone sales Middle East</t>
        </is>
      </c>
      <c r="I436" s="45" t="n">
        <v>100339877</v>
      </c>
      <c r="J436" s="45" t="inlineStr">
        <is>
          <t>Prospect</t>
        </is>
      </c>
      <c r="K436" s="45" t="inlineStr">
        <is>
          <t>OMARI Asma</t>
        </is>
      </c>
      <c r="L436" s="45" t="inlineStr">
        <is>
          <t>The client is interested in the Overseas self-winding . ready to pay deposit</t>
        </is>
      </c>
      <c r="M436" s="45">
        <f>IF(COUNTIF($R$3:$R$100, D436) &gt; 0, TRUE, FALSE)</f>
        <v/>
      </c>
    </row>
    <row r="437" ht="62.4" customHeight="1" s="287">
      <c r="A437" s="45" t="inlineStr">
        <is>
          <t>Request</t>
        </is>
      </c>
      <c r="B437" s="45" t="inlineStr">
        <is>
          <t xml:space="preserve"> </t>
        </is>
      </c>
      <c r="C437" s="45" t="inlineStr">
        <is>
          <t>19/6/2024</t>
        </is>
      </c>
      <c r="D437" s="45" t="inlineStr">
        <is>
          <t>4520V/210A-B128</t>
        </is>
      </c>
      <c r="E437" s="45">
        <f>IFERROR(VLOOKUP(TRIM(D437), Collection!$B$2:$D$1001, 2, FALSE), "")</f>
        <v/>
      </c>
      <c r="F437" s="48">
        <f>IFERROR(VLOOKUP(TRIM(D437), Collection!$B$2:$D$1001, 3, FALSE), "")</f>
        <v/>
      </c>
      <c r="G437" s="48">
        <f>IFERROR(VALUE(SUBSTITUTE(SUBSTITUTE(F437, "Price", ""), "AED", "")), "")</f>
        <v/>
      </c>
      <c r="H437" s="45" t="inlineStr">
        <is>
          <t>Phone sales Middle East</t>
        </is>
      </c>
      <c r="I437" s="45" t="n">
        <v>100329803</v>
      </c>
      <c r="J437" s="45" t="inlineStr">
        <is>
          <t>Prospect</t>
        </is>
      </c>
      <c r="K437" s="45" t="inlineStr">
        <is>
          <t>OMARI Asma</t>
        </is>
      </c>
      <c r="L437" s="45" t="inlineStr">
        <is>
          <t>The client is interested and would like to proceed Overseas self-winding</t>
        </is>
      </c>
      <c r="M437" s="45">
        <f>IF(COUNTIF($R$3:$R$100, D437) &gt; 0, TRUE, FALSE)</f>
        <v/>
      </c>
    </row>
    <row r="438" ht="78" customHeight="1" s="287">
      <c r="A438" s="45" t="inlineStr">
        <is>
          <t>Request</t>
        </is>
      </c>
      <c r="B438" s="45" t="inlineStr">
        <is>
          <t xml:space="preserve"> </t>
        </is>
      </c>
      <c r="C438" s="45" t="inlineStr">
        <is>
          <t>18/6/2024</t>
        </is>
      </c>
      <c r="D438" s="45" t="inlineStr">
        <is>
          <t>4520V/210A-B128</t>
        </is>
      </c>
      <c r="E438" s="45">
        <f>IFERROR(VLOOKUP(TRIM(D438), Collection!$B$2:$D$1001, 2, FALSE), "")</f>
        <v/>
      </c>
      <c r="F438" s="48">
        <f>IFERROR(VLOOKUP(TRIM(D438), Collection!$B$2:$D$1001, 3, FALSE), "")</f>
        <v/>
      </c>
      <c r="G438" s="48">
        <f>IFERROR(VALUE(SUBSTITUTE(SUBSTITUTE(F438, "Price", ""), "AED", "")), "")</f>
        <v/>
      </c>
      <c r="H438" s="45" t="inlineStr">
        <is>
          <t>Phone sales Middle East</t>
        </is>
      </c>
      <c r="I438" s="45" t="n">
        <v>100330605</v>
      </c>
      <c r="J438" s="45" t="inlineStr">
        <is>
          <t>Prospect</t>
        </is>
      </c>
      <c r="K438" s="45" t="inlineStr">
        <is>
          <t>OMARI Asma</t>
        </is>
      </c>
      <c r="L438" s="45" t="inlineStr">
        <is>
          <t>The client is interested in the timepiece and not open for other options</t>
        </is>
      </c>
      <c r="M438" s="45">
        <f>IF(COUNTIF($R$3:$R$100, D438) &gt; 0, TRUE, FALSE)</f>
        <v/>
      </c>
    </row>
    <row r="439" ht="31.2" customHeight="1" s="287">
      <c r="A439" s="45" t="inlineStr">
        <is>
          <t>Request</t>
        </is>
      </c>
      <c r="B439" s="45" t="inlineStr">
        <is>
          <t xml:space="preserve"> </t>
        </is>
      </c>
      <c r="C439" s="45" t="inlineStr">
        <is>
          <t>15/6/2024</t>
        </is>
      </c>
      <c r="D439" s="45" t="inlineStr">
        <is>
          <t>4520V/210A-B128</t>
        </is>
      </c>
      <c r="E439" s="45">
        <f>IFERROR(VLOOKUP(TRIM(D439), Collection!$B$2:$D$1001, 2, FALSE), "")</f>
        <v/>
      </c>
      <c r="F439" s="48">
        <f>IFERROR(VLOOKUP(TRIM(D439), Collection!$B$2:$D$1001, 3, FALSE), "")</f>
        <v/>
      </c>
      <c r="G439" s="48">
        <f>IFERROR(VALUE(SUBSTITUTE(SUBSTITUTE(F439, "Price", ""), "AED", "")), "")</f>
        <v/>
      </c>
      <c r="H439" s="45" t="inlineStr">
        <is>
          <t>Phone sales Middle East</t>
        </is>
      </c>
      <c r="I439" s="45" t="n">
        <v>100272691</v>
      </c>
      <c r="J439" s="45" t="inlineStr">
        <is>
          <t>Prospect</t>
        </is>
      </c>
      <c r="K439" s="45" t="inlineStr">
        <is>
          <t>OMARI Asma</t>
        </is>
      </c>
      <c r="L439" s="45" t="inlineStr">
        <is>
          <t xml:space="preserve"> </t>
        </is>
      </c>
      <c r="M439" s="45">
        <f>IF(COUNTIF($R$3:$R$100, D439) &gt; 0, TRUE, FALSE)</f>
        <v/>
      </c>
    </row>
    <row r="440" ht="62.4" customHeight="1" s="287">
      <c r="A440" s="45" t="inlineStr">
        <is>
          <t>Cancelled</t>
        </is>
      </c>
      <c r="B440" s="45" t="inlineStr">
        <is>
          <t>Cancelled</t>
        </is>
      </c>
      <c r="C440" s="45" t="inlineStr">
        <is>
          <t>14/6/2024</t>
        </is>
      </c>
      <c r="D440" s="45" t="inlineStr">
        <is>
          <t>4200H/222J-B935</t>
        </is>
      </c>
      <c r="E440" s="45">
        <f>IFERROR(VLOOKUP(TRIM(D440), Collection!$B$2:$D$1001, 2, FALSE), "")</f>
        <v/>
      </c>
      <c r="F440" s="48">
        <f>IFERROR(VLOOKUP(TRIM(D440), Collection!$B$2:$D$1001, 3, FALSE), "")</f>
        <v/>
      </c>
      <c r="G440" s="48">
        <f>IFERROR(VALUE(SUBSTITUTE(SUBSTITUTE(F440, "Price", ""), "AED", "")), "")</f>
        <v/>
      </c>
      <c r="H440" s="45" t="inlineStr">
        <is>
          <t>Phone sales Middle East</t>
        </is>
      </c>
      <c r="I440" s="45" t="n">
        <v>100232514</v>
      </c>
      <c r="J440" s="45" t="inlineStr">
        <is>
          <t>Prospect</t>
        </is>
      </c>
      <c r="K440" s="45" t="inlineStr">
        <is>
          <t>OMARI Asma</t>
        </is>
      </c>
      <c r="L440" s="45" t="inlineStr">
        <is>
          <t>Client asked to add her name into the waiting list for the historiques 222</t>
        </is>
      </c>
      <c r="M440" s="45">
        <f>IF(COUNTIF($R$3:$R$100, D440) &gt; 0, TRUE, FALSE)</f>
        <v/>
      </c>
    </row>
    <row r="441" ht="46.95" customHeight="1" s="287">
      <c r="A441" s="45" t="inlineStr">
        <is>
          <t>Cancelled</t>
        </is>
      </c>
      <c r="B441" s="45" t="inlineStr">
        <is>
          <t>Cancelled</t>
        </is>
      </c>
      <c r="C441" s="45" t="inlineStr">
        <is>
          <t>13/6/2024</t>
        </is>
      </c>
      <c r="D441" s="45" t="inlineStr">
        <is>
          <t>4520V/210A-B483</t>
        </is>
      </c>
      <c r="E441" s="45">
        <f>IFERROR(VLOOKUP(TRIM(D441), Collection!$B$2:$D$1001, 2, FALSE), "")</f>
        <v/>
      </c>
      <c r="F441" s="48">
        <f>IFERROR(VLOOKUP(TRIM(D441), Collection!$B$2:$D$1001, 3, FALSE), "")</f>
        <v/>
      </c>
      <c r="G441" s="48">
        <f>IFERROR(VALUE(SUBSTITUTE(SUBSTITUTE(F441, "Price", ""), "AED", "")), "")</f>
        <v/>
      </c>
      <c r="H441" s="45" t="inlineStr">
        <is>
          <t>Phone sales Middle East</t>
        </is>
      </c>
      <c r="I441" s="45" t="n">
        <v>100245350</v>
      </c>
      <c r="J441" s="45" t="inlineStr">
        <is>
          <t>Prospect</t>
        </is>
      </c>
      <c r="K441" s="45" t="inlineStr">
        <is>
          <t>OMARI Asma</t>
        </is>
      </c>
      <c r="L441" s="45" t="inlineStr">
        <is>
          <t>The client is very interested in this timepiece.</t>
        </is>
      </c>
      <c r="M441" s="45">
        <f>IF(COUNTIF($R$3:$R$100, D441) &gt; 0, TRUE, FALSE)</f>
        <v/>
      </c>
    </row>
    <row r="442" ht="46.95" customHeight="1" s="287">
      <c r="A442" s="45" t="inlineStr">
        <is>
          <t>Request</t>
        </is>
      </c>
      <c r="B442" s="45" t="inlineStr">
        <is>
          <t xml:space="preserve"> </t>
        </is>
      </c>
      <c r="C442" s="46" t="n">
        <v>45510</v>
      </c>
      <c r="D442" s="45" t="inlineStr">
        <is>
          <t>4520V/210A-B128</t>
        </is>
      </c>
      <c r="E442" s="45">
        <f>IFERROR(VLOOKUP(TRIM(D442), Collection!$B$2:$D$1001, 2, FALSE), "")</f>
        <v/>
      </c>
      <c r="F442" s="48">
        <f>IFERROR(VLOOKUP(TRIM(D442), Collection!$B$2:$D$1001, 3, FALSE), "")</f>
        <v/>
      </c>
      <c r="G442" s="48">
        <f>IFERROR(VALUE(SUBSTITUTE(SUBSTITUTE(F442, "Price", ""), "AED", "")), "")</f>
        <v/>
      </c>
      <c r="H442" s="45" t="inlineStr">
        <is>
          <t>Phone sales Middle East</t>
        </is>
      </c>
      <c r="I442" s="45" t="n">
        <v>99019997</v>
      </c>
      <c r="J442" s="45" t="inlineStr">
        <is>
          <t>Client</t>
        </is>
      </c>
      <c r="K442" s="45" t="inlineStr">
        <is>
          <t>OMARI Asma</t>
        </is>
      </c>
      <c r="L442" s="45" t="inlineStr">
        <is>
          <t>The client would like to register to the waiting list</t>
        </is>
      </c>
      <c r="M442" s="45">
        <f>IF(COUNTIF($R$3:$R$100, D442) &gt; 0, TRUE, FALSE)</f>
        <v/>
      </c>
    </row>
    <row r="443" ht="31.2" customHeight="1" s="287">
      <c r="A443" s="45" t="inlineStr">
        <is>
          <t>Cancelled</t>
        </is>
      </c>
      <c r="B443" s="45" t="inlineStr">
        <is>
          <t>Cancelled</t>
        </is>
      </c>
      <c r="C443" s="46" t="n">
        <v>45508</v>
      </c>
      <c r="D443" s="45" t="inlineStr">
        <is>
          <t>4200H/222J-B935</t>
        </is>
      </c>
      <c r="E443" s="45">
        <f>IFERROR(VLOOKUP(TRIM(D443), Collection!$B$2:$D$1001, 2, FALSE), "")</f>
        <v/>
      </c>
      <c r="F443" s="48">
        <f>IFERROR(VLOOKUP(TRIM(D443), Collection!$B$2:$D$1001, 3, FALSE), "")</f>
        <v/>
      </c>
      <c r="G443" s="48">
        <f>IFERROR(VALUE(SUBSTITUTE(SUBSTITUTE(F443, "Price", ""), "AED", "")), "")</f>
        <v/>
      </c>
      <c r="H443" s="45" t="inlineStr">
        <is>
          <t>Phone sales Middle East</t>
        </is>
      </c>
      <c r="I443" s="45" t="n">
        <v>97223180</v>
      </c>
      <c r="J443" s="45" t="inlineStr">
        <is>
          <t>Client</t>
        </is>
      </c>
      <c r="K443" s="45" t="inlineStr">
        <is>
          <t>TAHHAN Riham</t>
        </is>
      </c>
      <c r="L443" s="45" t="inlineStr">
        <is>
          <t xml:space="preserve"> </t>
        </is>
      </c>
      <c r="M443" s="45">
        <f>IF(COUNTIF($R$3:$R$100, D443) &gt; 0, TRUE, FALSE)</f>
        <v/>
      </c>
    </row>
    <row r="444" ht="31.2" customHeight="1" s="287">
      <c r="A444" s="45" t="inlineStr">
        <is>
          <t>Cancelled</t>
        </is>
      </c>
      <c r="B444" s="45" t="inlineStr">
        <is>
          <t>Cancelled</t>
        </is>
      </c>
      <c r="C444" s="45" t="inlineStr">
        <is>
          <t>30/3/2024</t>
        </is>
      </c>
      <c r="D444" s="45" t="inlineStr">
        <is>
          <t>4000E/000A-B548</t>
        </is>
      </c>
      <c r="E444" s="45">
        <f>IFERROR(VLOOKUP(TRIM(D444), Collection!$B$2:$D$1001, 2, FALSE), "")</f>
        <v/>
      </c>
      <c r="F444" s="48">
        <f>IFERROR(VLOOKUP(TRIM(D444), Collection!$B$2:$D$1001, 3, FALSE), "")</f>
        <v/>
      </c>
      <c r="G444" s="48">
        <f>IFERROR(VALUE(SUBSTITUTE(SUBSTITUTE(F444, "Price", ""), "AED", "")), "")</f>
        <v/>
      </c>
      <c r="H444" s="45" t="inlineStr">
        <is>
          <t>Phone sales Middle East</t>
        </is>
      </c>
      <c r="I444" s="45" t="n">
        <v>98828137</v>
      </c>
      <c r="J444" s="45" t="inlineStr">
        <is>
          <t>Prospect</t>
        </is>
      </c>
      <c r="K444" s="45" t="inlineStr">
        <is>
          <t>OMARI Asma</t>
        </is>
      </c>
      <c r="L444" s="45" t="inlineStr">
        <is>
          <t xml:space="preserve"> </t>
        </is>
      </c>
      <c r="M444" s="45">
        <f>IF(COUNTIF($R$3:$R$100, D444) &gt; 0, TRUE, FALSE)</f>
        <v/>
      </c>
    </row>
    <row r="445" ht="31.2" customHeight="1" s="287">
      <c r="A445" s="45" t="inlineStr">
        <is>
          <t>Request</t>
        </is>
      </c>
      <c r="B445" s="45" t="inlineStr">
        <is>
          <t xml:space="preserve"> </t>
        </is>
      </c>
      <c r="C445" s="46" t="n">
        <v>45507</v>
      </c>
      <c r="D445" s="45" t="inlineStr">
        <is>
          <t>4520V/210A-B128</t>
        </is>
      </c>
      <c r="E445" s="45">
        <f>IFERROR(VLOOKUP(TRIM(D445), Collection!$B$2:$D$1001, 2, FALSE), "")</f>
        <v/>
      </c>
      <c r="F445" s="48">
        <f>IFERROR(VLOOKUP(TRIM(D445), Collection!$B$2:$D$1001, 3, FALSE), "")</f>
        <v/>
      </c>
      <c r="G445" s="48">
        <f>IFERROR(VALUE(SUBSTITUTE(SUBSTITUTE(F445, "Price", ""), "AED", "")), "")</f>
        <v/>
      </c>
      <c r="H445" s="45" t="inlineStr">
        <is>
          <t>Phone sales Middle East</t>
        </is>
      </c>
      <c r="I445" s="45" t="n">
        <v>98340991</v>
      </c>
      <c r="J445" s="45" t="inlineStr">
        <is>
          <t>Prospect</t>
        </is>
      </c>
      <c r="K445" s="45" t="inlineStr">
        <is>
          <t>OMARI Asma</t>
        </is>
      </c>
      <c r="L445" s="45" t="inlineStr">
        <is>
          <t xml:space="preserve"> </t>
        </is>
      </c>
      <c r="M445" s="45">
        <f>IF(COUNTIF($R$3:$R$100, D445) &gt; 0, TRUE, FALSE)</f>
        <v/>
      </c>
    </row>
    <row r="446" ht="46.95" customHeight="1" s="287">
      <c r="A446" s="45" t="inlineStr">
        <is>
          <t>Request</t>
        </is>
      </c>
      <c r="B446" s="45" t="inlineStr">
        <is>
          <t xml:space="preserve"> </t>
        </is>
      </c>
      <c r="C446" s="46" t="n">
        <v>45476</v>
      </c>
      <c r="D446" s="45" t="inlineStr">
        <is>
          <t>4000V/210A-B911</t>
        </is>
      </c>
      <c r="E446" s="45">
        <f>IFERROR(VLOOKUP(TRIM(D446), Collection!$B$2:$D$1001, 2, FALSE), "")</f>
        <v/>
      </c>
      <c r="F446" s="48">
        <f>IFERROR(VLOOKUP(TRIM(D446), Collection!$B$2:$D$1001, 3, FALSE), "")</f>
        <v/>
      </c>
      <c r="G446" s="48">
        <f>IFERROR(VALUE(SUBSTITUTE(SUBSTITUTE(F446, "Price", ""), "AED", "")), "")</f>
        <v/>
      </c>
      <c r="H446" s="45" t="inlineStr">
        <is>
          <t>Phone sales Middle East</t>
        </is>
      </c>
      <c r="I446" s="45" t="n">
        <v>92424528</v>
      </c>
      <c r="J446" s="45" t="inlineStr">
        <is>
          <t>Prospect</t>
        </is>
      </c>
      <c r="K446" s="45" t="inlineStr">
        <is>
          <t>SHARIF Maaz</t>
        </is>
      </c>
      <c r="L446" s="45" t="inlineStr">
        <is>
          <t xml:space="preserve"> </t>
        </is>
      </c>
      <c r="M446" s="45">
        <f>IF(COUNTIF($R$3:$R$100, D446) &gt; 0, TRUE, FALSE)</f>
        <v/>
      </c>
    </row>
    <row r="447" ht="31.2" customHeight="1" s="287">
      <c r="A447" s="45" t="inlineStr">
        <is>
          <t>Request</t>
        </is>
      </c>
      <c r="B447" s="45" t="inlineStr">
        <is>
          <t>Pending client feedback</t>
        </is>
      </c>
      <c r="C447" s="46" t="n">
        <v>45294</v>
      </c>
      <c r="D447" s="45" t="inlineStr">
        <is>
          <t>4520V/210A-B128</t>
        </is>
      </c>
      <c r="E447" s="45">
        <f>IFERROR(VLOOKUP(TRIM(D447), Collection!$B$2:$D$1001, 2, FALSE), "")</f>
        <v/>
      </c>
      <c r="F447" s="48">
        <f>IFERROR(VLOOKUP(TRIM(D447), Collection!$B$2:$D$1001, 3, FALSE), "")</f>
        <v/>
      </c>
      <c r="G447" s="48">
        <f>IFERROR(VALUE(SUBSTITUTE(SUBSTITUTE(F447, "Price", ""), "AED", "")), "")</f>
        <v/>
      </c>
      <c r="H447" s="45" t="inlineStr">
        <is>
          <t>Phone sales Middle East</t>
        </is>
      </c>
      <c r="I447" s="45" t="n">
        <v>92410222</v>
      </c>
      <c r="J447" s="45" t="inlineStr">
        <is>
          <t>Prospect</t>
        </is>
      </c>
      <c r="K447" s="45" t="inlineStr">
        <is>
          <t>TAHHAN Riham</t>
        </is>
      </c>
      <c r="L447" s="45" t="inlineStr">
        <is>
          <t xml:space="preserve"> </t>
        </is>
      </c>
      <c r="M447" s="45">
        <f>IF(COUNTIF($R$3:$R$100, D447) &gt; 0, TRUE, FALSE)</f>
        <v/>
      </c>
    </row>
    <row r="448" ht="31.2" customHeight="1" s="287">
      <c r="A448" s="45" t="inlineStr">
        <is>
          <t>Request</t>
        </is>
      </c>
      <c r="B448" s="45" t="inlineStr">
        <is>
          <t xml:space="preserve"> </t>
        </is>
      </c>
      <c r="C448" s="45" t="inlineStr">
        <is>
          <t>25/2/2024</t>
        </is>
      </c>
      <c r="D448" s="45" t="inlineStr">
        <is>
          <t>4520V/210A-B128</t>
        </is>
      </c>
      <c r="E448" s="45">
        <f>IFERROR(VLOOKUP(TRIM(D448), Collection!$B$2:$D$1001, 2, FALSE), "")</f>
        <v/>
      </c>
      <c r="F448" s="48">
        <f>IFERROR(VLOOKUP(TRIM(D448), Collection!$B$2:$D$1001, 3, FALSE), "")</f>
        <v/>
      </c>
      <c r="G448" s="48">
        <f>IFERROR(VALUE(SUBSTITUTE(SUBSTITUTE(F448, "Price", ""), "AED", "")), "")</f>
        <v/>
      </c>
      <c r="H448" s="45" t="inlineStr">
        <is>
          <t>Phone sales Middle East</t>
        </is>
      </c>
      <c r="I448" s="45" t="n">
        <v>98213478</v>
      </c>
      <c r="J448" s="45" t="inlineStr">
        <is>
          <t>Client</t>
        </is>
      </c>
      <c r="K448" s="45" t="inlineStr">
        <is>
          <t>OMARI Asma</t>
        </is>
      </c>
      <c r="L448" s="45" t="inlineStr">
        <is>
          <t xml:space="preserve"> </t>
        </is>
      </c>
      <c r="M448" s="45">
        <f>IF(COUNTIF($R$3:$R$100, D448) &gt; 0, TRUE, FALSE)</f>
        <v/>
      </c>
    </row>
    <row r="449" ht="31.2" customHeight="1" s="287">
      <c r="A449" s="45" t="inlineStr">
        <is>
          <t>Request</t>
        </is>
      </c>
      <c r="B449" s="45" t="inlineStr">
        <is>
          <t xml:space="preserve"> </t>
        </is>
      </c>
      <c r="C449" s="45" t="inlineStr">
        <is>
          <t>25/2/2024</t>
        </is>
      </c>
      <c r="D449" s="45" t="inlineStr">
        <is>
          <t>4520V/210A-B128</t>
        </is>
      </c>
      <c r="E449" s="45">
        <f>IFERROR(VLOOKUP(TRIM(D449), Collection!$B$2:$D$1001, 2, FALSE), "")</f>
        <v/>
      </c>
      <c r="F449" s="48">
        <f>IFERROR(VLOOKUP(TRIM(D449), Collection!$B$2:$D$1001, 3, FALSE), "")</f>
        <v/>
      </c>
      <c r="G449" s="48">
        <f>IFERROR(VALUE(SUBSTITUTE(SUBSTITUTE(F449, "Price", ""), "AED", "")), "")</f>
        <v/>
      </c>
      <c r="H449" s="45" t="inlineStr">
        <is>
          <t>Phone sales Middle East</t>
        </is>
      </c>
      <c r="I449" s="45" t="n">
        <v>98213878</v>
      </c>
      <c r="J449" s="45" t="inlineStr">
        <is>
          <t>Prospect</t>
        </is>
      </c>
      <c r="K449" s="45" t="inlineStr">
        <is>
          <t>SHARIF Maaz</t>
        </is>
      </c>
      <c r="L449" s="45" t="inlineStr">
        <is>
          <t xml:space="preserve"> </t>
        </is>
      </c>
      <c r="M449" s="45">
        <f>IF(COUNTIF($R$3:$R$100, D449) &gt; 0, TRUE, FALSE)</f>
        <v/>
      </c>
    </row>
    <row r="450" ht="31.2" customHeight="1" s="287">
      <c r="A450" s="45" t="inlineStr">
        <is>
          <t>Request</t>
        </is>
      </c>
      <c r="B450" s="45" t="inlineStr">
        <is>
          <t>Postponed</t>
        </is>
      </c>
      <c r="C450" s="45" t="inlineStr">
        <is>
          <t>21/2/2024</t>
        </is>
      </c>
      <c r="D450" s="45" t="inlineStr">
        <is>
          <t>4520V/210A-B128</t>
        </is>
      </c>
      <c r="E450" s="45">
        <f>IFERROR(VLOOKUP(TRIM(D450), Collection!$B$2:$D$1001, 2, FALSE), "")</f>
        <v/>
      </c>
      <c r="F450" s="48">
        <f>IFERROR(VLOOKUP(TRIM(D450), Collection!$B$2:$D$1001, 3, FALSE), "")</f>
        <v/>
      </c>
      <c r="G450" s="48">
        <f>IFERROR(VALUE(SUBSTITUTE(SUBSTITUTE(F450, "Price", ""), "AED", "")), "")</f>
        <v/>
      </c>
      <c r="H450" s="45" t="inlineStr">
        <is>
          <t>Phone sales Middle East</t>
        </is>
      </c>
      <c r="I450" s="45" t="n">
        <v>97560994</v>
      </c>
      <c r="J450" s="45" t="inlineStr">
        <is>
          <t>Prospect</t>
        </is>
      </c>
      <c r="K450" s="45" t="inlineStr">
        <is>
          <t>TAHHAN Riham</t>
        </is>
      </c>
      <c r="L450" s="45" t="inlineStr">
        <is>
          <t xml:space="preserve"> </t>
        </is>
      </c>
      <c r="M450" s="45">
        <f>IF(COUNTIF($R$3:$R$100, D450) &gt; 0, TRUE, FALSE)</f>
        <v/>
      </c>
    </row>
    <row r="451" ht="31.2" customHeight="1" s="287">
      <c r="A451" s="45" t="inlineStr">
        <is>
          <t>Request</t>
        </is>
      </c>
      <c r="B451" s="45" t="inlineStr">
        <is>
          <t>Postponed</t>
        </is>
      </c>
      <c r="C451" s="45" t="inlineStr">
        <is>
          <t>14/2/2024</t>
        </is>
      </c>
      <c r="D451" s="45" t="inlineStr">
        <is>
          <t>7920V/210A-B334</t>
        </is>
      </c>
      <c r="E451" s="45">
        <f>IFERROR(VLOOKUP(TRIM(D451), Collection!$B$2:$D$1001, 2, FALSE), "")</f>
        <v/>
      </c>
      <c r="F451" s="48">
        <f>IFERROR(VLOOKUP(TRIM(D451), Collection!$B$2:$D$1001, 3, FALSE), "")</f>
        <v/>
      </c>
      <c r="G451" s="48">
        <f>IFERROR(VALUE(SUBSTITUTE(SUBSTITUTE(F451, "Price", ""), "AED", "")), "")</f>
        <v/>
      </c>
      <c r="H451" s="45" t="inlineStr">
        <is>
          <t>Phone sales Middle East</t>
        </is>
      </c>
      <c r="I451" s="45" t="n">
        <v>97560994</v>
      </c>
      <c r="J451" s="45" t="inlineStr">
        <is>
          <t>Prospect</t>
        </is>
      </c>
      <c r="K451" s="45" t="inlineStr">
        <is>
          <t>TAHHAN Riham</t>
        </is>
      </c>
      <c r="L451" s="45" t="inlineStr">
        <is>
          <t xml:space="preserve"> </t>
        </is>
      </c>
      <c r="M451" s="45">
        <f>IF(COUNTIF($R$3:$R$100, D451) &gt; 0, TRUE, FALSE)</f>
        <v/>
      </c>
    </row>
    <row r="452" ht="31.2" customHeight="1" s="287">
      <c r="A452" s="45" t="inlineStr">
        <is>
          <t>Request</t>
        </is>
      </c>
      <c r="B452" s="45" t="inlineStr">
        <is>
          <t xml:space="preserve"> </t>
        </is>
      </c>
      <c r="C452" s="45" t="inlineStr">
        <is>
          <t>14/2/2024</t>
        </is>
      </c>
      <c r="D452" s="45" t="inlineStr">
        <is>
          <t>4520V/210A-B128</t>
        </is>
      </c>
      <c r="E452" s="45">
        <f>IFERROR(VLOOKUP(TRIM(D452), Collection!$B$2:$D$1001, 2, FALSE), "")</f>
        <v/>
      </c>
      <c r="F452" s="48">
        <f>IFERROR(VLOOKUP(TRIM(D452), Collection!$B$2:$D$1001, 3, FALSE), "")</f>
        <v/>
      </c>
      <c r="G452" s="48">
        <f>IFERROR(VALUE(SUBSTITUTE(SUBSTITUTE(F452, "Price", ""), "AED", "")), "")</f>
        <v/>
      </c>
      <c r="H452" s="45" t="inlineStr">
        <is>
          <t>Phone sales Middle East</t>
        </is>
      </c>
      <c r="I452" s="45" t="n">
        <v>97863424</v>
      </c>
      <c r="J452" s="45" t="inlineStr">
        <is>
          <t>Prospect</t>
        </is>
      </c>
      <c r="K452" s="45" t="inlineStr">
        <is>
          <t>SHARIF Maaz</t>
        </is>
      </c>
      <c r="L452" s="45" t="inlineStr">
        <is>
          <t xml:space="preserve"> </t>
        </is>
      </c>
      <c r="M452" s="45">
        <f>IF(COUNTIF($R$3:$R$100, D452) &gt; 0, TRUE, FALSE)</f>
        <v/>
      </c>
    </row>
    <row r="453" ht="31.2" customHeight="1" s="287">
      <c r="A453" s="45" t="inlineStr">
        <is>
          <t>Cancelled</t>
        </is>
      </c>
      <c r="B453" s="45" t="inlineStr">
        <is>
          <t>Cancelled</t>
        </is>
      </c>
      <c r="C453" s="46" t="n">
        <v>45475</v>
      </c>
      <c r="D453" s="45" t="inlineStr">
        <is>
          <t>3110V/000A-B426</t>
        </is>
      </c>
      <c r="E453" s="45">
        <f>IFERROR(VLOOKUP(TRIM(D453), Collection!$B$2:$D$1001, 2, FALSE), "")</f>
        <v/>
      </c>
      <c r="F453" s="48">
        <f>IFERROR(VLOOKUP(TRIM(D453), Collection!$B$2:$D$1001, 3, FALSE), "")</f>
        <v/>
      </c>
      <c r="G453" s="48">
        <f>IFERROR(VALUE(SUBSTITUTE(SUBSTITUTE(F453, "Price", ""), "AED", "")), "")</f>
        <v/>
      </c>
      <c r="H453" s="45" t="inlineStr">
        <is>
          <t>Phone sales Middle East</t>
        </is>
      </c>
      <c r="I453" s="45" t="n">
        <v>97739424</v>
      </c>
      <c r="J453" s="45" t="inlineStr">
        <is>
          <t>Prospect</t>
        </is>
      </c>
      <c r="K453" s="45" t="inlineStr">
        <is>
          <t>TAHHAN Riham</t>
        </is>
      </c>
      <c r="L453" s="45" t="inlineStr">
        <is>
          <t xml:space="preserve"> </t>
        </is>
      </c>
      <c r="M453" s="45">
        <f>IF(COUNTIF($R$3:$R$100, D453) &gt; 0, TRUE, FALSE)</f>
        <v/>
      </c>
    </row>
    <row r="454" ht="31.2" customHeight="1" s="287">
      <c r="A454" s="45" t="inlineStr">
        <is>
          <t>Sold</t>
        </is>
      </c>
      <c r="B454" s="45" t="inlineStr">
        <is>
          <t>Confirmed</t>
        </is>
      </c>
      <c r="C454" s="45" t="inlineStr">
        <is>
          <t>26/1/2024</t>
        </is>
      </c>
      <c r="D454" s="45" t="inlineStr">
        <is>
          <t>1225V/200A-B590</t>
        </is>
      </c>
      <c r="E454" s="45">
        <f>IFERROR(VLOOKUP(TRIM(D454), Collection!$B$2:$D$1001, 2, FALSE), "")</f>
        <v/>
      </c>
      <c r="F454" s="48">
        <f>IFERROR(VLOOKUP(TRIM(D454), Collection!$B$2:$D$1001, 3, FALSE), "")</f>
        <v/>
      </c>
      <c r="G454" s="48">
        <f>IFERROR(VALUE(SUBSTITUTE(SUBSTITUTE(F454, "Price", ""), "AED", "")), "")</f>
        <v/>
      </c>
      <c r="H454" s="45" t="inlineStr">
        <is>
          <t>Phone sales Middle East</t>
        </is>
      </c>
      <c r="I454" s="45" t="n">
        <v>97341155</v>
      </c>
      <c r="J454" s="45" t="inlineStr">
        <is>
          <t>Prospect</t>
        </is>
      </c>
      <c r="K454" s="45" t="inlineStr">
        <is>
          <t>OMARI Asma</t>
        </is>
      </c>
      <c r="L454" s="45" t="inlineStr">
        <is>
          <t xml:space="preserve"> </t>
        </is>
      </c>
      <c r="M454" s="45">
        <f>IF(COUNTIF($R$3:$R$100, D454) &gt; 0, TRUE, FALSE)</f>
        <v/>
      </c>
    </row>
    <row r="455" ht="93.59999999999999" customHeight="1" s="287">
      <c r="A455" s="45" t="inlineStr">
        <is>
          <t>Request</t>
        </is>
      </c>
      <c r="B455" s="45" t="inlineStr">
        <is>
          <t xml:space="preserve"> </t>
        </is>
      </c>
      <c r="C455" s="45" t="inlineStr">
        <is>
          <t>19/1/2024</t>
        </is>
      </c>
      <c r="D455" s="45" t="inlineStr">
        <is>
          <t>4000E/000A-B548</t>
        </is>
      </c>
      <c r="E455" s="45">
        <f>IFERROR(VLOOKUP(TRIM(D455), Collection!$B$2:$D$1001, 2, FALSE), "")</f>
        <v/>
      </c>
      <c r="F455" s="48">
        <f>IFERROR(VLOOKUP(TRIM(D455), Collection!$B$2:$D$1001, 3, FALSE), "")</f>
        <v/>
      </c>
      <c r="G455" s="48">
        <f>IFERROR(VALUE(SUBSTITUTE(SUBSTITUTE(F455, "Price", ""), "AED", "")), "")</f>
        <v/>
      </c>
      <c r="H455" s="45" t="inlineStr">
        <is>
          <t>Phone sales Middle East</t>
        </is>
      </c>
      <c r="I455" s="45" t="n">
        <v>97266884</v>
      </c>
      <c r="J455" s="45" t="inlineStr">
        <is>
          <t>Prospect</t>
        </is>
      </c>
      <c r="K455" s="45" t="inlineStr">
        <is>
          <t>SHARIF Maaz</t>
        </is>
      </c>
      <c r="L455" s="45" t="inlineStr">
        <is>
          <t>Client’s wedding is in November 2024 and would like to purchase the timepiece and wear it on his day</t>
        </is>
      </c>
      <c r="M455" s="45">
        <f>IF(COUNTIF($R$3:$R$100, D455) &gt; 0, TRUE, FALSE)</f>
        <v/>
      </c>
    </row>
    <row r="456" ht="31.2" customHeight="1" s="287">
      <c r="A456" s="45" t="inlineStr">
        <is>
          <t>Cancelled</t>
        </is>
      </c>
      <c r="B456" s="45" t="inlineStr">
        <is>
          <t>Cancelled</t>
        </is>
      </c>
      <c r="C456" s="45" t="inlineStr">
        <is>
          <t>19/1/2024</t>
        </is>
      </c>
      <c r="D456" s="45" t="inlineStr">
        <is>
          <t>5520V/210A-B686</t>
        </is>
      </c>
      <c r="E456" s="45">
        <f>IFERROR(VLOOKUP(TRIM(D456), Collection!$B$2:$D$1001, 2, FALSE), "")</f>
        <v/>
      </c>
      <c r="F456" s="48">
        <f>IFERROR(VLOOKUP(TRIM(D456), Collection!$B$2:$D$1001, 3, FALSE), "")</f>
        <v/>
      </c>
      <c r="G456" s="48">
        <f>IFERROR(VALUE(SUBSTITUTE(SUBSTITUTE(F456, "Price", ""), "AED", "")), "")</f>
        <v/>
      </c>
      <c r="H456" s="45" t="inlineStr">
        <is>
          <t>Phone sales Middle East</t>
        </is>
      </c>
      <c r="I456" s="45" t="n">
        <v>92401070</v>
      </c>
      <c r="J456" s="45" t="inlineStr">
        <is>
          <t>Prospect</t>
        </is>
      </c>
      <c r="K456" s="45" t="inlineStr">
        <is>
          <t>TAHHAN Riham</t>
        </is>
      </c>
      <c r="L456" s="45" t="inlineStr">
        <is>
          <t xml:space="preserve"> </t>
        </is>
      </c>
      <c r="M456" s="45">
        <f>IF(COUNTIF($R$3:$R$100, D456) &gt; 0, TRUE, FALSE)</f>
        <v/>
      </c>
    </row>
    <row r="457" ht="31.2" customHeight="1" s="287">
      <c r="A457" s="45" t="inlineStr">
        <is>
          <t>Cancelled</t>
        </is>
      </c>
      <c r="B457" s="45" t="inlineStr">
        <is>
          <t>Cancelled</t>
        </is>
      </c>
      <c r="C457" s="46" t="n">
        <v>45566</v>
      </c>
      <c r="D457" s="45" t="inlineStr">
        <is>
          <t>1205V/100A-B591</t>
        </is>
      </c>
      <c r="E457" s="45">
        <f>IFERROR(VLOOKUP(TRIM(D457), Collection!$B$2:$D$1001, 2, FALSE), "")</f>
        <v/>
      </c>
      <c r="F457" s="48">
        <f>IFERROR(VLOOKUP(TRIM(D457), Collection!$B$2:$D$1001, 3, FALSE), "")</f>
        <v/>
      </c>
      <c r="G457" s="48">
        <f>IFERROR(VALUE(SUBSTITUTE(SUBSTITUTE(F457, "Price", ""), "AED", "")), "")</f>
        <v/>
      </c>
      <c r="H457" s="45" t="inlineStr">
        <is>
          <t>Phone sales Middle East</t>
        </is>
      </c>
      <c r="I457" s="45" t="n">
        <v>96731103</v>
      </c>
      <c r="J457" s="45" t="inlineStr">
        <is>
          <t>Prospect</t>
        </is>
      </c>
      <c r="K457" s="45" t="inlineStr">
        <is>
          <t>OMARI Asma</t>
        </is>
      </c>
      <c r="L457" s="45" t="inlineStr">
        <is>
          <t xml:space="preserve"> </t>
        </is>
      </c>
      <c r="M457" s="45">
        <f>IF(COUNTIF($R$3:$R$100, D457) &gt; 0, TRUE, FALSE)</f>
        <v/>
      </c>
    </row>
    <row r="458" ht="31.2" customHeight="1" s="287">
      <c r="A458" s="45" t="inlineStr">
        <is>
          <t>Request</t>
        </is>
      </c>
      <c r="B458" s="45" t="inlineStr">
        <is>
          <t xml:space="preserve"> </t>
        </is>
      </c>
      <c r="C458" s="46" t="n">
        <v>45292</v>
      </c>
      <c r="D458" s="45" t="inlineStr">
        <is>
          <t>4600E/000A-B487</t>
        </is>
      </c>
      <c r="E458" s="45">
        <f>IFERROR(VLOOKUP(TRIM(D458), Collection!$B$2:$D$1001, 2, FALSE), "")</f>
        <v/>
      </c>
      <c r="F458" s="48">
        <f>IFERROR(VLOOKUP(TRIM(D458), Collection!$B$2:$D$1001, 3, FALSE), "")</f>
        <v/>
      </c>
      <c r="G458" s="48">
        <f>IFERROR(VALUE(SUBSTITUTE(SUBSTITUTE(F458, "Price", ""), "AED", "")), "")</f>
        <v/>
      </c>
      <c r="H458" s="45" t="inlineStr">
        <is>
          <t>Phone sales Middle East</t>
        </is>
      </c>
      <c r="I458" s="45" t="n">
        <v>94291400</v>
      </c>
      <c r="J458" s="45" t="inlineStr">
        <is>
          <t>Prospect</t>
        </is>
      </c>
      <c r="K458" s="45" t="inlineStr">
        <is>
          <t>SHARIF Maaz</t>
        </is>
      </c>
      <c r="L458" s="45" t="inlineStr">
        <is>
          <t xml:space="preserve"> </t>
        </is>
      </c>
      <c r="M458" s="45">
        <f>IF(COUNTIF($R$3:$R$100, D458) &gt; 0, TRUE, FALSE)</f>
        <v/>
      </c>
    </row>
    <row r="459" ht="31.2" customHeight="1" s="287">
      <c r="A459" s="45" t="inlineStr">
        <is>
          <t>Cancelled</t>
        </is>
      </c>
      <c r="B459" s="45" t="inlineStr">
        <is>
          <t>Cancelled</t>
        </is>
      </c>
      <c r="C459" s="45" t="inlineStr">
        <is>
          <t>26/12/2023</t>
        </is>
      </c>
      <c r="D459" s="45" t="inlineStr">
        <is>
          <t>1205V/100A-B591</t>
        </is>
      </c>
      <c r="E459" s="45">
        <f>IFERROR(VLOOKUP(TRIM(D459), Collection!$B$2:$D$1001, 2, FALSE), "")</f>
        <v/>
      </c>
      <c r="F459" s="48">
        <f>IFERROR(VLOOKUP(TRIM(D459), Collection!$B$2:$D$1001, 3, FALSE), "")</f>
        <v/>
      </c>
      <c r="G459" s="48">
        <f>IFERROR(VALUE(SUBSTITUTE(SUBSTITUTE(F459, "Price", ""), "AED", "")), "")</f>
        <v/>
      </c>
      <c r="H459" s="45" t="inlineStr">
        <is>
          <t>Phone sales Middle East</t>
        </is>
      </c>
      <c r="I459" s="45" t="n">
        <v>94195497</v>
      </c>
      <c r="J459" s="45" t="inlineStr">
        <is>
          <t>Prospect</t>
        </is>
      </c>
      <c r="K459" s="45" t="inlineStr">
        <is>
          <t>TAHHAN Riham</t>
        </is>
      </c>
      <c r="L459" s="45" t="inlineStr">
        <is>
          <t xml:space="preserve"> </t>
        </is>
      </c>
      <c r="M459" s="45">
        <f>IF(COUNTIF($R$3:$R$100, D459) &gt; 0, TRUE, FALSE)</f>
        <v/>
      </c>
    </row>
    <row r="460" ht="31.2" customHeight="1" s="287">
      <c r="A460" s="45" t="inlineStr">
        <is>
          <t>Cancelled</t>
        </is>
      </c>
      <c r="B460" s="45" t="inlineStr">
        <is>
          <t>Cancelled</t>
        </is>
      </c>
      <c r="C460" s="45" t="inlineStr">
        <is>
          <t>17/12/2023</t>
        </is>
      </c>
      <c r="D460" s="45" t="inlineStr">
        <is>
          <t>4600E/000A-B487</t>
        </is>
      </c>
      <c r="E460" s="45">
        <f>IFERROR(VLOOKUP(TRIM(D460), Collection!$B$2:$D$1001, 2, FALSE), "")</f>
        <v/>
      </c>
      <c r="F460" s="48">
        <f>IFERROR(VLOOKUP(TRIM(D460), Collection!$B$2:$D$1001, 3, FALSE), "")</f>
        <v/>
      </c>
      <c r="G460" s="48">
        <f>IFERROR(VALUE(SUBSTITUTE(SUBSTITUTE(F460, "Price", ""), "AED", "")), "")</f>
        <v/>
      </c>
      <c r="H460" s="45" t="inlineStr">
        <is>
          <t>Phone sales Middle East</t>
        </is>
      </c>
      <c r="I460" s="45" t="n">
        <v>94028251</v>
      </c>
      <c r="J460" s="45" t="inlineStr">
        <is>
          <t>Prospect</t>
        </is>
      </c>
      <c r="K460" s="45" t="inlineStr">
        <is>
          <t>OMARI Asma</t>
        </is>
      </c>
      <c r="L460" s="45" t="inlineStr">
        <is>
          <t xml:space="preserve"> </t>
        </is>
      </c>
      <c r="M460" s="45">
        <f>IF(COUNTIF($R$3:$R$100, D460) &gt; 0, TRUE, FALSE)</f>
        <v/>
      </c>
    </row>
    <row r="461" ht="31.2" customHeight="1" s="287">
      <c r="A461" s="45" t="inlineStr">
        <is>
          <t>Request</t>
        </is>
      </c>
      <c r="B461" s="45" t="inlineStr">
        <is>
          <t xml:space="preserve"> </t>
        </is>
      </c>
      <c r="C461" s="45" t="inlineStr">
        <is>
          <t>15/12/2023</t>
        </is>
      </c>
      <c r="D461" s="45" t="inlineStr">
        <is>
          <t>7920V/210A-B334</t>
        </is>
      </c>
      <c r="E461" s="45">
        <f>IFERROR(VLOOKUP(TRIM(D461), Collection!$B$2:$D$1001, 2, FALSE), "")</f>
        <v/>
      </c>
      <c r="F461" s="48">
        <f>IFERROR(VLOOKUP(TRIM(D461), Collection!$B$2:$D$1001, 3, FALSE), "")</f>
        <v/>
      </c>
      <c r="G461" s="48">
        <f>IFERROR(VALUE(SUBSTITUTE(SUBSTITUTE(F461, "Price", ""), "AED", "")), "")</f>
        <v/>
      </c>
      <c r="H461" s="45" t="inlineStr">
        <is>
          <t>Phone sales Middle East</t>
        </is>
      </c>
      <c r="I461" s="45" t="n">
        <v>92398068</v>
      </c>
      <c r="J461" s="45" t="inlineStr">
        <is>
          <t>Prospect</t>
        </is>
      </c>
      <c r="K461" s="45" t="inlineStr">
        <is>
          <t>SHARIF Maaz</t>
        </is>
      </c>
      <c r="L461" s="45" t="inlineStr">
        <is>
          <t xml:space="preserve"> </t>
        </is>
      </c>
      <c r="M461" s="45">
        <f>IF(COUNTIF($R$3:$R$100, D461) &gt; 0, TRUE, FALSE)</f>
        <v/>
      </c>
    </row>
    <row r="462" ht="31.2" customHeight="1" s="287">
      <c r="A462" s="45" t="inlineStr">
        <is>
          <t>Request</t>
        </is>
      </c>
      <c r="B462" s="45" t="inlineStr">
        <is>
          <t xml:space="preserve"> </t>
        </is>
      </c>
      <c r="C462" s="46" t="n">
        <v>45181</v>
      </c>
      <c r="D462" s="45" t="inlineStr">
        <is>
          <t>7920V/210A-B334</t>
        </is>
      </c>
      <c r="E462" s="45">
        <f>IFERROR(VLOOKUP(TRIM(D462), Collection!$B$2:$D$1001, 2, FALSE), "")</f>
        <v/>
      </c>
      <c r="F462" s="48">
        <f>IFERROR(VLOOKUP(TRIM(D462), Collection!$B$2:$D$1001, 3, FALSE), "")</f>
        <v/>
      </c>
      <c r="G462" s="48">
        <f>IFERROR(VALUE(SUBSTITUTE(SUBSTITUTE(F462, "Price", ""), "AED", "")), "")</f>
        <v/>
      </c>
      <c r="H462" s="45" t="inlineStr">
        <is>
          <t>Phone sales Middle East</t>
        </is>
      </c>
      <c r="I462" s="45" t="n">
        <v>92402171</v>
      </c>
      <c r="J462" s="45" t="inlineStr">
        <is>
          <t>Client</t>
        </is>
      </c>
      <c r="K462" s="45" t="inlineStr">
        <is>
          <t>TAHHAN Riham</t>
        </is>
      </c>
      <c r="L462" s="45" t="inlineStr">
        <is>
          <t xml:space="preserve"> </t>
        </is>
      </c>
      <c r="M462" s="45">
        <f>IF(COUNTIF($R$3:$R$100, D462) &gt; 0, TRUE, FALSE)</f>
        <v/>
      </c>
    </row>
    <row r="463" ht="31.2" customHeight="1" s="287">
      <c r="A463" s="45" t="inlineStr">
        <is>
          <t>Cancelled</t>
        </is>
      </c>
      <c r="B463" s="45" t="inlineStr">
        <is>
          <t>Cancelled</t>
        </is>
      </c>
      <c r="C463" s="45" t="inlineStr">
        <is>
          <t>24/11/2023</t>
        </is>
      </c>
      <c r="D463" s="45" t="inlineStr">
        <is>
          <t>7920V/210A-B334</t>
        </is>
      </c>
      <c r="E463" s="45">
        <f>IFERROR(VLOOKUP(TRIM(D463), Collection!$B$2:$D$1001, 2, FALSE), "")</f>
        <v/>
      </c>
      <c r="F463" s="48">
        <f>IFERROR(VLOOKUP(TRIM(D463), Collection!$B$2:$D$1001, 3, FALSE), "")</f>
        <v/>
      </c>
      <c r="G463" s="48">
        <f>IFERROR(VALUE(SUBSTITUTE(SUBSTITUTE(F463, "Price", ""), "AED", "")), "")</f>
        <v/>
      </c>
      <c r="H463" s="45" t="inlineStr">
        <is>
          <t>Phone sales Middle East</t>
        </is>
      </c>
      <c r="I463" s="45" t="n">
        <v>79989586</v>
      </c>
      <c r="J463" s="45" t="inlineStr">
        <is>
          <t>Prospect</t>
        </is>
      </c>
      <c r="K463" s="45" t="inlineStr">
        <is>
          <t>OMARI Asma</t>
        </is>
      </c>
      <c r="L463" s="45" t="inlineStr">
        <is>
          <t xml:space="preserve"> </t>
        </is>
      </c>
      <c r="M463" s="45">
        <f>IF(COUNTIF($R$3:$R$100, D463) &gt; 0, TRUE, FALSE)</f>
        <v/>
      </c>
    </row>
    <row r="464" ht="31.2" customHeight="1" s="287">
      <c r="A464" s="45" t="inlineStr">
        <is>
          <t>Request</t>
        </is>
      </c>
      <c r="B464" s="45" t="inlineStr">
        <is>
          <t xml:space="preserve"> </t>
        </is>
      </c>
      <c r="C464" s="45" t="inlineStr">
        <is>
          <t>21/11/2023</t>
        </is>
      </c>
      <c r="D464" s="45" t="inlineStr">
        <is>
          <t>4520V/210A-B128</t>
        </is>
      </c>
      <c r="E464" s="45">
        <f>IFERROR(VLOOKUP(TRIM(D464), Collection!$B$2:$D$1001, 2, FALSE), "")</f>
        <v/>
      </c>
      <c r="F464" s="48">
        <f>IFERROR(VLOOKUP(TRIM(D464), Collection!$B$2:$D$1001, 3, FALSE), "")</f>
        <v/>
      </c>
      <c r="G464" s="48">
        <f>IFERROR(VALUE(SUBSTITUTE(SUBSTITUTE(F464, "Price", ""), "AED", "")), "")</f>
        <v/>
      </c>
      <c r="H464" s="45" t="inlineStr">
        <is>
          <t>Phone sales Middle East</t>
        </is>
      </c>
      <c r="I464" s="45" t="n">
        <v>93573185</v>
      </c>
      <c r="J464" s="45" t="inlineStr">
        <is>
          <t>Prospect</t>
        </is>
      </c>
      <c r="K464" s="45" t="inlineStr">
        <is>
          <t>SHARIF Maaz</t>
        </is>
      </c>
      <c r="L464" s="45" t="inlineStr">
        <is>
          <t xml:space="preserve"> </t>
        </is>
      </c>
      <c r="M464" s="45">
        <f>IF(COUNTIF($R$3:$R$100, D464) &gt; 0, TRUE, FALSE)</f>
        <v/>
      </c>
    </row>
    <row r="465" ht="31.2" customHeight="1" s="287">
      <c r="A465" s="45" t="inlineStr">
        <is>
          <t>Sold</t>
        </is>
      </c>
      <c r="B465" s="45" t="inlineStr">
        <is>
          <t>Confirmed</t>
        </is>
      </c>
      <c r="C465" s="45" t="inlineStr">
        <is>
          <t>21/11/2023</t>
        </is>
      </c>
      <c r="D465" s="45" t="inlineStr">
        <is>
          <t>4520V/210A-B128</t>
        </is>
      </c>
      <c r="E465" s="45">
        <f>IFERROR(VLOOKUP(TRIM(D465), Collection!$B$2:$D$1001, 2, FALSE), "")</f>
        <v/>
      </c>
      <c r="F465" s="48">
        <f>IFERROR(VLOOKUP(TRIM(D465), Collection!$B$2:$D$1001, 3, FALSE), "")</f>
        <v/>
      </c>
      <c r="G465" s="48">
        <f>IFERROR(VALUE(SUBSTITUTE(SUBSTITUTE(F465, "Price", ""), "AED", "")), "")</f>
        <v/>
      </c>
      <c r="H465" s="45" t="inlineStr">
        <is>
          <t>Phone sales Middle East</t>
        </is>
      </c>
      <c r="I465" s="45" t="n">
        <v>93573388</v>
      </c>
      <c r="J465" s="45" t="inlineStr">
        <is>
          <t>Prospect</t>
        </is>
      </c>
      <c r="K465" s="45" t="inlineStr">
        <is>
          <t>ALOTAIBI Reem</t>
        </is>
      </c>
      <c r="L465" s="45" t="inlineStr">
        <is>
          <t xml:space="preserve"> </t>
        </is>
      </c>
      <c r="M465" s="45">
        <f>IF(COUNTIF($R$3:$R$100, D465) &gt; 0, TRUE, FALSE)</f>
        <v/>
      </c>
    </row>
    <row r="466" ht="31.2" customHeight="1" s="287">
      <c r="A466" s="45" t="inlineStr">
        <is>
          <t>Cancelled</t>
        </is>
      </c>
      <c r="B466" s="45" t="inlineStr">
        <is>
          <t>Cancelled</t>
        </is>
      </c>
      <c r="C466" s="45" t="inlineStr">
        <is>
          <t>13/11/2023</t>
        </is>
      </c>
      <c r="D466" s="45" t="inlineStr">
        <is>
          <t>4500V/000R-B127</t>
        </is>
      </c>
      <c r="E466" s="45">
        <f>IFERROR(VLOOKUP(TRIM(D466), Collection!$B$2:$D$1001, 2, FALSE), "")</f>
        <v/>
      </c>
      <c r="F466" s="48">
        <f>IFERROR(VLOOKUP(TRIM(D466), Collection!$B$2:$D$1001, 3, FALSE), "")</f>
        <v/>
      </c>
      <c r="G466" s="48">
        <f>IFERROR(VALUE(SUBSTITUTE(SUBSTITUTE(F466, "Price", ""), "AED", "")), "")</f>
        <v/>
      </c>
      <c r="H466" s="45" t="inlineStr">
        <is>
          <t>Phone sales Middle East</t>
        </is>
      </c>
      <c r="I466" s="45" t="n">
        <v>93306019</v>
      </c>
      <c r="J466" s="45" t="inlineStr">
        <is>
          <t>Prospect</t>
        </is>
      </c>
      <c r="K466" s="45" t="inlineStr">
        <is>
          <t>OMARI Asma</t>
        </is>
      </c>
      <c r="L466" s="45" t="inlineStr">
        <is>
          <t xml:space="preserve"> </t>
        </is>
      </c>
      <c r="M466" s="45">
        <f>IF(COUNTIF($R$3:$R$100, D466) &gt; 0, TRUE, FALSE)</f>
        <v/>
      </c>
    </row>
    <row r="467" ht="31.2" customHeight="1" s="287">
      <c r="A467" s="45" t="inlineStr">
        <is>
          <t>Request</t>
        </is>
      </c>
      <c r="B467" s="45" t="inlineStr">
        <is>
          <t xml:space="preserve"> </t>
        </is>
      </c>
      <c r="C467" s="45" t="inlineStr">
        <is>
          <t>13/11/2023</t>
        </is>
      </c>
      <c r="D467" s="45" t="inlineStr">
        <is>
          <t>4520V/210A-B128</t>
        </is>
      </c>
      <c r="E467" s="45">
        <f>IFERROR(VLOOKUP(TRIM(D467), Collection!$B$2:$D$1001, 2, FALSE), "")</f>
        <v/>
      </c>
      <c r="F467" s="48">
        <f>IFERROR(VLOOKUP(TRIM(D467), Collection!$B$2:$D$1001, 3, FALSE), "")</f>
        <v/>
      </c>
      <c r="G467" s="48">
        <f>IFERROR(VALUE(SUBSTITUTE(SUBSTITUTE(F467, "Price", ""), "AED", "")), "")</f>
        <v/>
      </c>
      <c r="H467" s="45" t="inlineStr">
        <is>
          <t>Phone sales Middle East</t>
        </is>
      </c>
      <c r="I467" s="45" t="n">
        <v>92407789</v>
      </c>
      <c r="J467" s="45" t="inlineStr">
        <is>
          <t>Prospect</t>
        </is>
      </c>
      <c r="K467" s="45" t="inlineStr">
        <is>
          <t>SHARIF Maaz</t>
        </is>
      </c>
      <c r="L467" s="45" t="inlineStr">
        <is>
          <t xml:space="preserve"> </t>
        </is>
      </c>
      <c r="M467" s="45">
        <f>IF(COUNTIF($R$3:$R$100, D467) &gt; 0, TRUE, FALSE)</f>
        <v/>
      </c>
    </row>
    <row r="468" ht="31.2" customHeight="1" s="287">
      <c r="A468" s="45" t="inlineStr">
        <is>
          <t>Request</t>
        </is>
      </c>
      <c r="B468" s="45" t="inlineStr">
        <is>
          <t>Confirmed</t>
        </is>
      </c>
      <c r="C468" s="46" t="n">
        <v>45118</v>
      </c>
      <c r="D468" s="45" t="inlineStr">
        <is>
          <t>4520V/210A-B128</t>
        </is>
      </c>
      <c r="E468" s="45">
        <f>IFERROR(VLOOKUP(TRIM(D468), Collection!$B$2:$D$1001, 2, FALSE), "")</f>
        <v/>
      </c>
      <c r="F468" s="48">
        <f>IFERROR(VLOOKUP(TRIM(D468), Collection!$B$2:$D$1001, 3, FALSE), "")</f>
        <v/>
      </c>
      <c r="G468" s="48">
        <f>IFERROR(VALUE(SUBSTITUTE(SUBSTITUTE(F468, "Price", ""), "AED", "")), "")</f>
        <v/>
      </c>
      <c r="H468" s="45" t="inlineStr">
        <is>
          <t>Phone sales Middle East</t>
        </is>
      </c>
      <c r="I468" s="45" t="n">
        <v>93307928</v>
      </c>
      <c r="J468" s="45" t="inlineStr">
        <is>
          <t>Prospect</t>
        </is>
      </c>
      <c r="K468" s="45" t="inlineStr">
        <is>
          <t>TAHHAN Riham</t>
        </is>
      </c>
      <c r="L468" s="45" t="inlineStr">
        <is>
          <t xml:space="preserve"> </t>
        </is>
      </c>
      <c r="M468" s="45">
        <f>IF(COUNTIF($R$3:$R$100, D468) &gt; 0, TRUE, FALSE)</f>
        <v/>
      </c>
    </row>
    <row r="469" ht="78" customHeight="1" s="287">
      <c r="A469" s="45" t="inlineStr">
        <is>
          <t>Request</t>
        </is>
      </c>
      <c r="B469" s="45" t="inlineStr">
        <is>
          <t xml:space="preserve"> </t>
        </is>
      </c>
      <c r="C469" s="46" t="n">
        <v>44996</v>
      </c>
      <c r="D469" s="45" t="inlineStr">
        <is>
          <t>4520V/210A-B128</t>
        </is>
      </c>
      <c r="E469" s="45">
        <f>IFERROR(VLOOKUP(TRIM(D469), Collection!$B$2:$D$1001, 2, FALSE), "")</f>
        <v/>
      </c>
      <c r="F469" s="48">
        <f>IFERROR(VLOOKUP(TRIM(D469), Collection!$B$2:$D$1001, 3, FALSE), "")</f>
        <v/>
      </c>
      <c r="G469" s="48">
        <f>IFERROR(VALUE(SUBSTITUTE(SUBSTITUTE(F469, "Price", ""), "AED", "")), "")</f>
        <v/>
      </c>
      <c r="H469" s="45" t="inlineStr">
        <is>
          <t>Phone sales Middle East</t>
        </is>
      </c>
      <c r="I469" s="45" t="n">
        <v>93266623</v>
      </c>
      <c r="J469" s="45" t="inlineStr">
        <is>
          <t>Prospect</t>
        </is>
      </c>
      <c r="K469" s="45" t="inlineStr">
        <is>
          <t>OMARI Asma</t>
        </is>
      </c>
      <c r="L469" s="45" t="inlineStr">
        <is>
          <t>Client does not want to subscribe to marketing, he just needs a contact if the piece is available.</t>
        </is>
      </c>
      <c r="M469" s="45">
        <f>IF(COUNTIF($R$3:$R$100, D469) &gt; 0, TRUE, FALSE)</f>
        <v/>
      </c>
    </row>
    <row r="470" ht="31.2" customHeight="1" s="287">
      <c r="A470" s="45" t="inlineStr">
        <is>
          <t>Cancelled</t>
        </is>
      </c>
      <c r="B470" s="45" t="inlineStr">
        <is>
          <t>Cancelled</t>
        </is>
      </c>
      <c r="C470" s="46" t="n">
        <v>44937</v>
      </c>
      <c r="D470" s="45" t="inlineStr">
        <is>
          <t>6000V/110A-B544</t>
        </is>
      </c>
      <c r="E470" s="45">
        <f>IFERROR(VLOOKUP(TRIM(D470), Collection!$B$2:$D$1001, 2, FALSE), "")</f>
        <v/>
      </c>
      <c r="F470" s="48">
        <f>IFERROR(VLOOKUP(TRIM(D470), Collection!$B$2:$D$1001, 3, FALSE), "")</f>
        <v/>
      </c>
      <c r="G470" s="48">
        <f>IFERROR(VALUE(SUBSTITUTE(SUBSTITUTE(F470, "Price", ""), "AED", "")), "")</f>
        <v/>
      </c>
      <c r="H470" s="45" t="inlineStr">
        <is>
          <t>Phone sales Middle East</t>
        </is>
      </c>
      <c r="I470" s="45" t="n">
        <v>93234862</v>
      </c>
      <c r="J470" s="45" t="inlineStr">
        <is>
          <t>Prospect</t>
        </is>
      </c>
      <c r="K470" s="45" t="inlineStr">
        <is>
          <t>OMARI Asma</t>
        </is>
      </c>
      <c r="L470" s="45" t="inlineStr">
        <is>
          <t xml:space="preserve"> </t>
        </is>
      </c>
      <c r="M470" s="45">
        <f>IF(COUNTIF($R$3:$R$100, D470) &gt; 0, TRUE, FALSE)</f>
        <v/>
      </c>
    </row>
    <row r="471" ht="31.2" customHeight="1" s="287">
      <c r="A471" s="45" t="inlineStr">
        <is>
          <t>Request</t>
        </is>
      </c>
      <c r="B471" s="45" t="inlineStr">
        <is>
          <t xml:space="preserve"> </t>
        </is>
      </c>
      <c r="C471" s="45" t="inlineStr">
        <is>
          <t>29/10/2023</t>
        </is>
      </c>
      <c r="D471" s="45" t="inlineStr">
        <is>
          <t>4520V/210A-B126</t>
        </is>
      </c>
      <c r="E471" s="45">
        <f>IFERROR(VLOOKUP(TRIM(D471), Collection!$B$2:$D$1001, 2, FALSE), "")</f>
        <v/>
      </c>
      <c r="F471" s="48">
        <f>IFERROR(VLOOKUP(TRIM(D471), Collection!$B$2:$D$1001, 3, FALSE), "")</f>
        <v/>
      </c>
      <c r="G471" s="48">
        <f>IFERROR(VALUE(SUBSTITUTE(SUBSTITUTE(F471, "Price", ""), "AED", "")), "")</f>
        <v/>
      </c>
      <c r="H471" s="45" t="inlineStr">
        <is>
          <t>Phone sales Middle East</t>
        </is>
      </c>
      <c r="I471" s="45" t="n">
        <v>1301022</v>
      </c>
      <c r="J471" s="45" t="inlineStr">
        <is>
          <t>Prospect</t>
        </is>
      </c>
      <c r="K471" s="45" t="inlineStr">
        <is>
          <t>SHARIF Maaz</t>
        </is>
      </c>
      <c r="L471" s="45" t="inlineStr">
        <is>
          <t xml:space="preserve"> </t>
        </is>
      </c>
      <c r="M471" s="45">
        <f>IF(COUNTIF($R$3:$R$100, D471) &gt; 0, TRUE, FALSE)</f>
        <v/>
      </c>
    </row>
    <row r="472" ht="78" customHeight="1" s="287">
      <c r="A472" s="45" t="inlineStr">
        <is>
          <t>Request</t>
        </is>
      </c>
      <c r="B472" s="45" t="inlineStr">
        <is>
          <t xml:space="preserve"> </t>
        </is>
      </c>
      <c r="C472" s="45" t="inlineStr">
        <is>
          <t>22/10/2023</t>
        </is>
      </c>
      <c r="D472" s="45" t="inlineStr">
        <is>
          <t>4520V/210A-B128</t>
        </is>
      </c>
      <c r="E472" s="45">
        <f>IFERROR(VLOOKUP(TRIM(D472), Collection!$B$2:$D$1001, 2, FALSE), "")</f>
        <v/>
      </c>
      <c r="F472" s="48">
        <f>IFERROR(VLOOKUP(TRIM(D472), Collection!$B$2:$D$1001, 3, FALSE), "")</f>
        <v/>
      </c>
      <c r="G472" s="48">
        <f>IFERROR(VALUE(SUBSTITUTE(SUBSTITUTE(F472, "Price", ""), "AED", "")), "")</f>
        <v/>
      </c>
      <c r="H472" s="45" t="inlineStr">
        <is>
          <t>Phone sales Middle East</t>
        </is>
      </c>
      <c r="I472" s="45" t="n">
        <v>1297716</v>
      </c>
      <c r="J472" s="45" t="inlineStr">
        <is>
          <t>Prospect</t>
        </is>
      </c>
      <c r="K472" s="45" t="inlineStr">
        <is>
          <t>TAHHAN Riham</t>
        </is>
      </c>
      <c r="L472" s="45" t="inlineStr">
        <is>
          <t>The client’s main residence is in Saudi Arabia, and he wants to register on the waiting list of UAE</t>
        </is>
      </c>
      <c r="M472" s="45">
        <f>IF(COUNTIF($R$3:$R$100, D472) &gt; 0, TRUE, FALSE)</f>
        <v/>
      </c>
    </row>
    <row r="473" ht="46.95" customHeight="1" s="287">
      <c r="A473" s="45" t="inlineStr">
        <is>
          <t>Cancelled</t>
        </is>
      </c>
      <c r="B473" s="45" t="inlineStr">
        <is>
          <t>Cancelled</t>
        </is>
      </c>
      <c r="C473" s="45" t="inlineStr">
        <is>
          <t>21/10/2023</t>
        </is>
      </c>
      <c r="D473" s="45" t="inlineStr">
        <is>
          <t>4000V/210A-B911</t>
        </is>
      </c>
      <c r="E473" s="45">
        <f>IFERROR(VLOOKUP(TRIM(D473), Collection!$B$2:$D$1001, 2, FALSE), "")</f>
        <v/>
      </c>
      <c r="F473" s="48">
        <f>IFERROR(VLOOKUP(TRIM(D473), Collection!$B$2:$D$1001, 3, FALSE), "")</f>
        <v/>
      </c>
      <c r="G473" s="48">
        <f>IFERROR(VALUE(SUBSTITUTE(SUBSTITUTE(F473, "Price", ""), "AED", "")), "")</f>
        <v/>
      </c>
      <c r="H473" s="45" t="inlineStr">
        <is>
          <t>Phone sales Middle East</t>
        </is>
      </c>
      <c r="I473" s="45" t="n">
        <v>1297177</v>
      </c>
      <c r="J473" s="45" t="inlineStr">
        <is>
          <t>Prospect</t>
        </is>
      </c>
      <c r="K473" s="45" t="inlineStr">
        <is>
          <t>OMARI Asma</t>
        </is>
      </c>
      <c r="L473" s="45" t="inlineStr">
        <is>
          <t xml:space="preserve"> </t>
        </is>
      </c>
      <c r="M473" s="45">
        <f>IF(COUNTIF($R$3:$R$100, D473) &gt; 0, TRUE, FALSE)</f>
        <v/>
      </c>
    </row>
    <row r="474" ht="31.2" customHeight="1" s="287">
      <c r="A474" s="45" t="inlineStr">
        <is>
          <t>Sold</t>
        </is>
      </c>
      <c r="B474" s="45" t="inlineStr">
        <is>
          <t xml:space="preserve"> </t>
        </is>
      </c>
      <c r="C474" s="45" t="inlineStr">
        <is>
          <t>20/10/2023</t>
        </is>
      </c>
      <c r="D474" s="45" t="inlineStr">
        <is>
          <t>4200H/222J-B935</t>
        </is>
      </c>
      <c r="E474" s="45">
        <f>IFERROR(VLOOKUP(TRIM(D474), Collection!$B$2:$D$1001, 2, FALSE), "")</f>
        <v/>
      </c>
      <c r="F474" s="48">
        <f>IFERROR(VLOOKUP(TRIM(D474), Collection!$B$2:$D$1001, 3, FALSE), "")</f>
        <v/>
      </c>
      <c r="G474" s="48">
        <f>IFERROR(VALUE(SUBSTITUTE(SUBSTITUTE(F474, "Price", ""), "AED", "")), "")</f>
        <v/>
      </c>
      <c r="H474" s="45" t="inlineStr">
        <is>
          <t>Phone sales Middle East</t>
        </is>
      </c>
      <c r="I474" s="45" t="n">
        <v>1291072</v>
      </c>
      <c r="J474" s="45" t="inlineStr">
        <is>
          <t>Prospect</t>
        </is>
      </c>
      <c r="K474" s="45" t="inlineStr">
        <is>
          <t>SHARIF Maaz</t>
        </is>
      </c>
      <c r="L474" s="45" t="inlineStr">
        <is>
          <t xml:space="preserve"> </t>
        </is>
      </c>
      <c r="M474" s="45">
        <f>IF(COUNTIF($R$3:$R$100, D474) &gt; 0, TRUE, FALSE)</f>
        <v/>
      </c>
    </row>
    <row r="475" ht="31.2" customHeight="1" s="287">
      <c r="A475" s="45" t="inlineStr">
        <is>
          <t>Request</t>
        </is>
      </c>
      <c r="B475" s="45" t="inlineStr">
        <is>
          <t xml:space="preserve"> </t>
        </is>
      </c>
      <c r="C475" s="45" t="inlineStr">
        <is>
          <t>15/10/2023</t>
        </is>
      </c>
      <c r="D475" s="45" t="inlineStr">
        <is>
          <t>4520V/210A-B128</t>
        </is>
      </c>
      <c r="E475" s="45">
        <f>IFERROR(VLOOKUP(TRIM(D475), Collection!$B$2:$D$1001, 2, FALSE), "")</f>
        <v/>
      </c>
      <c r="F475" s="48">
        <f>IFERROR(VLOOKUP(TRIM(D475), Collection!$B$2:$D$1001, 3, FALSE), "")</f>
        <v/>
      </c>
      <c r="G475" s="48">
        <f>IFERROR(VALUE(SUBSTITUTE(SUBSTITUTE(F475, "Price", ""), "AED", "")), "")</f>
        <v/>
      </c>
      <c r="H475" s="45" t="inlineStr">
        <is>
          <t>Phone sales Middle East</t>
        </is>
      </c>
      <c r="I475" s="45" t="n">
        <v>1291327</v>
      </c>
      <c r="J475" s="45" t="inlineStr">
        <is>
          <t>Prospect</t>
        </is>
      </c>
      <c r="K475" s="45" t="inlineStr">
        <is>
          <t>TAHHAN Riham</t>
        </is>
      </c>
      <c r="L475" s="45" t="inlineStr">
        <is>
          <t xml:space="preserve"> </t>
        </is>
      </c>
      <c r="M475" s="45">
        <f>IF(COUNTIF($R$3:$R$100, D475) &gt; 0, TRUE, FALSE)</f>
        <v/>
      </c>
    </row>
    <row r="476" ht="31.2" customHeight="1" s="287">
      <c r="A476" s="45" t="inlineStr">
        <is>
          <t>Cancelled</t>
        </is>
      </c>
      <c r="B476" s="45" t="inlineStr">
        <is>
          <t>Cancelled</t>
        </is>
      </c>
      <c r="C476" s="46" t="n">
        <v>45240</v>
      </c>
      <c r="D476" s="45" t="inlineStr">
        <is>
          <t>4520V/210A-B126</t>
        </is>
      </c>
      <c r="E476" s="45">
        <f>IFERROR(VLOOKUP(TRIM(D476), Collection!$B$2:$D$1001, 2, FALSE), "")</f>
        <v/>
      </c>
      <c r="F476" s="48">
        <f>IFERROR(VLOOKUP(TRIM(D476), Collection!$B$2:$D$1001, 3, FALSE), "")</f>
        <v/>
      </c>
      <c r="G476" s="48">
        <f>IFERROR(VALUE(SUBSTITUTE(SUBSTITUTE(F476, "Price", ""), "AED", "")), "")</f>
        <v/>
      </c>
      <c r="H476" s="45" t="inlineStr">
        <is>
          <t>Phone sales Middle East</t>
        </is>
      </c>
      <c r="I476" s="45" t="n">
        <v>1289465</v>
      </c>
      <c r="J476" s="45" t="inlineStr">
        <is>
          <t>Prospect</t>
        </is>
      </c>
      <c r="K476" s="45" t="inlineStr">
        <is>
          <t>OMARI Asma</t>
        </is>
      </c>
      <c r="L476" s="45" t="inlineStr">
        <is>
          <t xml:space="preserve"> </t>
        </is>
      </c>
      <c r="M476" s="45">
        <f>IF(COUNTIF($R$3:$R$100, D476) &gt; 0, TRUE, FALSE)</f>
        <v/>
      </c>
    </row>
    <row r="477" ht="31.2" customHeight="1" s="287">
      <c r="A477" s="45" t="inlineStr">
        <is>
          <t>Request</t>
        </is>
      </c>
      <c r="B477" s="45" t="inlineStr">
        <is>
          <t xml:space="preserve"> </t>
        </is>
      </c>
      <c r="C477" s="46" t="n">
        <v>45179</v>
      </c>
      <c r="D477" s="45" t="inlineStr">
        <is>
          <t>4520V/210A-B128</t>
        </is>
      </c>
      <c r="E477" s="45">
        <f>IFERROR(VLOOKUP(TRIM(D477), Collection!$B$2:$D$1001, 2, FALSE), "")</f>
        <v/>
      </c>
      <c r="F477" s="48">
        <f>IFERROR(VLOOKUP(TRIM(D477), Collection!$B$2:$D$1001, 3, FALSE), "")</f>
        <v/>
      </c>
      <c r="G477" s="48">
        <f>IFERROR(VALUE(SUBSTITUTE(SUBSTITUTE(F477, "Price", ""), "AED", "")), "")</f>
        <v/>
      </c>
      <c r="H477" s="45" t="inlineStr">
        <is>
          <t>Phone sales Middle East</t>
        </is>
      </c>
      <c r="I477" s="45" t="n">
        <v>1288389</v>
      </c>
      <c r="J477" s="45" t="inlineStr">
        <is>
          <t>Prospect</t>
        </is>
      </c>
      <c r="K477" s="45" t="inlineStr">
        <is>
          <t>OMARI Asma</t>
        </is>
      </c>
      <c r="L477" s="45" t="inlineStr">
        <is>
          <t xml:space="preserve"> </t>
        </is>
      </c>
      <c r="M477" s="45">
        <f>IF(COUNTIF($R$3:$R$100, D477) &gt; 0, TRUE, FALSE)</f>
        <v/>
      </c>
    </row>
    <row r="478" ht="31.2" customHeight="1" s="287">
      <c r="A478" s="45" t="inlineStr">
        <is>
          <t>Request</t>
        </is>
      </c>
      <c r="B478" s="45" t="inlineStr">
        <is>
          <t xml:space="preserve"> </t>
        </is>
      </c>
      <c r="C478" s="46" t="n">
        <v>45148</v>
      </c>
      <c r="D478" s="45" t="inlineStr">
        <is>
          <t>4520V/210A-B128</t>
        </is>
      </c>
      <c r="E478" s="45">
        <f>IFERROR(VLOOKUP(TRIM(D478), Collection!$B$2:$D$1001, 2, FALSE), "")</f>
        <v/>
      </c>
      <c r="F478" s="48">
        <f>IFERROR(VLOOKUP(TRIM(D478), Collection!$B$2:$D$1001, 3, FALSE), "")</f>
        <v/>
      </c>
      <c r="G478" s="48">
        <f>IFERROR(VALUE(SUBSTITUTE(SUBSTITUTE(F478, "Price", ""), "AED", "")), "")</f>
        <v/>
      </c>
      <c r="H478" s="45" t="inlineStr">
        <is>
          <t>Phone sales Middle East</t>
        </is>
      </c>
      <c r="I478" s="45" t="n">
        <v>1150674</v>
      </c>
      <c r="J478" s="45" t="inlineStr">
        <is>
          <t>Client</t>
        </is>
      </c>
      <c r="K478" s="45" t="inlineStr">
        <is>
          <t>SHARIF Maaz</t>
        </is>
      </c>
      <c r="L478" s="45" t="inlineStr">
        <is>
          <t xml:space="preserve"> </t>
        </is>
      </c>
      <c r="M478" s="45">
        <f>IF(COUNTIF($R$3:$R$100, D478) &gt; 0, TRUE, FALSE)</f>
        <v/>
      </c>
    </row>
    <row r="479">
      <c r="F479" s="41" t="n"/>
      <c r="G479" s="41" t="n"/>
    </row>
  </sheetData>
  <sheetProtection selectLockedCells="0" selectUnlockedCells="0" algorithmName="SHA-512" sheet="1" objects="1" insertRows="1" insertHyperlinks="1" autoFilter="1" scenarios="1" formatColumns="1" deleteColumns="1" insertColumns="1" pivotTables="1" deleteRows="1" formatCells="1" saltValue="oh+xVefi/O6p0IRbkgEf8Q==" formatRows="1" sort="1" spinCount="100000" hashValue="/O6Tvs6a0s1rFkdSHjiBzGGV7aY+YOWAy4oAlu56+ZJPcxdSACu1sduQ51rofU4K5EagsR1pq+q/LvIpL7EvJA=="/>
  <pageMargins left="0.7" right="0.7" top="0.75" bottom="0.75" header="0.3" footer="0.3"/>
  <tableParts count="1">
    <tablePart xmlns:r="http://schemas.openxmlformats.org/officeDocument/2006/relationships" r:id="rId1"/>
  </tableParts>
</worksheet>
</file>

<file path=xl/worksheets/sheet6.xml><?xml version="1.0" encoding="utf-8"?>
<worksheet xmlns="http://schemas.openxmlformats.org/spreadsheetml/2006/main">
  <sheetPr codeName="Sheet5">
    <outlinePr summaryBelow="1" summaryRight="1"/>
    <pageSetUpPr/>
  </sheetPr>
  <dimension ref="A1:P13"/>
  <sheetViews>
    <sheetView topLeftCell="A269" zoomScaleNormal="100" workbookViewId="0">
      <selection activeCell="B2" sqref="B2"/>
    </sheetView>
  </sheetViews>
  <sheetFormatPr baseColWidth="8" defaultRowHeight="14.4"/>
  <cols>
    <col width="18" customWidth="1" style="287" min="1" max="1"/>
    <col width="12" bestFit="1" customWidth="1" style="287" min="2" max="2"/>
    <col width="30" customWidth="1" style="287" min="3" max="3"/>
    <col width="12" bestFit="1" customWidth="1" style="287" min="4" max="4"/>
    <col width="12" bestFit="1" customWidth="1" style="287" min="5" max="5"/>
    <col width="12" bestFit="1" customWidth="1" style="287" min="6" max="6"/>
    <col width="8" bestFit="1" customWidth="1" style="287" min="7" max="7"/>
    <col width="15" customWidth="1" style="287" min="8" max="8"/>
    <col width="25" customWidth="1" style="287" min="9" max="9"/>
    <col width="20" bestFit="1" customWidth="1" style="287" min="10" max="10"/>
    <col width="8" customWidth="1" style="287" min="11" max="11"/>
    <col width="8" customWidth="1" style="287" min="12" max="12"/>
    <col width="8" customWidth="1" style="287" min="13" max="13"/>
    <col width="10" customWidth="1" style="287" min="14" max="14"/>
    <col width="20" customWidth="1" style="287" min="15" max="15"/>
  </cols>
  <sheetData>
    <row r="1" ht="40" customHeight="1" s="287">
      <c r="A1" s="304" t="inlineStr">
        <is>
          <t>VACHERON CONSTANTIN COLLECTION DATABASE</t>
        </is>
      </c>
    </row>
    <row r="3">
      <c r="A3" s="305" t="inlineStr">
        <is>
          <t>Reference</t>
        </is>
      </c>
      <c r="B3" s="305" t="inlineStr">
        <is>
          <t>Collection</t>
        </is>
      </c>
      <c r="C3" s="305" t="inlineStr">
        <is>
          <t>Model_Name</t>
        </is>
      </c>
      <c r="D3" s="305" t="inlineStr">
        <is>
          <t>Price_AED</t>
        </is>
      </c>
      <c r="E3" s="305" t="inlineStr">
        <is>
          <t>Availability</t>
        </is>
      </c>
      <c r="F3" s="305" t="inlineStr">
        <is>
          <t>Interest_Level</t>
        </is>
      </c>
      <c r="G3" s="305" t="inlineStr">
        <is>
          <t>Waitlist_Count</t>
        </is>
      </c>
      <c r="H3" s="305" t="inlineStr">
        <is>
          <t>Target_Archetype</t>
        </is>
      </c>
      <c r="I3" s="305" t="inlineStr">
        <is>
          <t>Key_Features</t>
        </is>
      </c>
      <c r="J3" s="305" t="inlineStr">
        <is>
          <t>Competitive_Advantage</t>
        </is>
      </c>
      <c r="K3" s="305" t="inlineStr">
        <is>
          <t>Sales_YTD</t>
        </is>
      </c>
      <c r="L3" s="305" t="inlineStr">
        <is>
          <t>Target_2025</t>
        </is>
      </c>
      <c r="M3" s="305" t="inlineStr">
        <is>
          <t>Margin</t>
        </is>
      </c>
      <c r="N3" s="305" t="inlineStr">
        <is>
          <t>Status</t>
        </is>
      </c>
      <c r="O3" s="305" t="inlineStr">
        <is>
          <t>Notes</t>
        </is>
      </c>
    </row>
    <row r="4">
      <c r="A4" s="306" t="inlineStr">
        <is>
          <t>4520V/210A-B128</t>
        </is>
      </c>
      <c r="B4" s="306" t="inlineStr">
        <is>
          <t>Overseas</t>
        </is>
      </c>
      <c r="C4" s="306" t="inlineStr">
        <is>
          <t>Overseas Self-Winding Blue</t>
        </is>
      </c>
      <c r="D4" s="306" t="inlineStr">
        <is>
          <t>165000</t>
        </is>
      </c>
      <c r="E4" s="306" t="inlineStr">
        <is>
          <t>Waitlist</t>
        </is>
      </c>
      <c r="F4" s="306" t="inlineStr">
        <is>
          <t>Very High</t>
        </is>
      </c>
      <c r="G4" s="306" t="inlineStr">
        <is>
          <t>25</t>
        </is>
      </c>
      <c r="H4" s="306" t="inlineStr">
        <is>
          <t>Sports Collector</t>
        </is>
      </c>
      <c r="I4" s="306" t="inlineStr">
        <is>
          <t>Integrated bracelet, Blue dial</t>
        </is>
      </c>
      <c r="J4" s="306" t="inlineStr">
        <is>
          <t>Sports sophistication</t>
        </is>
      </c>
      <c r="K4" s="306" t="inlineStr">
        <is>
          <t>8</t>
        </is>
      </c>
      <c r="L4" s="306" t="inlineStr">
        <is>
          <t>20</t>
        </is>
      </c>
      <c r="M4" s="306" t="inlineStr">
        <is>
          <t>44%</t>
        </is>
      </c>
      <c r="N4" s="306" t="inlineStr">
        <is>
          <t>Active</t>
        </is>
      </c>
      <c r="O4" s="306" t="inlineStr">
        <is>
          <t>High demand model</t>
        </is>
      </c>
    </row>
    <row r="5">
      <c r="A5" s="306" t="inlineStr">
        <is>
          <t>4000V/210A-B911</t>
        </is>
      </c>
      <c r="B5" s="306" t="inlineStr">
        <is>
          <t>Overseas</t>
        </is>
      </c>
      <c r="C5" s="306" t="inlineStr">
        <is>
          <t>Overseas Moon Phase Retrograde</t>
        </is>
      </c>
      <c r="D5" s="306" t="inlineStr">
        <is>
          <t>185000</t>
        </is>
      </c>
      <c r="E5" s="306" t="inlineStr">
        <is>
          <t>Available</t>
        </is>
      </c>
      <c r="F5" s="306" t="inlineStr">
        <is>
          <t>High</t>
        </is>
      </c>
      <c r="G5" s="306" t="inlineStr">
        <is>
          <t>12</t>
        </is>
      </c>
      <c r="H5" s="306" t="inlineStr">
        <is>
          <t>Luxury Enthusiast</t>
        </is>
      </c>
      <c r="I5" s="306" t="inlineStr">
        <is>
          <t>Moon phase complication</t>
        </is>
      </c>
      <c r="J5" s="306" t="inlineStr">
        <is>
          <t>Unique functionality</t>
        </is>
      </c>
      <c r="K5" s="306" t="inlineStr">
        <is>
          <t>12</t>
        </is>
      </c>
      <c r="L5" s="306" t="inlineStr">
        <is>
          <t>18</t>
        </is>
      </c>
      <c r="M5" s="306" t="inlineStr">
        <is>
          <t>46%</t>
        </is>
      </c>
      <c r="N5" s="306" t="inlineStr">
        <is>
          <t>Active</t>
        </is>
      </c>
      <c r="O5" s="306" t="inlineStr">
        <is>
          <t>Popular complication</t>
        </is>
      </c>
    </row>
    <row r="6">
      <c r="A6" s="306" t="inlineStr">
        <is>
          <t>43175/000R-B519</t>
        </is>
      </c>
      <c r="B6" s="306" t="inlineStr">
        <is>
          <t>Patrimony</t>
        </is>
      </c>
      <c r="C6" s="306" t="inlineStr">
        <is>
          <t>Patrimony Perpetual Calendar</t>
        </is>
      </c>
      <c r="D6" s="306" t="inlineStr">
        <is>
          <t>485000</t>
        </is>
      </c>
      <c r="E6" s="306" t="inlineStr">
        <is>
          <t>Special Order</t>
        </is>
      </c>
      <c r="F6" s="306" t="inlineStr">
        <is>
          <t>Exclusive</t>
        </is>
      </c>
      <c r="G6" s="306" t="inlineStr">
        <is>
          <t>5</t>
        </is>
      </c>
      <c r="H6" s="306" t="inlineStr">
        <is>
          <t>VIP Collector</t>
        </is>
      </c>
      <c r="I6" s="306" t="inlineStr">
        <is>
          <t>Perpetual calendar</t>
        </is>
      </c>
      <c r="J6" s="306" t="inlineStr">
        <is>
          <t>Horological mastery</t>
        </is>
      </c>
      <c r="K6" s="306" t="inlineStr">
        <is>
          <t>3</t>
        </is>
      </c>
      <c r="L6" s="306" t="inlineStr">
        <is>
          <t>8</t>
        </is>
      </c>
      <c r="M6" s="306" t="inlineStr">
        <is>
          <t>58%</t>
        </is>
      </c>
      <c r="N6" s="306" t="inlineStr">
        <is>
          <t>Limited</t>
        </is>
      </c>
      <c r="O6" s="306" t="inlineStr">
        <is>
          <t>Ultra-exclusive</t>
        </is>
      </c>
    </row>
    <row r="7">
      <c r="A7" s="306" t="inlineStr">
        <is>
          <t>4600E/000A-B487</t>
        </is>
      </c>
      <c r="B7" s="306" t="inlineStr">
        <is>
          <t>FiftySix</t>
        </is>
      </c>
      <c r="C7" s="306" t="inlineStr">
        <is>
          <t>FiftySix Self-Winding</t>
        </is>
      </c>
      <c r="D7" s="306" t="inlineStr">
        <is>
          <t>155000</t>
        </is>
      </c>
      <c r="E7" s="306" t="inlineStr">
        <is>
          <t>Available</t>
        </is>
      </c>
      <c r="F7" s="306" t="inlineStr">
        <is>
          <t>Medium</t>
        </is>
      </c>
      <c r="G7" s="306" t="inlineStr">
        <is>
          <t>8</t>
        </is>
      </c>
      <c r="H7" s="306" t="inlineStr">
        <is>
          <t>Modern Enthusiast</t>
        </is>
      </c>
      <c r="I7" s="306" t="inlineStr">
        <is>
          <t>Contemporary design</t>
        </is>
      </c>
      <c r="J7" s="306" t="inlineStr">
        <is>
          <t>Everyday luxury</t>
        </is>
      </c>
      <c r="K7" s="306" t="inlineStr">
        <is>
          <t>15</t>
        </is>
      </c>
      <c r="L7" s="306" t="inlineStr">
        <is>
          <t>25</t>
        </is>
      </c>
      <c r="M7" s="306" t="inlineStr">
        <is>
          <t>46%</t>
        </is>
      </c>
      <c r="N7" s="306" t="inlineStr">
        <is>
          <t>Active</t>
        </is>
      </c>
      <c r="O7" s="306" t="inlineStr">
        <is>
          <t>Entry luxury</t>
        </is>
      </c>
    </row>
    <row r="8">
      <c r="A8" s="306" t="inlineStr">
        <is>
          <t>5000T/000P-B975</t>
        </is>
      </c>
      <c r="B8" s="306" t="inlineStr">
        <is>
          <t>Traditionnelle</t>
        </is>
      </c>
      <c r="C8" s="306" t="inlineStr">
        <is>
          <t>Traditionnelle Perpetual Chronograph</t>
        </is>
      </c>
      <c r="D8" s="306" t="inlineStr">
        <is>
          <t>525000</t>
        </is>
      </c>
      <c r="E8" s="306" t="inlineStr">
        <is>
          <t>Special Order</t>
        </is>
      </c>
      <c r="F8" s="306" t="inlineStr">
        <is>
          <t>Ultra Exclusive</t>
        </is>
      </c>
      <c r="G8" s="306" t="inlineStr">
        <is>
          <t>2</t>
        </is>
      </c>
      <c r="H8" s="306" t="inlineStr">
        <is>
          <t>Ultra VIP</t>
        </is>
      </c>
      <c r="I8" s="306" t="inlineStr">
        <is>
          <t>Ultimate complication</t>
        </is>
      </c>
      <c r="J8" s="306" t="inlineStr">
        <is>
          <t>Pinnacle achievement</t>
        </is>
      </c>
      <c r="K8" s="306" t="inlineStr">
        <is>
          <t>1</t>
        </is>
      </c>
      <c r="L8" s="306" t="inlineStr">
        <is>
          <t>3</t>
        </is>
      </c>
      <c r="M8" s="306" t="inlineStr">
        <is>
          <t>60%</t>
        </is>
      </c>
      <c r="N8" s="306" t="inlineStr">
        <is>
          <t>Limited</t>
        </is>
      </c>
      <c r="O8" s="306" t="inlineStr">
        <is>
          <t>Masterpiece</t>
        </is>
      </c>
    </row>
    <row r="9">
      <c r="A9" s="306" t="inlineStr">
        <is>
          <t>7920V/210A-B546</t>
        </is>
      </c>
      <c r="B9" s="306" t="inlineStr">
        <is>
          <t>Overseas</t>
        </is>
      </c>
      <c r="C9" s="306" t="inlineStr">
        <is>
          <t>Overseas Dual Time</t>
        </is>
      </c>
      <c r="D9" s="306" t="inlineStr">
        <is>
          <t>175000</t>
        </is>
      </c>
      <c r="E9" s="306" t="inlineStr">
        <is>
          <t>Available</t>
        </is>
      </c>
      <c r="F9" s="306" t="inlineStr">
        <is>
          <t>High</t>
        </is>
      </c>
      <c r="G9" s="306" t="inlineStr">
        <is>
          <t>15</t>
        </is>
      </c>
      <c r="H9" s="306" t="inlineStr">
        <is>
          <t>Travel Enthusiast</t>
        </is>
      </c>
      <c r="I9" s="306" t="inlineStr">
        <is>
          <t>Dual time zones</t>
        </is>
      </c>
      <c r="J9" s="306" t="inlineStr">
        <is>
          <t>Travel functionality</t>
        </is>
      </c>
      <c r="K9" s="306" t="inlineStr">
        <is>
          <t>10</t>
        </is>
      </c>
      <c r="L9" s="306" t="inlineStr">
        <is>
          <t>16</t>
        </is>
      </c>
      <c r="M9" s="306" t="inlineStr">
        <is>
          <t>44%</t>
        </is>
      </c>
      <c r="N9" s="306" t="inlineStr">
        <is>
          <t>Active</t>
        </is>
      </c>
      <c r="O9" s="306" t="inlineStr">
        <is>
          <t>Business traveler favorite</t>
        </is>
      </c>
    </row>
    <row r="10">
      <c r="A10" s="306" t="inlineStr">
        <is>
          <t>1410U/000G-H017</t>
        </is>
      </c>
      <c r="B10" s="306" t="inlineStr">
        <is>
          <t>Patrimony</t>
        </is>
      </c>
      <c r="C10" s="306" t="inlineStr">
        <is>
          <t>Patrimony Self-Winding Gold</t>
        </is>
      </c>
      <c r="D10" s="306" t="inlineStr">
        <is>
          <t>145000</t>
        </is>
      </c>
      <c r="E10" s="306" t="inlineStr">
        <is>
          <t>Available</t>
        </is>
      </c>
      <c r="F10" s="306" t="inlineStr">
        <is>
          <t>Medium</t>
        </is>
      </c>
      <c r="G10" s="306" t="inlineStr">
        <is>
          <t>6</t>
        </is>
      </c>
      <c r="H10" s="306" t="inlineStr">
        <is>
          <t>Heritage Lover</t>
        </is>
      </c>
      <c r="I10" s="306" t="inlineStr">
        <is>
          <t>Classic elegance</t>
        </is>
      </c>
      <c r="J10" s="306" t="inlineStr">
        <is>
          <t>Timeless design</t>
        </is>
      </c>
      <c r="K10" s="306" t="inlineStr">
        <is>
          <t>8</t>
        </is>
      </c>
      <c r="L10" s="306" t="inlineStr">
        <is>
          <t>15</t>
        </is>
      </c>
      <c r="M10" s="306" t="inlineStr">
        <is>
          <t>48%</t>
        </is>
      </c>
      <c r="N10" s="306" t="inlineStr">
        <is>
          <t>Active</t>
        </is>
      </c>
      <c r="O10" s="306" t="inlineStr">
        <is>
          <t>Dress watch</t>
        </is>
      </c>
    </row>
    <row r="11">
      <c r="A11" s="306" t="inlineStr">
        <is>
          <t>5520V/210A-B686</t>
        </is>
      </c>
      <c r="B11" s="306" t="inlineStr">
        <is>
          <t>Overseas</t>
        </is>
      </c>
      <c r="C11" s="306" t="inlineStr">
        <is>
          <t>Overseas Chronograph Blue</t>
        </is>
      </c>
      <c r="D11" s="306" t="inlineStr">
        <is>
          <t>210000</t>
        </is>
      </c>
      <c r="E11" s="306" t="inlineStr">
        <is>
          <t>Allocated</t>
        </is>
      </c>
      <c r="F11" s="306" t="inlineStr">
        <is>
          <t>Extreme</t>
        </is>
      </c>
      <c r="G11" s="306" t="inlineStr">
        <is>
          <t>30</t>
        </is>
      </c>
      <c r="H11" s="306" t="inlineStr">
        <is>
          <t>Sports Collector</t>
        </is>
      </c>
      <c r="I11" s="306" t="inlineStr">
        <is>
          <t>Chronograph, Blue dial</t>
        </is>
      </c>
      <c r="J11" s="306" t="inlineStr">
        <is>
          <t>Sports excellence</t>
        </is>
      </c>
      <c r="K11" s="306" t="inlineStr">
        <is>
          <t>6</t>
        </is>
      </c>
      <c r="L11" s="306" t="inlineStr">
        <is>
          <t>15</t>
        </is>
      </c>
      <c r="M11" s="306" t="inlineStr">
        <is>
          <t>48%</t>
        </is>
      </c>
      <c r="N11" s="306" t="inlineStr">
        <is>
          <t>Allocated</t>
        </is>
      </c>
      <c r="O11" s="306" t="inlineStr">
        <is>
          <t>Highest demand</t>
        </is>
      </c>
    </row>
    <row r="12">
      <c r="A12" s="306" t="inlineStr">
        <is>
          <t>4300V/220R-B642</t>
        </is>
      </c>
      <c r="B12" s="306" t="inlineStr">
        <is>
          <t>Overseas</t>
        </is>
      </c>
      <c r="C12" s="306" t="inlineStr">
        <is>
          <t>Overseas Perpetual Calendar Ultra-thin</t>
        </is>
      </c>
      <c r="D12" s="306" t="inlineStr">
        <is>
          <t>285000</t>
        </is>
      </c>
      <c r="E12" s="306" t="inlineStr">
        <is>
          <t>Special Order</t>
        </is>
      </c>
      <c r="F12" s="306" t="inlineStr">
        <is>
          <t>Exclusive</t>
        </is>
      </c>
      <c r="G12" s="306" t="inlineStr">
        <is>
          <t>8</t>
        </is>
      </c>
      <c r="H12" s="306" t="inlineStr">
        <is>
          <t>VIP Collector</t>
        </is>
      </c>
      <c r="I12" s="306" t="inlineStr">
        <is>
          <t>Perpetual calendar, Skeleton</t>
        </is>
      </c>
      <c r="J12" s="306" t="inlineStr">
        <is>
          <t>Ultimate complication</t>
        </is>
      </c>
      <c r="K12" s="306" t="inlineStr">
        <is>
          <t>3</t>
        </is>
      </c>
      <c r="L12" s="306" t="inlineStr">
        <is>
          <t>6</t>
        </is>
      </c>
      <c r="M12" s="306" t="inlineStr">
        <is>
          <t>55%</t>
        </is>
      </c>
      <c r="N12" s="306" t="inlineStr">
        <is>
          <t>Limited</t>
        </is>
      </c>
      <c r="O12" s="306" t="inlineStr">
        <is>
          <t>Technical masterpiece</t>
        </is>
      </c>
    </row>
    <row r="13">
      <c r="A13" s="306" t="inlineStr">
        <is>
          <t>82172/000P-H062</t>
        </is>
      </c>
      <c r="B13" s="306" t="inlineStr">
        <is>
          <t>Traditionnelle</t>
        </is>
      </c>
      <c r="C13" s="306" t="inlineStr">
        <is>
          <t>Traditionnelle Manual-Winding</t>
        </is>
      </c>
      <c r="D13" s="306" t="inlineStr">
        <is>
          <t>195000</t>
        </is>
      </c>
      <c r="E13" s="306" t="inlineStr">
        <is>
          <t>Available</t>
        </is>
      </c>
      <c r="F13" s="306" t="inlineStr">
        <is>
          <t>Medium</t>
        </is>
      </c>
      <c r="G13" s="306" t="inlineStr">
        <is>
          <t>4</t>
        </is>
      </c>
      <c r="H13" s="306" t="inlineStr">
        <is>
          <t>Heritage Lover</t>
        </is>
      </c>
      <c r="I13" s="306" t="inlineStr">
        <is>
          <t>Manual winding</t>
        </is>
      </c>
      <c r="J13" s="306" t="inlineStr">
        <is>
          <t>Pure tradition</t>
        </is>
      </c>
      <c r="K13" s="306" t="inlineStr">
        <is>
          <t>5</t>
        </is>
      </c>
      <c r="L13" s="306" t="inlineStr">
        <is>
          <t>12</t>
        </is>
      </c>
      <c r="M13" s="306" t="inlineStr">
        <is>
          <t>50%</t>
        </is>
      </c>
      <c r="N13" s="306" t="inlineStr">
        <is>
          <t>Active</t>
        </is>
      </c>
      <c r="O13" s="306" t="inlineStr">
        <is>
          <t>Traditional craftsmanship</t>
        </is>
      </c>
    </row>
  </sheetData>
  <mergeCells count="2">
    <mergeCell ref="A1:P1"/>
    <mergeCell ref="J1:J2"/>
  </mergeCells>
  <conditionalFormatting sqref="J1:J19 J23:J38 J42:J1048576">
    <cfRule type="iconSet" priority="397">
      <iconSet iconSet="3Symbols2">
        <cfvo type="percent" val="0"/>
        <cfvo type="percent" val="33"/>
        <cfvo type="percent" val="67"/>
      </iconSet>
    </cfRule>
    <cfRule type="duplicateValues" priority="402" dxfId="38"/>
  </conditionalFormatting>
  <dataValidations count="1">
    <dataValidation sqref="F2:F333" showDropDown="0" showInputMessage="1" showErrorMessage="1" allowBlank="1" type="custom">
      <formula1>IF(G2, TRUE, FALSE)</formula1>
    </dataValidation>
  </dataValidations>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9">
    <outlinePr summaryBelow="1" summaryRight="1"/>
    <pageSetUpPr/>
  </sheetPr>
  <dimension ref="A2:AX3"/>
  <sheetViews>
    <sheetView workbookViewId="0">
      <selection activeCell="I20" sqref="I20"/>
    </sheetView>
  </sheetViews>
  <sheetFormatPr baseColWidth="8" defaultRowHeight="14.4"/>
  <sheetData>
    <row r="2" ht="18" customHeight="1" s="287">
      <c r="A2" s="1" t="inlineStr">
        <is>
          <t xml:space="preserve">Riham </t>
        </is>
      </c>
      <c r="B2" s="1" t="n"/>
      <c r="C2" s="57" t="n">
        <v>9</v>
      </c>
      <c r="D2" s="58">
        <f>IF($T2="Open Sale", IF(MAX($D1:D$4)+1=0, "", MAX($D1:D$4)+1), "")</f>
        <v/>
      </c>
      <c r="E2" s="58">
        <f>IF($T2="Pending Allocation", IF(MAX($E1:E$4)+1=0, "", MAX($E1:E$4)+1), "")</f>
        <v/>
      </c>
      <c r="F2" s="59" t="inlineStr">
        <is>
          <t xml:space="preserve">Riham </t>
        </is>
      </c>
      <c r="G2" s="58" t="n"/>
      <c r="H2" s="68" t="n"/>
      <c r="I2" s="68" t="n">
        <v>45748</v>
      </c>
      <c r="J2" s="67">
        <f>IF(OpenPendingCases[[#This Row],[Timepiece Reference ]]="", "", IF(_xlfn.XLOOKUP(OpenPendingCases[[#This Row],[Timepiece Reference ]], Table1[[Timepiece Reference ]], Table1[CRC STOCK], "Not Found")="YES", "CRC Stock", "Boutique Stock"))</f>
        <v/>
      </c>
      <c r="K2" s="93" t="inlineStr">
        <is>
          <t>Boutique Stock</t>
        </is>
      </c>
      <c r="L2" s="109" t="inlineStr">
        <is>
          <t>Awaiting HQ Approval</t>
        </is>
      </c>
      <c r="M2" s="95" t="inlineStr">
        <is>
          <t>Low</t>
        </is>
      </c>
      <c r="N2" s="58" t="inlineStr">
        <is>
          <t>Middle East (UAE)</t>
        </is>
      </c>
      <c r="O2" s="59" t="inlineStr">
        <is>
          <t>1225V/200A-B590</t>
        </is>
      </c>
      <c r="P2" s="58">
        <f>IFERROR(VLOOKUP(TRIM(O2), Collection!$B$2:$D$1001, 2, FALSE), "")</f>
        <v/>
      </c>
      <c r="Q2" s="60">
        <f>IFERROR(VLOOKUP(TRIM(O2), Collection!$B$2:$D$1001, 3, FALSE), "")</f>
        <v/>
      </c>
      <c r="R2" s="61">
        <f>IFERROR(VALUE(SUBSTITUTE(SUBSTITUTE(Q2, "Price", ""), "AED", "")), "")</f>
        <v/>
      </c>
      <c r="S2" s="62" t="n">
        <v>104803556</v>
      </c>
      <c r="T2" s="58" t="inlineStr">
        <is>
          <t>Closed Sale</t>
        </is>
      </c>
      <c r="U2" s="63">
        <f>IF(X2 = "",
     "",
     TEXT(X2, "mmmm"))</f>
        <v/>
      </c>
      <c r="V2" s="70" t="n"/>
      <c r="W2" s="64" t="n"/>
      <c r="X2" s="64" t="n"/>
      <c r="Y2" s="65">
        <f>IF(H2="", "", IF(T2="Open Sale", IF(TODAY()-H2=0, "0 Days", TEXT(TODAY()-H2, "0") &amp; " Days"), IF(T2="Closed Sale", Y2, "")))</f>
        <v/>
      </c>
      <c r="Z2" s="65">
        <f>IF(H2="", "", IF(OR(T2="Pending", T2="Pending Allocation"), CONCATENATE(TODAY()-H2, " Days"), IF(T2="Closed", "", "")))</f>
        <v/>
      </c>
      <c r="AA2" s="66">
        <f>IF(T2="Pending Allocation", IF(I2="", "", TODAY()-I2), "")</f>
        <v/>
      </c>
      <c r="AB2" s="65">
        <f>IF(T2="Open Sale", TEXT(TODAY()-I2, "0"),
   IF(T2="Pending", "",
      IF(T2="Closed Sale", "", "")))</f>
        <v/>
      </c>
      <c r="AC2" s="59" t="n"/>
      <c r="AD2" s="58" t="inlineStr">
        <is>
          <t xml:space="preserve">Allocation in July </t>
        </is>
      </c>
      <c r="AE2" s="58" t="inlineStr">
        <is>
          <t>Client informed and waiting for his confirmation - followed up with the client - no reply yet</t>
        </is>
      </c>
      <c r="AF2" s="58" t="n"/>
      <c r="AG2" s="69">
        <f>TEXT(I2, "mmmm yyyy")</f>
        <v/>
      </c>
      <c r="AH2" s="69">
        <f>IF(AND(OpenPendingCases[[#This Row],[Sale Status	]]="Open Sale",OpenPendingCases[[#This Row],[Potential Same Month]]="High"),TEXT(OpenPendingCases[[#This Row],[Request Entry Date]], "[$-en-us]mmmm"),"")</f>
        <v/>
      </c>
      <c r="AI2" s="71">
        <f>IFERROR(VALUE(SUBSTITUTE(OpenPendingCases[[#This Row],[Price]]," AED","")),"")</f>
        <v/>
      </c>
      <c r="AJ2" s="71">
        <f>IFERROR(VALUE(LEFT(OpenPendingCases[[#This Row],[Price]],FIND(" ",OpenPendingCases[[#This Row],[Price]])-1)),"")</f>
        <v/>
      </c>
      <c r="AK2" s="71">
        <f>IFERROR(VALUE(_xlfn.TEXTBEFORE(OpenPendingCases[[#This Row],[Price]]," AED")),"")</f>
        <v/>
      </c>
      <c r="AL2" s="1" t="n"/>
      <c r="AM2" s="1" t="n"/>
      <c r="AN2" s="1" t="n"/>
      <c r="AO2" s="1" t="n"/>
      <c r="AP2" s="1" t="n"/>
      <c r="AQ2" s="1" t="n"/>
      <c r="AR2" s="1" t="n"/>
      <c r="AS2" s="1" t="n"/>
      <c r="AT2" s="1" t="n"/>
      <c r="AU2" s="1" t="n"/>
      <c r="AV2" s="1" t="n"/>
      <c r="AW2" s="1" t="n"/>
      <c r="AX2" s="1" t="n"/>
    </row>
    <row r="3" ht="18" customHeight="1" s="287">
      <c r="A3" s="1" t="inlineStr">
        <is>
          <t xml:space="preserve">Riham </t>
        </is>
      </c>
      <c r="B3" s="1" t="n"/>
      <c r="C3" s="57" t="n">
        <v>10</v>
      </c>
      <c r="D3" s="58">
        <f>IF($T3="Open Sale", IF(MAX($D2:D$4)+1=0, "", MAX($D2:D$4)+1), "")</f>
        <v/>
      </c>
      <c r="E3" s="58">
        <f>IF($T3="Pending Allocation", IF(MAX($E2:E$4)+1=0, "", MAX($E2:E$4)+1), "")</f>
        <v/>
      </c>
      <c r="F3" s="59" t="inlineStr">
        <is>
          <t xml:space="preserve">Riham </t>
        </is>
      </c>
      <c r="G3" s="58" t="inlineStr">
        <is>
          <t>RQS-UAE-119810</t>
        </is>
      </c>
      <c r="H3" s="68" t="n">
        <v>45750</v>
      </c>
      <c r="I3" s="68" t="n">
        <v>45750</v>
      </c>
      <c r="J3" s="67">
        <f>IF(OpenPendingCases[[#This Row],[Timepiece Reference ]]="", "", IF(_xlfn.XLOOKUP(OpenPendingCases[[#This Row],[Timepiece Reference ]], Table1[[Timepiece Reference ]], Table1[CRC STOCK], "Not Found")="YES", "CRC Stock", "Boutique Stock"))</f>
        <v/>
      </c>
      <c r="K3" s="93" t="inlineStr">
        <is>
          <t>Boutique Stock</t>
        </is>
      </c>
      <c r="L3" s="109" t="inlineStr">
        <is>
          <t>Awaiting HQ Approval</t>
        </is>
      </c>
      <c r="M3" s="95" t="inlineStr">
        <is>
          <t>Low</t>
        </is>
      </c>
      <c r="N3" s="58" t="inlineStr">
        <is>
          <t>Middle East (KSA)</t>
        </is>
      </c>
      <c r="O3" s="59" t="inlineStr">
        <is>
          <t xml:space="preserve">4520V/210A-B483 </t>
        </is>
      </c>
      <c r="P3" s="58">
        <f>IFERROR(VLOOKUP(TRIM(O3), Collection!$B$2:$D$1001, 2, FALSE), "")</f>
        <v/>
      </c>
      <c r="Q3" s="60">
        <f>IFERROR(VLOOKUP(TRIM(O3), Collection!$B$2:$D$1001, 3, FALSE), "")</f>
        <v/>
      </c>
      <c r="R3" s="61">
        <f>IFERROR(VALUE(SUBSTITUTE(SUBSTITUTE(Q3, "Price", ""), "AED", "")), "")</f>
        <v/>
      </c>
      <c r="S3" s="62" t="n">
        <v>104989923</v>
      </c>
      <c r="T3" s="58" t="inlineStr">
        <is>
          <t>Closed Sale</t>
        </is>
      </c>
      <c r="U3" s="63">
        <f>IF(X3 = "",
"",
TEXT(X3, "mmmm"))</f>
        <v/>
      </c>
      <c r="V3" s="70" t="n"/>
      <c r="W3" s="64" t="n"/>
      <c r="X3" s="64" t="n"/>
      <c r="Y3" s="65">
        <f>IF(H3="", "", IF(T3="Open Sale", IF(TODAY()-H3=0, "0 Days", TEXT(TODAY()-H3, "0") &amp; " Days"), IF(T3="Closed Sale", Y3, "")))</f>
        <v/>
      </c>
      <c r="Z3" s="65">
        <f>IF(H3="", "", IF(OR(T3="Pending", T3="Pending Allocation"), CONCATENATE(TODAY()-H3, " Days"), IF(T3="Closed", "", "")))</f>
        <v/>
      </c>
      <c r="AA3" s="66">
        <f>IF(T3="Pending Allocation", IF(I3="", "", TODAY()-I3), "")</f>
        <v/>
      </c>
      <c r="AB3" s="65">
        <f>IF(T3="Open Sale", TEXT(TODAY()-I3, "0"),
IF(T3="Pending", "",
IF(T3="Closed Sale", "", "")))</f>
        <v/>
      </c>
      <c r="AC3" s="59" t="inlineStr">
        <is>
          <t>A birthday gift for himself</t>
        </is>
      </c>
      <c r="AD3" s="58" t="inlineStr">
        <is>
          <t xml:space="preserve">Allocation in July </t>
        </is>
      </c>
      <c r="AE3" s="58" t="inlineStr">
        <is>
          <t>Client informed - He viewed the OVS Dual time black but will update us on his decision once he is back from his travels</t>
        </is>
      </c>
      <c r="AF3" s="58" t="inlineStr">
        <is>
          <t xml:space="preserve">                                                                                                                                                                                                                                                                                                                </t>
        </is>
      </c>
      <c r="AG3" s="69">
        <f>TEXT(I3, "mmmm yyyy")</f>
        <v/>
      </c>
      <c r="AH3" s="69">
        <f>IF(AND(OpenPendingCases[[#This Row],[Sale Status	]]="Open Sale",OpenPendingCases[[#This Row],[Potential Same Month]]="High"),TEXT(OpenPendingCases[[#This Row],[Request Entry Date]], "[$-en-us]mmmm"),"")</f>
        <v/>
      </c>
      <c r="AI3" s="71">
        <f>IFERROR(VALUE(SUBSTITUTE(OpenPendingCases[[#This Row],[Price]]," AED","")),"")</f>
        <v/>
      </c>
      <c r="AJ3" s="71">
        <f>IFERROR(VALUE(LEFT(OpenPendingCases[[#This Row],[Price]],FIND(" ",OpenPendingCases[[#This Row],[Price]])-1)),"")</f>
        <v/>
      </c>
      <c r="AK3" s="71">
        <f>IFERROR(VALUE(_xlfn.TEXTBEFORE(OpenPendingCases[[#This Row],[Price]]," AED")),"")</f>
        <v/>
      </c>
      <c r="AL3" s="1" t="n"/>
      <c r="AM3" s="1" t="n"/>
      <c r="AN3" s="1" t="n"/>
      <c r="AO3" s="1" t="n"/>
      <c r="AP3" s="1" t="n"/>
      <c r="AQ3" s="1" t="n"/>
      <c r="AR3" s="1" t="n"/>
      <c r="AS3" s="1" t="n"/>
      <c r="AT3" s="1" t="n"/>
      <c r="AU3" s="1" t="n"/>
      <c r="AV3" s="1" t="n"/>
      <c r="AW3" s="1" t="n"/>
      <c r="AX3" s="1" t="n"/>
    </row>
  </sheetData>
  <conditionalFormatting sqref="M2:M3">
    <cfRule type="containsText" priority="1" operator="containsText" dxfId="27" text="High">
      <formula>NOT(ISERROR(SEARCH("High",M2)))</formula>
    </cfRule>
  </conditionalFormatting>
  <conditionalFormatting sqref="T2:T3">
    <cfRule type="cellIs" priority="2" operator="equal" dxfId="26">
      <formula>"Closed"</formula>
    </cfRule>
    <cfRule type="cellIs" priority="3" operator="equal" dxfId="25">
      <formula>"Open Sale"</formula>
    </cfRule>
    <cfRule type="cellIs" priority="4" operator="equal" dxfId="24">
      <formula>"Pending Allocation"</formula>
    </cfRule>
    <cfRule type="cellIs" priority="5" operator="equal" dxfId="23">
      <formula>"transferred"</formula>
    </cfRule>
    <cfRule type="cellIs" priority="6" operator="equal" dxfId="22">
      <formula>"Sold"</formula>
    </cfRule>
  </conditionalFormatting>
  <dataValidations count="7">
    <dataValidation sqref="K2:K3" showDropDown="0" showInputMessage="1" showErrorMessage="1" allowBlank="1" type="list">
      <formula1>"CRC Stock, Boutique Stock"</formula1>
    </dataValidation>
    <dataValidation sqref="L2:L3" showDropDown="0" showInputMessage="1" showErrorMessage="1" allowBlank="1" type="list">
      <formula1>"Awaiting HQ Approval, Approved by HQ, Allocation Confirmed, Allocation Closed (Sold),Currently Under Review"</formula1>
    </dataValidation>
    <dataValidation sqref="M2:M3" showDropDown="0" showInputMessage="1" showErrorMessage="1" allowBlank="1" type="list">
      <formula1>$AV$7:$AV$9</formula1>
    </dataValidation>
    <dataValidation sqref="N2:N3" showDropDown="0" showInputMessage="1" showErrorMessage="1" allowBlank="1" type="list">
      <formula1>"Middle East (UAE),Middle East (KSA),Middle East (Qatar),Middle East (Kuwait)"</formula1>
    </dataValidation>
    <dataValidation sqref="V2:V3" showDropDown="0" showInputMessage="1" showErrorMessage="1" allowBlank="1" type="list">
      <formula1>"Paid Deposit, Paid Deposit - Full Payment, Full Payment - By link, Full Payment - Bank Transfer, Full payment - At Boutique,Paid Deposit - Bank Transfer - At Boutique,Full Payment Bank Transfer - At Boutique"</formula1>
    </dataValidation>
    <dataValidation sqref="T2:T3" showDropDown="0" showInputMessage="1" showErrorMessage="1" allowBlank="1" type="list">
      <formula1>$AQ$5:$AQ$9</formula1>
    </dataValidation>
    <dataValidation sqref="F2:F3" showDropDown="0" showInputMessage="1" showErrorMessage="1" allowBlank="1" type="list">
      <formula1>"Maaz,Asma,Riham"</formula1>
    </dataValidation>
  </dataValidations>
  <pageMargins left="0.7" right="0.7" top="0.75" bottom="0.75" header="0.3" footer="0.3"/>
</worksheet>
</file>

<file path=xl/worksheets/sheet8.xml><?xml version="1.0" encoding="utf-8"?>
<worksheet xmlns="http://schemas.openxmlformats.org/spreadsheetml/2006/main">
  <sheetPr codeName="Sheet8">
    <outlinePr summaryBelow="1" summaryRight="1"/>
    <pageSetUpPr/>
  </sheetPr>
  <dimension ref="HPV349100:HPV349100"/>
  <sheetViews>
    <sheetView workbookViewId="0">
      <selection activeCell="A1" sqref="A1"/>
    </sheetView>
  </sheetViews>
  <sheetFormatPr baseColWidth="8" defaultRowHeight="14.4"/>
  <sheetData>
    <row r="349100">
      <c r="HPV349100" t="inlineStr">
        <is>
          <t>{"hash":"cd6553ab58cfd6d5963fb4158d2762904d1f0d657c009585a541f9b7b68793d7","version":1,"value":"[[\"This Excel formula performs the following actions:\\n\\n1. **VLOOKUP Function**: It searches for the value in cell `R13` within the range `'Open-Pending Cases'!$D$5:$R$500`.\\n\\n2. **First VLOOKUP**: It checks the 16th column of the specified range to see if the corresponding value is \\\"OPEN\\\".\\n\\n3. **IF Function**: \\n   - If the value found in the 16th column is \\\"OPEN\\\", the formula executes the second VLOOKUP.\\n   - If the value is not \\\"OPEN\\\", the formula returns an empty string (`\\\"\\\"`).\\n\\n4. **Second VLOOKUP**: If the condition is met, it retrieves the value from the 10th column of the same range.\\n\\nIn summary, the formula checks if the entry corresponding to `R13` in the 16th column is \\\"OPEN\\\". If true, it returns the value from the 10th column; otherwise, it returns an empty string.\"]]"}</t>
        </is>
      </c>
    </row>
  </sheetData>
  <pageMargins left="0.7" right="0.7" top="0.75" bottom="0.75" header="0.3" footer="0.3"/>
</worksheet>
</file>

<file path=xl/worksheets/sheet9.xml><?xml version="1.0" encoding="utf-8"?>
<worksheet xmlns="http://schemas.openxmlformats.org/spreadsheetml/2006/main">
  <sheetPr>
    <outlinePr summaryBelow="1" summaryRight="1"/>
    <pageSetUpPr/>
  </sheetPr>
  <dimension ref="A1:D44"/>
  <sheetViews>
    <sheetView workbookViewId="0">
      <selection activeCell="A1" sqref="A1"/>
    </sheetView>
  </sheetViews>
  <sheetFormatPr baseColWidth="8" defaultRowHeight="14.4"/>
  <cols>
    <col width="30" customWidth="1" style="287" min="1" max="1"/>
    <col width="15" customWidth="1" style="287" min="2" max="2"/>
    <col width="50" customWidth="1" style="287" min="3" max="3"/>
    <col width="10" customWidth="1" style="287" min="4" max="4"/>
  </cols>
  <sheetData>
    <row r="1" ht="18" customHeight="1" s="287">
      <c r="A1" s="226" t="inlineStr">
        <is>
          <t>MAAZ WARROOM - DEVELOPER MODE CONTROL PANEL</t>
        </is>
      </c>
      <c r="B1" s="226" t="n"/>
      <c r="C1" s="226" t="n"/>
      <c r="D1" s="226" t="n"/>
    </row>
    <row r="3">
      <c r="A3" s="227" t="inlineStr">
        <is>
          <t>PRIORITY WEIGHT CONTROLS</t>
        </is>
      </c>
    </row>
    <row r="4">
      <c r="A4" s="227" t="inlineStr">
        <is>
          <t>Availability Weight (%)</t>
        </is>
      </c>
      <c r="B4" s="228" t="n">
        <v>40</v>
      </c>
      <c r="C4" t="inlineStr">
        <is>
          <t>Weight for watch availability in priority calculation</t>
        </is>
      </c>
    </row>
    <row r="5">
      <c r="A5" s="227" t="inlineStr">
        <is>
          <t>Availability Date Weight (%)</t>
        </is>
      </c>
      <c r="B5" s="228" t="n">
        <v>30</v>
      </c>
      <c r="C5" t="inlineStr">
        <is>
          <t>Weight for ETA/availability date in priority calculation</t>
        </is>
      </c>
    </row>
    <row r="6">
      <c r="A6" s="227" t="inlineStr">
        <is>
          <t>Probability Weight (%)</t>
        </is>
      </c>
      <c r="B6" s="228" t="n">
        <v>30</v>
      </c>
      <c r="C6" t="inlineStr">
        <is>
          <t>Weight for sales probability in priority calculation</t>
        </is>
      </c>
    </row>
    <row r="8">
      <c r="A8" s="227" t="inlineStr">
        <is>
          <t>CONDITIONAL FORMATTING RULES</t>
        </is>
      </c>
    </row>
    <row r="9">
      <c r="A9" s="227" t="inlineStr">
        <is>
          <t>Urgent Follow-Up Days</t>
        </is>
      </c>
      <c r="B9" s="228" t="n">
        <v>0</v>
      </c>
      <c r="C9" t="inlineStr">
        <is>
          <t>Days before marking as urgent (red)</t>
        </is>
      </c>
    </row>
    <row r="10">
      <c r="A10" s="227" t="inlineStr">
        <is>
          <t>Needs Follow-Up Days</t>
        </is>
      </c>
      <c r="B10" s="228" t="n">
        <v>7</v>
      </c>
      <c r="C10" t="inlineStr">
        <is>
          <t>Days before marking as needs follow-up (yellow)</t>
        </is>
      </c>
    </row>
    <row r="11">
      <c r="A11" s="227" t="inlineStr">
        <is>
          <t>Inactive Threshold Days</t>
        </is>
      </c>
      <c r="B11" s="228" t="n">
        <v>14</v>
      </c>
      <c r="C11" t="inlineStr">
        <is>
          <t>Days before marking as inactive (gray)</t>
        </is>
      </c>
    </row>
    <row r="13">
      <c r="A13" s="227" t="inlineStr">
        <is>
          <t>BOUTIQUE LEAD TRACKING RULES</t>
        </is>
      </c>
    </row>
    <row r="14">
      <c r="A14" s="227" t="inlineStr">
        <is>
          <t>Days to Needs Follow-Up</t>
        </is>
      </c>
      <c r="B14" s="228" t="n">
        <v>7</v>
      </c>
      <c r="C14" t="inlineStr">
        <is>
          <t>Days before boutique lead needs follow-up</t>
        </is>
      </c>
    </row>
    <row r="15">
      <c r="A15" s="227" t="inlineStr">
        <is>
          <t>Days to Overdue</t>
        </is>
      </c>
      <c r="B15" s="228" t="n">
        <v>14</v>
      </c>
      <c r="C15" t="inlineStr">
        <is>
          <t>Days before boutique lead is overdue</t>
        </is>
      </c>
    </row>
    <row r="17">
      <c r="A17" s="227" t="inlineStr">
        <is>
          <t>DASHBOARD DISPLAY CONTROLS</t>
        </is>
      </c>
    </row>
    <row r="18">
      <c r="A18" s="227" t="inlineStr">
        <is>
          <t>Show High Priority Count</t>
        </is>
      </c>
      <c r="B18" s="228" t="b">
        <v>1</v>
      </c>
      <c r="C18" t="inlineStr">
        <is>
          <t>Display high priority client count on dashboard</t>
        </is>
      </c>
    </row>
    <row r="19">
      <c r="A19" s="227" t="inlineStr">
        <is>
          <t>Show Conversion Rate</t>
        </is>
      </c>
      <c r="B19" s="228" t="b">
        <v>1</v>
      </c>
      <c r="C19" t="inlineStr">
        <is>
          <t>Display conversion rate metrics</t>
        </is>
      </c>
    </row>
    <row r="20">
      <c r="A20" s="227" t="inlineStr">
        <is>
          <t>Show Boutique Performance</t>
        </is>
      </c>
      <c r="B20" s="228" t="b">
        <v>1</v>
      </c>
      <c r="C20" t="inlineStr">
        <is>
          <t>Display boutique lead performance</t>
        </is>
      </c>
    </row>
    <row r="22">
      <c r="A22" s="227" t="inlineStr">
        <is>
          <t>WHATSAPP PROCESSOR SETTINGS</t>
        </is>
      </c>
    </row>
    <row r="23">
      <c r="A23" s="227" t="inlineStr">
        <is>
          <t>Auto-Update Client Records</t>
        </is>
      </c>
      <c r="B23" s="228" t="b">
        <v>1</v>
      </c>
      <c r="C23" t="inlineStr">
        <is>
          <t>Automatically update client records from WhatsApp</t>
        </is>
      </c>
    </row>
    <row r="24">
      <c r="A24" s="227" t="inlineStr">
        <is>
          <t>Sentiment Analysis Enabled</t>
        </is>
      </c>
      <c r="B24" s="228" t="b">
        <v>1</v>
      </c>
      <c r="C24" t="inlineStr">
        <is>
          <t>Enable sentiment analysis for conversations</t>
        </is>
      </c>
    </row>
    <row r="25">
      <c r="A25" s="227" t="inlineStr">
        <is>
          <t>Auto-Generate Follow-Up</t>
        </is>
      </c>
      <c r="B25" s="228" t="b">
        <v>1</v>
      </c>
      <c r="C25" t="inlineStr">
        <is>
          <t>Auto-generate follow-up suggestions</t>
        </is>
      </c>
    </row>
    <row r="27">
      <c r="A27" s="227" t="inlineStr">
        <is>
          <t>SYSTEM PERFORMANCE</t>
        </is>
      </c>
    </row>
    <row r="28">
      <c r="A28" s="227" t="inlineStr">
        <is>
          <t>Max Refresh Time (seconds)</t>
        </is>
      </c>
      <c r="B28" s="228" t="n">
        <v>30</v>
      </c>
      <c r="C28" t="inlineStr">
        <is>
          <t>Maximum time allowed for full data refresh</t>
        </is>
      </c>
    </row>
    <row r="29">
      <c r="A29" s="227" t="inlineStr">
        <is>
          <t>Enable Audit Logging</t>
        </is>
      </c>
      <c r="B29" s="228" t="b">
        <v>1</v>
      </c>
      <c r="C29" t="inlineStr">
        <is>
          <t>Log all system actions for tracking</t>
        </is>
      </c>
    </row>
    <row r="31">
      <c r="A31" s="227" t="inlineStr">
        <is>
          <t>TESTING &amp; VALIDATION</t>
        </is>
      </c>
    </row>
    <row r="32">
      <c r="A32" s="227" t="inlineStr">
        <is>
          <t>Test Mode Enabled</t>
        </is>
      </c>
      <c r="B32" s="228" t="b">
        <v>0</v>
      </c>
      <c r="C32" t="inlineStr">
        <is>
          <t>Enable test mode for safe testing</t>
        </is>
      </c>
    </row>
    <row r="33">
      <c r="A33" s="227" t="inlineStr">
        <is>
          <t>Last System Update</t>
        </is>
      </c>
      <c r="B33" t="inlineStr">
        <is>
          <t>2025-08-06 15:26:54</t>
        </is>
      </c>
      <c r="C33" t="inlineStr">
        <is>
          <t>Timestamp of last system update</t>
        </is>
      </c>
    </row>
    <row r="35" ht="15.6" customHeight="1" s="287">
      <c r="A35" s="234" t="inlineStr">
        <is>
          <t>CONTROL BUTTONS</t>
        </is>
      </c>
    </row>
    <row r="37">
      <c r="A37" s="235" t="inlineStr">
        <is>
          <t>Refresh All Data</t>
        </is>
      </c>
      <c r="B37">
        <f>RefreshAllMaazData()</f>
        <v/>
      </c>
      <c r="C37" t="inlineStr">
        <is>
          <t>Macro: RefreshAllMaazData</t>
        </is>
      </c>
    </row>
    <row r="38">
      <c r="A38" s="235" t="inlineStr">
        <is>
          <t>Rank Client Priority</t>
        </is>
      </c>
      <c r="B38">
        <f>RankClientPriority()</f>
        <v/>
      </c>
      <c r="C38" t="inlineStr">
        <is>
          <t>Macro: RankClientPriority</t>
        </is>
      </c>
    </row>
    <row r="39">
      <c r="A39" s="235" t="inlineStr">
        <is>
          <t>Update Availability</t>
        </is>
      </c>
      <c r="B39">
        <f>UpdateAvailabilityStatus()</f>
        <v/>
      </c>
      <c r="C39" t="inlineStr">
        <is>
          <t>Macro: UpdateAvailabilityStatus</t>
        </is>
      </c>
    </row>
    <row r="40">
      <c r="A40" s="235" t="inlineStr">
        <is>
          <t>Generate Follow-ups</t>
        </is>
      </c>
      <c r="B40">
        <f>GenerateFollowUpActions()</f>
        <v/>
      </c>
      <c r="C40" t="inlineStr">
        <is>
          <t>Macro: GenerateFollowUpActions</t>
        </is>
      </c>
    </row>
    <row r="41">
      <c r="A41" s="235" t="inlineStr">
        <is>
          <t>Create Dashboard</t>
        </is>
      </c>
      <c r="B41">
        <f>CreateExecutiveDashboard()</f>
        <v/>
      </c>
      <c r="C41" t="inlineStr">
        <is>
          <t>Macro: CreateExecutiveDashboard</t>
        </is>
      </c>
    </row>
    <row r="42">
      <c r="A42" s="235" t="inlineStr">
        <is>
          <t>Export Data</t>
        </is>
      </c>
      <c r="B42">
        <f>ExportAllData()</f>
        <v/>
      </c>
      <c r="C42" t="inlineStr">
        <is>
          <t>Macro: ExportAllData</t>
        </is>
      </c>
    </row>
    <row r="43">
      <c r="A43" s="235" t="inlineStr">
        <is>
          <t>Create Backup</t>
        </is>
      </c>
      <c r="B43">
        <f>CreateBackup()</f>
        <v/>
      </c>
      <c r="C43" t="inlineStr">
        <is>
          <t>Macro: CreateBackup</t>
        </is>
      </c>
    </row>
    <row r="44">
      <c r="A44" s="235" t="inlineStr">
        <is>
          <t>Test Mode Toggle</t>
        </is>
      </c>
      <c r="B44">
        <f>DevMode_TestMode()</f>
        <v/>
      </c>
      <c r="C44" t="inlineStr">
        <is>
          <t>Macro: DevMode_TestMode</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R287"/>
  <sheetViews>
    <sheetView tabSelected="1" topLeftCell="E46" zoomScale="115" zoomScaleNormal="115" workbookViewId="0">
      <selection activeCell="H53" sqref="H53"/>
    </sheetView>
  </sheetViews>
  <sheetFormatPr baseColWidth="8" defaultRowHeight="15.6"/>
  <cols>
    <col width="8.88671875" customWidth="1" style="251" min="1" max="2"/>
    <col width="12.21875" bestFit="1" customWidth="1" style="251" min="3" max="3"/>
    <col width="18" bestFit="1" customWidth="1" style="251" min="4" max="4"/>
    <col width="49.21875" bestFit="1" customWidth="1" style="251" min="5" max="5"/>
    <col width="12.5546875" bestFit="1" customWidth="1" style="251" min="6" max="6"/>
    <col width="23.88671875" bestFit="1" customWidth="1" style="251" min="7" max="7"/>
    <col width="14.33203125" bestFit="1" customWidth="1" style="268" min="8" max="8"/>
    <col width="14.33203125" customWidth="1" style="268" min="9" max="9"/>
    <col width="14.33203125" customWidth="1" style="269" min="10" max="10"/>
    <col width="21.77734375" bestFit="1" customWidth="1" style="251" min="11" max="11"/>
    <col width="21.77734375" customWidth="1" style="251" min="12" max="13"/>
    <col width="22.21875" bestFit="1" customWidth="1" style="251" min="14" max="14"/>
    <col width="17.44140625" customWidth="1" style="270" min="15" max="15"/>
    <col width="23" bestFit="1" customWidth="1" style="251" min="16" max="16"/>
    <col width="9.77734375" customWidth="1" style="251" min="17" max="17"/>
    <col width="8.88671875" customWidth="1" style="251" min="18" max="16384"/>
  </cols>
  <sheetData>
    <row r="1">
      <c r="A1" s="249" t="inlineStr">
        <is>
          <t>STATUS</t>
        </is>
      </c>
      <c r="B1" s="250" t="inlineStr">
        <is>
          <t>CLIENT FEEDBACK</t>
        </is>
      </c>
      <c r="C1" s="251" t="inlineStr">
        <is>
          <t>Column1</t>
        </is>
      </c>
      <c r="D1" s="250" t="inlineStr">
        <is>
          <t>REFERENCE</t>
        </is>
      </c>
      <c r="E1" s="250" t="inlineStr">
        <is>
          <t>Ref</t>
        </is>
      </c>
      <c r="F1" s="250" t="inlineStr">
        <is>
          <t>price</t>
        </is>
      </c>
      <c r="G1" s="250" t="inlineStr">
        <is>
          <t>BOUTIQUE</t>
        </is>
      </c>
      <c r="H1" s="252" t="inlineStr">
        <is>
          <t>CLIENT ID</t>
        </is>
      </c>
      <c r="I1" s="252" t="inlineStr">
        <is>
          <t>Potential</t>
        </is>
      </c>
      <c r="J1" s="252" t="inlineStr">
        <is>
          <t>%</t>
        </is>
      </c>
      <c r="K1" s="252" t="inlineStr">
        <is>
          <t>invited</t>
        </is>
      </c>
      <c r="L1" s="252" t="inlineStr">
        <is>
          <t>Done ?</t>
        </is>
      </c>
      <c r="M1" s="252" t="inlineStr">
        <is>
          <t>Comment</t>
        </is>
      </c>
      <c r="N1" s="250" t="inlineStr">
        <is>
          <t>CLIENT SEGMENT</t>
        </is>
      </c>
      <c r="O1" s="250" t="inlineStr">
        <is>
          <t>SALES ASSOCIATE</t>
        </is>
      </c>
      <c r="P1" s="253" t="inlineStr">
        <is>
          <t>COMMENTS</t>
        </is>
      </c>
      <c r="Q1" s="250" t="inlineStr">
        <is>
          <t>Days since request</t>
        </is>
      </c>
    </row>
    <row r="2" hidden="1" s="287">
      <c r="A2" s="254" t="inlineStr">
        <is>
          <t>Cancelled</t>
        </is>
      </c>
      <c r="B2" s="255" t="inlineStr">
        <is>
          <t>Cancelled</t>
        </is>
      </c>
      <c r="C2" s="256" t="inlineStr">
        <is>
          <t>9/10/2024</t>
        </is>
      </c>
      <c r="D2" s="255" t="inlineStr">
        <is>
          <t>4520V/210A-B128</t>
        </is>
      </c>
      <c r="E2" s="255">
        <f>_xlfn.XLOOKUP(D2, [1]Collection!B:B, [1]Collection!C:C)</f>
        <v/>
      </c>
      <c r="F2" s="255">
        <f>_xlfn.XLOOKUP(D2, [1]Collection!B:B, [1]Collection!D:D)</f>
        <v/>
      </c>
      <c r="G2" s="255" t="inlineStr">
        <is>
          <t>Phone sales Middle East</t>
        </is>
      </c>
      <c r="H2" s="257" t="inlineStr">
        <is>
          <t>101808480</t>
        </is>
      </c>
      <c r="I2" s="257" t="n"/>
      <c r="J2" s="257" t="n"/>
      <c r="K2" s="257" t="n"/>
      <c r="L2" s="257" t="n"/>
      <c r="M2" s="257" t="inlineStr">
        <is>
          <t>Comment</t>
        </is>
      </c>
      <c r="N2" s="255" t="inlineStr">
        <is>
          <t>Prospect</t>
        </is>
      </c>
      <c r="O2" s="255" t="inlineStr">
        <is>
          <t>SHARIF Maaz</t>
        </is>
      </c>
      <c r="P2" s="258" t="inlineStr">
        <is>
          <t xml:space="preserve">the client is intrested in either the self winding or the daul time 
</t>
        </is>
      </c>
      <c r="Q2" s="259">
        <f>IF(AND(Table15[[#This Row],[Column1]]&lt;&gt;"",ISNUMBER(DATEVALUE(Table15[[#This Row],[Column1]]))),TODAY()-DATEVALUE(Table15[[#This Row],[Column1]]),"")</f>
        <v/>
      </c>
      <c r="R2" s="256">
        <f>Table15[[#This Row],[Column1]]-(TODAY())</f>
        <v/>
      </c>
    </row>
    <row r="3" ht="62.4" customHeight="1" s="287">
      <c r="A3" s="254" t="inlineStr">
        <is>
          <t>Sold</t>
        </is>
      </c>
      <c r="B3" s="255" t="inlineStr">
        <is>
          <t>Pending client feedback</t>
        </is>
      </c>
      <c r="C3" s="256" t="inlineStr">
        <is>
          <t>9/10/2024</t>
        </is>
      </c>
      <c r="D3" s="255" t="inlineStr">
        <is>
          <t>4300V/220G-B946</t>
        </is>
      </c>
      <c r="E3" s="255">
        <f>_xlfn.XLOOKUP(D3, [1]Collection!B:B, [1]Collection!C:C)</f>
        <v/>
      </c>
      <c r="F3" s="255">
        <f>_xlfn.XLOOKUP(D3, [1]Collection!B:B, [1]Collection!D:D)</f>
        <v/>
      </c>
      <c r="G3" s="255" t="inlineStr">
        <is>
          <t>Phone sales Middle East</t>
        </is>
      </c>
      <c r="H3" s="260" t="inlineStr">
        <is>
          <t>101808480</t>
        </is>
      </c>
      <c r="I3" s="257" t="inlineStr">
        <is>
          <t>x</t>
        </is>
      </c>
      <c r="J3" s="261" t="n">
        <v>0</v>
      </c>
      <c r="K3" s="257" t="inlineStr">
        <is>
          <t>x</t>
        </is>
      </c>
      <c r="L3" s="257" t="n"/>
      <c r="M3" s="257" t="n"/>
      <c r="N3" s="255" t="inlineStr">
        <is>
          <t>Prospect</t>
        </is>
      </c>
      <c r="O3" s="255" t="inlineStr">
        <is>
          <t>SHARIF Maaz</t>
        </is>
      </c>
      <c r="P3" s="262" t="inlineStr">
        <is>
          <t xml:space="preserve">another intreset for the client. for the self winding 
</t>
        </is>
      </c>
      <c r="Q3" s="259">
        <f>IF(AND(Table15[[#This Row],[Column1]]&lt;&gt;"",ISNUMBER(DATEVALUE(Table15[[#This Row],[Column1]]))),TODAY()-DATEVALUE(Table15[[#This Row],[Column1]]),"")</f>
        <v/>
      </c>
    </row>
    <row r="4">
      <c r="A4" s="254" t="inlineStr">
        <is>
          <t>Cancelled</t>
        </is>
      </c>
      <c r="B4" s="255" t="inlineStr">
        <is>
          <t>Cancelled</t>
        </is>
      </c>
      <c r="C4" s="256" t="inlineStr">
        <is>
          <t>9/10/2024</t>
        </is>
      </c>
      <c r="D4" s="255" t="inlineStr">
        <is>
          <t>4520V/210A-B126</t>
        </is>
      </c>
      <c r="E4" s="255">
        <f>_xlfn.XLOOKUP(D4, [1]Collection!B:B, [1]Collection!C:C)</f>
        <v/>
      </c>
      <c r="F4" s="255">
        <f>_xlfn.XLOOKUP(D4, [1]Collection!B:B, [1]Collection!D:D)</f>
        <v/>
      </c>
      <c r="G4" s="255" t="inlineStr">
        <is>
          <t>Phone sales Middle East</t>
        </is>
      </c>
      <c r="H4" s="257" t="inlineStr">
        <is>
          <t>101876625</t>
        </is>
      </c>
      <c r="I4" s="257" t="inlineStr">
        <is>
          <t>x</t>
        </is>
      </c>
      <c r="J4" s="261" t="n">
        <v>0</v>
      </c>
      <c r="K4" s="257" t="inlineStr">
        <is>
          <t>x</t>
        </is>
      </c>
      <c r="L4" s="257" t="n"/>
      <c r="M4" s="257" t="n"/>
      <c r="N4" s="255" t="inlineStr">
        <is>
          <t>Prospect</t>
        </is>
      </c>
      <c r="O4" s="255" t="inlineStr">
        <is>
          <t>SHARIF Maaz</t>
        </is>
      </c>
      <c r="P4" s="262" t="inlineStr"/>
      <c r="Q4" s="259">
        <f>IF(AND(Table15[[#This Row],[Column1]]&lt;&gt;"",ISNUMBER(DATEVALUE(Table15[[#This Row],[Column1]]))),TODAY()-DATEVALUE(Table15[[#This Row],[Column1]]),"")</f>
        <v/>
      </c>
    </row>
    <row r="5" hidden="1" s="287">
      <c r="A5" s="254" t="inlineStr">
        <is>
          <t>Request</t>
        </is>
      </c>
      <c r="B5" s="255" t="inlineStr"/>
      <c r="C5" s="256" t="inlineStr">
        <is>
          <t>8/9/2025</t>
        </is>
      </c>
      <c r="D5" s="255" t="inlineStr">
        <is>
          <t>4520V/210A-B128</t>
        </is>
      </c>
      <c r="E5" s="255">
        <f>_xlfn.XLOOKUP(D5, [1]Collection!B:B, [1]Collection!C:C)</f>
        <v/>
      </c>
      <c r="F5" s="255">
        <f>_xlfn.XLOOKUP(D5, [1]Collection!B:B, [1]Collection!D:D)</f>
        <v/>
      </c>
      <c r="G5" s="255" t="inlineStr">
        <is>
          <t>Phone sales Middle East</t>
        </is>
      </c>
      <c r="H5" s="257" t="inlineStr">
        <is>
          <t>109384538</t>
        </is>
      </c>
      <c r="I5" s="257" t="n"/>
      <c r="J5" s="257" t="n"/>
      <c r="K5" s="257" t="n"/>
      <c r="L5" s="257" t="n"/>
      <c r="M5" s="257" t="n"/>
      <c r="N5" s="255" t="inlineStr">
        <is>
          <t>Prospect</t>
        </is>
      </c>
      <c r="O5" s="255" t="inlineStr">
        <is>
          <t>SHARIF Maaz</t>
        </is>
      </c>
      <c r="P5" s="258" t="inlineStr">
        <is>
          <t xml:space="preserve">
</t>
        </is>
      </c>
      <c r="Q5" s="259">
        <f>IF(AND(Table15[[#This Row],[Column1]]&lt;&gt;"",ISNUMBER(DATEVALUE(Table15[[#This Row],[Column1]]))),TODAY()-DATEVALUE(Table15[[#This Row],[Column1]]),"")</f>
        <v/>
      </c>
    </row>
    <row r="6" ht="78" customHeight="1" s="287">
      <c r="A6" s="254" t="inlineStr">
        <is>
          <t>Request</t>
        </is>
      </c>
      <c r="B6" s="255" t="inlineStr"/>
      <c r="C6" s="256" t="inlineStr">
        <is>
          <t>8/8/2024</t>
        </is>
      </c>
      <c r="D6" s="255" t="inlineStr">
        <is>
          <t>7920V/000R-B336</t>
        </is>
      </c>
      <c r="E6" s="255">
        <f>_xlfn.XLOOKUP(D6, [1]Collection!B:B, [1]Collection!C:C)</f>
        <v/>
      </c>
      <c r="F6" s="255">
        <f>_xlfn.XLOOKUP(D6, [1]Collection!B:B, [1]Collection!D:D)</f>
        <v/>
      </c>
      <c r="G6" s="255" t="inlineStr">
        <is>
          <t>Phone sales Middle East</t>
        </is>
      </c>
      <c r="H6" s="257" t="inlineStr">
        <is>
          <t>101036635</t>
        </is>
      </c>
      <c r="I6" s="257" t="inlineStr">
        <is>
          <t>x</t>
        </is>
      </c>
      <c r="J6" s="261" t="n">
        <v>0</v>
      </c>
      <c r="K6" s="257" t="inlineStr">
        <is>
          <t>x</t>
        </is>
      </c>
      <c r="L6" s="257" t="n"/>
      <c r="M6" s="257" t="n"/>
      <c r="N6" s="255" t="inlineStr">
        <is>
          <t>Prospect</t>
        </is>
      </c>
      <c r="O6" s="255" t="inlineStr">
        <is>
          <t>SHARIF Maaz</t>
        </is>
      </c>
      <c r="P6" s="262" t="inlineStr">
        <is>
          <t xml:space="preserve">The client stated that hes will to come to the boutique to pay the full amount 
</t>
        </is>
      </c>
      <c r="Q6" s="259">
        <f>IF(AND(Table15[[#This Row],[Column1]]&lt;&gt;"",ISNUMBER(DATEVALUE(Table15[[#This Row],[Column1]]))),TODAY()-DATEVALUE(Table15[[#This Row],[Column1]]),"")</f>
        <v/>
      </c>
    </row>
    <row r="7" ht="31.2" customHeight="1" s="287">
      <c r="A7" s="254" t="inlineStr">
        <is>
          <t>Request</t>
        </is>
      </c>
      <c r="B7" s="255" t="inlineStr"/>
      <c r="C7" s="256" t="inlineStr">
        <is>
          <t>8/4/2025</t>
        </is>
      </c>
      <c r="D7" s="255" t="inlineStr">
        <is>
          <t>7920V/210A-B334</t>
        </is>
      </c>
      <c r="E7" s="255">
        <f>_xlfn.XLOOKUP(D7, [1]Collection!B:B, [1]Collection!C:C)</f>
        <v/>
      </c>
      <c r="F7" s="255">
        <f>_xlfn.XLOOKUP(D7, [1]Collection!B:B, [1]Collection!D:D)</f>
        <v/>
      </c>
      <c r="G7" s="255" t="inlineStr">
        <is>
          <t>Phone sales Middle East</t>
        </is>
      </c>
      <c r="H7" s="257" t="inlineStr">
        <is>
          <t>105116801</t>
        </is>
      </c>
      <c r="I7" s="257" t="inlineStr">
        <is>
          <t>x</t>
        </is>
      </c>
      <c r="J7" s="261" t="n">
        <v>0.6</v>
      </c>
      <c r="K7" s="257" t="inlineStr">
        <is>
          <t>Yes</t>
        </is>
      </c>
      <c r="L7" s="257" t="inlineStr">
        <is>
          <t>Waiting for confirmation</t>
        </is>
      </c>
      <c r="M7" s="257" t="n"/>
      <c r="N7" s="255" t="inlineStr">
        <is>
          <t>Prospect</t>
        </is>
      </c>
      <c r="O7" s="255" t="inlineStr">
        <is>
          <t>SHARIF Maaz</t>
        </is>
      </c>
      <c r="P7" s="262" t="inlineStr">
        <is>
          <t xml:space="preserve">dual time ksa 
</t>
        </is>
      </c>
      <c r="Q7" s="259">
        <f>IF(AND(Table15[[#This Row],[Column1]]&lt;&gt;"",ISNUMBER(DATEVALUE(Table15[[#This Row],[Column1]]))),TODAY()-DATEVALUE(Table15[[#This Row],[Column1]]),"")</f>
        <v/>
      </c>
    </row>
    <row r="8" hidden="1" s="287">
      <c r="A8" s="254" t="inlineStr">
        <is>
          <t>Request</t>
        </is>
      </c>
      <c r="B8" s="255" t="inlineStr"/>
      <c r="C8" s="256" t="inlineStr">
        <is>
          <t>8/4/2025</t>
        </is>
      </c>
      <c r="D8" s="255" t="inlineStr">
        <is>
          <t>4200H/222A-B934</t>
        </is>
      </c>
      <c r="E8" s="255">
        <f>_xlfn.XLOOKUP(D8, [1]Collection!B:B, [1]Collection!C:C)</f>
        <v/>
      </c>
      <c r="F8" s="255">
        <f>_xlfn.XLOOKUP(D8, [1]Collection!B:B, [1]Collection!D:D)</f>
        <v/>
      </c>
      <c r="G8" s="255" t="inlineStr">
        <is>
          <t>Phone sales Middle East</t>
        </is>
      </c>
      <c r="H8" s="257" t="inlineStr">
        <is>
          <t>105117467</t>
        </is>
      </c>
      <c r="I8" s="257" t="n"/>
      <c r="J8" s="257" t="n"/>
      <c r="K8" s="257" t="n"/>
      <c r="L8" s="257" t="n"/>
      <c r="M8" s="257" t="n"/>
      <c r="N8" s="255" t="inlineStr">
        <is>
          <t>Prospect</t>
        </is>
      </c>
      <c r="O8" s="255" t="inlineStr">
        <is>
          <t>SHARIF Maaz</t>
        </is>
      </c>
      <c r="P8" s="258" t="inlineStr">
        <is>
          <t xml:space="preserve">222 KSA client - P
</t>
        </is>
      </c>
      <c r="Q8" s="259">
        <f>IF(AND(Table15[[#This Row],[Column1]]&lt;&gt;"",ISNUMBER(DATEVALUE(Table15[[#This Row],[Column1]]))),TODAY()-DATEVALUE(Table15[[#This Row],[Column1]]),"")</f>
        <v/>
      </c>
    </row>
    <row r="9" ht="31.2" customHeight="1" s="287">
      <c r="A9" s="254" t="inlineStr">
        <is>
          <t>Request</t>
        </is>
      </c>
      <c r="B9" s="255" t="inlineStr"/>
      <c r="C9" s="256" t="inlineStr">
        <is>
          <t>8/4/2025</t>
        </is>
      </c>
      <c r="D9" s="255" t="inlineStr">
        <is>
          <t>7920V/210A-B334</t>
        </is>
      </c>
      <c r="E9" s="255">
        <f>_xlfn.XLOOKUP(D9, [1]Collection!B:B, [1]Collection!C:C)</f>
        <v/>
      </c>
      <c r="F9" s="255">
        <f>_xlfn.XLOOKUP(D9, [1]Collection!B:B, [1]Collection!D:D)</f>
        <v/>
      </c>
      <c r="G9" s="255" t="inlineStr">
        <is>
          <t>Phone sales Middle East</t>
        </is>
      </c>
      <c r="H9" s="257" t="inlineStr">
        <is>
          <t>101467308</t>
        </is>
      </c>
      <c r="I9" s="257" t="inlineStr">
        <is>
          <t>x</t>
        </is>
      </c>
      <c r="J9" s="261" t="n">
        <v>0.6</v>
      </c>
      <c r="K9" s="257" t="inlineStr">
        <is>
          <t>Yes</t>
        </is>
      </c>
      <c r="L9" s="257" t="inlineStr">
        <is>
          <t>Waiting for confirmation</t>
        </is>
      </c>
      <c r="M9" s="257" t="n"/>
      <c r="N9" s="255" t="inlineStr">
        <is>
          <t>Prospect</t>
        </is>
      </c>
      <c r="O9" s="255" t="inlineStr">
        <is>
          <t>SHARIF Maaz</t>
        </is>
      </c>
      <c r="P9" s="262" t="inlineStr">
        <is>
          <t xml:space="preserve">the dual  time , 
</t>
        </is>
      </c>
      <c r="Q9" s="259">
        <f>IF(AND(Table15[[#This Row],[Column1]]&lt;&gt;"",ISNUMBER(DATEVALUE(Table15[[#This Row],[Column1]]))),TODAY()-DATEVALUE(Table15[[#This Row],[Column1]]),"")</f>
        <v/>
      </c>
    </row>
    <row r="10" hidden="1" s="287">
      <c r="A10" s="254" t="inlineStr">
        <is>
          <t>Request</t>
        </is>
      </c>
      <c r="B10" s="255" t="inlineStr"/>
      <c r="C10" s="256" t="inlineStr">
        <is>
          <t>8/3/2025</t>
        </is>
      </c>
      <c r="D10" s="255" t="inlineStr">
        <is>
          <t>4200H/222A-B934</t>
        </is>
      </c>
      <c r="E10" s="255">
        <f>_xlfn.XLOOKUP(D10, [1]Collection!B:B, [1]Collection!C:C)</f>
        <v/>
      </c>
      <c r="F10" s="255">
        <f>_xlfn.XLOOKUP(D10, [1]Collection!B:B, [1]Collection!D:D)</f>
        <v/>
      </c>
      <c r="G10" s="255" t="inlineStr">
        <is>
          <t>Phone sales Middle East</t>
        </is>
      </c>
      <c r="H10" s="257" t="inlineStr">
        <is>
          <t>104506669</t>
        </is>
      </c>
      <c r="I10" s="257" t="n"/>
      <c r="J10" s="257" t="n"/>
      <c r="K10" s="257" t="n"/>
      <c r="L10" s="257" t="n"/>
      <c r="M10" s="257" t="n"/>
      <c r="N10" s="255" t="inlineStr">
        <is>
          <t>Prospect</t>
        </is>
      </c>
      <c r="O10" s="255" t="inlineStr">
        <is>
          <t>SHARIF Maaz</t>
        </is>
      </c>
      <c r="P10" s="258" t="inlineStr">
        <is>
          <t xml:space="preserve">222
</t>
        </is>
      </c>
      <c r="Q10" s="259">
        <f>IF(AND(Table15[[#This Row],[Column1]]&lt;&gt;"",ISNUMBER(DATEVALUE(Table15[[#This Row],[Column1]]))),TODAY()-DATEVALUE(Table15[[#This Row],[Column1]]),"")</f>
        <v/>
      </c>
    </row>
    <row r="11" ht="31.2" customHeight="1" s="287">
      <c r="A11" s="254" t="inlineStr">
        <is>
          <t>Request</t>
        </is>
      </c>
      <c r="B11" s="255" t="inlineStr"/>
      <c r="C11" s="256" t="inlineStr">
        <is>
          <t>8/3/2025</t>
        </is>
      </c>
      <c r="D11" s="255" t="inlineStr">
        <is>
          <t>6000T/000R-B346</t>
        </is>
      </c>
      <c r="E11" s="255">
        <f>_xlfn.XLOOKUP(D11, [1]Collection!B:B, [1]Collection!C:C)</f>
        <v/>
      </c>
      <c r="F11" s="255">
        <f>_xlfn.XLOOKUP(D11, [1]Collection!B:B, [1]Collection!D:D)</f>
        <v/>
      </c>
      <c r="G11" s="255" t="inlineStr">
        <is>
          <t>Phone sales Middle East</t>
        </is>
      </c>
      <c r="H11" s="257" t="inlineStr">
        <is>
          <t>104509438</t>
        </is>
      </c>
      <c r="I11" s="257" t="inlineStr">
        <is>
          <t>x</t>
        </is>
      </c>
      <c r="J11" s="261" t="n">
        <v>0.1</v>
      </c>
      <c r="K11" s="257" t="inlineStr">
        <is>
          <t>Yes</t>
        </is>
      </c>
      <c r="L11" s="257" t="inlineStr">
        <is>
          <t>Waiting for confirmation</t>
        </is>
      </c>
      <c r="M11" s="257" t="n"/>
      <c r="N11" s="255" t="inlineStr">
        <is>
          <t>Prospect</t>
        </is>
      </c>
      <c r="O11" s="255" t="inlineStr">
        <is>
          <t>SHARIF Maaz</t>
        </is>
      </c>
      <c r="P11" s="262" t="inlineStr">
        <is>
          <t xml:space="preserve">
</t>
        </is>
      </c>
      <c r="Q11" s="259">
        <f>IF(AND(Table15[[#This Row],[Column1]]&lt;&gt;"",ISNUMBER(DATEVALUE(Table15[[#This Row],[Column1]]))),TODAY()-DATEVALUE(Table15[[#This Row],[Column1]]),"")</f>
        <v/>
      </c>
    </row>
    <row r="12" ht="31.2" customHeight="1" s="287">
      <c r="A12" s="254" t="inlineStr">
        <is>
          <t>Request</t>
        </is>
      </c>
      <c r="B12" s="255" t="inlineStr"/>
      <c r="C12" s="256" t="inlineStr">
        <is>
          <t>8/3/2025</t>
        </is>
      </c>
      <c r="D12" s="255" t="inlineStr">
        <is>
          <t>7920V/210R-B965</t>
        </is>
      </c>
      <c r="E12" s="255">
        <f>_xlfn.XLOOKUP(D12, [1]Collection!B:B, [1]Collection!C:C)</f>
        <v/>
      </c>
      <c r="F12" s="255">
        <f>_xlfn.XLOOKUP(D12, [1]Collection!B:B, [1]Collection!D:D)</f>
        <v/>
      </c>
      <c r="G12" s="255" t="inlineStr">
        <is>
          <t>Phone sales Middle East</t>
        </is>
      </c>
      <c r="H12" s="257" t="inlineStr">
        <is>
          <t>105118480</t>
        </is>
      </c>
      <c r="I12" s="257" t="inlineStr">
        <is>
          <t>x</t>
        </is>
      </c>
      <c r="J12" s="261" t="n">
        <v>0</v>
      </c>
      <c r="K12" s="257" t="inlineStr">
        <is>
          <t>Yes</t>
        </is>
      </c>
      <c r="L12" s="257" t="inlineStr">
        <is>
          <t>Waiting for confirmation</t>
        </is>
      </c>
      <c r="M12" s="257" t="n"/>
      <c r="N12" s="255" t="inlineStr">
        <is>
          <t>Prospect</t>
        </is>
      </c>
      <c r="O12" s="255" t="inlineStr">
        <is>
          <t>SHARIF Maaz</t>
        </is>
      </c>
      <c r="P12" s="262" t="inlineStr">
        <is>
          <t xml:space="preserve">Dual time green 
</t>
        </is>
      </c>
      <c r="Q12" s="259">
        <f>IF(AND(Table15[[#This Row],[Column1]]&lt;&gt;"",ISNUMBER(DATEVALUE(Table15[[#This Row],[Column1]]))),TODAY()-DATEVALUE(Table15[[#This Row],[Column1]]),"")</f>
        <v/>
      </c>
    </row>
    <row r="13" ht="31.2" customHeight="1" s="287">
      <c r="A13" s="254" t="inlineStr">
        <is>
          <t>Request</t>
        </is>
      </c>
      <c r="B13" s="255" t="inlineStr"/>
      <c r="C13" s="256" t="inlineStr">
        <is>
          <t>8/11/2024</t>
        </is>
      </c>
      <c r="D13" s="255" t="inlineStr">
        <is>
          <t>5520V/210R-B966</t>
        </is>
      </c>
      <c r="E13" s="255">
        <f>_xlfn.XLOOKUP(D13, [1]Collection!B:B, [1]Collection!C:C)</f>
        <v/>
      </c>
      <c r="F13" s="255">
        <f>_xlfn.XLOOKUP(D13, [1]Collection!B:B, [1]Collection!D:D)</f>
        <v/>
      </c>
      <c r="G13" s="255" t="inlineStr">
        <is>
          <t>Phone sales Middle East</t>
        </is>
      </c>
      <c r="H13" s="257" t="inlineStr">
        <is>
          <t>98182455</t>
        </is>
      </c>
      <c r="I13" s="257" t="inlineStr">
        <is>
          <t>x</t>
        </is>
      </c>
      <c r="J13" s="261" t="n">
        <v>0.1</v>
      </c>
      <c r="K13" s="257" t="inlineStr">
        <is>
          <t>No</t>
        </is>
      </c>
      <c r="L13" s="282" t="inlineStr">
        <is>
          <t xml:space="preserve">Follow up </t>
        </is>
      </c>
      <c r="M13" s="257" t="n"/>
      <c r="N13" s="255" t="inlineStr">
        <is>
          <t>Prospect</t>
        </is>
      </c>
      <c r="O13" s="255" t="inlineStr">
        <is>
          <t>SHARIF Maaz</t>
        </is>
      </c>
      <c r="P13" s="262" t="inlineStr">
        <is>
          <t xml:space="preserve">
</t>
        </is>
      </c>
      <c r="Q13" s="259">
        <f>IF(AND(Table15[[#This Row],[Column1]]&lt;&gt;"",ISNUMBER(DATEVALUE(Table15[[#This Row],[Column1]]))),TODAY()-DATEVALUE(Table15[[#This Row],[Column1]]),"")</f>
        <v/>
      </c>
    </row>
    <row r="14" hidden="1" s="287">
      <c r="A14" s="254" t="inlineStr">
        <is>
          <t>Request</t>
        </is>
      </c>
      <c r="B14" s="255" t="inlineStr"/>
      <c r="C14" s="256" t="inlineStr">
        <is>
          <t>8/10/2023</t>
        </is>
      </c>
      <c r="D14" s="255" t="inlineStr">
        <is>
          <t>4520V/210A-B128</t>
        </is>
      </c>
      <c r="E14" s="255">
        <f>_xlfn.XLOOKUP(D14, [1]Collection!B:B, [1]Collection!C:C)</f>
        <v/>
      </c>
      <c r="F14" s="255">
        <f>_xlfn.XLOOKUP(D14, [1]Collection!B:B, [1]Collection!D:D)</f>
        <v/>
      </c>
      <c r="G14" s="255" t="inlineStr">
        <is>
          <t>Phone sales Middle East</t>
        </is>
      </c>
      <c r="H14" s="257" t="inlineStr">
        <is>
          <t>1150674</t>
        </is>
      </c>
      <c r="I14" s="257" t="n"/>
      <c r="J14" s="257" t="n"/>
      <c r="K14" s="257" t="n"/>
      <c r="L14" s="257" t="n"/>
      <c r="M14" s="257" t="n"/>
      <c r="N14" s="255" t="inlineStr">
        <is>
          <t>Client</t>
        </is>
      </c>
      <c r="O14" s="255" t="inlineStr">
        <is>
          <t>SHARIF Maaz</t>
        </is>
      </c>
      <c r="P14" s="258" t="inlineStr"/>
      <c r="Q14" s="259">
        <f>IF(AND(Table15[[#This Row],[Column1]]&lt;&gt;"",ISNUMBER(DATEVALUE(Table15[[#This Row],[Column1]]))),TODAY()-DATEVALUE(Table15[[#This Row],[Column1]]),"")</f>
        <v/>
      </c>
    </row>
    <row r="15" hidden="1" s="287">
      <c r="A15" s="254" t="inlineStr">
        <is>
          <t>Request</t>
        </is>
      </c>
      <c r="B15" s="255" t="inlineStr"/>
      <c r="C15" s="256" t="inlineStr">
        <is>
          <t>7/3/2025</t>
        </is>
      </c>
      <c r="D15" s="255" t="inlineStr">
        <is>
          <t>4200H/222A-B934</t>
        </is>
      </c>
      <c r="E15" s="255">
        <f>_xlfn.XLOOKUP(D15, [1]Collection!B:B, [1]Collection!C:C)</f>
        <v/>
      </c>
      <c r="F15" s="255">
        <f>_xlfn.XLOOKUP(D15, [1]Collection!B:B, [1]Collection!D:D)</f>
        <v/>
      </c>
      <c r="G15" s="255" t="inlineStr">
        <is>
          <t>Phone sales Middle East</t>
        </is>
      </c>
      <c r="H15" s="257" t="inlineStr">
        <is>
          <t>103831079</t>
        </is>
      </c>
      <c r="I15" s="257" t="n"/>
      <c r="J15" s="257" t="n"/>
      <c r="K15" s="257" t="n"/>
      <c r="L15" s="257" t="n"/>
      <c r="M15" s="257" t="n"/>
      <c r="N15" s="255" t="inlineStr">
        <is>
          <t>Prospect</t>
        </is>
      </c>
      <c r="O15" s="255" t="inlineStr">
        <is>
          <t>SHARIF Maaz</t>
        </is>
      </c>
      <c r="P15" s="258" t="inlineStr">
        <is>
          <t xml:space="preserve">222 
</t>
        </is>
      </c>
      <c r="Q15" s="259">
        <f>IF(AND(Table15[[#This Row],[Column1]]&lt;&gt;"",ISNUMBER(DATEVALUE(Table15[[#This Row],[Column1]]))),TODAY()-DATEVALUE(Table15[[#This Row],[Column1]]),"")</f>
        <v/>
      </c>
    </row>
    <row r="16" hidden="1" s="287">
      <c r="A16" s="254" t="inlineStr">
        <is>
          <t>Request</t>
        </is>
      </c>
      <c r="B16" s="255" t="inlineStr"/>
      <c r="C16" s="256" t="inlineStr">
        <is>
          <t>7/3/2025</t>
        </is>
      </c>
      <c r="D16" s="255" t="inlineStr">
        <is>
          <t>4200H/222A-B934</t>
        </is>
      </c>
      <c r="E16" s="255">
        <f>_xlfn.XLOOKUP(D16, [1]Collection!B:B, [1]Collection!C:C)</f>
        <v/>
      </c>
      <c r="F16" s="255">
        <f>_xlfn.XLOOKUP(D16, [1]Collection!B:B, [1]Collection!D:D)</f>
        <v/>
      </c>
      <c r="G16" s="255" t="inlineStr">
        <is>
          <t>Phone sales Middle East</t>
        </is>
      </c>
      <c r="H16" s="257" t="inlineStr">
        <is>
          <t>104909110</t>
        </is>
      </c>
      <c r="I16" s="257" t="n"/>
      <c r="J16" s="257" t="n"/>
      <c r="K16" s="257" t="n"/>
      <c r="L16" s="257" t="n"/>
      <c r="M16" s="257" t="n"/>
      <c r="N16" s="255" t="inlineStr">
        <is>
          <t>Prospect</t>
        </is>
      </c>
      <c r="O16" s="255" t="inlineStr">
        <is>
          <t>SHARIF Maaz</t>
        </is>
      </c>
      <c r="P16" s="258" t="inlineStr">
        <is>
          <t xml:space="preserve">222
</t>
        </is>
      </c>
      <c r="Q16" s="259">
        <f>IF(AND(Table15[[#This Row],[Column1]]&lt;&gt;"",ISNUMBER(DATEVALUE(Table15[[#This Row],[Column1]]))),TODAY()-DATEVALUE(Table15[[#This Row],[Column1]]),"")</f>
        <v/>
      </c>
    </row>
    <row r="17">
      <c r="A17" s="254" t="inlineStr">
        <is>
          <t>Request</t>
        </is>
      </c>
      <c r="B17" s="255" t="inlineStr"/>
      <c r="C17" s="256" t="inlineStr">
        <is>
          <t>7/3/2024</t>
        </is>
      </c>
      <c r="D17" s="255" t="inlineStr">
        <is>
          <t>4000V/210A-B911</t>
        </is>
      </c>
      <c r="E17" s="255">
        <f>_xlfn.XLOOKUP(D17, [1]Collection!B:B, [1]Collection!C:C)</f>
        <v/>
      </c>
      <c r="F17" s="255">
        <f>_xlfn.XLOOKUP(D17, [1]Collection!B:B, [1]Collection!D:D)</f>
        <v/>
      </c>
      <c r="G17" s="255" t="inlineStr">
        <is>
          <t>Phone sales Middle East</t>
        </is>
      </c>
      <c r="H17" s="257" t="inlineStr">
        <is>
          <t>92424528</t>
        </is>
      </c>
      <c r="I17" s="257" t="inlineStr">
        <is>
          <t>Yes</t>
        </is>
      </c>
      <c r="J17" s="261" t="n">
        <v>0.9</v>
      </c>
      <c r="K17" s="257" t="inlineStr">
        <is>
          <t>Yes</t>
        </is>
      </c>
      <c r="L17" s="282" t="inlineStr">
        <is>
          <t xml:space="preserve">Done </t>
        </is>
      </c>
      <c r="M17" s="257" t="inlineStr">
        <is>
          <t>will check with Scout coming next week</t>
        </is>
      </c>
      <c r="N17" s="255" t="inlineStr">
        <is>
          <t>Prospect</t>
        </is>
      </c>
      <c r="O17" s="255" t="inlineStr">
        <is>
          <t>SHARIF Maaz</t>
        </is>
      </c>
      <c r="P17" s="262" t="inlineStr"/>
      <c r="Q17" s="259">
        <f>IF(AND(Table15[[#This Row],[Column1]]&lt;&gt;"",ISNUMBER(DATEVALUE(Table15[[#This Row],[Column1]]))),TODAY()-DATEVALUE(Table15[[#This Row],[Column1]]),"")</f>
        <v/>
      </c>
    </row>
    <row r="18">
      <c r="A18" s="254" t="inlineStr">
        <is>
          <t>Request</t>
        </is>
      </c>
      <c r="B18" s="255" t="inlineStr"/>
      <c r="C18" s="256" t="inlineStr">
        <is>
          <t>7/2/2025</t>
        </is>
      </c>
      <c r="D18" s="255" t="inlineStr">
        <is>
          <t>5520V/210A-B148</t>
        </is>
      </c>
      <c r="E18" s="255">
        <f>_xlfn.XLOOKUP(D18, [1]Collection!B:B, [1]Collection!C:C)</f>
        <v/>
      </c>
      <c r="F18" s="255">
        <f>_xlfn.XLOOKUP(D18, [1]Collection!B:B, [1]Collection!D:D)</f>
        <v/>
      </c>
      <c r="G18" s="255" t="inlineStr">
        <is>
          <t>Phone sales Middle East</t>
        </is>
      </c>
      <c r="H18" s="257" t="inlineStr">
        <is>
          <t>103471315</t>
        </is>
      </c>
      <c r="I18" s="257" t="inlineStr">
        <is>
          <t>x</t>
        </is>
      </c>
      <c r="J18" s="261" t="n">
        <v>0</v>
      </c>
      <c r="K18" s="257" t="inlineStr">
        <is>
          <t>Yes</t>
        </is>
      </c>
      <c r="L18" s="282" t="inlineStr">
        <is>
          <t>Waiting for confirmation</t>
        </is>
      </c>
      <c r="M18" s="257" t="n"/>
      <c r="N18" s="255" t="inlineStr">
        <is>
          <t>Prospect</t>
        </is>
      </c>
      <c r="O18" s="255" t="inlineStr">
        <is>
          <t>SHARIF Maaz</t>
        </is>
      </c>
      <c r="P18" s="262" t="inlineStr"/>
      <c r="Q18" s="259">
        <f>IF(AND(Table15[[#This Row],[Column1]]&lt;&gt;"",ISNUMBER(DATEVALUE(Table15[[#This Row],[Column1]]))),TODAY()-DATEVALUE(Table15[[#This Row],[Column1]]),"")</f>
        <v/>
      </c>
    </row>
    <row r="19">
      <c r="A19" s="254" t="inlineStr">
        <is>
          <t>Request</t>
        </is>
      </c>
      <c r="B19" s="255" t="inlineStr"/>
      <c r="C19" s="256" t="inlineStr">
        <is>
          <t>6/5/2025</t>
        </is>
      </c>
      <c r="D19" s="255" t="inlineStr">
        <is>
          <t>4520V/210A-B483</t>
        </is>
      </c>
      <c r="E19" s="255">
        <f>_xlfn.XLOOKUP(D19, [1]Collection!B:B, [1]Collection!C:C)</f>
        <v/>
      </c>
      <c r="F19" s="255">
        <f>_xlfn.XLOOKUP(D19, [1]Collection!B:B, [1]Collection!D:D)</f>
        <v/>
      </c>
      <c r="G19" s="255" t="inlineStr">
        <is>
          <t>Phone sales Middle East</t>
        </is>
      </c>
      <c r="H19" s="257" t="inlineStr">
        <is>
          <t>101467308</t>
        </is>
      </c>
      <c r="I19" s="257" t="inlineStr">
        <is>
          <t>Yes</t>
        </is>
      </c>
      <c r="J19" s="261" t="n">
        <v>0.5</v>
      </c>
      <c r="K19" s="257" t="inlineStr">
        <is>
          <t>Yes</t>
        </is>
      </c>
      <c r="L19" s="282" t="inlineStr">
        <is>
          <t>Waiting for confirmation</t>
        </is>
      </c>
      <c r="M19" s="257" t="n"/>
      <c r="N19" s="255" t="inlineStr">
        <is>
          <t>Prospect</t>
        </is>
      </c>
      <c r="O19" s="255" t="inlineStr">
        <is>
          <t>SHARIF Maaz</t>
        </is>
      </c>
      <c r="P19" s="262" t="inlineStr"/>
      <c r="Q19" s="259">
        <f>IF(AND(Table15[[#This Row],[Column1]]&lt;&gt;"",ISNUMBER(DATEVALUE(Table15[[#This Row],[Column1]]))),TODAY()-DATEVALUE(Table15[[#This Row],[Column1]]),"")</f>
        <v/>
      </c>
    </row>
    <row r="20" ht="62.4" customHeight="1" s="287">
      <c r="A20" s="254" t="inlineStr">
        <is>
          <t>Request</t>
        </is>
      </c>
      <c r="B20" s="255" t="inlineStr"/>
      <c r="C20" s="256" t="inlineStr">
        <is>
          <t>6/4/2025</t>
        </is>
      </c>
      <c r="D20" s="255" t="inlineStr">
        <is>
          <t>7920V/210A-B334</t>
        </is>
      </c>
      <c r="E20" s="255">
        <f>_xlfn.XLOOKUP(D20, [1]Collection!B:B, [1]Collection!C:C)</f>
        <v/>
      </c>
      <c r="F20" s="255">
        <f>_xlfn.XLOOKUP(D20, [1]Collection!B:B, [1]Collection!D:D)</f>
        <v/>
      </c>
      <c r="G20" s="255" t="inlineStr">
        <is>
          <t>Phone sales Middle East</t>
        </is>
      </c>
      <c r="H20" s="257" t="n">
        <v>101467508</v>
      </c>
      <c r="I20" s="257" t="inlineStr">
        <is>
          <t>Yes</t>
        </is>
      </c>
      <c r="J20" s="261" t="n">
        <v>0.5</v>
      </c>
      <c r="K20" s="257" t="inlineStr">
        <is>
          <t>Yes</t>
        </is>
      </c>
      <c r="L20" s="282" t="inlineStr">
        <is>
          <t>Waiting for confirmation</t>
        </is>
      </c>
      <c r="M20" s="257" t="n"/>
      <c r="N20" s="255" t="inlineStr">
        <is>
          <t>Prospect</t>
        </is>
      </c>
      <c r="O20" s="255" t="inlineStr">
        <is>
          <t>SHARIF Maaz</t>
        </is>
      </c>
      <c r="P20" s="262" t="inlineStr">
        <is>
          <t xml:space="preserve">very interested in the dual time and Chronograph 
</t>
        </is>
      </c>
      <c r="Q20" s="259">
        <f>IF(AND(Table15[[#This Row],[Column1]]&lt;&gt;"",ISNUMBER(DATEVALUE(Table15[[#This Row],[Column1]]))),TODAY()-DATEVALUE(Table15[[#This Row],[Column1]]),"")</f>
        <v/>
      </c>
    </row>
    <row r="21" ht="62.4" customHeight="1" s="287">
      <c r="A21" s="254" t="inlineStr">
        <is>
          <t>Request</t>
        </is>
      </c>
      <c r="B21" s="255" t="inlineStr"/>
      <c r="C21" s="256" t="inlineStr">
        <is>
          <t>5/9/2024</t>
        </is>
      </c>
      <c r="D21" s="255" t="inlineStr">
        <is>
          <t>4600E/000A-B442</t>
        </is>
      </c>
      <c r="E21" s="255">
        <f>_xlfn.XLOOKUP(D21, [1]Collection!B:B, [1]Collection!C:C)</f>
        <v/>
      </c>
      <c r="F21" s="255">
        <f>_xlfn.XLOOKUP(D21, [1]Collection!B:B, [1]Collection!D:D)</f>
        <v/>
      </c>
      <c r="G21" s="255" t="inlineStr">
        <is>
          <t>Phone sales Middle East</t>
        </is>
      </c>
      <c r="H21" s="257" t="inlineStr">
        <is>
          <t>101369992</t>
        </is>
      </c>
      <c r="I21" s="257" t="inlineStr">
        <is>
          <t>Yes</t>
        </is>
      </c>
      <c r="J21" s="261" t="n">
        <v>0.4</v>
      </c>
      <c r="K21" s="257" t="inlineStr">
        <is>
          <t>Yes</t>
        </is>
      </c>
      <c r="L21" s="282" t="inlineStr">
        <is>
          <t>Waiting for confirmation</t>
        </is>
      </c>
      <c r="M21" s="257" t="n"/>
      <c r="N21" s="255" t="inlineStr">
        <is>
          <t>Prospect</t>
        </is>
      </c>
      <c r="O21" s="255" t="inlineStr">
        <is>
          <t>SHARIF Maaz</t>
        </is>
      </c>
      <c r="P21" s="262" t="inlineStr">
        <is>
          <t xml:space="preserve">The client is intrested in the fiftysix self winding gray
</t>
        </is>
      </c>
      <c r="Q21" s="259">
        <f>IF(AND(Table15[[#This Row],[Column1]]&lt;&gt;"",ISNUMBER(DATEVALUE(Table15[[#This Row],[Column1]]))),TODAY()-DATEVALUE(Table15[[#This Row],[Column1]]),"")</f>
        <v/>
      </c>
    </row>
    <row r="22" hidden="1" s="287">
      <c r="A22" s="254" t="inlineStr">
        <is>
          <t>Request</t>
        </is>
      </c>
      <c r="B22" s="255" t="inlineStr"/>
      <c r="C22" s="256" t="inlineStr">
        <is>
          <t>5/4/2025</t>
        </is>
      </c>
      <c r="D22" s="255" t="inlineStr">
        <is>
          <t>4200H/222A-B934</t>
        </is>
      </c>
      <c r="E22" s="255">
        <f>_xlfn.XLOOKUP(D22, [1]Collection!B:B, [1]Collection!C:C)</f>
        <v/>
      </c>
      <c r="F22" s="255">
        <f>_xlfn.XLOOKUP(D22, [1]Collection!B:B, [1]Collection!D:D)</f>
        <v/>
      </c>
      <c r="G22" s="255" t="inlineStr">
        <is>
          <t>Phone sales Middle East</t>
        </is>
      </c>
      <c r="H22" s="257" t="inlineStr">
        <is>
          <t>105413736</t>
        </is>
      </c>
      <c r="I22" s="257" t="n"/>
      <c r="J22" s="257" t="n"/>
      <c r="K22" s="257" t="n"/>
      <c r="L22" s="257" t="n"/>
      <c r="M22" s="257" t="n"/>
      <c r="N22" s="255" t="inlineStr">
        <is>
          <t>Prospect</t>
        </is>
      </c>
      <c r="O22" s="255" t="inlineStr">
        <is>
          <t>SHARIF Maaz</t>
        </is>
      </c>
      <c r="P22" s="258" t="inlineStr">
        <is>
          <t xml:space="preserve">222
</t>
        </is>
      </c>
      <c r="Q22" s="259">
        <f>IF(AND(Table15[[#This Row],[Column1]]&lt;&gt;"",ISNUMBER(DATEVALUE(Table15[[#This Row],[Column1]]))),TODAY()-DATEVALUE(Table15[[#This Row],[Column1]]),"")</f>
        <v/>
      </c>
    </row>
    <row r="23" hidden="1" s="287">
      <c r="A23" s="254" t="inlineStr">
        <is>
          <t>Request</t>
        </is>
      </c>
      <c r="B23" s="255" t="inlineStr"/>
      <c r="C23" s="256" t="inlineStr">
        <is>
          <t>5/3/2025</t>
        </is>
      </c>
      <c r="D23" s="255" t="inlineStr">
        <is>
          <t>4200H/222A-B934</t>
        </is>
      </c>
      <c r="E23" s="255">
        <f>_xlfn.XLOOKUP(D23, [1]Collection!B:B, [1]Collection!C:C)</f>
        <v/>
      </c>
      <c r="F23" s="255">
        <f>_xlfn.XLOOKUP(D23, [1]Collection!B:B, [1]Collection!D:D)</f>
        <v/>
      </c>
      <c r="G23" s="255" t="inlineStr">
        <is>
          <t>Phone sales Middle East</t>
        </is>
      </c>
      <c r="H23" s="257" t="inlineStr">
        <is>
          <t>104457258</t>
        </is>
      </c>
      <c r="I23" s="257" t="n"/>
      <c r="J23" s="257" t="n"/>
      <c r="K23" s="257" t="n"/>
      <c r="L23" s="257" t="n"/>
      <c r="M23" s="257" t="n"/>
      <c r="N23" s="255" t="inlineStr">
        <is>
          <t>Prospect</t>
        </is>
      </c>
      <c r="O23" s="255" t="inlineStr">
        <is>
          <t>SHARIF Maaz</t>
        </is>
      </c>
      <c r="P23" s="258" t="inlineStr">
        <is>
          <t xml:space="preserve">222
</t>
        </is>
      </c>
      <c r="Q23" s="259">
        <f>IF(AND(Table15[[#This Row],[Column1]]&lt;&gt;"",ISNUMBER(DATEVALUE(Table15[[#This Row],[Column1]]))),TODAY()-DATEVALUE(Table15[[#This Row],[Column1]]),"")</f>
        <v/>
      </c>
    </row>
    <row r="24" hidden="1" s="287">
      <c r="A24" s="254" t="inlineStr">
        <is>
          <t>Request</t>
        </is>
      </c>
      <c r="B24" s="255" t="inlineStr"/>
      <c r="C24" s="256" t="inlineStr">
        <is>
          <t>5/3/2025</t>
        </is>
      </c>
      <c r="D24" s="255" t="inlineStr">
        <is>
          <t>4200H/222A-B934</t>
        </is>
      </c>
      <c r="E24" s="255">
        <f>_xlfn.XLOOKUP(D24, [1]Collection!B:B, [1]Collection!C:C)</f>
        <v/>
      </c>
      <c r="F24" s="255">
        <f>_xlfn.XLOOKUP(D24, [1]Collection!B:B, [1]Collection!D:D)</f>
        <v/>
      </c>
      <c r="G24" s="255" t="inlineStr">
        <is>
          <t>Phone sales Middle East</t>
        </is>
      </c>
      <c r="H24" s="257" t="inlineStr">
        <is>
          <t>104482467</t>
        </is>
      </c>
      <c r="I24" s="257" t="n"/>
      <c r="J24" s="257" t="n"/>
      <c r="K24" s="257" t="n"/>
      <c r="L24" s="257" t="n"/>
      <c r="M24" s="257" t="n"/>
      <c r="N24" s="255" t="inlineStr">
        <is>
          <t>Prospect</t>
        </is>
      </c>
      <c r="O24" s="255" t="inlineStr">
        <is>
          <t>SHARIF Maaz</t>
        </is>
      </c>
      <c r="P24" s="258" t="inlineStr">
        <is>
          <t xml:space="preserve">222
</t>
        </is>
      </c>
      <c r="Q24" s="259">
        <f>IF(AND(Table15[[#This Row],[Column1]]&lt;&gt;"",ISNUMBER(DATEVALUE(Table15[[#This Row],[Column1]]))),TODAY()-DATEVALUE(Table15[[#This Row],[Column1]]),"")</f>
        <v/>
      </c>
    </row>
    <row r="25" ht="31.2" customHeight="1" s="287">
      <c r="A25" s="254" t="inlineStr">
        <is>
          <t>Request</t>
        </is>
      </c>
      <c r="B25" s="255" t="inlineStr"/>
      <c r="C25" s="256" t="inlineStr">
        <is>
          <t>5/2/2025</t>
        </is>
      </c>
      <c r="D25" s="255" t="inlineStr">
        <is>
          <t>5520V/210R-B966</t>
        </is>
      </c>
      <c r="E25" s="255">
        <f>_xlfn.XLOOKUP(D25, [1]Collection!B:B, [1]Collection!C:C)</f>
        <v/>
      </c>
      <c r="F25" s="255">
        <f>_xlfn.XLOOKUP(D25, [1]Collection!B:B, [1]Collection!D:D)</f>
        <v/>
      </c>
      <c r="G25" s="255" t="inlineStr">
        <is>
          <t>Phone sales Middle East</t>
        </is>
      </c>
      <c r="H25" s="257" t="inlineStr">
        <is>
          <t>104459131</t>
        </is>
      </c>
      <c r="I25" s="257" t="n"/>
      <c r="J25" s="261" t="n"/>
      <c r="K25" s="257" t="n"/>
      <c r="L25" s="257" t="n"/>
      <c r="M25" s="257" t="n"/>
      <c r="N25" s="255" t="inlineStr">
        <is>
          <t>Prospect</t>
        </is>
      </c>
      <c r="O25" s="255" t="inlineStr">
        <is>
          <t>SHARIF Maaz</t>
        </is>
      </c>
      <c r="P25" s="262" t="inlineStr">
        <is>
          <t xml:space="preserve">
</t>
        </is>
      </c>
      <c r="Q25" s="259">
        <f>IF(AND(Table15[[#This Row],[Column1]]&lt;&gt;"",ISNUMBER(DATEVALUE(Table15[[#This Row],[Column1]]))),TODAY()-DATEVALUE(Table15[[#This Row],[Column1]]),"")</f>
        <v/>
      </c>
    </row>
    <row r="26" ht="46.8" customHeight="1" s="287">
      <c r="A26" s="254" t="inlineStr">
        <is>
          <t>Request</t>
        </is>
      </c>
      <c r="B26" s="255" t="inlineStr">
        <is>
          <t>Confirmed</t>
        </is>
      </c>
      <c r="C26" s="256" t="inlineStr">
        <is>
          <t>5/12/2024</t>
        </is>
      </c>
      <c r="D26" s="255" t="inlineStr">
        <is>
          <t>7920V/210A-B546</t>
        </is>
      </c>
      <c r="E26" s="255">
        <f>_xlfn.XLOOKUP(D26, [1]Collection!B:B, [1]Collection!C:C)</f>
        <v/>
      </c>
      <c r="F26" s="255">
        <f>_xlfn.XLOOKUP(D26, [1]Collection!B:B, [1]Collection!D:D)</f>
        <v/>
      </c>
      <c r="G26" s="255" t="inlineStr">
        <is>
          <t>Phone sales Middle East</t>
        </is>
      </c>
      <c r="H26" s="257" t="inlineStr">
        <is>
          <t>104993022</t>
        </is>
      </c>
      <c r="I26" s="257" t="n"/>
      <c r="J26" s="261" t="n"/>
      <c r="K26" s="257" t="n"/>
      <c r="L26" s="257" t="n"/>
      <c r="M26" s="257" t="n"/>
      <c r="N26" s="255" t="inlineStr">
        <is>
          <t>Prospect</t>
        </is>
      </c>
      <c r="O26" s="255" t="inlineStr">
        <is>
          <t>SHARIF Maaz</t>
        </is>
      </c>
      <c r="P26" s="262" t="inlineStr">
        <is>
          <t xml:space="preserve">interested in the black oversease 
</t>
        </is>
      </c>
      <c r="Q26" s="259">
        <f>IF(AND(Table15[[#This Row],[Column1]]&lt;&gt;"",ISNUMBER(DATEVALUE(Table15[[#This Row],[Column1]]))),TODAY()-DATEVALUE(Table15[[#This Row],[Column1]]),"")</f>
        <v/>
      </c>
    </row>
    <row r="27" ht="218.4" customHeight="1" s="287">
      <c r="A27" s="254" t="inlineStr">
        <is>
          <t>Request</t>
        </is>
      </c>
      <c r="B27" s="255" t="inlineStr"/>
      <c r="C27" s="256" t="inlineStr">
        <is>
          <t>5/11/2024</t>
        </is>
      </c>
      <c r="D27" s="255" t="inlineStr">
        <is>
          <t>7920V/210A-B334</t>
        </is>
      </c>
      <c r="E27" s="255">
        <f>_xlfn.XLOOKUP(D27, [1]Collection!B:B, [1]Collection!C:C)</f>
        <v/>
      </c>
      <c r="F27" s="255">
        <f>_xlfn.XLOOKUP(D27, [1]Collection!B:B, [1]Collection!D:D)</f>
        <v/>
      </c>
      <c r="G27" s="255" t="inlineStr">
        <is>
          <t>Phone sales Middle East</t>
        </is>
      </c>
      <c r="H27" s="257" t="inlineStr">
        <is>
          <t>98635975</t>
        </is>
      </c>
      <c r="I27" s="257" t="n"/>
      <c r="J27" s="261" t="n"/>
      <c r="K27" s="257" t="n"/>
      <c r="L27" s="257" t="n"/>
      <c r="M27" s="257" t="n"/>
      <c r="N27" s="255" t="inlineStr">
        <is>
          <t>VVIC</t>
        </is>
      </c>
      <c r="O27" s="255" t="inlineStr">
        <is>
          <t>SHARIF Maaz</t>
        </is>
      </c>
      <c r="P27" s="262" t="inlineStr">
        <is>
          <t xml:space="preserve">My client Al Owis recently reached out to express his satisfaction with the service he received previously. He inquired about the dual time and mentioned that he would like to purchase it as a gift for his uncle, His Excellency Abdul Rahman Al Owais.
</t>
        </is>
      </c>
      <c r="Q27" s="259">
        <f>IF(AND(Table15[[#This Row],[Column1]]&lt;&gt;"",ISNUMBER(DATEVALUE(Table15[[#This Row],[Column1]]))),TODAY()-DATEVALUE(Table15[[#This Row],[Column1]]),"")</f>
        <v/>
      </c>
    </row>
    <row r="28" ht="78" customHeight="1" s="287">
      <c r="A28" s="254" t="inlineStr">
        <is>
          <t>Request</t>
        </is>
      </c>
      <c r="B28" s="255" t="inlineStr">
        <is>
          <t>Confirmed</t>
        </is>
      </c>
      <c r="C28" s="256" t="inlineStr">
        <is>
          <t>5/11/2024</t>
        </is>
      </c>
      <c r="D28" s="255" t="inlineStr">
        <is>
          <t>4520V/210A-B483</t>
        </is>
      </c>
      <c r="E28" s="255">
        <f>_xlfn.XLOOKUP(D28, [1]Collection!B:B, [1]Collection!C:C)</f>
        <v/>
      </c>
      <c r="F28" s="255">
        <f>_xlfn.XLOOKUP(D28, [1]Collection!B:B, [1]Collection!D:D)</f>
        <v/>
      </c>
      <c r="G28" s="255" t="inlineStr">
        <is>
          <t>Phone sales Middle East</t>
        </is>
      </c>
      <c r="H28" s="257" t="inlineStr">
        <is>
          <t>98711501</t>
        </is>
      </c>
      <c r="I28" s="257" t="n"/>
      <c r="J28" s="261" t="n"/>
      <c r="K28" s="257" t="n"/>
      <c r="L28" s="257" t="n"/>
      <c r="M28" s="257" t="n"/>
      <c r="N28" s="255" t="inlineStr">
        <is>
          <t>Prospect</t>
        </is>
      </c>
      <c r="O28" s="255" t="inlineStr">
        <is>
          <t>SHARIF Maaz</t>
        </is>
      </c>
      <c r="P28" s="262" t="inlineStr">
        <is>
          <t xml:space="preserve">The client is Al Firdan family memebers   interested in the black and blue dual time 
</t>
        </is>
      </c>
      <c r="Q28" s="259">
        <f>IF(AND(Table15[[#This Row],[Column1]]&lt;&gt;"",ISNUMBER(DATEVALUE(Table15[[#This Row],[Column1]]))),TODAY()-DATEVALUE(Table15[[#This Row],[Column1]]),"")</f>
        <v/>
      </c>
    </row>
    <row r="29" ht="93.59999999999999" customHeight="1" s="287">
      <c r="A29" s="254" t="inlineStr">
        <is>
          <t>Sold</t>
        </is>
      </c>
      <c r="B29" s="255" t="inlineStr">
        <is>
          <t>Pending client feedback</t>
        </is>
      </c>
      <c r="C29" s="256" t="inlineStr">
        <is>
          <t>5/10/2024</t>
        </is>
      </c>
      <c r="D29" s="255" t="inlineStr">
        <is>
          <t>7920V/210A-B334</t>
        </is>
      </c>
      <c r="E29" s="255">
        <f>_xlfn.XLOOKUP(D29, [1]Collection!B:B, [1]Collection!C:C)</f>
        <v/>
      </c>
      <c r="F29" s="255">
        <f>_xlfn.XLOOKUP(D29, [1]Collection!B:B, [1]Collection!D:D)</f>
        <v/>
      </c>
      <c r="G29" s="255" t="inlineStr">
        <is>
          <t>Phone sales Middle East</t>
        </is>
      </c>
      <c r="H29" s="257" t="inlineStr">
        <is>
          <t>101808480</t>
        </is>
      </c>
      <c r="I29" s="257" t="n"/>
      <c r="J29" s="261" t="n"/>
      <c r="K29" s="257" t="n"/>
      <c r="L29" s="257" t="n"/>
      <c r="M29" s="257" t="n"/>
      <c r="N29" s="255" t="inlineStr">
        <is>
          <t>Prospect</t>
        </is>
      </c>
      <c r="O29" s="255" t="inlineStr">
        <is>
          <t>SHARIF Maaz</t>
        </is>
      </c>
      <c r="P29" s="262" t="inlineStr">
        <is>
          <t xml:space="preserve">the client stated that  hes interested in the overseas blue dial (dual time or self winding)
</t>
        </is>
      </c>
      <c r="Q29" s="259">
        <f>IF(AND(Table15[[#This Row],[Column1]]&lt;&gt;"",ISNUMBER(DATEVALUE(Table15[[#This Row],[Column1]]))),TODAY()-DATEVALUE(Table15[[#This Row],[Column1]]),"")</f>
        <v/>
      </c>
    </row>
    <row r="30" ht="31.2" customHeight="1" s="287">
      <c r="A30" s="254" t="inlineStr">
        <is>
          <t>Request</t>
        </is>
      </c>
      <c r="B30" s="255" t="inlineStr"/>
      <c r="C30" s="256" t="inlineStr">
        <is>
          <t>4/9/2025</t>
        </is>
      </c>
      <c r="D30" s="255" t="inlineStr">
        <is>
          <t>4520V/210R-B967</t>
        </is>
      </c>
      <c r="E30" s="255">
        <f>_xlfn.XLOOKUP(D30, [1]Collection!B:B, [1]Collection!C:C)</f>
        <v/>
      </c>
      <c r="F30" s="255">
        <f>_xlfn.XLOOKUP(D30, [1]Collection!B:B, [1]Collection!D:D)</f>
        <v/>
      </c>
      <c r="G30" s="255" t="inlineStr">
        <is>
          <t>Phone sales Middle East</t>
        </is>
      </c>
      <c r="H30" s="257" t="inlineStr">
        <is>
          <t>109392945</t>
        </is>
      </c>
      <c r="I30" s="257" t="n"/>
      <c r="J30" s="261" t="n"/>
      <c r="K30" s="257" t="n"/>
      <c r="L30" s="257" t="n"/>
      <c r="M30" s="257" t="n"/>
      <c r="N30" s="255" t="inlineStr">
        <is>
          <t>Prospect</t>
        </is>
      </c>
      <c r="O30" s="255" t="inlineStr">
        <is>
          <t>SHARIF Maaz</t>
        </is>
      </c>
      <c r="P30" s="262" t="inlineStr">
        <is>
          <t xml:space="preserve">4520V/210R-B705
</t>
        </is>
      </c>
      <c r="Q30" s="259">
        <f>IF(AND(Table15[[#This Row],[Column1]]&lt;&gt;"",ISNUMBER(DATEVALUE(Table15[[#This Row],[Column1]]))),TODAY()-DATEVALUE(Table15[[#This Row],[Column1]]),"")</f>
        <v/>
      </c>
    </row>
    <row r="31" ht="31.2" customHeight="1" s="287">
      <c r="A31" s="254" t="inlineStr">
        <is>
          <t>Request</t>
        </is>
      </c>
      <c r="B31" s="255" t="inlineStr"/>
      <c r="C31" s="256" t="inlineStr">
        <is>
          <t>4/9/2025</t>
        </is>
      </c>
      <c r="D31" s="255" t="inlineStr">
        <is>
          <t>4520V/210R-B705</t>
        </is>
      </c>
      <c r="E31" s="255">
        <f>_xlfn.XLOOKUP(D31, [1]Collection!B:B, [1]Collection!C:C)</f>
        <v/>
      </c>
      <c r="F31" s="255">
        <f>_xlfn.XLOOKUP(D31, [1]Collection!B:B, [1]Collection!D:D)</f>
        <v/>
      </c>
      <c r="G31" s="255" t="inlineStr">
        <is>
          <t>Phone sales Middle East</t>
        </is>
      </c>
      <c r="H31" s="257" t="inlineStr">
        <is>
          <t>109392945</t>
        </is>
      </c>
      <c r="I31" s="257" t="n"/>
      <c r="J31" s="261" t="n"/>
      <c r="K31" s="257" t="n"/>
      <c r="L31" s="257" t="n"/>
      <c r="M31" s="257" t="n"/>
      <c r="N31" s="255" t="inlineStr">
        <is>
          <t>Prospect</t>
        </is>
      </c>
      <c r="O31" s="255" t="inlineStr">
        <is>
          <t>SHARIF Maaz</t>
        </is>
      </c>
      <c r="P31" s="262" t="inlineStr">
        <is>
          <t xml:space="preserve">
</t>
        </is>
      </c>
      <c r="Q31" s="259">
        <f>IF(AND(Table15[[#This Row],[Column1]]&lt;&gt;"",ISNUMBER(DATEVALUE(Table15[[#This Row],[Column1]]))),TODAY()-DATEVALUE(Table15[[#This Row],[Column1]]),"")</f>
        <v/>
      </c>
    </row>
    <row r="32" ht="93.59999999999999" customHeight="1" s="287">
      <c r="A32" s="254" t="inlineStr">
        <is>
          <t>Request</t>
        </is>
      </c>
      <c r="B32" s="255" t="inlineStr"/>
      <c r="C32" s="256" t="inlineStr">
        <is>
          <t>4/9/2024</t>
        </is>
      </c>
      <c r="D32" s="255" t="inlineStr">
        <is>
          <t>4520V/210A-B483</t>
        </is>
      </c>
      <c r="E32" s="255">
        <f>_xlfn.XLOOKUP(D32, [1]Collection!B:B, [1]Collection!C:C)</f>
        <v/>
      </c>
      <c r="F32" s="255">
        <f>_xlfn.XLOOKUP(D32, [1]Collection!B:B, [1]Collection!D:D)</f>
        <v/>
      </c>
      <c r="G32" s="255" t="inlineStr">
        <is>
          <t>Phone sales Middle East</t>
        </is>
      </c>
      <c r="H32" s="257" t="inlineStr">
        <is>
          <t>101314200</t>
        </is>
      </c>
      <c r="I32" s="257" t="n"/>
      <c r="J32" s="261" t="n"/>
      <c r="K32" s="257" t="n"/>
      <c r="L32" s="257" t="n"/>
      <c r="M32" s="257" t="n"/>
      <c r="N32" s="255" t="inlineStr">
        <is>
          <t>Prospect</t>
        </is>
      </c>
      <c r="O32" s="255" t="inlineStr">
        <is>
          <t>SHARIF Maaz</t>
        </is>
      </c>
      <c r="P32" s="262" t="inlineStr">
        <is>
          <t xml:space="preserve">The client is interested in the black dial Overseas and has an appointment at Suite 1755.
</t>
        </is>
      </c>
      <c r="Q32" s="259">
        <f>IF(AND(Table15[[#This Row],[Column1]]&lt;&gt;"",ISNUMBER(DATEVALUE(Table15[[#This Row],[Column1]]))),TODAY()-DATEVALUE(Table15[[#This Row],[Column1]]),"")</f>
        <v/>
      </c>
      <c r="R32" s="251" t="inlineStr">
        <is>
          <t>done</t>
        </is>
      </c>
    </row>
    <row r="33" ht="140.4" customHeight="1" s="287">
      <c r="A33" s="254" t="inlineStr">
        <is>
          <t>Request</t>
        </is>
      </c>
      <c r="B33" s="255" t="inlineStr">
        <is>
          <t>Confirmed</t>
        </is>
      </c>
      <c r="C33" s="256" t="inlineStr">
        <is>
          <t>4/9/2024</t>
        </is>
      </c>
      <c r="D33" s="255" t="inlineStr">
        <is>
          <t>4600E/000R-H101</t>
        </is>
      </c>
      <c r="E33" s="255">
        <f>_xlfn.XLOOKUP(D33, [1]Collection!B:B, [1]Collection!C:C)</f>
        <v/>
      </c>
      <c r="F33" s="255">
        <f>_xlfn.XLOOKUP(D33, [1]Collection!B:B, [1]Collection!D:D)</f>
        <v/>
      </c>
      <c r="G33" s="255" t="inlineStr">
        <is>
          <t>Phone sales Middle East</t>
        </is>
      </c>
      <c r="H33" s="257" t="inlineStr">
        <is>
          <t>101314200</t>
        </is>
      </c>
      <c r="I33" s="257" t="n"/>
      <c r="J33" s="261" t="n"/>
      <c r="K33" s="257" t="n"/>
      <c r="L33" s="257" t="n"/>
      <c r="M33" s="257" t="n"/>
      <c r="N33" s="255" t="inlineStr">
        <is>
          <t>Prospect</t>
        </is>
      </c>
      <c r="O33" s="255" t="inlineStr">
        <is>
          <t>SHARIF Maaz</t>
        </is>
      </c>
      <c r="P33" s="262" t="inlineStr">
        <is>
          <t xml:space="preserve">The client wanted to Purchase  either the oversease 4520V/210A-B483 or the fifitysix , with Mohammed support she made a full payment  4600E/000R-H101
</t>
        </is>
      </c>
      <c r="Q33" s="259">
        <f>IF(AND(Table15[[#This Row],[Column1]]&lt;&gt;"",ISNUMBER(DATEVALUE(Table15[[#This Row],[Column1]]))),TODAY()-DATEVALUE(Table15[[#This Row],[Column1]]),"")</f>
        <v/>
      </c>
    </row>
    <row r="34" ht="31.2" customHeight="1" s="287">
      <c r="A34" s="254" t="inlineStr">
        <is>
          <t>Request</t>
        </is>
      </c>
      <c r="B34" s="255" t="inlineStr"/>
      <c r="C34" s="256" t="inlineStr">
        <is>
          <t>4/7/2025</t>
        </is>
      </c>
      <c r="D34" s="255" t="inlineStr">
        <is>
          <t>1410U/000G-H017</t>
        </is>
      </c>
      <c r="E34" s="255">
        <f>_xlfn.XLOOKUP(D34, [1]Collection!B:B, [1]Collection!C:C)</f>
        <v/>
      </c>
      <c r="F34" s="255">
        <f>_xlfn.XLOOKUP(D34, [1]Collection!B:B, [1]Collection!D:D)</f>
        <v/>
      </c>
      <c r="G34" s="255" t="inlineStr">
        <is>
          <t>Phone sales Middle East</t>
        </is>
      </c>
      <c r="H34" s="257" t="inlineStr">
        <is>
          <t>107265277</t>
        </is>
      </c>
      <c r="I34" s="257" t="n"/>
      <c r="J34" s="261" t="n"/>
      <c r="K34" s="257" t="n"/>
      <c r="L34" s="257" t="n"/>
      <c r="M34" s="257" t="n"/>
      <c r="N34" s="255" t="inlineStr">
        <is>
          <t>Prospect</t>
        </is>
      </c>
      <c r="O34" s="255" t="inlineStr">
        <is>
          <t>SHARIF Maaz</t>
        </is>
      </c>
      <c r="P34" s="262" t="inlineStr">
        <is>
          <t xml:space="preserve">
</t>
        </is>
      </c>
      <c r="Q34" s="259">
        <f>IF(AND(Table15[[#This Row],[Column1]]&lt;&gt;"",ISNUMBER(DATEVALUE(Table15[[#This Row],[Column1]]))),TODAY()-DATEVALUE(Table15[[#This Row],[Column1]]),"")</f>
        <v/>
      </c>
    </row>
    <row r="35" ht="62.4" customHeight="1" s="287">
      <c r="A35" s="254" t="inlineStr">
        <is>
          <t>Request</t>
        </is>
      </c>
      <c r="B35" s="255" t="inlineStr"/>
      <c r="C35" s="256" t="inlineStr">
        <is>
          <t>4/3/2025</t>
        </is>
      </c>
      <c r="D35" s="255" t="inlineStr">
        <is>
          <t>7920V/210A-B546</t>
        </is>
      </c>
      <c r="E35" s="255">
        <f>_xlfn.XLOOKUP(D35, [1]Collection!B:B, [1]Collection!C:C)</f>
        <v/>
      </c>
      <c r="F35" s="255">
        <f>_xlfn.XLOOKUP(D35, [1]Collection!B:B, [1]Collection!D:D)</f>
        <v/>
      </c>
      <c r="G35" s="255" t="inlineStr">
        <is>
          <t>Phone sales Middle East</t>
        </is>
      </c>
      <c r="H35" s="257" t="inlineStr">
        <is>
          <t>104459323</t>
        </is>
      </c>
      <c r="I35" s="257" t="n"/>
      <c r="J35" s="261" t="n"/>
      <c r="K35" s="257" t="n"/>
      <c r="L35" s="257" t="n"/>
      <c r="M35" s="257" t="n"/>
      <c r="N35" s="255" t="inlineStr">
        <is>
          <t>Prospect</t>
        </is>
      </c>
      <c r="O35" s="255" t="inlineStr">
        <is>
          <t>SHARIF Maaz</t>
        </is>
      </c>
      <c r="P35" s="262" t="inlineStr">
        <is>
          <t xml:space="preserve">the client is interested in the dual and Chronograph black dial 
</t>
        </is>
      </c>
      <c r="Q35" s="259">
        <f>IF(AND(Table15[[#This Row],[Column1]]&lt;&gt;"",ISNUMBER(DATEVALUE(Table15[[#This Row],[Column1]]))),TODAY()-DATEVALUE(Table15[[#This Row],[Column1]]),"")</f>
        <v/>
      </c>
      <c r="R35" s="251" t="inlineStr">
        <is>
          <t>reached out</t>
        </is>
      </c>
    </row>
    <row r="36" ht="78" customHeight="1" s="287">
      <c r="A36" s="254" t="inlineStr">
        <is>
          <t>Request</t>
        </is>
      </c>
      <c r="B36" s="255" t="inlineStr"/>
      <c r="C36" s="256" t="inlineStr">
        <is>
          <t>4/2/2025</t>
        </is>
      </c>
      <c r="D36" s="255" t="inlineStr">
        <is>
          <t>4000U/000P-H003</t>
        </is>
      </c>
      <c r="E36" s="255">
        <f>_xlfn.XLOOKUP(D36, [1]Collection!B:B, [1]Collection!C:C)</f>
        <v/>
      </c>
      <c r="F36" s="255">
        <f>_xlfn.XLOOKUP(D36, [1]Collection!B:B, [1]Collection!D:D)</f>
        <v/>
      </c>
      <c r="G36" s="255" t="inlineStr">
        <is>
          <t>Phone sales Middle East</t>
        </is>
      </c>
      <c r="H36" s="257" t="inlineStr">
        <is>
          <t>103677618</t>
        </is>
      </c>
      <c r="I36" s="257" t="n"/>
      <c r="J36" s="261" t="n"/>
      <c r="K36" s="257" t="n"/>
      <c r="L36" s="257" t="n"/>
      <c r="M36" s="257" t="n"/>
      <c r="N36" s="255" t="inlineStr">
        <is>
          <t>Prospect</t>
        </is>
      </c>
      <c r="O36" s="255" t="inlineStr">
        <is>
          <t>SHARIF Maaz</t>
        </is>
      </c>
      <c r="P36" s="262" t="inlineStr">
        <is>
          <t xml:space="preserve">The client interested in the 222 gold and steel as well the Patrimony and Historiques 
</t>
        </is>
      </c>
      <c r="Q36" s="259">
        <f>IF(AND(Table15[[#This Row],[Column1]]&lt;&gt;"",ISNUMBER(DATEVALUE(Table15[[#This Row],[Column1]]))),TODAY()-DATEVALUE(Table15[[#This Row],[Column1]]),"")</f>
        <v/>
      </c>
      <c r="R36" s="251" t="inlineStr">
        <is>
          <t>already purchased</t>
        </is>
      </c>
    </row>
    <row r="37" hidden="1" s="287">
      <c r="A37" s="254" t="inlineStr">
        <is>
          <t>Request</t>
        </is>
      </c>
      <c r="B37" s="255" t="inlineStr"/>
      <c r="C37" s="256" t="inlineStr">
        <is>
          <t>4/2/2025</t>
        </is>
      </c>
      <c r="D37" s="255" t="inlineStr">
        <is>
          <t>4200H/222A-B934</t>
        </is>
      </c>
      <c r="E37" s="255">
        <f>_xlfn.XLOOKUP(D37, [1]Collection!B:B, [1]Collection!C:C)</f>
        <v/>
      </c>
      <c r="F37" s="255">
        <f>_xlfn.XLOOKUP(D37, [1]Collection!B:B, [1]Collection!D:D)</f>
        <v/>
      </c>
      <c r="G37" s="255" t="inlineStr">
        <is>
          <t>Phone sales Middle East</t>
        </is>
      </c>
      <c r="H37" s="257" t="inlineStr">
        <is>
          <t>103677618</t>
        </is>
      </c>
      <c r="I37" s="257" t="n"/>
      <c r="J37" s="257" t="n"/>
      <c r="K37" s="257" t="n"/>
      <c r="L37" s="257" t="n"/>
      <c r="M37" s="257" t="n"/>
      <c r="N37" s="255" t="inlineStr">
        <is>
          <t>Prospect</t>
        </is>
      </c>
      <c r="O37" s="255" t="inlineStr">
        <is>
          <t>SHARIF Maaz</t>
        </is>
      </c>
      <c r="P37" s="258" t="inlineStr">
        <is>
          <t xml:space="preserve">Clinet is intrested in the 222 
</t>
        </is>
      </c>
      <c r="Q37" s="259">
        <f>IF(AND(Table15[[#This Row],[Column1]]&lt;&gt;"",ISNUMBER(DATEVALUE(Table15[[#This Row],[Column1]]))),TODAY()-DATEVALUE(Table15[[#This Row],[Column1]]),"")</f>
        <v/>
      </c>
    </row>
    <row r="38" ht="78" customHeight="1" s="287">
      <c r="A38" s="254" t="inlineStr">
        <is>
          <t>Request</t>
        </is>
      </c>
      <c r="B38" s="255" t="inlineStr"/>
      <c r="C38" s="256" t="inlineStr">
        <is>
          <t>4/2/2025</t>
        </is>
      </c>
      <c r="D38" s="255" t="inlineStr">
        <is>
          <t>4000V/210A-B911</t>
        </is>
      </c>
      <c r="E38" s="255">
        <f>_xlfn.XLOOKUP(D38, [1]Collection!B:B, [1]Collection!C:C)</f>
        <v/>
      </c>
      <c r="F38" s="255">
        <f>_xlfn.XLOOKUP(D38, [1]Collection!B:B, [1]Collection!D:D)</f>
        <v/>
      </c>
      <c r="G38" s="255" t="inlineStr">
        <is>
          <t>Phone sales Middle East</t>
        </is>
      </c>
      <c r="H38" s="257" t="inlineStr">
        <is>
          <t>103658184</t>
        </is>
      </c>
      <c r="I38" s="257" t="n"/>
      <c r="J38" s="261" t="n"/>
      <c r="K38" s="257" t="n"/>
      <c r="L38" s="257" t="n"/>
      <c r="M38" s="257" t="n"/>
      <c r="N38" s="255" t="inlineStr">
        <is>
          <t>Prospect</t>
        </is>
      </c>
      <c r="O38" s="255" t="inlineStr">
        <is>
          <t>SHARIF Maaz</t>
        </is>
      </c>
      <c r="P38" s="262" t="inlineStr">
        <is>
          <t xml:space="preserve">the client want to purchase this timepeice , to gift it to his father 
</t>
        </is>
      </c>
      <c r="Q38" s="259">
        <f>IF(AND(Table15[[#This Row],[Column1]]&lt;&gt;"",ISNUMBER(DATEVALUE(Table15[[#This Row],[Column1]]))),TODAY()-DATEVALUE(Table15[[#This Row],[Column1]]),"")</f>
        <v/>
      </c>
      <c r="R38" s="251" t="inlineStr">
        <is>
          <t>Sanket</t>
        </is>
      </c>
    </row>
    <row r="39" hidden="1" s="287">
      <c r="A39" s="254" t="inlineStr">
        <is>
          <t>Request</t>
        </is>
      </c>
      <c r="B39" s="255" t="inlineStr"/>
      <c r="C39" s="256" t="inlineStr">
        <is>
          <t>4/12/2024</t>
        </is>
      </c>
      <c r="D39" s="255" t="inlineStr">
        <is>
          <t>4520V/210A-B128</t>
        </is>
      </c>
      <c r="E39" s="255">
        <f>_xlfn.XLOOKUP(D39, [1]Collection!B:B, [1]Collection!C:C)</f>
        <v/>
      </c>
      <c r="F39" s="255">
        <f>_xlfn.XLOOKUP(D39, [1]Collection!B:B, [1]Collection!D:D)</f>
        <v/>
      </c>
      <c r="G39" s="255" t="inlineStr">
        <is>
          <t>Phone sales Middle East</t>
        </is>
      </c>
      <c r="H39" s="257" t="inlineStr">
        <is>
          <t>102637104</t>
        </is>
      </c>
      <c r="I39" s="257" t="n"/>
      <c r="J39" s="257" t="n"/>
      <c r="K39" s="257" t="n"/>
      <c r="L39" s="257" t="n"/>
      <c r="M39" s="257" t="n"/>
      <c r="N39" s="255" t="inlineStr">
        <is>
          <t>Prospect</t>
        </is>
      </c>
      <c r="O39" s="255" t="inlineStr">
        <is>
          <t>SHARIF Maaz</t>
        </is>
      </c>
      <c r="P39" s="258" t="inlineStr">
        <is>
          <t xml:space="preserve">The client is based in India , and willing to come to the UAE for 128 
</t>
        </is>
      </c>
      <c r="Q39" s="259">
        <f>IF(AND(Table15[[#This Row],[Column1]]&lt;&gt;"",ISNUMBER(DATEVALUE(Table15[[#This Row],[Column1]]))),TODAY()-DATEVALUE(Table15[[#This Row],[Column1]]),"")</f>
        <v/>
      </c>
    </row>
    <row r="40" hidden="1" s="287">
      <c r="A40" s="254" t="inlineStr">
        <is>
          <t>Cancelled</t>
        </is>
      </c>
      <c r="B40" s="255" t="inlineStr">
        <is>
          <t>Cancelled</t>
        </is>
      </c>
      <c r="C40" s="256" t="inlineStr">
        <is>
          <t>31/10/2024</t>
        </is>
      </c>
      <c r="D40" s="255" t="inlineStr">
        <is>
          <t>4520V/210A-B128</t>
        </is>
      </c>
      <c r="E40" s="255">
        <f>_xlfn.XLOOKUP(D40, [1]Collection!B:B, [1]Collection!C:C)</f>
        <v/>
      </c>
      <c r="F40" s="255">
        <f>_xlfn.XLOOKUP(D40, [1]Collection!B:B, [1]Collection!D:D)</f>
        <v/>
      </c>
      <c r="G40" s="255" t="inlineStr">
        <is>
          <t>Phone sales Middle East</t>
        </is>
      </c>
      <c r="H40" s="257" t="inlineStr">
        <is>
          <t>102176002</t>
        </is>
      </c>
      <c r="I40" s="257" t="n"/>
      <c r="J40" s="257" t="n"/>
      <c r="K40" s="257" t="n"/>
      <c r="L40" s="257" t="n"/>
      <c r="M40" s="257" t="n"/>
      <c r="N40" s="255" t="inlineStr">
        <is>
          <t>Prospect</t>
        </is>
      </c>
      <c r="O40" s="255" t="inlineStr">
        <is>
          <t>SHARIF Maaz</t>
        </is>
      </c>
      <c r="P40" s="258" t="inlineStr">
        <is>
          <t xml:space="preserve">The client is very interested in the overseas blue bay tower.
</t>
        </is>
      </c>
      <c r="Q40" s="259">
        <f>IF(AND(Table15[[#This Row],[Column1]]&lt;&gt;"",ISNUMBER(DATEVALUE(Table15[[#This Row],[Column1]]))),TODAY()-DATEVALUE(Table15[[#This Row],[Column1]]),"")</f>
        <v/>
      </c>
    </row>
    <row r="41" ht="62.4" customHeight="1" s="287">
      <c r="A41" s="254" t="inlineStr">
        <is>
          <t>Request</t>
        </is>
      </c>
      <c r="B41" s="255" t="inlineStr"/>
      <c r="C41" s="256" t="inlineStr">
        <is>
          <t>30/8/2024</t>
        </is>
      </c>
      <c r="D41" s="255" t="inlineStr">
        <is>
          <t>4520V/210A-B483</t>
        </is>
      </c>
      <c r="E41" s="255">
        <f>_xlfn.XLOOKUP(D41, [1]Collection!B:B, [1]Collection!C:C)</f>
        <v/>
      </c>
      <c r="F41" s="255">
        <f>_xlfn.XLOOKUP(D41, [1]Collection!B:B, [1]Collection!D:D)</f>
        <v/>
      </c>
      <c r="G41" s="255" t="inlineStr">
        <is>
          <t>Phone sales Middle East</t>
        </is>
      </c>
      <c r="H41" s="257" t="inlineStr">
        <is>
          <t>101314200</t>
        </is>
      </c>
      <c r="I41" s="257" t="n"/>
      <c r="J41" s="261" t="n"/>
      <c r="K41" s="257" t="n"/>
      <c r="L41" s="257" t="n"/>
      <c r="M41" s="257" t="n"/>
      <c r="N41" s="255" t="inlineStr">
        <is>
          <t>Prospect</t>
        </is>
      </c>
      <c r="O41" s="255" t="inlineStr">
        <is>
          <t>SHARIF Maaz</t>
        </is>
      </c>
      <c r="P41" s="262" t="inlineStr">
        <is>
          <t xml:space="preserve">The client would like to purchase Overseas self-winding black Dial
</t>
        </is>
      </c>
      <c r="Q41" s="259">
        <f>IF(AND(Table15[[#This Row],[Column1]]&lt;&gt;"",ISNUMBER(DATEVALUE(Table15[[#This Row],[Column1]]))),TODAY()-DATEVALUE(Table15[[#This Row],[Column1]]),"")</f>
        <v/>
      </c>
    </row>
    <row r="42" hidden="1" s="287">
      <c r="A42" s="254" t="inlineStr">
        <is>
          <t>Request</t>
        </is>
      </c>
      <c r="B42" s="255" t="inlineStr"/>
      <c r="C42" s="256" t="inlineStr">
        <is>
          <t>30/10/2024</t>
        </is>
      </c>
      <c r="D42" s="255" t="inlineStr">
        <is>
          <t>4520V/210A-B128</t>
        </is>
      </c>
      <c r="E42" s="255">
        <f>_xlfn.XLOOKUP(D42, [1]Collection!B:B, [1]Collection!C:C)</f>
        <v/>
      </c>
      <c r="F42" s="255">
        <f>_xlfn.XLOOKUP(D42, [1]Collection!B:B, [1]Collection!D:D)</f>
        <v/>
      </c>
      <c r="G42" s="255" t="inlineStr">
        <is>
          <t>Phone sales Middle East</t>
        </is>
      </c>
      <c r="H42" s="257" t="inlineStr">
        <is>
          <t>102176002</t>
        </is>
      </c>
      <c r="I42" s="257" t="n"/>
      <c r="J42" s="257" t="n"/>
      <c r="K42" s="257" t="n"/>
      <c r="L42" s="257" t="n"/>
      <c r="M42" s="257" t="n"/>
      <c r="N42" s="255" t="inlineStr">
        <is>
          <t>Prospect</t>
        </is>
      </c>
      <c r="O42" s="255" t="inlineStr">
        <is>
          <t>SHARIF Maaz</t>
        </is>
      </c>
      <c r="P42" s="258" t="inlineStr"/>
      <c r="Q42" s="259">
        <f>IF(AND(Table15[[#This Row],[Column1]]&lt;&gt;"",ISNUMBER(DATEVALUE(Table15[[#This Row],[Column1]]))),TODAY()-DATEVALUE(Table15[[#This Row],[Column1]]),"")</f>
        <v/>
      </c>
    </row>
    <row r="43" ht="78" customHeight="1" s="287">
      <c r="A43" s="254" t="inlineStr">
        <is>
          <t>Cancelled</t>
        </is>
      </c>
      <c r="B43" s="255" t="inlineStr">
        <is>
          <t>Cancelled</t>
        </is>
      </c>
      <c r="C43" s="256" t="inlineStr">
        <is>
          <t>30/10/2024</t>
        </is>
      </c>
      <c r="D43" s="255" t="inlineStr">
        <is>
          <t>6000V/210T-H032</t>
        </is>
      </c>
      <c r="E43" s="255">
        <f>_xlfn.XLOOKUP(D43, [1]Collection!B:B, [1]Collection!C:C)</f>
        <v/>
      </c>
      <c r="F43" s="255">
        <f>_xlfn.XLOOKUP(D43, [1]Collection!B:B, [1]Collection!D:D)</f>
        <v/>
      </c>
      <c r="G43" s="255" t="inlineStr">
        <is>
          <t>Phone sales Middle East</t>
        </is>
      </c>
      <c r="H43" s="257" t="inlineStr">
        <is>
          <t>102113813</t>
        </is>
      </c>
      <c r="I43" s="257" t="n"/>
      <c r="J43" s="261" t="n"/>
      <c r="K43" s="257" t="n"/>
      <c r="L43" s="257" t="n"/>
      <c r="M43" s="257" t="n"/>
      <c r="N43" s="255" t="inlineStr">
        <is>
          <t>Prospect</t>
        </is>
      </c>
      <c r="O43" s="255" t="inlineStr">
        <is>
          <t>SHARIF Maaz</t>
        </is>
      </c>
      <c r="P43" s="262" t="inlineStr">
        <is>
          <t xml:space="preserve">the client would like to purchases 
overseas tourbillon
</t>
        </is>
      </c>
      <c r="Q43" s="259">
        <f>IF(AND(Table15[[#This Row],[Column1]]&lt;&gt;"",ISNUMBER(DATEVALUE(Table15[[#This Row],[Column1]]))),TODAY()-DATEVALUE(Table15[[#This Row],[Column1]]),"")</f>
        <v/>
      </c>
    </row>
    <row r="44" hidden="1" s="287">
      <c r="A44" s="254" t="inlineStr">
        <is>
          <t>Request</t>
        </is>
      </c>
      <c r="B44" s="255" t="inlineStr"/>
      <c r="C44" s="256" t="inlineStr">
        <is>
          <t>30/1/2025</t>
        </is>
      </c>
      <c r="D44" s="255" t="inlineStr">
        <is>
          <t>4200H/222A-B934</t>
        </is>
      </c>
      <c r="E44" s="255">
        <f>_xlfn.XLOOKUP(D44, [1]Collection!B:B, [1]Collection!C:C)</f>
        <v/>
      </c>
      <c r="F44" s="255">
        <f>_xlfn.XLOOKUP(D44, [1]Collection!B:B, [1]Collection!D:D)</f>
        <v/>
      </c>
      <c r="G44" s="255" t="inlineStr">
        <is>
          <t>Phone sales Middle East</t>
        </is>
      </c>
      <c r="H44" s="257" t="inlineStr">
        <is>
          <t>103831073</t>
        </is>
      </c>
      <c r="I44" s="257" t="n"/>
      <c r="J44" s="257" t="n"/>
      <c r="K44" s="257" t="n"/>
      <c r="L44" s="257" t="n"/>
      <c r="M44" s="257" t="n"/>
      <c r="N44" s="255" t="inlineStr">
        <is>
          <t>Prospect</t>
        </is>
      </c>
      <c r="O44" s="255" t="inlineStr">
        <is>
          <t>SHARIF Maaz</t>
        </is>
      </c>
      <c r="P44" s="258" t="inlineStr"/>
      <c r="Q44" s="259">
        <f>IF(AND(Table15[[#This Row],[Column1]]&lt;&gt;"",ISNUMBER(DATEVALUE(Table15[[#This Row],[Column1]]))),TODAY()-DATEVALUE(Table15[[#This Row],[Column1]]),"")</f>
        <v/>
      </c>
    </row>
    <row r="45" ht="62.4" customHeight="1" s="287">
      <c r="A45" s="254" t="inlineStr">
        <is>
          <t>Request</t>
        </is>
      </c>
      <c r="B45" s="255" t="inlineStr"/>
      <c r="C45" s="256" t="inlineStr">
        <is>
          <t>3/9/2025</t>
        </is>
      </c>
      <c r="D45" s="255" t="inlineStr">
        <is>
          <t>4000E/000R-B438</t>
        </is>
      </c>
      <c r="E45" s="255">
        <f>_xlfn.XLOOKUP(D45, [1]Collection!B:B, [1]Collection!C:C)</f>
        <v/>
      </c>
      <c r="F45" s="255">
        <f>_xlfn.XLOOKUP(D45, [1]Collection!B:B, [1]Collection!D:D)</f>
        <v/>
      </c>
      <c r="G45" s="255" t="inlineStr">
        <is>
          <t>Phone sales Middle East</t>
        </is>
      </c>
      <c r="H45" s="257" t="inlineStr">
        <is>
          <t>109390883</t>
        </is>
      </c>
      <c r="I45" s="257" t="n"/>
      <c r="J45" s="261" t="n"/>
      <c r="K45" s="257" t="n"/>
      <c r="L45" s="257" t="n"/>
      <c r="M45" s="257" t="n"/>
      <c r="N45" s="255" t="inlineStr">
        <is>
          <t>Prospect</t>
        </is>
      </c>
      <c r="O45" s="255" t="inlineStr">
        <is>
          <t>SHARIF Maaz</t>
        </is>
      </c>
      <c r="P45" s="262" t="inlineStr">
        <is>
          <t xml:space="preserve">The client will be going to the suite 1755 tomorrow 
</t>
        </is>
      </c>
      <c r="Q45" s="259">
        <f>IF(AND(Table15[[#This Row],[Column1]]&lt;&gt;"",ISNUMBER(DATEVALUE(Table15[[#This Row],[Column1]]))),TODAY()-DATEVALUE(Table15[[#This Row],[Column1]]),"")</f>
        <v/>
      </c>
    </row>
    <row r="46" ht="31.2" customHeight="1" s="287">
      <c r="A46" s="254" t="inlineStr">
        <is>
          <t>Request</t>
        </is>
      </c>
      <c r="B46" s="255" t="inlineStr"/>
      <c r="C46" s="256" t="inlineStr">
        <is>
          <t>3/9/2025</t>
        </is>
      </c>
      <c r="D46" s="255" t="inlineStr">
        <is>
          <t>4000E/000R-B438</t>
        </is>
      </c>
      <c r="E46" s="255">
        <f>_xlfn.XLOOKUP(D46, [1]Collection!B:B, [1]Collection!C:C)</f>
        <v/>
      </c>
      <c r="F46" s="255">
        <f>_xlfn.XLOOKUP(D46, [1]Collection!B:B, [1]Collection!D:D)</f>
        <v/>
      </c>
      <c r="G46" s="255" t="inlineStr">
        <is>
          <t>Phone sales Middle East</t>
        </is>
      </c>
      <c r="H46" s="257" t="inlineStr">
        <is>
          <t>109390883</t>
        </is>
      </c>
      <c r="I46" s="257" t="n"/>
      <c r="J46" s="261" t="n"/>
      <c r="K46" s="257" t="n"/>
      <c r="L46" s="257" t="n"/>
      <c r="M46" s="257" t="n"/>
      <c r="N46" s="255" t="inlineStr">
        <is>
          <t>Prospect</t>
        </is>
      </c>
      <c r="O46" s="255" t="inlineStr">
        <is>
          <t>SHARIF Maaz</t>
        </is>
      </c>
      <c r="P46" s="262" t="inlineStr">
        <is>
          <t xml:space="preserve">
</t>
        </is>
      </c>
      <c r="Q46" s="259">
        <f>IF(AND(Table15[[#This Row],[Column1]]&lt;&gt;"",ISNUMBER(DATEVALUE(Table15[[#This Row],[Column1]]))),TODAY()-DATEVALUE(Table15[[#This Row],[Column1]]),"")</f>
        <v/>
      </c>
    </row>
    <row r="47" ht="156" customHeight="1" s="287">
      <c r="A47" s="254" t="inlineStr">
        <is>
          <t>Request</t>
        </is>
      </c>
      <c r="B47" s="255" t="inlineStr"/>
      <c r="C47" s="256" t="inlineStr">
        <is>
          <t>3/6/2025</t>
        </is>
      </c>
      <c r="D47" s="255" t="inlineStr">
        <is>
          <t>7920V/210A-B334</t>
        </is>
      </c>
      <c r="E47" s="255">
        <f>_xlfn.XLOOKUP(D47, [1]Collection!B:B, [1]Collection!C:C)</f>
        <v/>
      </c>
      <c r="F47" s="255">
        <f>_xlfn.XLOOKUP(D47, [1]Collection!B:B, [1]Collection!D:D)</f>
        <v/>
      </c>
      <c r="G47" s="255" t="inlineStr">
        <is>
          <t>Phone sales Middle East</t>
        </is>
      </c>
      <c r="H47" s="257" t="inlineStr">
        <is>
          <t>93232124</t>
        </is>
      </c>
      <c r="I47" s="257" t="n"/>
      <c r="J47" s="261" t="n"/>
      <c r="K47" s="257" t="n"/>
      <c r="L47" s="257" t="n"/>
      <c r="M47" s="257" t="n"/>
      <c r="N47" s="255" t="inlineStr">
        <is>
          <t>Prospect</t>
        </is>
      </c>
      <c r="O47" s="255" t="inlineStr">
        <is>
          <t>SHARIF Maaz</t>
        </is>
      </c>
      <c r="P47" s="262" t="inlineStr">
        <is>
          <t xml:space="preserve">Rolex Submariner Date
IWC Portugieser Perpetual Calendar
Audemars Piguet Royal Oak Offshore Chronograph
Panerai Luminor: 
IWC Portugieser Chronograph
</t>
        </is>
      </c>
      <c r="Q47" s="259">
        <f>IF(AND(Table15[[#This Row],[Column1]]&lt;&gt;"",ISNUMBER(DATEVALUE(Table15[[#This Row],[Column1]]))),TODAY()-DATEVALUE(Table15[[#This Row],[Column1]]),"")</f>
        <v/>
      </c>
    </row>
    <row r="48" hidden="1" s="287">
      <c r="A48" s="254" t="inlineStr">
        <is>
          <t>Request</t>
        </is>
      </c>
      <c r="B48" s="255" t="inlineStr"/>
      <c r="C48" s="256" t="inlineStr">
        <is>
          <t>3/4/2025</t>
        </is>
      </c>
      <c r="D48" s="255" t="inlineStr">
        <is>
          <t>4200H/222J-B935</t>
        </is>
      </c>
      <c r="E48" s="255">
        <f>_xlfn.XLOOKUP(D48, [1]Collection!B:B, [1]Collection!C:C)</f>
        <v/>
      </c>
      <c r="F48" s="255">
        <f>_xlfn.XLOOKUP(D48, [1]Collection!B:B, [1]Collection!D:D)</f>
        <v/>
      </c>
      <c r="G48" s="255" t="inlineStr">
        <is>
          <t>Phone sales Middle East</t>
        </is>
      </c>
      <c r="H48" s="257" t="inlineStr">
        <is>
          <t>104939061</t>
        </is>
      </c>
      <c r="I48" s="257" t="n"/>
      <c r="J48" s="257" t="n"/>
      <c r="K48" s="257" t="n"/>
      <c r="L48" s="257" t="n"/>
      <c r="M48" s="257" t="n"/>
      <c r="N48" s="255" t="inlineStr">
        <is>
          <t>Prospect</t>
        </is>
      </c>
      <c r="O48" s="255" t="inlineStr">
        <is>
          <t>SHARIF Maaz</t>
        </is>
      </c>
      <c r="P48" s="258" t="inlineStr">
        <is>
          <t xml:space="preserve">222
</t>
        </is>
      </c>
      <c r="Q48" s="259">
        <f>IF(AND(Table15[[#This Row],[Column1]]&lt;&gt;"",ISNUMBER(DATEVALUE(Table15[[#This Row],[Column1]]))),TODAY()-DATEVALUE(Table15[[#This Row],[Column1]]),"")</f>
        <v/>
      </c>
    </row>
    <row r="49" hidden="1" s="287">
      <c r="A49" s="254" t="inlineStr">
        <is>
          <t>Request</t>
        </is>
      </c>
      <c r="B49" s="255" t="inlineStr"/>
      <c r="C49" s="256" t="inlineStr">
        <is>
          <t>3/4/2025</t>
        </is>
      </c>
      <c r="D49" s="255" t="inlineStr">
        <is>
          <t>4200H/222A-B934</t>
        </is>
      </c>
      <c r="E49" s="255">
        <f>_xlfn.XLOOKUP(D49, [1]Collection!B:B, [1]Collection!C:C)</f>
        <v/>
      </c>
      <c r="F49" s="255">
        <f>_xlfn.XLOOKUP(D49, [1]Collection!B:B, [1]Collection!D:D)</f>
        <v/>
      </c>
      <c r="G49" s="255" t="inlineStr">
        <is>
          <t>Phone sales Middle East</t>
        </is>
      </c>
      <c r="H49" s="257" t="inlineStr">
        <is>
          <t>105007242</t>
        </is>
      </c>
      <c r="I49" s="257" t="n"/>
      <c r="J49" s="257" t="n"/>
      <c r="K49" s="257" t="n"/>
      <c r="L49" s="257" t="n"/>
      <c r="M49" s="257" t="n"/>
      <c r="N49" s="255" t="inlineStr">
        <is>
          <t>Prospect</t>
        </is>
      </c>
      <c r="O49" s="255" t="inlineStr">
        <is>
          <t>SHARIF Maaz</t>
        </is>
      </c>
      <c r="P49" s="258" t="inlineStr">
        <is>
          <t xml:space="preserve">[Obaid Mubarak Al muhairi](mailto:Obaidmuhairi@gmail.com) | a collector 
</t>
        </is>
      </c>
      <c r="Q49" s="259">
        <f>IF(AND(Table15[[#This Row],[Column1]]&lt;&gt;"",ISNUMBER(DATEVALUE(Table15[[#This Row],[Column1]]))),TODAY()-DATEVALUE(Table15[[#This Row],[Column1]]),"")</f>
        <v/>
      </c>
    </row>
    <row r="50" ht="31.2" customHeight="1" s="287">
      <c r="A50" s="254" t="inlineStr">
        <is>
          <t>Sold</t>
        </is>
      </c>
      <c r="B50" s="255" t="inlineStr"/>
      <c r="C50" s="256" t="inlineStr">
        <is>
          <t>3/4/2025</t>
        </is>
      </c>
      <c r="D50" s="255" t="inlineStr">
        <is>
          <t>4600E/000R-H101</t>
        </is>
      </c>
      <c r="E50" s="255">
        <f>_xlfn.XLOOKUP(D50, [1]Collection!B:B, [1]Collection!C:C)</f>
        <v/>
      </c>
      <c r="F50" s="255">
        <f>_xlfn.XLOOKUP(D50, [1]Collection!B:B, [1]Collection!D:D)</f>
        <v/>
      </c>
      <c r="G50" s="255" t="inlineStr">
        <is>
          <t>Phone sales Middle East</t>
        </is>
      </c>
      <c r="H50" s="257" t="inlineStr">
        <is>
          <t>105372157</t>
        </is>
      </c>
      <c r="I50" s="257" t="n"/>
      <c r="J50" s="261" t="n"/>
      <c r="K50" s="257" t="n"/>
      <c r="L50" s="257" t="n"/>
      <c r="M50" s="257" t="n"/>
      <c r="N50" s="255" t="inlineStr">
        <is>
          <t>Prospect</t>
        </is>
      </c>
      <c r="O50" s="255" t="inlineStr">
        <is>
          <t>SHARIF Maaz</t>
        </is>
      </c>
      <c r="P50" s="262" t="inlineStr">
        <is>
          <t xml:space="preserve">Fiftysix black dial 
</t>
        </is>
      </c>
      <c r="Q50" s="259">
        <f>IF(AND(Table15[[#This Row],[Column1]]&lt;&gt;"",ISNUMBER(DATEVALUE(Table15[[#This Row],[Column1]]))),TODAY()-DATEVALUE(Table15[[#This Row],[Column1]]),"")</f>
        <v/>
      </c>
    </row>
    <row r="51" ht="31.2" customHeight="1" s="287">
      <c r="A51" s="254" t="inlineStr">
        <is>
          <t>Request</t>
        </is>
      </c>
      <c r="B51" s="255" t="inlineStr"/>
      <c r="C51" s="256" t="inlineStr">
        <is>
          <t>29/8/2025</t>
        </is>
      </c>
      <c r="D51" s="255" t="inlineStr">
        <is>
          <t>4300V/220R-H144​​</t>
        </is>
      </c>
      <c r="E51" s="255">
        <f>_xlfn.XLOOKUP(D51, [1]Collection!B:B, [1]Collection!C:C)</f>
        <v/>
      </c>
      <c r="F51" s="255">
        <f>_xlfn.XLOOKUP(D51, [1]Collection!B:B, [1]Collection!D:D)</f>
        <v/>
      </c>
      <c r="G51" s="255" t="inlineStr">
        <is>
          <t>Phone sales Middle East</t>
        </is>
      </c>
      <c r="H51" s="257" t="inlineStr">
        <is>
          <t>108884411</t>
        </is>
      </c>
      <c r="I51" s="257" t="n"/>
      <c r="J51" s="261" t="n"/>
      <c r="K51" s="257" t="n"/>
      <c r="L51" s="257" t="n"/>
      <c r="M51" s="257" t="n"/>
      <c r="N51" s="255" t="inlineStr">
        <is>
          <t>Prospect</t>
        </is>
      </c>
      <c r="O51" s="255" t="inlineStr">
        <is>
          <t>SHARIF Maaz</t>
        </is>
      </c>
      <c r="P51" s="262" t="inlineStr">
        <is>
          <t xml:space="preserve">
</t>
        </is>
      </c>
      <c r="Q51" s="259">
        <f>IF(AND(Table15[[#This Row],[Column1]]&lt;&gt;"",ISNUMBER(DATEVALUE(Table15[[#This Row],[Column1]]))),TODAY()-DATEVALUE(Table15[[#This Row],[Column1]]),"")</f>
        <v/>
      </c>
    </row>
    <row r="52" ht="31.2" customHeight="1" s="287">
      <c r="A52" s="254" t="inlineStr">
        <is>
          <t>Request</t>
        </is>
      </c>
      <c r="B52" s="255" t="inlineStr"/>
      <c r="C52" s="256" t="inlineStr">
        <is>
          <t>29/8/2025</t>
        </is>
      </c>
      <c r="D52" s="255" t="inlineStr">
        <is>
          <t>4300V/220G-H151​</t>
        </is>
      </c>
      <c r="E52" s="255">
        <f>_xlfn.XLOOKUP(D52, [1]Collection!B:B, [1]Collection!C:C)</f>
        <v/>
      </c>
      <c r="F52" s="255">
        <f>_xlfn.XLOOKUP(D52, [1]Collection!B:B, [1]Collection!D:D)</f>
        <v/>
      </c>
      <c r="G52" s="255" t="inlineStr">
        <is>
          <t>Phone sales Middle East</t>
        </is>
      </c>
      <c r="H52" s="257" t="inlineStr">
        <is>
          <t>108884411</t>
        </is>
      </c>
      <c r="I52" s="257" t="n"/>
      <c r="J52" s="261" t="n"/>
      <c r="K52" s="257" t="n"/>
      <c r="L52" s="257" t="n"/>
      <c r="M52" s="257" t="n"/>
      <c r="N52" s="255" t="inlineStr">
        <is>
          <t>Prospect</t>
        </is>
      </c>
      <c r="O52" s="255" t="inlineStr">
        <is>
          <t>SHARIF Maaz</t>
        </is>
      </c>
      <c r="P52" s="262" t="inlineStr">
        <is>
          <t xml:space="preserve">
</t>
        </is>
      </c>
      <c r="Q52" s="259">
        <f>IF(AND(Table15[[#This Row],[Column1]]&lt;&gt;"",ISNUMBER(DATEVALUE(Table15[[#This Row],[Column1]]))),TODAY()-DATEVALUE(Table15[[#This Row],[Column1]]),"")</f>
        <v/>
      </c>
    </row>
    <row r="53" ht="31.2" customHeight="1" s="287">
      <c r="A53" s="254" t="inlineStr">
        <is>
          <t>Request</t>
        </is>
      </c>
      <c r="B53" s="255" t="inlineStr"/>
      <c r="C53" s="256" t="inlineStr">
        <is>
          <t>29/5/2025</t>
        </is>
      </c>
      <c r="D53" s="255" t="inlineStr">
        <is>
          <t>6000V/210T-B935</t>
        </is>
      </c>
      <c r="E53" s="255">
        <f>_xlfn.XLOOKUP(D53, [1]Collection!B:B, [1]Collection!C:C)</f>
        <v/>
      </c>
      <c r="F53" s="255">
        <f>_xlfn.XLOOKUP(D53, [1]Collection!B:B, [1]Collection!D:D)</f>
        <v/>
      </c>
      <c r="G53" s="255" t="inlineStr">
        <is>
          <t>Phone sales Middle East</t>
        </is>
      </c>
      <c r="H53" s="257" t="inlineStr">
        <is>
          <t>106323455</t>
        </is>
      </c>
      <c r="I53" s="257" t="n"/>
      <c r="J53" s="261" t="n"/>
      <c r="K53" s="257" t="n"/>
      <c r="L53" s="257" t="n"/>
      <c r="M53" s="257" t="n"/>
      <c r="N53" s="255" t="inlineStr">
        <is>
          <t>Prospect</t>
        </is>
      </c>
      <c r="O53" s="255" t="inlineStr">
        <is>
          <t>SHARIF Maaz</t>
        </is>
      </c>
      <c r="P53" s="262" t="inlineStr">
        <is>
          <t xml:space="preserve">
</t>
        </is>
      </c>
      <c r="Q53" s="259">
        <f>IF(AND(Table15[[#This Row],[Column1]]&lt;&gt;"",ISNUMBER(DATEVALUE(Table15[[#This Row],[Column1]]))),TODAY()-DATEVALUE(Table15[[#This Row],[Column1]]),"")</f>
        <v/>
      </c>
    </row>
    <row r="54" ht="31.2" customHeight="1" s="287">
      <c r="A54" s="254" t="inlineStr">
        <is>
          <t>Request</t>
        </is>
      </c>
      <c r="B54" s="255" t="inlineStr"/>
      <c r="C54" s="256" t="inlineStr">
        <is>
          <t>29/4/2025</t>
        </is>
      </c>
      <c r="D54" s="255" t="inlineStr">
        <is>
          <t>4000V/210A-B911</t>
        </is>
      </c>
      <c r="E54" s="255">
        <f>_xlfn.XLOOKUP(D54, [1]Collection!B:B, [1]Collection!C:C)</f>
        <v/>
      </c>
      <c r="F54" s="255">
        <f>_xlfn.XLOOKUP(D54, [1]Collection!B:B, [1]Collection!D:D)</f>
        <v/>
      </c>
      <c r="G54" s="255" t="inlineStr">
        <is>
          <t>Phone sales Middle East</t>
        </is>
      </c>
      <c r="H54" s="257" t="inlineStr">
        <is>
          <t>105366966</t>
        </is>
      </c>
      <c r="I54" s="257" t="n"/>
      <c r="J54" s="261" t="n"/>
      <c r="K54" s="257" t="n"/>
      <c r="L54" s="257" t="n"/>
      <c r="M54" s="257" t="n"/>
      <c r="N54" s="255" t="inlineStr">
        <is>
          <t>Prospect</t>
        </is>
      </c>
      <c r="O54" s="255" t="inlineStr">
        <is>
          <t>SHARIF Maaz</t>
        </is>
      </c>
      <c r="P54" s="262" t="inlineStr">
        <is>
          <t xml:space="preserve">Moonphase and 222
</t>
        </is>
      </c>
      <c r="Q54" s="259">
        <f>IF(AND(Table15[[#This Row],[Column1]]&lt;&gt;"",ISNUMBER(DATEVALUE(Table15[[#This Row],[Column1]]))),TODAY()-DATEVALUE(Table15[[#This Row],[Column1]]),"")</f>
        <v/>
      </c>
    </row>
    <row r="55" ht="78" customHeight="1" s="287">
      <c r="A55" s="254" t="inlineStr">
        <is>
          <t>Sold</t>
        </is>
      </c>
      <c r="B55" s="255" t="inlineStr"/>
      <c r="C55" s="256" t="inlineStr">
        <is>
          <t>29/4/2025</t>
        </is>
      </c>
      <c r="D55" s="255" t="inlineStr">
        <is>
          <t>4115U/000G-B908</t>
        </is>
      </c>
      <c r="E55" s="255">
        <f>_xlfn.XLOOKUP(D55, [1]Collection!B:B, [1]Collection!C:C)</f>
        <v/>
      </c>
      <c r="F55" s="255">
        <f>_xlfn.XLOOKUP(D55, [1]Collection!B:B, [1]Collection!D:D)</f>
        <v/>
      </c>
      <c r="G55" s="255" t="inlineStr">
        <is>
          <t>Phone sales Middle East</t>
        </is>
      </c>
      <c r="H55" s="257" t="inlineStr">
        <is>
          <t>103645785</t>
        </is>
      </c>
      <c r="I55" s="257" t="n"/>
      <c r="J55" s="261" t="n"/>
      <c r="K55" s="257" t="n"/>
      <c r="L55" s="257" t="n"/>
      <c r="M55" s="257" t="n"/>
      <c r="N55" s="255" t="inlineStr"/>
      <c r="O55" s="255" t="inlineStr">
        <is>
          <t>SHARIF Maaz</t>
        </is>
      </c>
      <c r="P55" s="262" t="inlineStr">
        <is>
          <t xml:space="preserve">the client already a vc collecter, already self winding 2nd gen, and the dual time black 
</t>
        </is>
      </c>
      <c r="Q55" s="259">
        <f>IF(AND(Table15[[#This Row],[Column1]]&lt;&gt;"",ISNUMBER(DATEVALUE(Table15[[#This Row],[Column1]]))),TODAY()-DATEVALUE(Table15[[#This Row],[Column1]]),"")</f>
        <v/>
      </c>
    </row>
    <row r="56" hidden="1" s="287">
      <c r="A56" s="254" t="inlineStr">
        <is>
          <t>Request</t>
        </is>
      </c>
      <c r="B56" s="255" t="inlineStr"/>
      <c r="C56" s="256" t="inlineStr">
        <is>
          <t>29/3/2025</t>
        </is>
      </c>
      <c r="D56" s="255" t="inlineStr">
        <is>
          <t>4200H/222A-B934</t>
        </is>
      </c>
      <c r="E56" s="255">
        <f>_xlfn.XLOOKUP(D56, [1]Collection!B:B, [1]Collection!C:C)</f>
        <v/>
      </c>
      <c r="F56" s="255">
        <f>_xlfn.XLOOKUP(D56, [1]Collection!B:B, [1]Collection!D:D)</f>
        <v/>
      </c>
      <c r="G56" s="255" t="inlineStr">
        <is>
          <t>Phone sales Middle East</t>
        </is>
      </c>
      <c r="H56" s="257" t="inlineStr">
        <is>
          <t>103645785</t>
        </is>
      </c>
      <c r="I56" s="257" t="n"/>
      <c r="J56" s="257" t="n"/>
      <c r="K56" s="257" t="n"/>
      <c r="L56" s="257" t="n"/>
      <c r="M56" s="257" t="n"/>
      <c r="N56" s="255" t="inlineStr">
        <is>
          <t>Prospect</t>
        </is>
      </c>
      <c r="O56" s="255" t="inlineStr">
        <is>
          <t>SHARIF Maaz</t>
        </is>
      </c>
      <c r="P56" s="258" t="inlineStr">
        <is>
          <t xml:space="preserve">222 
</t>
        </is>
      </c>
      <c r="Q56" s="259">
        <f>IF(AND(Table15[[#This Row],[Column1]]&lt;&gt;"",ISNUMBER(DATEVALUE(Table15[[#This Row],[Column1]]))),TODAY()-DATEVALUE(Table15[[#This Row],[Column1]]),"")</f>
        <v/>
      </c>
    </row>
    <row r="57" hidden="1" s="287">
      <c r="A57" s="254" t="inlineStr">
        <is>
          <t>Request</t>
        </is>
      </c>
      <c r="B57" s="255" t="inlineStr"/>
      <c r="C57" s="256" t="inlineStr">
        <is>
          <t>29/3/2025</t>
        </is>
      </c>
      <c r="D57" s="255" t="inlineStr">
        <is>
          <t>4200H/222A-B934</t>
        </is>
      </c>
      <c r="E57" s="255">
        <f>_xlfn.XLOOKUP(D57, [1]Collection!B:B, [1]Collection!C:C)</f>
        <v/>
      </c>
      <c r="F57" s="255">
        <f>_xlfn.XLOOKUP(D57, [1]Collection!B:B, [1]Collection!D:D)</f>
        <v/>
      </c>
      <c r="G57" s="255" t="inlineStr">
        <is>
          <t>Phone sales Middle East</t>
        </is>
      </c>
      <c r="H57" s="257" t="inlineStr">
        <is>
          <t>105366966</t>
        </is>
      </c>
      <c r="I57" s="257" t="n"/>
      <c r="J57" s="257" t="n"/>
      <c r="K57" s="257" t="n"/>
      <c r="L57" s="257" t="n"/>
      <c r="M57" s="257" t="n"/>
      <c r="N57" s="255" t="inlineStr">
        <is>
          <t>Prospect</t>
        </is>
      </c>
      <c r="O57" s="255" t="inlineStr">
        <is>
          <t>SHARIF Maaz</t>
        </is>
      </c>
      <c r="P57" s="258" t="inlineStr">
        <is>
          <t xml:space="preserve">222
</t>
        </is>
      </c>
      <c r="Q57" s="259">
        <f>IF(AND(Table15[[#This Row],[Column1]]&lt;&gt;"",ISNUMBER(DATEVALUE(Table15[[#This Row],[Column1]]))),TODAY()-DATEVALUE(Table15[[#This Row],[Column1]]),"")</f>
        <v/>
      </c>
    </row>
    <row r="58" hidden="1" s="287">
      <c r="A58" s="254" t="inlineStr">
        <is>
          <t>Request</t>
        </is>
      </c>
      <c r="B58" s="255" t="inlineStr"/>
      <c r="C58" s="256" t="inlineStr">
        <is>
          <t>29/3/2025</t>
        </is>
      </c>
      <c r="D58" s="255" t="inlineStr">
        <is>
          <t>4200H/222A-B934</t>
        </is>
      </c>
      <c r="E58" s="255">
        <f>_xlfn.XLOOKUP(D58, [1]Collection!B:B, [1]Collection!C:C)</f>
        <v/>
      </c>
      <c r="F58" s="255">
        <f>_xlfn.XLOOKUP(D58, [1]Collection!B:B, [1]Collection!D:D)</f>
        <v/>
      </c>
      <c r="G58" s="255" t="inlineStr">
        <is>
          <t>Phone sales Middle East</t>
        </is>
      </c>
      <c r="H58" s="257" t="inlineStr">
        <is>
          <t>93231984</t>
        </is>
      </c>
      <c r="I58" s="257" t="n"/>
      <c r="J58" s="257" t="n"/>
      <c r="K58" s="257" t="n"/>
      <c r="L58" s="257" t="n"/>
      <c r="M58" s="257" t="n"/>
      <c r="N58" s="255" t="inlineStr">
        <is>
          <t>Client</t>
        </is>
      </c>
      <c r="O58" s="255" t="inlineStr">
        <is>
          <t>SHARIF Maaz</t>
        </is>
      </c>
      <c r="P58" s="258" t="inlineStr">
        <is>
          <t xml:space="preserve">the 222
</t>
        </is>
      </c>
      <c r="Q58" s="259">
        <f>IF(AND(Table15[[#This Row],[Column1]]&lt;&gt;"",ISNUMBER(DATEVALUE(Table15[[#This Row],[Column1]]))),TODAY()-DATEVALUE(Table15[[#This Row],[Column1]]),"")</f>
        <v/>
      </c>
    </row>
    <row r="59" ht="46.8" customHeight="1" s="287">
      <c r="A59" s="254" t="inlineStr">
        <is>
          <t>Request</t>
        </is>
      </c>
      <c r="B59" s="255" t="inlineStr"/>
      <c r="C59" s="256" t="inlineStr">
        <is>
          <t>29/3/2025</t>
        </is>
      </c>
      <c r="D59" s="255" t="inlineStr">
        <is>
          <t>4520V/210A-B483</t>
        </is>
      </c>
      <c r="E59" s="255">
        <f>_xlfn.XLOOKUP(D59, [1]Collection!B:B, [1]Collection!C:C)</f>
        <v/>
      </c>
      <c r="F59" s="255">
        <f>_xlfn.XLOOKUP(D59, [1]Collection!B:B, [1]Collection!D:D)</f>
        <v/>
      </c>
      <c r="G59" s="255" t="inlineStr">
        <is>
          <t>Phone sales Middle East</t>
        </is>
      </c>
      <c r="H59" s="257" t="inlineStr">
        <is>
          <t>101921704</t>
        </is>
      </c>
      <c r="I59" s="257" t="n"/>
      <c r="J59" s="261" t="n"/>
      <c r="K59" s="257" t="n"/>
      <c r="L59" s="257" t="n"/>
      <c r="M59" s="257" t="n"/>
      <c r="N59" s="255" t="inlineStr">
        <is>
          <t>Prospect</t>
        </is>
      </c>
      <c r="O59" s="255" t="inlineStr">
        <is>
          <t>SHARIF Maaz</t>
        </is>
      </c>
      <c r="P59" s="262" t="inlineStr">
        <is>
          <t xml:space="preserve">OS black dial : 4520V/210A-B483
</t>
        </is>
      </c>
      <c r="Q59" s="259">
        <f>IF(AND(Table15[[#This Row],[Column1]]&lt;&gt;"",ISNUMBER(DATEVALUE(Table15[[#This Row],[Column1]]))),TODAY()-DATEVALUE(Table15[[#This Row],[Column1]]),"")</f>
        <v/>
      </c>
    </row>
    <row r="60" ht="62.4" customHeight="1" s="287">
      <c r="A60" s="254" t="inlineStr">
        <is>
          <t>Request</t>
        </is>
      </c>
      <c r="B60" s="255" t="inlineStr"/>
      <c r="C60" s="256" t="inlineStr">
        <is>
          <t>29/3/2025</t>
        </is>
      </c>
      <c r="D60" s="255" t="inlineStr">
        <is>
          <t>7920V/210A-B334</t>
        </is>
      </c>
      <c r="E60" s="255">
        <f>_xlfn.XLOOKUP(D60, [1]Collection!B:B, [1]Collection!C:C)</f>
        <v/>
      </c>
      <c r="F60" s="255">
        <f>_xlfn.XLOOKUP(D60, [1]Collection!B:B, [1]Collection!D:D)</f>
        <v/>
      </c>
      <c r="G60" s="255" t="inlineStr">
        <is>
          <t>Phone sales Middle East</t>
        </is>
      </c>
      <c r="H60" s="257" t="inlineStr">
        <is>
          <t>103831079</t>
        </is>
      </c>
      <c r="I60" s="257" t="n"/>
      <c r="J60" s="261" t="n"/>
      <c r="K60" s="257" t="n"/>
      <c r="L60" s="257" t="n"/>
      <c r="M60" s="257" t="n"/>
      <c r="N60" s="255" t="inlineStr">
        <is>
          <t>Prospect</t>
        </is>
      </c>
      <c r="O60" s="255" t="inlineStr">
        <is>
          <t>SHARIF Maaz</t>
        </is>
      </c>
      <c r="P60" s="262" t="inlineStr">
        <is>
          <t xml:space="preserve">the client is interested in the Overseas blue dial and paid deposit 
</t>
        </is>
      </c>
      <c r="Q60" s="259">
        <f>IF(AND(Table15[[#This Row],[Column1]]&lt;&gt;"",ISNUMBER(DATEVALUE(Table15[[#This Row],[Column1]]))),TODAY()-DATEVALUE(Table15[[#This Row],[Column1]]),"")</f>
        <v/>
      </c>
    </row>
    <row r="61" ht="31.2" customHeight="1" s="287">
      <c r="A61" s="254" t="inlineStr">
        <is>
          <t>Request</t>
        </is>
      </c>
      <c r="B61" s="255" t="inlineStr"/>
      <c r="C61" s="256" t="inlineStr">
        <is>
          <t>29/3/2025</t>
        </is>
      </c>
      <c r="D61" s="255" t="inlineStr">
        <is>
          <t>4600E/000R-H101</t>
        </is>
      </c>
      <c r="E61" s="255">
        <f>_xlfn.XLOOKUP(D61, [1]Collection!B:B, [1]Collection!C:C)</f>
        <v/>
      </c>
      <c r="F61" s="255">
        <f>_xlfn.XLOOKUP(D61, [1]Collection!B:B, [1]Collection!D:D)</f>
        <v/>
      </c>
      <c r="G61" s="255" t="inlineStr">
        <is>
          <t>Phone sales Middle East</t>
        </is>
      </c>
      <c r="H61" s="257" t="inlineStr">
        <is>
          <t>105370532</t>
        </is>
      </c>
      <c r="I61" s="257" t="n"/>
      <c r="J61" s="261" t="n"/>
      <c r="K61" s="257" t="n"/>
      <c r="L61" s="257" t="n"/>
      <c r="M61" s="257" t="n"/>
      <c r="N61" s="255" t="inlineStr">
        <is>
          <t>Prospect</t>
        </is>
      </c>
      <c r="O61" s="255" t="inlineStr">
        <is>
          <t>SHARIF Maaz</t>
        </is>
      </c>
      <c r="P61" s="262" t="inlineStr">
        <is>
          <t xml:space="preserve">Fiftysix self-winding
</t>
        </is>
      </c>
      <c r="Q61" s="259">
        <f>IF(AND(Table15[[#This Row],[Column1]]&lt;&gt;"",ISNUMBER(DATEVALUE(Table15[[#This Row],[Column1]]))),TODAY()-DATEVALUE(Table15[[#This Row],[Column1]]),"")</f>
        <v/>
      </c>
    </row>
    <row r="62">
      <c r="A62" s="254" t="inlineStr">
        <is>
          <t>Request</t>
        </is>
      </c>
      <c r="B62" s="255" t="inlineStr"/>
      <c r="C62" s="256" t="inlineStr">
        <is>
          <t>29/10/2023</t>
        </is>
      </c>
      <c r="D62" s="255" t="inlineStr">
        <is>
          <t>4520V/210A-B126</t>
        </is>
      </c>
      <c r="E62" s="255">
        <f>_xlfn.XLOOKUP(D62, [1]Collection!B:B, [1]Collection!C:C)</f>
        <v/>
      </c>
      <c r="F62" s="255">
        <f>_xlfn.XLOOKUP(D62, [1]Collection!B:B, [1]Collection!D:D)</f>
        <v/>
      </c>
      <c r="G62" s="255" t="inlineStr">
        <is>
          <t>Phone sales Middle East</t>
        </is>
      </c>
      <c r="H62" s="257" t="inlineStr">
        <is>
          <t>1301022</t>
        </is>
      </c>
      <c r="I62" s="257" t="n"/>
      <c r="J62" s="261" t="n"/>
      <c r="K62" s="257" t="n"/>
      <c r="L62" s="257" t="n"/>
      <c r="M62" s="257" t="n"/>
      <c r="N62" s="255" t="inlineStr">
        <is>
          <t>Prospect</t>
        </is>
      </c>
      <c r="O62" s="255" t="inlineStr">
        <is>
          <t>SHARIF Maaz</t>
        </is>
      </c>
      <c r="P62" s="262" t="inlineStr"/>
      <c r="Q62" s="259">
        <f>IF(AND(Table15[[#This Row],[Column1]]&lt;&gt;"",ISNUMBER(DATEVALUE(Table15[[#This Row],[Column1]]))),TODAY()-DATEVALUE(Table15[[#This Row],[Column1]]),"")</f>
        <v/>
      </c>
    </row>
    <row r="63" ht="62.4" customHeight="1" s="287">
      <c r="A63" s="254" t="inlineStr">
        <is>
          <t>Request</t>
        </is>
      </c>
      <c r="B63" s="255" t="inlineStr"/>
      <c r="C63" s="256" t="inlineStr">
        <is>
          <t>29/1/2025</t>
        </is>
      </c>
      <c r="D63" s="255" t="inlineStr">
        <is>
          <t>4300V/220G-B946</t>
        </is>
      </c>
      <c r="E63" s="255">
        <f>_xlfn.XLOOKUP(D63, [1]Collection!B:B, [1]Collection!C:C)</f>
        <v/>
      </c>
      <c r="F63" s="255">
        <f>_xlfn.XLOOKUP(D63, [1]Collection!B:B, [1]Collection!D:D)</f>
        <v/>
      </c>
      <c r="G63" s="255" t="inlineStr">
        <is>
          <t>Phone sales Middle East</t>
        </is>
      </c>
      <c r="H63" s="257" t="inlineStr">
        <is>
          <t>103845937</t>
        </is>
      </c>
      <c r="I63" s="257" t="n"/>
      <c r="J63" s="261" t="n"/>
      <c r="K63" s="257" t="n"/>
      <c r="L63" s="257" t="n"/>
      <c r="M63" s="257" t="n"/>
      <c r="N63" s="255" t="inlineStr">
        <is>
          <t>Prospect</t>
        </is>
      </c>
      <c r="O63" s="255" t="inlineStr">
        <is>
          <t>SHARIF Maaz</t>
        </is>
      </c>
      <c r="P63" s="262" t="inlineStr">
        <is>
          <t xml:space="preserve">the client is interested Overseas perpetual calendar
</t>
        </is>
      </c>
      <c r="Q63" s="259">
        <f>IF(AND(Table15[[#This Row],[Column1]]&lt;&gt;"",ISNUMBER(DATEVALUE(Table15[[#This Row],[Column1]]))),TODAY()-DATEVALUE(Table15[[#This Row],[Column1]]),"")</f>
        <v/>
      </c>
    </row>
    <row r="64" ht="202.8" customHeight="1" s="287">
      <c r="A64" s="254" t="inlineStr">
        <is>
          <t>Request</t>
        </is>
      </c>
      <c r="B64" s="255" t="inlineStr"/>
      <c r="C64" s="256" t="inlineStr">
        <is>
          <t>29/1/2025</t>
        </is>
      </c>
      <c r="D64" s="255" t="inlineStr">
        <is>
          <t>7920V/210A-B334</t>
        </is>
      </c>
      <c r="E64" s="255">
        <f>_xlfn.XLOOKUP(D64, [1]Collection!B:B, [1]Collection!C:C)</f>
        <v/>
      </c>
      <c r="F64" s="255">
        <f>_xlfn.XLOOKUP(D64, [1]Collection!B:B, [1]Collection!D:D)</f>
        <v/>
      </c>
      <c r="G64" s="255" t="inlineStr">
        <is>
          <t>Phone sales Middle East</t>
        </is>
      </c>
      <c r="H64" s="257" t="inlineStr">
        <is>
          <t>103848588</t>
        </is>
      </c>
      <c r="I64" s="257" t="n"/>
      <c r="J64" s="261" t="n"/>
      <c r="K64" s="257" t="n"/>
      <c r="L64" s="257" t="n"/>
      <c r="M64" s="257" t="n"/>
      <c r="N64" s="255" t="inlineStr">
        <is>
          <t>Prospect</t>
        </is>
      </c>
      <c r="O64" s="255" t="inlineStr">
        <is>
          <t>SHARIF Maaz</t>
        </is>
      </c>
      <c r="P64" s="262" t="inlineStr">
        <is>
          <t xml:space="preserve">The client is very intrested in blue and black dual time , aslo he his availability for appointments at the Dubai Mall boutique on the evening of **February 9**, the m**orning of February 11,** **and February 13**, if the watch is available to purchase
</t>
        </is>
      </c>
      <c r="Q64" s="259">
        <f>IF(AND(Table15[[#This Row],[Column1]]&lt;&gt;"",ISNUMBER(DATEVALUE(Table15[[#This Row],[Column1]]))),TODAY()-DATEVALUE(Table15[[#This Row],[Column1]]),"")</f>
        <v/>
      </c>
    </row>
    <row r="65" ht="156" customHeight="1" s="287">
      <c r="A65" s="254" t="inlineStr">
        <is>
          <t>Request</t>
        </is>
      </c>
      <c r="B65" s="255" t="inlineStr"/>
      <c r="C65" s="256" t="inlineStr">
        <is>
          <t>29/1/2025</t>
        </is>
      </c>
      <c r="D65" s="255" t="inlineStr">
        <is>
          <t>7920V/210A-B546</t>
        </is>
      </c>
      <c r="E65" s="255">
        <f>_xlfn.XLOOKUP(D65, [1]Collection!B:B, [1]Collection!C:C)</f>
        <v/>
      </c>
      <c r="F65" s="255">
        <f>_xlfn.XLOOKUP(D65, [1]Collection!B:B, [1]Collection!D:D)</f>
        <v/>
      </c>
      <c r="G65" s="255" t="inlineStr">
        <is>
          <t>Phone sales Middle East</t>
        </is>
      </c>
      <c r="H65" s="257" t="inlineStr">
        <is>
          <t>103848588</t>
        </is>
      </c>
      <c r="I65" s="257" t="n"/>
      <c r="J65" s="261" t="n"/>
      <c r="K65" s="257" t="n"/>
      <c r="L65" s="257" t="n"/>
      <c r="M65" s="257" t="n"/>
      <c r="N65" s="255" t="inlineStr">
        <is>
          <t>Prospect</t>
        </is>
      </c>
      <c r="O65" s="255" t="inlineStr">
        <is>
          <t>SHARIF Maaz</t>
        </is>
      </c>
      <c r="P65" s="262" t="inlineStr">
        <is>
          <t xml:space="preserve">the client mentions his availability for appointments at the Dubai Mall boutique on the evening of February 9, the morning of February 11, and February 13, if the watch is available.
</t>
        </is>
      </c>
      <c r="Q65" s="259">
        <f>IF(AND(Table15[[#This Row],[Column1]]&lt;&gt;"",ISNUMBER(DATEVALUE(Table15[[#This Row],[Column1]]))),TODAY()-DATEVALUE(Table15[[#This Row],[Column1]]),"")</f>
        <v/>
      </c>
    </row>
    <row r="66" hidden="1" s="287">
      <c r="A66" s="254" t="inlineStr">
        <is>
          <t>Request</t>
        </is>
      </c>
      <c r="B66" s="255" t="inlineStr"/>
      <c r="C66" s="256" t="inlineStr">
        <is>
          <t>29/1/2025</t>
        </is>
      </c>
      <c r="D66" s="255" t="inlineStr">
        <is>
          <t>4200H/222A-B934</t>
        </is>
      </c>
      <c r="E66" s="255">
        <f>_xlfn.XLOOKUP(D66, [1]Collection!B:B, [1]Collection!C:C)</f>
        <v/>
      </c>
      <c r="F66" s="255">
        <f>_xlfn.XLOOKUP(D66, [1]Collection!B:B, [1]Collection!D:D)</f>
        <v/>
      </c>
      <c r="G66" s="255" t="inlineStr">
        <is>
          <t>Phone sales Middle East</t>
        </is>
      </c>
      <c r="H66" s="257" t="inlineStr">
        <is>
          <t>103848588</t>
        </is>
      </c>
      <c r="I66" s="257" t="n"/>
      <c r="J66" s="257" t="n"/>
      <c r="K66" s="257" t="n"/>
      <c r="L66" s="257" t="n"/>
      <c r="M66" s="257" t="n"/>
      <c r="N66" s="255" t="inlineStr">
        <is>
          <t>Prospect</t>
        </is>
      </c>
      <c r="O66" s="255" t="inlineStr">
        <is>
          <t>SHARIF Maaz</t>
        </is>
      </c>
      <c r="P66" s="258" t="inlineStr"/>
      <c r="Q66" s="259">
        <f>IF(AND(Table15[[#This Row],[Column1]]&lt;&gt;"",ISNUMBER(DATEVALUE(Table15[[#This Row],[Column1]]))),TODAY()-DATEVALUE(Table15[[#This Row],[Column1]]),"")</f>
        <v/>
      </c>
    </row>
    <row r="67" ht="31.2" customHeight="1" s="287">
      <c r="A67" s="254" t="inlineStr">
        <is>
          <t>Request</t>
        </is>
      </c>
      <c r="B67" s="255" t="inlineStr"/>
      <c r="C67" s="256" t="inlineStr">
        <is>
          <t>28/8/2025</t>
        </is>
      </c>
      <c r="D67" s="255" t="inlineStr">
        <is>
          <t>4000E/000R-B438</t>
        </is>
      </c>
      <c r="E67" s="255">
        <f>_xlfn.XLOOKUP(D67, [1]Collection!B:B, [1]Collection!C:C)</f>
        <v/>
      </c>
      <c r="F67" s="255">
        <f>_xlfn.XLOOKUP(D67, [1]Collection!B:B, [1]Collection!D:D)</f>
        <v/>
      </c>
      <c r="G67" s="255" t="inlineStr">
        <is>
          <t>Phone sales Middle East</t>
        </is>
      </c>
      <c r="H67" s="257" t="inlineStr">
        <is>
          <t>109215834</t>
        </is>
      </c>
      <c r="I67" s="257" t="n"/>
      <c r="J67" s="261" t="n"/>
      <c r="K67" s="257" t="n"/>
      <c r="L67" s="257" t="n"/>
      <c r="M67" s="257" t="n"/>
      <c r="N67" s="255" t="inlineStr">
        <is>
          <t>Prospect</t>
        </is>
      </c>
      <c r="O67" s="255" t="inlineStr">
        <is>
          <t>SHARIF Maaz</t>
        </is>
      </c>
      <c r="P67" s="262" t="inlineStr">
        <is>
          <t xml:space="preserve">
</t>
        </is>
      </c>
      <c r="Q67" s="259">
        <f>IF(AND(Table15[[#This Row],[Column1]]&lt;&gt;"",ISNUMBER(DATEVALUE(Table15[[#This Row],[Column1]]))),TODAY()-DATEVALUE(Table15[[#This Row],[Column1]]),"")</f>
        <v/>
      </c>
    </row>
    <row r="68" hidden="1" s="287">
      <c r="A68" s="254" t="inlineStr">
        <is>
          <t>Request</t>
        </is>
      </c>
      <c r="B68" s="255" t="inlineStr"/>
      <c r="C68" s="256" t="inlineStr">
        <is>
          <t>28/2/2025</t>
        </is>
      </c>
      <c r="D68" s="255" t="inlineStr">
        <is>
          <t>4200H/222A-B934</t>
        </is>
      </c>
      <c r="E68" s="255">
        <f>_xlfn.XLOOKUP(D68, [1]Collection!B:B, [1]Collection!C:C)</f>
        <v/>
      </c>
      <c r="F68" s="255">
        <f>_xlfn.XLOOKUP(D68, [1]Collection!B:B, [1]Collection!D:D)</f>
        <v/>
      </c>
      <c r="G68" s="255" t="inlineStr">
        <is>
          <t>Phone sales Middle East</t>
        </is>
      </c>
      <c r="H68" s="257" t="inlineStr">
        <is>
          <t>104299847</t>
        </is>
      </c>
      <c r="I68" s="257" t="n"/>
      <c r="J68" s="257" t="n"/>
      <c r="K68" s="257" t="n"/>
      <c r="L68" s="257" t="n"/>
      <c r="M68" s="257" t="n"/>
      <c r="N68" s="255" t="inlineStr"/>
      <c r="O68" s="255" t="inlineStr">
        <is>
          <t>SHARIF Maaz</t>
        </is>
      </c>
      <c r="P68" s="258" t="inlineStr">
        <is>
          <t xml:space="preserve">interested in the 222
</t>
        </is>
      </c>
      <c r="Q68" s="259">
        <f>IF(AND(Table15[[#This Row],[Column1]]&lt;&gt;"",ISNUMBER(DATEVALUE(Table15[[#This Row],[Column1]]))),TODAY()-DATEVALUE(Table15[[#This Row],[Column1]]),"")</f>
        <v/>
      </c>
    </row>
    <row r="69" hidden="1" s="287">
      <c r="A69" s="254" t="inlineStr">
        <is>
          <t>Request</t>
        </is>
      </c>
      <c r="B69" s="255" t="inlineStr"/>
      <c r="C69" s="256" t="inlineStr">
        <is>
          <t>28/2/2025</t>
        </is>
      </c>
      <c r="D69" s="255" t="inlineStr">
        <is>
          <t>4200H/222A-B934</t>
        </is>
      </c>
      <c r="E69" s="255">
        <f>_xlfn.XLOOKUP(D69, [1]Collection!B:B, [1]Collection!C:C)</f>
        <v/>
      </c>
      <c r="F69" s="255">
        <f>_xlfn.XLOOKUP(D69, [1]Collection!B:B, [1]Collection!D:D)</f>
        <v/>
      </c>
      <c r="G69" s="255" t="inlineStr">
        <is>
          <t>Phone sales Middle East</t>
        </is>
      </c>
      <c r="H69" s="257" t="inlineStr">
        <is>
          <t>103621137</t>
        </is>
      </c>
      <c r="I69" s="257" t="n"/>
      <c r="J69" s="257" t="n"/>
      <c r="K69" s="257" t="n"/>
      <c r="L69" s="257" t="n"/>
      <c r="M69" s="257" t="n"/>
      <c r="N69" s="255" t="inlineStr">
        <is>
          <t>Prospect</t>
        </is>
      </c>
      <c r="O69" s="255" t="inlineStr">
        <is>
          <t>SHARIF Maaz</t>
        </is>
      </c>
      <c r="P69" s="258" t="inlineStr">
        <is>
          <t xml:space="preserve">222
</t>
        </is>
      </c>
      <c r="Q69" s="259">
        <f>IF(AND(Table15[[#This Row],[Column1]]&lt;&gt;"",ISNUMBER(DATEVALUE(Table15[[#This Row],[Column1]]))),TODAY()-DATEVALUE(Table15[[#This Row],[Column1]]),"")</f>
        <v/>
      </c>
    </row>
    <row r="70">
      <c r="A70" s="254" t="inlineStr">
        <is>
          <t>Request</t>
        </is>
      </c>
      <c r="B70" s="255" t="inlineStr"/>
      <c r="C70" s="256" t="inlineStr">
        <is>
          <t>28/2/2025</t>
        </is>
      </c>
      <c r="D70" s="255" t="inlineStr">
        <is>
          <t>82035/000P-H063</t>
        </is>
      </c>
      <c r="E70" s="255">
        <f>_xlfn.XLOOKUP(D70, [1]Collection!B:B, [1]Collection!C:C)</f>
        <v/>
      </c>
      <c r="F70" s="255">
        <f>_xlfn.XLOOKUP(D70, [1]Collection!B:B, [1]Collection!D:D)</f>
        <v/>
      </c>
      <c r="G70" s="255" t="inlineStr">
        <is>
          <t>Phone sales Middle East</t>
        </is>
      </c>
      <c r="H70" s="257" t="inlineStr">
        <is>
          <t>98609197</t>
        </is>
      </c>
      <c r="I70" s="257" t="n"/>
      <c r="J70" s="261" t="n"/>
      <c r="K70" s="257" t="n"/>
      <c r="L70" s="257" t="n"/>
      <c r="M70" s="257" t="n"/>
      <c r="N70" s="255" t="inlineStr">
        <is>
          <t>Prospect</t>
        </is>
      </c>
      <c r="O70" s="255" t="inlineStr">
        <is>
          <t>SHARIF Maaz</t>
        </is>
      </c>
      <c r="P70" s="262" t="inlineStr"/>
      <c r="Q70" s="259">
        <f>IF(AND(Table15[[#This Row],[Column1]]&lt;&gt;"",ISNUMBER(DATEVALUE(Table15[[#This Row],[Column1]]))),TODAY()-DATEVALUE(Table15[[#This Row],[Column1]]),"")</f>
        <v/>
      </c>
    </row>
    <row r="71" hidden="1" s="287">
      <c r="A71" s="254" t="inlineStr">
        <is>
          <t>Request</t>
        </is>
      </c>
      <c r="B71" s="255" t="inlineStr"/>
      <c r="C71" s="256" t="inlineStr">
        <is>
          <t>28/2/2025</t>
        </is>
      </c>
      <c r="D71" s="255" t="inlineStr">
        <is>
          <t>4200H/222A-B934</t>
        </is>
      </c>
      <c r="E71" s="255">
        <f>_xlfn.XLOOKUP(D71, [1]Collection!B:B, [1]Collection!C:C)</f>
        <v/>
      </c>
      <c r="F71" s="255">
        <f>_xlfn.XLOOKUP(D71, [1]Collection!B:B, [1]Collection!D:D)</f>
        <v/>
      </c>
      <c r="G71" s="255" t="inlineStr">
        <is>
          <t>Phone sales Middle East</t>
        </is>
      </c>
      <c r="H71" s="257" t="inlineStr">
        <is>
          <t>98609197</t>
        </is>
      </c>
      <c r="I71" s="257" t="n"/>
      <c r="J71" s="257" t="n"/>
      <c r="K71" s="257" t="n"/>
      <c r="L71" s="257" t="n"/>
      <c r="M71" s="257" t="n"/>
      <c r="N71" s="255" t="inlineStr">
        <is>
          <t>Prospect</t>
        </is>
      </c>
      <c r="O71" s="255" t="inlineStr">
        <is>
          <t>SHARIF Maaz</t>
        </is>
      </c>
      <c r="P71" s="258" t="inlineStr">
        <is>
          <t xml:space="preserve">222
</t>
        </is>
      </c>
      <c r="Q71" s="259">
        <f>IF(AND(Table15[[#This Row],[Column1]]&lt;&gt;"",ISNUMBER(DATEVALUE(Table15[[#This Row],[Column1]]))),TODAY()-DATEVALUE(Table15[[#This Row],[Column1]]),"")</f>
        <v/>
      </c>
    </row>
    <row r="72" ht="46.8" customHeight="1" s="287">
      <c r="A72" s="254" t="inlineStr">
        <is>
          <t>Request</t>
        </is>
      </c>
      <c r="B72" s="255" t="inlineStr"/>
      <c r="C72" s="256" t="inlineStr">
        <is>
          <t>27/8/2025</t>
        </is>
      </c>
      <c r="D72" s="255" t="inlineStr">
        <is>
          <t>4300V/220G-H151​</t>
        </is>
      </c>
      <c r="E72" s="255">
        <f>_xlfn.XLOOKUP(D72, [1]Collection!B:B, [1]Collection!C:C)</f>
        <v/>
      </c>
      <c r="F72" s="255">
        <f>_xlfn.XLOOKUP(D72, [1]Collection!B:B, [1]Collection!D:D)</f>
        <v/>
      </c>
      <c r="G72" s="255" t="inlineStr">
        <is>
          <t>Phone sales Middle East</t>
        </is>
      </c>
      <c r="H72" s="257" t="inlineStr">
        <is>
          <t>109156544</t>
        </is>
      </c>
      <c r="I72" s="257" t="n"/>
      <c r="J72" s="261" t="n"/>
      <c r="K72" s="257" t="n"/>
      <c r="L72" s="257" t="n"/>
      <c r="M72" s="257" t="n"/>
      <c r="N72" s="255" t="inlineStr">
        <is>
          <t>Prospect</t>
        </is>
      </c>
      <c r="O72" s="255" t="inlineStr">
        <is>
          <t>SHARIF Maaz</t>
        </is>
      </c>
      <c r="P72" s="262" t="inlineStr">
        <is>
          <t xml:space="preserve">Meinhardt Group, a global engineering,
</t>
        </is>
      </c>
      <c r="Q72" s="259">
        <f>IF(AND(Table15[[#This Row],[Column1]]&lt;&gt;"",ISNUMBER(DATEVALUE(Table15[[#This Row],[Column1]]))),TODAY()-DATEVALUE(Table15[[#This Row],[Column1]]),"")</f>
        <v/>
      </c>
    </row>
    <row r="73" ht="93.59999999999999" customHeight="1" s="287">
      <c r="A73" s="254" t="inlineStr">
        <is>
          <t>Request</t>
        </is>
      </c>
      <c r="B73" s="255" t="inlineStr"/>
      <c r="C73" s="256" t="inlineStr">
        <is>
          <t>27/8/2025</t>
        </is>
      </c>
      <c r="D73" s="255" t="inlineStr">
        <is>
          <t>4300V/220G-H151​</t>
        </is>
      </c>
      <c r="E73" s="255">
        <f>_xlfn.XLOOKUP(D73, [1]Collection!B:B, [1]Collection!C:C)</f>
        <v/>
      </c>
      <c r="F73" s="255">
        <f>_xlfn.XLOOKUP(D73, [1]Collection!B:B, [1]Collection!D:D)</f>
        <v/>
      </c>
      <c r="G73" s="255" t="inlineStr">
        <is>
          <t>Phone sales Middle East</t>
        </is>
      </c>
      <c r="H73" s="257" t="inlineStr">
        <is>
          <t>104326745</t>
        </is>
      </c>
      <c r="I73" s="257" t="n"/>
      <c r="J73" s="261" t="n"/>
      <c r="K73" s="257" t="n"/>
      <c r="L73" s="257" t="n"/>
      <c r="M73" s="257" t="n"/>
      <c r="N73" s="255" t="inlineStr">
        <is>
          <t>Prospect</t>
        </is>
      </c>
      <c r="O73" s="255" t="inlineStr">
        <is>
          <t>SHARIF Maaz</t>
        </is>
      </c>
      <c r="P73" s="262" t="inlineStr">
        <is>
          <t xml:space="preserve">
The client is intrested in both the 222 and the above subjected timepiece
</t>
        </is>
      </c>
      <c r="Q73" s="259">
        <f>IF(AND(Table15[[#This Row],[Column1]]&lt;&gt;"",ISNUMBER(DATEVALUE(Table15[[#This Row],[Column1]]))),TODAY()-DATEVALUE(Table15[[#This Row],[Column1]]),"")</f>
        <v/>
      </c>
    </row>
    <row r="74" ht="31.2" customHeight="1" s="287">
      <c r="A74" s="254" t="inlineStr">
        <is>
          <t>Request</t>
        </is>
      </c>
      <c r="B74" s="255" t="inlineStr"/>
      <c r="C74" s="256" t="inlineStr">
        <is>
          <t>27/8/2025</t>
        </is>
      </c>
      <c r="D74" s="255" t="inlineStr">
        <is>
          <t>6000V/210T-H032</t>
        </is>
      </c>
      <c r="E74" s="255">
        <f>_xlfn.XLOOKUP(D74, [1]Collection!B:B, [1]Collection!C:C)</f>
        <v/>
      </c>
      <c r="F74" s="255">
        <f>_xlfn.XLOOKUP(D74, [1]Collection!B:B, [1]Collection!D:D)</f>
        <v/>
      </c>
      <c r="G74" s="255" t="inlineStr">
        <is>
          <t>Phone sales Middle East</t>
        </is>
      </c>
      <c r="H74" s="257" t="inlineStr">
        <is>
          <t>109157033</t>
        </is>
      </c>
      <c r="I74" s="257" t="n"/>
      <c r="J74" s="261" t="n"/>
      <c r="K74" s="257" t="n"/>
      <c r="L74" s="257" t="n"/>
      <c r="M74" s="257" t="n"/>
      <c r="N74" s="255" t="inlineStr">
        <is>
          <t>Prospect</t>
        </is>
      </c>
      <c r="O74" s="255" t="inlineStr">
        <is>
          <t>SHARIF Maaz</t>
        </is>
      </c>
      <c r="P74" s="262" t="inlineStr">
        <is>
          <t xml:space="preserve">
</t>
        </is>
      </c>
      <c r="Q74" s="259">
        <f>IF(AND(Table15[[#This Row],[Column1]]&lt;&gt;"",ISNUMBER(DATEVALUE(Table15[[#This Row],[Column1]]))),TODAY()-DATEVALUE(Table15[[#This Row],[Column1]]),"")</f>
        <v/>
      </c>
    </row>
    <row r="75" hidden="1" s="287">
      <c r="A75" s="254" t="inlineStr">
        <is>
          <t>Request</t>
        </is>
      </c>
      <c r="B75" s="255" t="inlineStr"/>
      <c r="C75" s="256" t="inlineStr">
        <is>
          <t>27/8/2025</t>
        </is>
      </c>
      <c r="D75" s="255" t="inlineStr">
        <is>
          <t>4200H/222A-B934</t>
        </is>
      </c>
      <c r="E75" s="255">
        <f>_xlfn.XLOOKUP(D75, [1]Collection!B:B, [1]Collection!C:C)</f>
        <v/>
      </c>
      <c r="F75" s="255">
        <f>_xlfn.XLOOKUP(D75, [1]Collection!B:B, [1]Collection!D:D)</f>
        <v/>
      </c>
      <c r="G75" s="255" t="inlineStr">
        <is>
          <t>Phone sales Middle East</t>
        </is>
      </c>
      <c r="H75" s="257" t="inlineStr">
        <is>
          <t>103832762</t>
        </is>
      </c>
      <c r="I75" s="257" t="n"/>
      <c r="J75" s="257" t="n"/>
      <c r="K75" s="257" t="n"/>
      <c r="L75" s="257" t="n"/>
      <c r="M75" s="257" t="n"/>
      <c r="N75" s="255" t="inlineStr"/>
      <c r="O75" s="255" t="inlineStr">
        <is>
          <t>SHARIF Maaz</t>
        </is>
      </c>
      <c r="P75" s="258" t="inlineStr">
        <is>
          <t xml:space="preserve">
</t>
        </is>
      </c>
      <c r="Q75" s="259">
        <f>IF(AND(Table15[[#This Row],[Column1]]&lt;&gt;"",ISNUMBER(DATEVALUE(Table15[[#This Row],[Column1]]))),TODAY()-DATEVALUE(Table15[[#This Row],[Column1]]),"")</f>
        <v/>
      </c>
    </row>
    <row r="76" ht="31.2" customHeight="1" s="287">
      <c r="A76" s="254" t="inlineStr">
        <is>
          <t>Request</t>
        </is>
      </c>
      <c r="B76" s="255" t="inlineStr"/>
      <c r="C76" s="256" t="inlineStr">
        <is>
          <t>27/8/2025</t>
        </is>
      </c>
      <c r="D76" s="255" t="inlineStr">
        <is>
          <t>4300V/220G-H151​</t>
        </is>
      </c>
      <c r="E76" s="255">
        <f>_xlfn.XLOOKUP(D76, [1]Collection!B:B, [1]Collection!C:C)</f>
        <v/>
      </c>
      <c r="F76" s="255">
        <f>_xlfn.XLOOKUP(D76, [1]Collection!B:B, [1]Collection!D:D)</f>
        <v/>
      </c>
      <c r="G76" s="255" t="inlineStr">
        <is>
          <t>Phone sales Middle East</t>
        </is>
      </c>
      <c r="H76" s="257" t="inlineStr">
        <is>
          <t>103814709</t>
        </is>
      </c>
      <c r="I76" s="257" t="n"/>
      <c r="J76" s="261" t="n"/>
      <c r="K76" s="257" t="n"/>
      <c r="L76" s="257" t="n"/>
      <c r="M76" s="257" t="n"/>
      <c r="N76" s="255" t="inlineStr"/>
      <c r="O76" s="255" t="inlineStr">
        <is>
          <t>SHARIF Maaz</t>
        </is>
      </c>
      <c r="P76" s="262" t="inlineStr">
        <is>
          <t xml:space="preserve">
</t>
        </is>
      </c>
      <c r="Q76" s="259">
        <f>IF(AND(Table15[[#This Row],[Column1]]&lt;&gt;"",ISNUMBER(DATEVALUE(Table15[[#This Row],[Column1]]))),TODAY()-DATEVALUE(Table15[[#This Row],[Column1]]),"")</f>
        <v/>
      </c>
    </row>
    <row r="77" hidden="1" s="287">
      <c r="A77" s="254" t="inlineStr">
        <is>
          <t>Request</t>
        </is>
      </c>
      <c r="B77" s="255" t="inlineStr"/>
      <c r="C77" s="256" t="inlineStr">
        <is>
          <t>27/3/2025</t>
        </is>
      </c>
      <c r="D77" s="255" t="inlineStr">
        <is>
          <t>4200H/222A-B934</t>
        </is>
      </c>
      <c r="E77" s="255">
        <f>_xlfn.XLOOKUP(D77, [1]Collection!B:B, [1]Collection!C:C)</f>
        <v/>
      </c>
      <c r="F77" s="255">
        <f>_xlfn.XLOOKUP(D77, [1]Collection!B:B, [1]Collection!D:D)</f>
        <v/>
      </c>
      <c r="G77" s="255" t="inlineStr">
        <is>
          <t>Phone sales Middle East</t>
        </is>
      </c>
      <c r="H77" s="257" t="inlineStr">
        <is>
          <t>104908886</t>
        </is>
      </c>
      <c r="I77" s="257" t="n"/>
      <c r="J77" s="257" t="n"/>
      <c r="K77" s="257" t="n"/>
      <c r="L77" s="257" t="n"/>
      <c r="M77" s="257" t="n"/>
      <c r="N77" s="255" t="inlineStr">
        <is>
          <t>Prospect</t>
        </is>
      </c>
      <c r="O77" s="255" t="inlineStr">
        <is>
          <t>SHARIF Maaz</t>
        </is>
      </c>
      <c r="P77" s="258" t="inlineStr">
        <is>
          <t xml:space="preserve">222
</t>
        </is>
      </c>
      <c r="Q77" s="259">
        <f>IF(AND(Table15[[#This Row],[Column1]]&lt;&gt;"",ISNUMBER(DATEVALUE(Table15[[#This Row],[Column1]]))),TODAY()-DATEVALUE(Table15[[#This Row],[Column1]]),"")</f>
        <v/>
      </c>
    </row>
    <row r="78" ht="31.2" customHeight="1" s="287">
      <c r="A78" s="254" t="inlineStr">
        <is>
          <t>Request</t>
        </is>
      </c>
      <c r="B78" s="255" t="inlineStr"/>
      <c r="C78" s="256" t="inlineStr">
        <is>
          <t>27/2/2025</t>
        </is>
      </c>
      <c r="D78" s="255" t="inlineStr">
        <is>
          <t>7920V/210A-B334</t>
        </is>
      </c>
      <c r="E78" s="255">
        <f>_xlfn.XLOOKUP(D78, [1]Collection!B:B, [1]Collection!C:C)</f>
        <v/>
      </c>
      <c r="F78" s="255">
        <f>_xlfn.XLOOKUP(D78, [1]Collection!B:B, [1]Collection!D:D)</f>
        <v/>
      </c>
      <c r="G78" s="255" t="inlineStr">
        <is>
          <t>Phone sales Middle East</t>
        </is>
      </c>
      <c r="H78" s="257" t="inlineStr">
        <is>
          <t>104329408</t>
        </is>
      </c>
      <c r="I78" s="257" t="n"/>
      <c r="J78" s="261" t="n"/>
      <c r="K78" s="257" t="n"/>
      <c r="L78" s="257" t="n"/>
      <c r="M78" s="257" t="n"/>
      <c r="N78" s="255" t="inlineStr"/>
      <c r="O78" s="255" t="inlineStr">
        <is>
          <t>SHARIF Maaz</t>
        </is>
      </c>
      <c r="P78" s="262" t="inlineStr">
        <is>
          <t xml:space="preserve">222 Fam
</t>
        </is>
      </c>
      <c r="Q78" s="259">
        <f>IF(AND(Table15[[#This Row],[Column1]]&lt;&gt;"",ISNUMBER(DATEVALUE(Table15[[#This Row],[Column1]]))),TODAY()-DATEVALUE(Table15[[#This Row],[Column1]]),"")</f>
        <v/>
      </c>
    </row>
    <row r="79" hidden="1" s="287">
      <c r="A79" s="254" t="inlineStr">
        <is>
          <t>Request</t>
        </is>
      </c>
      <c r="B79" s="255" t="inlineStr"/>
      <c r="C79" s="256" t="inlineStr">
        <is>
          <t>27/2/2025</t>
        </is>
      </c>
      <c r="D79" s="255" t="inlineStr">
        <is>
          <t>4200H/222A-B934</t>
        </is>
      </c>
      <c r="E79" s="255">
        <f>_xlfn.XLOOKUP(D79, [1]Collection!B:B, [1]Collection!C:C)</f>
        <v/>
      </c>
      <c r="F79" s="255">
        <f>_xlfn.XLOOKUP(D79, [1]Collection!B:B, [1]Collection!D:D)</f>
        <v/>
      </c>
      <c r="G79" s="255" t="inlineStr">
        <is>
          <t>Phone sales Middle East</t>
        </is>
      </c>
      <c r="H79" s="257" t="inlineStr">
        <is>
          <t>104375462</t>
        </is>
      </c>
      <c r="I79" s="257" t="n"/>
      <c r="J79" s="257" t="n"/>
      <c r="K79" s="257" t="n"/>
      <c r="L79" s="257" t="n"/>
      <c r="M79" s="257" t="n"/>
      <c r="N79" s="255" t="inlineStr"/>
      <c r="O79" s="255" t="inlineStr">
        <is>
          <t>SHARIF Maaz</t>
        </is>
      </c>
      <c r="P79" s="258" t="inlineStr">
        <is>
          <t xml:space="preserve">222 Blue
</t>
        </is>
      </c>
      <c r="Q79" s="259">
        <f>IF(AND(Table15[[#This Row],[Column1]]&lt;&gt;"",ISNUMBER(DATEVALUE(Table15[[#This Row],[Column1]]))),TODAY()-DATEVALUE(Table15[[#This Row],[Column1]]),"")</f>
        <v/>
      </c>
    </row>
    <row r="80" hidden="1" s="287">
      <c r="A80" s="254" t="inlineStr">
        <is>
          <t>Request</t>
        </is>
      </c>
      <c r="B80" s="255" t="inlineStr"/>
      <c r="C80" s="256" t="inlineStr">
        <is>
          <t>27/2/2025</t>
        </is>
      </c>
      <c r="D80" s="255" t="inlineStr">
        <is>
          <t>4200H/222A-B934</t>
        </is>
      </c>
      <c r="E80" s="255">
        <f>_xlfn.XLOOKUP(D80, [1]Collection!B:B, [1]Collection!C:C)</f>
        <v/>
      </c>
      <c r="F80" s="255">
        <f>_xlfn.XLOOKUP(D80, [1]Collection!B:B, [1]Collection!D:D)</f>
        <v/>
      </c>
      <c r="G80" s="255" t="inlineStr">
        <is>
          <t>Phone sales Middle East</t>
        </is>
      </c>
      <c r="H80" s="257" t="inlineStr">
        <is>
          <t>104326404</t>
        </is>
      </c>
      <c r="I80" s="257" t="n"/>
      <c r="J80" s="257" t="n"/>
      <c r="K80" s="257" t="n"/>
      <c r="L80" s="257" t="n"/>
      <c r="M80" s="257" t="n"/>
      <c r="N80" s="255" t="inlineStr"/>
      <c r="O80" s="255" t="inlineStr">
        <is>
          <t>SHARIF Maaz</t>
        </is>
      </c>
      <c r="P80" s="258" t="inlineStr">
        <is>
          <t xml:space="preserve">The client is always between  Riyadh and Dubai and want the 222
</t>
        </is>
      </c>
      <c r="Q80" s="259">
        <f>IF(AND(Table15[[#This Row],[Column1]]&lt;&gt;"",ISNUMBER(DATEVALUE(Table15[[#This Row],[Column1]]))),TODAY()-DATEVALUE(Table15[[#This Row],[Column1]]),"")</f>
        <v/>
      </c>
    </row>
    <row r="81" hidden="1" s="287">
      <c r="A81" s="254" t="inlineStr">
        <is>
          <t>Request</t>
        </is>
      </c>
      <c r="B81" s="255" t="inlineStr"/>
      <c r="C81" s="256" t="inlineStr">
        <is>
          <t>27/2/2025</t>
        </is>
      </c>
      <c r="D81" s="255" t="inlineStr">
        <is>
          <t>4200H/222A-B934</t>
        </is>
      </c>
      <c r="E81" s="255">
        <f>_xlfn.XLOOKUP(D81, [1]Collection!B:B, [1]Collection!C:C)</f>
        <v/>
      </c>
      <c r="F81" s="255">
        <f>_xlfn.XLOOKUP(D81, [1]Collection!B:B, [1]Collection!D:D)</f>
        <v/>
      </c>
      <c r="G81" s="255" t="inlineStr">
        <is>
          <t>Phone sales Middle East</t>
        </is>
      </c>
      <c r="H81" s="257" t="inlineStr">
        <is>
          <t>102680410</t>
        </is>
      </c>
      <c r="I81" s="257" t="n"/>
      <c r="J81" s="257" t="n"/>
      <c r="K81" s="257" t="n"/>
      <c r="L81" s="257" t="n"/>
      <c r="M81" s="257" t="n"/>
      <c r="N81" s="255" t="inlineStr"/>
      <c r="O81" s="255" t="inlineStr">
        <is>
          <t>SHARIF Maaz</t>
        </is>
      </c>
      <c r="P81" s="258" t="inlineStr">
        <is>
          <t xml:space="preserve">The client is very interested KW 
</t>
        </is>
      </c>
      <c r="Q81" s="259">
        <f>IF(AND(Table15[[#This Row],[Column1]]&lt;&gt;"",ISNUMBER(DATEVALUE(Table15[[#This Row],[Column1]]))),TODAY()-DATEVALUE(Table15[[#This Row],[Column1]]),"")</f>
        <v/>
      </c>
    </row>
    <row r="82" hidden="1" s="287">
      <c r="A82" s="254" t="inlineStr">
        <is>
          <t>Request</t>
        </is>
      </c>
      <c r="B82" s="255" t="inlineStr"/>
      <c r="C82" s="256" t="inlineStr">
        <is>
          <t>27/2/2025</t>
        </is>
      </c>
      <c r="D82" s="255" t="inlineStr">
        <is>
          <t>4200H/222A-B934</t>
        </is>
      </c>
      <c r="E82" s="255">
        <f>_xlfn.XLOOKUP(D82, [1]Collection!B:B, [1]Collection!C:C)</f>
        <v/>
      </c>
      <c r="F82" s="255">
        <f>_xlfn.XLOOKUP(D82, [1]Collection!B:B, [1]Collection!D:D)</f>
        <v/>
      </c>
      <c r="G82" s="255" t="inlineStr">
        <is>
          <t>Phone sales Middle East</t>
        </is>
      </c>
      <c r="H82" s="257" t="inlineStr">
        <is>
          <t>104908886</t>
        </is>
      </c>
      <c r="I82" s="257" t="n"/>
      <c r="J82" s="257" t="n"/>
      <c r="K82" s="257" t="n"/>
      <c r="L82" s="257" t="n"/>
      <c r="M82" s="257" t="n"/>
      <c r="N82" s="255" t="inlineStr">
        <is>
          <t>Prospect</t>
        </is>
      </c>
      <c r="O82" s="255" t="inlineStr">
        <is>
          <t>SHARIF Maaz</t>
        </is>
      </c>
      <c r="P82" s="258" t="inlineStr">
        <is>
          <t xml:space="preserve">222
</t>
        </is>
      </c>
      <c r="Q82" s="259">
        <f>IF(AND(Table15[[#This Row],[Column1]]&lt;&gt;"",ISNUMBER(DATEVALUE(Table15[[#This Row],[Column1]]))),TODAY()-DATEVALUE(Table15[[#This Row],[Column1]]),"")</f>
        <v/>
      </c>
    </row>
    <row r="83" hidden="1" s="287">
      <c r="A83" s="254" t="inlineStr">
        <is>
          <t>Request</t>
        </is>
      </c>
      <c r="B83" s="255" t="inlineStr"/>
      <c r="C83" s="256" t="inlineStr">
        <is>
          <t>27/1/2025</t>
        </is>
      </c>
      <c r="D83" s="255" t="inlineStr">
        <is>
          <t>4200H/222A-B934</t>
        </is>
      </c>
      <c r="E83" s="255">
        <f>_xlfn.XLOOKUP(D83, [1]Collection!B:B, [1]Collection!C:C)</f>
        <v/>
      </c>
      <c r="F83" s="255">
        <f>_xlfn.XLOOKUP(D83, [1]Collection!B:B, [1]Collection!D:D)</f>
        <v/>
      </c>
      <c r="G83" s="255" t="inlineStr">
        <is>
          <t>Phone sales Middle East</t>
        </is>
      </c>
      <c r="H83" s="257" t="inlineStr">
        <is>
          <t>103670555</t>
        </is>
      </c>
      <c r="I83" s="257" t="n"/>
      <c r="J83" s="257" t="n"/>
      <c r="K83" s="257" t="n"/>
      <c r="L83" s="257" t="n"/>
      <c r="M83" s="257" t="n"/>
      <c r="N83" s="255" t="inlineStr">
        <is>
          <t>Prospect</t>
        </is>
      </c>
      <c r="O83" s="255" t="inlineStr">
        <is>
          <t>SHARIF Maaz</t>
        </is>
      </c>
      <c r="P83" s="258" t="inlineStr"/>
      <c r="Q83" s="259">
        <f>IF(AND(Table15[[#This Row],[Column1]]&lt;&gt;"",ISNUMBER(DATEVALUE(Table15[[#This Row],[Column1]]))),TODAY()-DATEVALUE(Table15[[#This Row],[Column1]]),"")</f>
        <v/>
      </c>
    </row>
    <row r="84" hidden="1" s="287">
      <c r="A84" s="254" t="inlineStr">
        <is>
          <t>Request</t>
        </is>
      </c>
      <c r="B84" s="255" t="inlineStr"/>
      <c r="C84" s="256" t="inlineStr">
        <is>
          <t>27/1/2025</t>
        </is>
      </c>
      <c r="D84" s="255" t="inlineStr">
        <is>
          <t>4200H/222A-B934</t>
        </is>
      </c>
      <c r="E84" s="255">
        <f>_xlfn.XLOOKUP(D84, [1]Collection!B:B, [1]Collection!C:C)</f>
        <v/>
      </c>
      <c r="F84" s="255">
        <f>_xlfn.XLOOKUP(D84, [1]Collection!B:B, [1]Collection!D:D)</f>
        <v/>
      </c>
      <c r="G84" s="255" t="inlineStr">
        <is>
          <t>Phone sales Middle East</t>
        </is>
      </c>
      <c r="H84" s="257" t="inlineStr">
        <is>
          <t>103834361</t>
        </is>
      </c>
      <c r="I84" s="257" t="n"/>
      <c r="J84" s="257" t="n"/>
      <c r="K84" s="257" t="n"/>
      <c r="L84" s="257" t="n"/>
      <c r="M84" s="257" t="n"/>
      <c r="N84" s="255" t="inlineStr">
        <is>
          <t>Prospect</t>
        </is>
      </c>
      <c r="O84" s="255" t="inlineStr">
        <is>
          <t>SHARIF Maaz</t>
        </is>
      </c>
      <c r="P84" s="258" t="inlineStr"/>
      <c r="Q84" s="259">
        <f>IF(AND(Table15[[#This Row],[Column1]]&lt;&gt;"",ISNUMBER(DATEVALUE(Table15[[#This Row],[Column1]]))),TODAY()-DATEVALUE(Table15[[#This Row],[Column1]]),"")</f>
        <v/>
      </c>
    </row>
    <row r="85" ht="78" customHeight="1" s="287">
      <c r="A85" s="254" t="inlineStr">
        <is>
          <t>Request</t>
        </is>
      </c>
      <c r="B85" s="255" t="inlineStr"/>
      <c r="C85" s="256" t="inlineStr">
        <is>
          <t>26/8/2025</t>
        </is>
      </c>
      <c r="D85" s="255" t="inlineStr">
        <is>
          <t>4300V/220G-H151​</t>
        </is>
      </c>
      <c r="E85" s="255">
        <f>_xlfn.XLOOKUP(D85, [1]Collection!B:B, [1]Collection!C:C)</f>
        <v/>
      </c>
      <c r="F85" s="255">
        <f>_xlfn.XLOOKUP(D85, [1]Collection!B:B, [1]Collection!D:D)</f>
        <v/>
      </c>
      <c r="G85" s="255" t="inlineStr">
        <is>
          <t>Phone sales Middle East</t>
        </is>
      </c>
      <c r="H85" s="257" t="inlineStr">
        <is>
          <t>92399229</t>
        </is>
      </c>
      <c r="I85" s="257" t="n"/>
      <c r="J85" s="261" t="n"/>
      <c r="K85" s="257" t="n"/>
      <c r="L85" s="257" t="n"/>
      <c r="M85" s="257" t="n"/>
      <c r="N85" s="255" t="inlineStr"/>
      <c r="O85" s="255" t="inlineStr">
        <is>
          <t>SHARIF Maaz</t>
        </is>
      </c>
      <c r="P85" s="262" t="inlineStr">
        <is>
          <t xml:space="preserve">The client is highly intrigued by the piece and eager to explore it further.
</t>
        </is>
      </c>
      <c r="Q85" s="259">
        <f>IF(AND(Table15[[#This Row],[Column1]]&lt;&gt;"",ISNUMBER(DATEVALUE(Table15[[#This Row],[Column1]]))),TODAY()-DATEVALUE(Table15[[#This Row],[Column1]]),"")</f>
        <v/>
      </c>
    </row>
    <row r="86" ht="31.2" customHeight="1" s="287">
      <c r="A86" s="254" t="inlineStr">
        <is>
          <t>Request</t>
        </is>
      </c>
      <c r="B86" s="255" t="inlineStr"/>
      <c r="C86" s="256" t="inlineStr">
        <is>
          <t>26/8/2025</t>
        </is>
      </c>
      <c r="D86" s="255" t="inlineStr">
        <is>
          <t>4300V/220R-B642</t>
        </is>
      </c>
      <c r="E86" s="255">
        <f>_xlfn.XLOOKUP(D86, [1]Collection!B:B, [1]Collection!C:C)</f>
        <v/>
      </c>
      <c r="F86" s="255">
        <f>_xlfn.XLOOKUP(D86, [1]Collection!B:B, [1]Collection!D:D)</f>
        <v/>
      </c>
      <c r="G86" s="255" t="inlineStr">
        <is>
          <t>Phone sales Middle East</t>
        </is>
      </c>
      <c r="H86" s="257" t="inlineStr">
        <is>
          <t>109129915</t>
        </is>
      </c>
      <c r="I86" s="257" t="n"/>
      <c r="J86" s="261" t="n"/>
      <c r="K86" s="257" t="n"/>
      <c r="L86" s="257" t="n"/>
      <c r="M86" s="257" t="n"/>
      <c r="N86" s="255" t="inlineStr">
        <is>
          <t>Prospect</t>
        </is>
      </c>
      <c r="O86" s="255" t="inlineStr">
        <is>
          <t>SHARIF Maaz</t>
        </is>
      </c>
      <c r="P86" s="262" t="inlineStr">
        <is>
          <t xml:space="preserve">The client is interested 
</t>
        </is>
      </c>
      <c r="Q86" s="259">
        <f>IF(AND(Table15[[#This Row],[Column1]]&lt;&gt;"",ISNUMBER(DATEVALUE(Table15[[#This Row],[Column1]]))),TODAY()-DATEVALUE(Table15[[#This Row],[Column1]]),"")</f>
        <v/>
      </c>
    </row>
    <row r="87" ht="31.2" customHeight="1" s="287">
      <c r="A87" s="254" t="inlineStr">
        <is>
          <t>Request</t>
        </is>
      </c>
      <c r="B87" s="255" t="inlineStr">
        <is>
          <t>Confirmed</t>
        </is>
      </c>
      <c r="C87" s="256" t="inlineStr">
        <is>
          <t>26/8/2025</t>
        </is>
      </c>
      <c r="D87" s="255" t="inlineStr">
        <is>
          <t>1100S/000G-B734</t>
        </is>
      </c>
      <c r="E87" s="255">
        <f>_xlfn.XLOOKUP(D87, [1]Collection!B:B, [1]Collection!C:C)</f>
        <v/>
      </c>
      <c r="F87" s="255">
        <f>_xlfn.XLOOKUP(D87, [1]Collection!B:B, [1]Collection!D:D)</f>
        <v/>
      </c>
      <c r="G87" s="255" t="inlineStr">
        <is>
          <t>Phone sales Middle East</t>
        </is>
      </c>
      <c r="H87" s="257" t="inlineStr">
        <is>
          <t>109126261</t>
        </is>
      </c>
      <c r="I87" s="257" t="n"/>
      <c r="J87" s="261" t="n"/>
      <c r="K87" s="257" t="n"/>
      <c r="L87" s="257" t="n"/>
      <c r="M87" s="257" t="n"/>
      <c r="N87" s="255" t="inlineStr">
        <is>
          <t>Prospect</t>
        </is>
      </c>
      <c r="O87" s="255" t="inlineStr">
        <is>
          <t>SHARIF Maaz</t>
        </is>
      </c>
      <c r="P87" s="262" t="inlineStr">
        <is>
          <t xml:space="preserve">
</t>
        </is>
      </c>
      <c r="Q87" s="259">
        <f>IF(AND(Table15[[#This Row],[Column1]]&lt;&gt;"",ISNUMBER(DATEVALUE(Table15[[#This Row],[Column1]]))),TODAY()-DATEVALUE(Table15[[#This Row],[Column1]]),"")</f>
        <v/>
      </c>
    </row>
    <row r="88" hidden="1" s="287">
      <c r="A88" s="254" t="inlineStr">
        <is>
          <t>Request</t>
        </is>
      </c>
      <c r="B88" s="255" t="inlineStr"/>
      <c r="C88" s="256" t="inlineStr">
        <is>
          <t>26/6/2025</t>
        </is>
      </c>
      <c r="D88" s="255" t="inlineStr">
        <is>
          <t>4200H/222A-B934</t>
        </is>
      </c>
      <c r="E88" s="255">
        <f>_xlfn.XLOOKUP(D88, [1]Collection!B:B, [1]Collection!C:C)</f>
        <v/>
      </c>
      <c r="F88" s="255">
        <f>_xlfn.XLOOKUP(D88, [1]Collection!B:B, [1]Collection!D:D)</f>
        <v/>
      </c>
      <c r="G88" s="255" t="inlineStr">
        <is>
          <t>Phone sales Middle East</t>
        </is>
      </c>
      <c r="H88" s="257" t="inlineStr">
        <is>
          <t>107039143</t>
        </is>
      </c>
      <c r="I88" s="257" t="n"/>
      <c r="J88" s="257" t="n"/>
      <c r="K88" s="257" t="n"/>
      <c r="L88" s="257" t="n"/>
      <c r="M88" s="257" t="n"/>
      <c r="N88" s="255" t="inlineStr">
        <is>
          <t>Prospect</t>
        </is>
      </c>
      <c r="O88" s="255" t="inlineStr">
        <is>
          <t>SHARIF Maaz</t>
        </is>
      </c>
      <c r="P88" s="258" t="inlineStr">
        <is>
          <t xml:space="preserve">Regional Vice President, International
Bombardier Defense
</t>
        </is>
      </c>
      <c r="Q88" s="259">
        <f>IF(AND(Table15[[#This Row],[Column1]]&lt;&gt;"",ISNUMBER(DATEVALUE(Table15[[#This Row],[Column1]]))),TODAY()-DATEVALUE(Table15[[#This Row],[Column1]]),"")</f>
        <v/>
      </c>
    </row>
    <row r="89" hidden="1" s="287">
      <c r="A89" s="254" t="inlineStr">
        <is>
          <t>Request</t>
        </is>
      </c>
      <c r="B89" s="255" t="inlineStr"/>
      <c r="C89" s="256" t="inlineStr">
        <is>
          <t>26/10/2024</t>
        </is>
      </c>
      <c r="D89" s="255" t="inlineStr">
        <is>
          <t>4520V/210A-B128</t>
        </is>
      </c>
      <c r="E89" s="255">
        <f>_xlfn.XLOOKUP(D89, [1]Collection!B:B, [1]Collection!C:C)</f>
        <v/>
      </c>
      <c r="F89" s="255">
        <f>_xlfn.XLOOKUP(D89, [1]Collection!B:B, [1]Collection!D:D)</f>
        <v/>
      </c>
      <c r="G89" s="255" t="inlineStr">
        <is>
          <t>Phone sales Middle East</t>
        </is>
      </c>
      <c r="H89" s="257" t="inlineStr">
        <is>
          <t>0</t>
        </is>
      </c>
      <c r="I89" s="257" t="n"/>
      <c r="J89" s="257" t="n"/>
      <c r="K89" s="257" t="n"/>
      <c r="L89" s="257" t="n"/>
      <c r="M89" s="257" t="n"/>
      <c r="N89" s="255" t="inlineStr">
        <is>
          <t>Prospect</t>
        </is>
      </c>
      <c r="O89" s="255" t="inlineStr">
        <is>
          <t>SHARIF Maaz</t>
        </is>
      </c>
      <c r="P89" s="258" t="inlineStr">
        <is>
          <t xml:space="preserve">The clinet is a high profile., unfortunately SF didnt create id yet. the client will be going to KSA on Monday morning 
</t>
        </is>
      </c>
      <c r="Q89" s="259">
        <f>IF(AND(Table15[[#This Row],[Column1]]&lt;&gt;"",ISNUMBER(DATEVALUE(Table15[[#This Row],[Column1]]))),TODAY()-DATEVALUE(Table15[[#This Row],[Column1]]),"")</f>
        <v/>
      </c>
    </row>
    <row r="90" hidden="1" s="287">
      <c r="A90" s="254" t="inlineStr">
        <is>
          <t>Request</t>
        </is>
      </c>
      <c r="B90" s="255" t="inlineStr"/>
      <c r="C90" s="256" t="inlineStr">
        <is>
          <t>25/6/2025</t>
        </is>
      </c>
      <c r="D90" s="255" t="inlineStr">
        <is>
          <t>4200H/222A-B934</t>
        </is>
      </c>
      <c r="E90" s="255">
        <f>_xlfn.XLOOKUP(D90, [1]Collection!B:B, [1]Collection!C:C)</f>
        <v/>
      </c>
      <c r="F90" s="255">
        <f>_xlfn.XLOOKUP(D90, [1]Collection!B:B, [1]Collection!D:D)</f>
        <v/>
      </c>
      <c r="G90" s="255" t="inlineStr">
        <is>
          <t>Phone sales Middle East</t>
        </is>
      </c>
      <c r="H90" s="257" t="inlineStr">
        <is>
          <t>106952946</t>
        </is>
      </c>
      <c r="I90" s="257" t="n"/>
      <c r="J90" s="257" t="n"/>
      <c r="K90" s="257" t="n"/>
      <c r="L90" s="257" t="n"/>
      <c r="M90" s="257" t="n"/>
      <c r="N90" s="255" t="inlineStr">
        <is>
          <t>Prospect</t>
        </is>
      </c>
      <c r="O90" s="255" t="inlineStr">
        <is>
          <t>SHARIF Maaz</t>
        </is>
      </c>
      <c r="P90" s="258" t="inlineStr">
        <is>
          <t xml:space="preserve">
</t>
        </is>
      </c>
      <c r="Q90" s="259">
        <f>IF(AND(Table15[[#This Row],[Column1]]&lt;&gt;"",ISNUMBER(DATEVALUE(Table15[[#This Row],[Column1]]))),TODAY()-DATEVALUE(Table15[[#This Row],[Column1]]),"")</f>
        <v/>
      </c>
    </row>
    <row r="91" ht="62.4" customHeight="1" s="287">
      <c r="A91" s="254" t="inlineStr">
        <is>
          <t>Sold</t>
        </is>
      </c>
      <c r="B91" s="255" t="inlineStr">
        <is>
          <t>Confirmed</t>
        </is>
      </c>
      <c r="C91" s="256" t="inlineStr">
        <is>
          <t>25/4/2025</t>
        </is>
      </c>
      <c r="D91" s="255" t="inlineStr">
        <is>
          <t>7920V/210R-B965</t>
        </is>
      </c>
      <c r="E91" s="255">
        <f>_xlfn.XLOOKUP(D91, [1]Collection!B:B, [1]Collection!C:C)</f>
        <v/>
      </c>
      <c r="F91" s="255">
        <f>_xlfn.XLOOKUP(D91, [1]Collection!B:B, [1]Collection!D:D)</f>
        <v/>
      </c>
      <c r="G91" s="255" t="inlineStr">
        <is>
          <t>Phone sales Middle East</t>
        </is>
      </c>
      <c r="H91" s="257" t="inlineStr">
        <is>
          <t>105366145</t>
        </is>
      </c>
      <c r="I91" s="257" t="n"/>
      <c r="J91" s="261" t="n"/>
      <c r="K91" s="257" t="n"/>
      <c r="L91" s="257" t="n"/>
      <c r="M91" s="257" t="n"/>
      <c r="N91" s="255" t="inlineStr">
        <is>
          <t>Prospect</t>
        </is>
      </c>
      <c r="O91" s="255" t="inlineStr">
        <is>
          <t>SHARIF Maaz</t>
        </is>
      </c>
      <c r="P91" s="262" t="inlineStr">
        <is>
          <t xml:space="preserve">The client is interested in either the bule or green dual time 
</t>
        </is>
      </c>
      <c r="Q91" s="259">
        <f>IF(AND(Table15[[#This Row],[Column1]]&lt;&gt;"",ISNUMBER(DATEVALUE(Table15[[#This Row],[Column1]]))),TODAY()-DATEVALUE(Table15[[#This Row],[Column1]]),"")</f>
        <v/>
      </c>
    </row>
    <row r="92" hidden="1" s="287">
      <c r="A92" s="254" t="inlineStr">
        <is>
          <t>Request</t>
        </is>
      </c>
      <c r="B92" s="255" t="inlineStr"/>
      <c r="C92" s="256" t="inlineStr">
        <is>
          <t>25/4/2025</t>
        </is>
      </c>
      <c r="D92" s="255" t="inlineStr">
        <is>
          <t>4200H/222A-B934</t>
        </is>
      </c>
      <c r="E92" s="255">
        <f>_xlfn.XLOOKUP(D92, [1]Collection!B:B, [1]Collection!C:C)</f>
        <v/>
      </c>
      <c r="F92" s="255">
        <f>_xlfn.XLOOKUP(D92, [1]Collection!B:B, [1]Collection!D:D)</f>
        <v/>
      </c>
      <c r="G92" s="255" t="inlineStr">
        <is>
          <t>Phone sales Middle East</t>
        </is>
      </c>
      <c r="H92" s="257" t="inlineStr">
        <is>
          <t>92406835</t>
        </is>
      </c>
      <c r="I92" s="257" t="n"/>
      <c r="J92" s="257" t="n"/>
      <c r="K92" s="257" t="n"/>
      <c r="L92" s="257" t="n"/>
      <c r="M92" s="257" t="n"/>
      <c r="N92" s="255" t="inlineStr"/>
      <c r="O92" s="255" t="inlineStr">
        <is>
          <t>SHARIF Maaz</t>
        </is>
      </c>
      <c r="P92" s="258" t="inlineStr">
        <is>
          <t xml:space="preserve">
</t>
        </is>
      </c>
      <c r="Q92" s="259">
        <f>IF(AND(Table15[[#This Row],[Column1]]&lt;&gt;"",ISNUMBER(DATEVALUE(Table15[[#This Row],[Column1]]))),TODAY()-DATEVALUE(Table15[[#This Row],[Column1]]),"")</f>
        <v/>
      </c>
    </row>
    <row r="93" ht="93.59999999999999" customHeight="1" s="287">
      <c r="A93" s="254" t="inlineStr">
        <is>
          <t>Request</t>
        </is>
      </c>
      <c r="B93" s="255" t="inlineStr"/>
      <c r="C93" s="256" t="inlineStr">
        <is>
          <t>25/3/2025</t>
        </is>
      </c>
      <c r="D93" s="255" t="inlineStr">
        <is>
          <t>7920V/210A-B334</t>
        </is>
      </c>
      <c r="E93" s="255">
        <f>_xlfn.XLOOKUP(D93, [1]Collection!B:B, [1]Collection!C:C)</f>
        <v/>
      </c>
      <c r="F93" s="255">
        <f>_xlfn.XLOOKUP(D93, [1]Collection!B:B, [1]Collection!D:D)</f>
        <v/>
      </c>
      <c r="G93" s="255" t="inlineStr">
        <is>
          <t>Phone sales Middle East</t>
        </is>
      </c>
      <c r="H93" s="257" t="inlineStr">
        <is>
          <t>104849248</t>
        </is>
      </c>
      <c r="I93" s="257" t="n"/>
      <c r="J93" s="261" t="n"/>
      <c r="K93" s="257" t="n"/>
      <c r="L93" s="257" t="n"/>
      <c r="M93" s="257" t="n"/>
      <c r="N93" s="255" t="inlineStr">
        <is>
          <t>Client</t>
        </is>
      </c>
      <c r="O93" s="255" t="inlineStr">
        <is>
          <t>SHARIF Maaz</t>
        </is>
      </c>
      <c r="P93" s="262" t="inlineStr">
        <is>
          <t xml:space="preserve">the client is coming next week. already own the  \n Overseas chronograph  VMX55AV148
</t>
        </is>
      </c>
      <c r="Q93" s="259">
        <f>IF(AND(Table15[[#This Row],[Column1]]&lt;&gt;"",ISNUMBER(DATEVALUE(Table15[[#This Row],[Column1]]))),TODAY()-DATEVALUE(Table15[[#This Row],[Column1]]),"")</f>
        <v/>
      </c>
    </row>
    <row r="94" hidden="1" s="287">
      <c r="A94" s="254" t="inlineStr">
        <is>
          <t>Request</t>
        </is>
      </c>
      <c r="B94" s="255" t="inlineStr"/>
      <c r="C94" s="256" t="inlineStr">
        <is>
          <t>25/3/2025</t>
        </is>
      </c>
      <c r="D94" s="255" t="inlineStr">
        <is>
          <t>4200H/222A-B934</t>
        </is>
      </c>
      <c r="E94" s="255">
        <f>_xlfn.XLOOKUP(D94, [1]Collection!B:B, [1]Collection!C:C)</f>
        <v/>
      </c>
      <c r="F94" s="255">
        <f>_xlfn.XLOOKUP(D94, [1]Collection!B:B, [1]Collection!D:D)</f>
        <v/>
      </c>
      <c r="G94" s="255" t="inlineStr">
        <is>
          <t>Phone sales Middle East</t>
        </is>
      </c>
      <c r="H94" s="257" t="inlineStr">
        <is>
          <t>93232291</t>
        </is>
      </c>
      <c r="I94" s="257" t="n"/>
      <c r="J94" s="257" t="n"/>
      <c r="K94" s="257" t="n"/>
      <c r="L94" s="257" t="n"/>
      <c r="M94" s="257" t="n"/>
      <c r="N94" s="255" t="inlineStr">
        <is>
          <t>Prospect</t>
        </is>
      </c>
      <c r="O94" s="255" t="inlineStr">
        <is>
          <t>SHARIF Maaz</t>
        </is>
      </c>
      <c r="P94" s="258" t="inlineStr">
        <is>
          <t xml:space="preserve">4200H/222A-B934 222
</t>
        </is>
      </c>
      <c r="Q94" s="259">
        <f>IF(AND(Table15[[#This Row],[Column1]]&lt;&gt;"",ISNUMBER(DATEVALUE(Table15[[#This Row],[Column1]]))),TODAY()-DATEVALUE(Table15[[#This Row],[Column1]]),"")</f>
        <v/>
      </c>
    </row>
    <row r="95" hidden="1" s="287">
      <c r="A95" s="254" t="inlineStr">
        <is>
          <t>Request</t>
        </is>
      </c>
      <c r="B95" s="255" t="inlineStr"/>
      <c r="C95" s="256" t="inlineStr">
        <is>
          <t>25/3/2025</t>
        </is>
      </c>
      <c r="D95" s="255" t="inlineStr">
        <is>
          <t>4200H/222A-B934</t>
        </is>
      </c>
      <c r="E95" s="255">
        <f>_xlfn.XLOOKUP(D95, [1]Collection!B:B, [1]Collection!C:C)</f>
        <v/>
      </c>
      <c r="F95" s="255">
        <f>_xlfn.XLOOKUP(D95, [1]Collection!B:B, [1]Collection!D:D)</f>
        <v/>
      </c>
      <c r="G95" s="255" t="inlineStr">
        <is>
          <t>Phone sales Middle East</t>
        </is>
      </c>
      <c r="H95" s="257" t="inlineStr">
        <is>
          <t>104564947</t>
        </is>
      </c>
      <c r="I95" s="257" t="n"/>
      <c r="J95" s="257" t="n"/>
      <c r="K95" s="257" t="n"/>
      <c r="L95" s="257" t="n"/>
      <c r="M95" s="257" t="n"/>
      <c r="N95" s="255" t="inlineStr">
        <is>
          <t>Prospect</t>
        </is>
      </c>
      <c r="O95" s="255" t="inlineStr">
        <is>
          <t>SHARIF Maaz</t>
        </is>
      </c>
      <c r="P95" s="258" t="inlineStr">
        <is>
          <t xml:space="preserve">222
</t>
        </is>
      </c>
      <c r="Q95" s="259">
        <f>IF(AND(Table15[[#This Row],[Column1]]&lt;&gt;"",ISNUMBER(DATEVALUE(Table15[[#This Row],[Column1]]))),TODAY()-DATEVALUE(Table15[[#This Row],[Column1]]),"")</f>
        <v/>
      </c>
    </row>
    <row r="96" hidden="1" s="287">
      <c r="A96" s="254" t="inlineStr">
        <is>
          <t>Request</t>
        </is>
      </c>
      <c r="B96" s="255" t="inlineStr"/>
      <c r="C96" s="256" t="inlineStr">
        <is>
          <t>25/2/2025</t>
        </is>
      </c>
      <c r="D96" s="255" t="inlineStr">
        <is>
          <t>4200H/222A-B934</t>
        </is>
      </c>
      <c r="E96" s="255">
        <f>_xlfn.XLOOKUP(D96, [1]Collection!B:B, [1]Collection!C:C)</f>
        <v/>
      </c>
      <c r="F96" s="255">
        <f>_xlfn.XLOOKUP(D96, [1]Collection!B:B, [1]Collection!D:D)</f>
        <v/>
      </c>
      <c r="G96" s="255" t="inlineStr">
        <is>
          <t>Phone sales Middle East</t>
        </is>
      </c>
      <c r="H96" s="257" t="inlineStr">
        <is>
          <t>103847224</t>
        </is>
      </c>
      <c r="I96" s="257" t="n"/>
      <c r="J96" s="257" t="n"/>
      <c r="K96" s="257" t="n"/>
      <c r="L96" s="257" t="n"/>
      <c r="M96" s="257" t="n"/>
      <c r="N96" s="255" t="inlineStr"/>
      <c r="O96" s="255" t="inlineStr">
        <is>
          <t>SHARIF Maaz</t>
        </is>
      </c>
      <c r="P96" s="258" t="inlineStr">
        <is>
          <t xml:space="preserve">222
</t>
        </is>
      </c>
      <c r="Q96" s="259">
        <f>IF(AND(Table15[[#This Row],[Column1]]&lt;&gt;"",ISNUMBER(DATEVALUE(Table15[[#This Row],[Column1]]))),TODAY()-DATEVALUE(Table15[[#This Row],[Column1]]),"")</f>
        <v/>
      </c>
    </row>
    <row r="97" hidden="1" s="287">
      <c r="A97" s="254" t="inlineStr">
        <is>
          <t>Request</t>
        </is>
      </c>
      <c r="B97" s="255" t="inlineStr"/>
      <c r="C97" s="256" t="inlineStr">
        <is>
          <t>25/2/2025</t>
        </is>
      </c>
      <c r="D97" s="255" t="inlineStr">
        <is>
          <t>4200H/222A-B934</t>
        </is>
      </c>
      <c r="E97" s="255">
        <f>_xlfn.XLOOKUP(D97, [1]Collection!B:B, [1]Collection!C:C)</f>
        <v/>
      </c>
      <c r="F97" s="255">
        <f>_xlfn.XLOOKUP(D97, [1]Collection!B:B, [1]Collection!D:D)</f>
        <v/>
      </c>
      <c r="G97" s="255" t="inlineStr">
        <is>
          <t>Phone sales Middle East</t>
        </is>
      </c>
      <c r="H97" s="257" t="inlineStr">
        <is>
          <t>104255707</t>
        </is>
      </c>
      <c r="I97" s="257" t="n"/>
      <c r="J97" s="257" t="n"/>
      <c r="K97" s="257" t="n"/>
      <c r="L97" s="257" t="n"/>
      <c r="M97" s="257" t="n"/>
      <c r="N97" s="255" t="inlineStr"/>
      <c r="O97" s="255" t="inlineStr">
        <is>
          <t>SHARIF Maaz</t>
        </is>
      </c>
      <c r="P97" s="258" t="inlineStr">
        <is>
          <t xml:space="preserve">222
</t>
        </is>
      </c>
      <c r="Q97" s="259">
        <f>IF(AND(Table15[[#This Row],[Column1]]&lt;&gt;"",ISNUMBER(DATEVALUE(Table15[[#This Row],[Column1]]))),TODAY()-DATEVALUE(Table15[[#This Row],[Column1]]),"")</f>
        <v/>
      </c>
    </row>
    <row r="98" hidden="1" s="287">
      <c r="A98" s="254" t="inlineStr">
        <is>
          <t>Request</t>
        </is>
      </c>
      <c r="B98" s="255" t="inlineStr"/>
      <c r="C98" s="256" t="inlineStr">
        <is>
          <t>25/2/2025</t>
        </is>
      </c>
      <c r="D98" s="255" t="inlineStr">
        <is>
          <t>4200H/222A-B934</t>
        </is>
      </c>
      <c r="E98" s="255">
        <f>_xlfn.XLOOKUP(D98, [1]Collection!B:B, [1]Collection!C:C)</f>
        <v/>
      </c>
      <c r="F98" s="255">
        <f>_xlfn.XLOOKUP(D98, [1]Collection!B:B, [1]Collection!D:D)</f>
        <v/>
      </c>
      <c r="G98" s="255" t="inlineStr">
        <is>
          <t>Phone sales Middle East</t>
        </is>
      </c>
      <c r="H98" s="257" t="inlineStr">
        <is>
          <t>104270695</t>
        </is>
      </c>
      <c r="I98" s="257" t="n"/>
      <c r="J98" s="257" t="n"/>
      <c r="K98" s="257" t="n"/>
      <c r="L98" s="257" t="n"/>
      <c r="M98" s="257" t="n"/>
      <c r="N98" s="255" t="inlineStr"/>
      <c r="O98" s="255" t="inlineStr">
        <is>
          <t>SHARIF Maaz</t>
        </is>
      </c>
      <c r="P98" s="258" t="inlineStr">
        <is>
          <t xml:space="preserve">222 gcc 
</t>
        </is>
      </c>
      <c r="Q98" s="259">
        <f>IF(AND(Table15[[#This Row],[Column1]]&lt;&gt;"",ISNUMBER(DATEVALUE(Table15[[#This Row],[Column1]]))),TODAY()-DATEVALUE(Table15[[#This Row],[Column1]]),"")</f>
        <v/>
      </c>
    </row>
    <row r="99" hidden="1" s="287">
      <c r="A99" s="254" t="inlineStr">
        <is>
          <t>Request</t>
        </is>
      </c>
      <c r="B99" s="255" t="inlineStr"/>
      <c r="C99" s="256" t="inlineStr">
        <is>
          <t>25/2/2025</t>
        </is>
      </c>
      <c r="D99" s="255" t="inlineStr">
        <is>
          <t>4200H/222A-B934</t>
        </is>
      </c>
      <c r="E99" s="255">
        <f>_xlfn.XLOOKUP(D99, [1]Collection!B:B, [1]Collection!C:C)</f>
        <v/>
      </c>
      <c r="F99" s="255">
        <f>_xlfn.XLOOKUP(D99, [1]Collection!B:B, [1]Collection!D:D)</f>
        <v/>
      </c>
      <c r="G99" s="255" t="inlineStr">
        <is>
          <t>Phone sales Middle East</t>
        </is>
      </c>
      <c r="H99" s="257" t="inlineStr">
        <is>
          <t>102905736</t>
        </is>
      </c>
      <c r="I99" s="257" t="n"/>
      <c r="J99" s="257" t="n"/>
      <c r="K99" s="257" t="n"/>
      <c r="L99" s="257" t="n"/>
      <c r="M99" s="257" t="n"/>
      <c r="N99" s="255" t="inlineStr"/>
      <c r="O99" s="255" t="inlineStr">
        <is>
          <t>SHARIF Maaz</t>
        </is>
      </c>
      <c r="P99" s="258" t="inlineStr">
        <is>
          <t xml:space="preserve">222
</t>
        </is>
      </c>
      <c r="Q99" s="259">
        <f>IF(AND(Table15[[#This Row],[Column1]]&lt;&gt;"",ISNUMBER(DATEVALUE(Table15[[#This Row],[Column1]]))),TODAY()-DATEVALUE(Table15[[#This Row],[Column1]]),"")</f>
        <v/>
      </c>
    </row>
    <row r="100" hidden="1" s="287">
      <c r="A100" s="254" t="inlineStr">
        <is>
          <t>Request</t>
        </is>
      </c>
      <c r="B100" s="255" t="inlineStr"/>
      <c r="C100" s="256" t="inlineStr">
        <is>
          <t>25/2/2024</t>
        </is>
      </c>
      <c r="D100" s="255" t="inlineStr">
        <is>
          <t>4520V/210A-B128</t>
        </is>
      </c>
      <c r="E100" s="255">
        <f>_xlfn.XLOOKUP(D100, [1]Collection!B:B, [1]Collection!C:C)</f>
        <v/>
      </c>
      <c r="F100" s="255">
        <f>_xlfn.XLOOKUP(D100, [1]Collection!B:B, [1]Collection!D:D)</f>
        <v/>
      </c>
      <c r="G100" s="255" t="inlineStr">
        <is>
          <t>Phone sales Middle East</t>
        </is>
      </c>
      <c r="H100" s="257" t="inlineStr">
        <is>
          <t>98213878</t>
        </is>
      </c>
      <c r="I100" s="257" t="n"/>
      <c r="J100" s="257" t="n"/>
      <c r="K100" s="257" t="n"/>
      <c r="L100" s="257" t="n"/>
      <c r="M100" s="257" t="n"/>
      <c r="N100" s="255" t="inlineStr">
        <is>
          <t>Prospect</t>
        </is>
      </c>
      <c r="O100" s="255" t="inlineStr">
        <is>
          <t>SHARIF Maaz</t>
        </is>
      </c>
      <c r="P100" s="258" t="inlineStr"/>
      <c r="Q100" s="259">
        <f>IF(AND(Table15[[#This Row],[Column1]]&lt;&gt;"",ISNUMBER(DATEVALUE(Table15[[#This Row],[Column1]]))),TODAY()-DATEVALUE(Table15[[#This Row],[Column1]]),"")</f>
        <v/>
      </c>
    </row>
    <row r="101" ht="202.8" customHeight="1" s="287">
      <c r="A101" s="254" t="inlineStr">
        <is>
          <t>Request</t>
        </is>
      </c>
      <c r="B101" s="255" t="inlineStr">
        <is>
          <t>Confirmed</t>
        </is>
      </c>
      <c r="C101" s="256" t="inlineStr">
        <is>
          <t>25/12/2024</t>
        </is>
      </c>
      <c r="D101" s="255" t="inlineStr">
        <is>
          <t>5520V/210A-B148</t>
        </is>
      </c>
      <c r="E101" s="255">
        <f>_xlfn.XLOOKUP(D101, [1]Collection!B:B, [1]Collection!C:C)</f>
        <v/>
      </c>
      <c r="F101" s="255">
        <f>_xlfn.XLOOKUP(D101, [1]Collection!B:B, [1]Collection!D:D)</f>
        <v/>
      </c>
      <c r="G101" s="255" t="inlineStr">
        <is>
          <t>Phone sales Middle East</t>
        </is>
      </c>
      <c r="H101" s="257" t="inlineStr">
        <is>
          <t>102505094</t>
        </is>
      </c>
      <c r="I101" s="257" t="n"/>
      <c r="J101" s="261" t="n"/>
      <c r="K101" s="257" t="n"/>
      <c r="L101" s="257" t="n"/>
      <c r="M101" s="257" t="n"/>
      <c r="N101" s="255" t="inlineStr">
        <is>
          <t>Prospect</t>
        </is>
      </c>
      <c r="O101" s="255" t="inlineStr">
        <is>
          <t>SHARIF Maaz</t>
        </is>
      </c>
      <c r="P101" s="262" t="inlineStr">
        <is>
          <t xml:space="preserve">The client wants to purchase the Overseas chronograph 5520V/210A-B148
and has another request for the black one. He wants to try the blue one now and complete the payment
</t>
        </is>
      </c>
      <c r="Q101" s="259">
        <f>IF(AND(Table15[[#This Row],[Column1]]&lt;&gt;"",ISNUMBER(DATEVALUE(Table15[[#This Row],[Column1]]))),TODAY()-DATEVALUE(Table15[[#This Row],[Column1]]),"")</f>
        <v/>
      </c>
    </row>
    <row r="102" hidden="1" s="287">
      <c r="A102" s="254" t="inlineStr">
        <is>
          <t>Request</t>
        </is>
      </c>
      <c r="B102" s="255" t="inlineStr"/>
      <c r="C102" s="256" t="inlineStr">
        <is>
          <t>25/10/2024</t>
        </is>
      </c>
      <c r="D102" s="255" t="inlineStr">
        <is>
          <t>4520V/210A-B128</t>
        </is>
      </c>
      <c r="E102" s="255">
        <f>_xlfn.XLOOKUP(D102, [1]Collection!B:B, [1]Collection!C:C)</f>
        <v/>
      </c>
      <c r="F102" s="255">
        <f>_xlfn.XLOOKUP(D102, [1]Collection!B:B, [1]Collection!D:D)</f>
        <v/>
      </c>
      <c r="G102" s="255" t="inlineStr">
        <is>
          <t>Phone sales Middle East</t>
        </is>
      </c>
      <c r="H102" s="257" t="inlineStr">
        <is>
          <t>102113813</t>
        </is>
      </c>
      <c r="I102" s="257" t="n"/>
      <c r="J102" s="257" t="n"/>
      <c r="K102" s="257" t="n"/>
      <c r="L102" s="257" t="n"/>
      <c r="M102" s="257" t="n"/>
      <c r="N102" s="255" t="inlineStr">
        <is>
          <t>Prospect</t>
        </is>
      </c>
      <c r="O102" s="255" t="inlineStr">
        <is>
          <t>SHARIF Maaz</t>
        </is>
      </c>
      <c r="P102" s="258" t="inlineStr">
        <is>
          <t xml:space="preserve">The client is interested in the blue simple day overseas and would like to come to the boutique to try it. 
</t>
        </is>
      </c>
      <c r="Q102" s="259">
        <f>IF(AND(Table15[[#This Row],[Column1]]&lt;&gt;"",ISNUMBER(DATEVALUE(Table15[[#This Row],[Column1]]))),TODAY()-DATEVALUE(Table15[[#This Row],[Column1]]),"")</f>
        <v/>
      </c>
    </row>
    <row r="103" hidden="1" s="287">
      <c r="A103" s="254" t="inlineStr">
        <is>
          <t>Request</t>
        </is>
      </c>
      <c r="B103" s="255" t="inlineStr"/>
      <c r="C103" s="256" t="inlineStr">
        <is>
          <t>25/1/2025</t>
        </is>
      </c>
      <c r="D103" s="255" t="inlineStr">
        <is>
          <t>4200H/222A-B934</t>
        </is>
      </c>
      <c r="E103" s="255">
        <f>_xlfn.XLOOKUP(D103, [1]Collection!B:B, [1]Collection!C:C)</f>
        <v/>
      </c>
      <c r="F103" s="255">
        <f>_xlfn.XLOOKUP(D103, [1]Collection!B:B, [1]Collection!D:D)</f>
        <v/>
      </c>
      <c r="G103" s="255" t="inlineStr">
        <is>
          <t>Phone sales Middle East</t>
        </is>
      </c>
      <c r="H103" s="257" t="inlineStr">
        <is>
          <t>103775089</t>
        </is>
      </c>
      <c r="I103" s="257" t="n"/>
      <c r="J103" s="257" t="n"/>
      <c r="K103" s="257" t="n"/>
      <c r="L103" s="257" t="n"/>
      <c r="M103" s="257" t="n"/>
      <c r="N103" s="255" t="inlineStr">
        <is>
          <t>Prospect</t>
        </is>
      </c>
      <c r="O103" s="255" t="inlineStr">
        <is>
          <t>SHARIF Maaz</t>
        </is>
      </c>
      <c r="P103" s="258" t="inlineStr"/>
      <c r="Q103" s="259">
        <f>IF(AND(Table15[[#This Row],[Column1]]&lt;&gt;"",ISNUMBER(DATEVALUE(Table15[[#This Row],[Column1]]))),TODAY()-DATEVALUE(Table15[[#This Row],[Column1]]),"")</f>
        <v/>
      </c>
    </row>
    <row r="104" ht="171.6" customHeight="1" s="287">
      <c r="A104" s="254" t="inlineStr">
        <is>
          <t>Request</t>
        </is>
      </c>
      <c r="B104" s="255" t="inlineStr"/>
      <c r="C104" s="256" t="inlineStr">
        <is>
          <t>24/9/2024</t>
        </is>
      </c>
      <c r="D104" s="255" t="inlineStr">
        <is>
          <t>1225V/200A-B590</t>
        </is>
      </c>
      <c r="E104" s="255">
        <f>_xlfn.XLOOKUP(D104, [1]Collection!B:B, [1]Collection!C:C)</f>
        <v/>
      </c>
      <c r="F104" s="255">
        <f>_xlfn.XLOOKUP(D104, [1]Collection!B:B, [1]Collection!D:D)</f>
        <v/>
      </c>
      <c r="G104" s="255" t="inlineStr">
        <is>
          <t>Phone sales Middle East</t>
        </is>
      </c>
      <c r="H104" s="257" t="inlineStr">
        <is>
          <t>101680942</t>
        </is>
      </c>
      <c r="I104" s="257" t="n"/>
      <c r="J104" s="261" t="n"/>
      <c r="K104" s="257" t="n"/>
      <c r="L104" s="257" t="n"/>
      <c r="M104" s="257" t="n"/>
      <c r="N104" s="255" t="inlineStr">
        <is>
          <t>Prospect</t>
        </is>
      </c>
      <c r="O104" s="255" t="inlineStr">
        <is>
          <t>SHARIF Maaz</t>
        </is>
      </c>
      <c r="P104" s="262" t="inlineStr">
        <is>
          <t xml:space="preserve">The client is willing to pay via a payment link for the Overseas Quartz | X12AC590. This purchase is intended as a marriage gift for his wife, which he plans to present to her during their wedding in December.
</t>
        </is>
      </c>
      <c r="Q104" s="259">
        <f>IF(AND(Table15[[#This Row],[Column1]]&lt;&gt;"",ISNUMBER(DATEVALUE(Table15[[#This Row],[Column1]]))),TODAY()-DATEVALUE(Table15[[#This Row],[Column1]]),"")</f>
        <v/>
      </c>
    </row>
    <row r="105" ht="140.4" customHeight="1" s="287">
      <c r="A105" s="254" t="inlineStr">
        <is>
          <t>Request</t>
        </is>
      </c>
      <c r="B105" s="255" t="inlineStr"/>
      <c r="C105" s="256" t="inlineStr">
        <is>
          <t>24/9/2024</t>
        </is>
      </c>
      <c r="D105" s="255" t="inlineStr">
        <is>
          <t>7920V/210A-B334</t>
        </is>
      </c>
      <c r="E105" s="255">
        <f>_xlfn.XLOOKUP(D105, [1]Collection!B:B, [1]Collection!C:C)</f>
        <v/>
      </c>
      <c r="F105" s="255">
        <f>_xlfn.XLOOKUP(D105, [1]Collection!B:B, [1]Collection!D:D)</f>
        <v/>
      </c>
      <c r="G105" s="255" t="inlineStr">
        <is>
          <t>Phone sales Middle East</t>
        </is>
      </c>
      <c r="H105" s="257" t="inlineStr">
        <is>
          <t>101467478</t>
        </is>
      </c>
      <c r="I105" s="257" t="n"/>
      <c r="J105" s="261" t="n"/>
      <c r="K105" s="257" t="n"/>
      <c r="L105" s="257" t="n"/>
      <c r="M105" s="257" t="n"/>
      <c r="N105" s="255" t="inlineStr">
        <is>
          <t>Prospect</t>
        </is>
      </c>
      <c r="O105" s="255" t="inlineStr">
        <is>
          <t>SHARIF Maaz</t>
        </is>
      </c>
      <c r="P105" s="262" t="inlineStr">
        <is>
          <t xml:space="preserve">The client would like to proceed with the Overseas. He mentioned that either he or a family member will be coming to the UAE, and he will confirm the details.
</t>
        </is>
      </c>
      <c r="Q105" s="259">
        <f>IF(AND(Table15[[#This Row],[Column1]]&lt;&gt;"",ISNUMBER(DATEVALUE(Table15[[#This Row],[Column1]]))),TODAY()-DATEVALUE(Table15[[#This Row],[Column1]]),"")</f>
        <v/>
      </c>
    </row>
    <row r="106" ht="109.2" customHeight="1" s="287">
      <c r="A106" s="254" t="inlineStr">
        <is>
          <t>Request</t>
        </is>
      </c>
      <c r="B106" s="255" t="inlineStr"/>
      <c r="C106" s="256" t="inlineStr">
        <is>
          <t>24/7/2024</t>
        </is>
      </c>
      <c r="D106" s="255" t="inlineStr">
        <is>
          <t>4600E/000A-B442</t>
        </is>
      </c>
      <c r="E106" s="255">
        <f>_xlfn.XLOOKUP(D106, [1]Collection!B:B, [1]Collection!C:C)</f>
        <v/>
      </c>
      <c r="F106" s="255">
        <f>_xlfn.XLOOKUP(D106, [1]Collection!B:B, [1]Collection!D:D)</f>
        <v/>
      </c>
      <c r="G106" s="255" t="inlineStr">
        <is>
          <t>Phone sales Middle East</t>
        </is>
      </c>
      <c r="H106" s="257" t="inlineStr">
        <is>
          <t>100830227</t>
        </is>
      </c>
      <c r="I106" s="257" t="n"/>
      <c r="J106" s="261" t="n"/>
      <c r="K106" s="257" t="n"/>
      <c r="L106" s="257" t="n"/>
      <c r="M106" s="257" t="n"/>
      <c r="N106" s="255" t="inlineStr">
        <is>
          <t>Prospect</t>
        </is>
      </c>
      <c r="O106" s="255" t="inlineStr">
        <is>
          <t>SHARIF Maaz</t>
        </is>
      </c>
      <c r="P106" s="262" t="inlineStr">
        <is>
          <t xml:space="preserve">The client is interested in the fiftysix 600E/000A-B442 as well  Overseas chronograph X55AC481
</t>
        </is>
      </c>
      <c r="Q106" s="259">
        <f>IF(AND(Table15[[#This Row],[Column1]]&lt;&gt;"",ISNUMBER(DATEVALUE(Table15[[#This Row],[Column1]]))),TODAY()-DATEVALUE(Table15[[#This Row],[Column1]]),"")</f>
        <v/>
      </c>
    </row>
    <row r="107" hidden="1" s="287">
      <c r="A107" s="254" t="inlineStr">
        <is>
          <t>Request</t>
        </is>
      </c>
      <c r="B107" s="255" t="inlineStr"/>
      <c r="C107" s="256" t="inlineStr">
        <is>
          <t>24/7/2024</t>
        </is>
      </c>
      <c r="D107" s="255" t="inlineStr">
        <is>
          <t>4200H/222J-B935</t>
        </is>
      </c>
      <c r="E107" s="255">
        <f>_xlfn.XLOOKUP(D107, [1]Collection!B:B, [1]Collection!C:C)</f>
        <v/>
      </c>
      <c r="F107" s="255">
        <f>_xlfn.XLOOKUP(D107, [1]Collection!B:B, [1]Collection!D:D)</f>
        <v/>
      </c>
      <c r="G107" s="255" t="inlineStr">
        <is>
          <t>Phone sales Middle East</t>
        </is>
      </c>
      <c r="H107" s="257" t="inlineStr">
        <is>
          <t>100833648</t>
        </is>
      </c>
      <c r="I107" s="257" t="n"/>
      <c r="J107" s="257" t="n"/>
      <c r="K107" s="257" t="n"/>
      <c r="L107" s="257" t="n"/>
      <c r="M107" s="257" t="n"/>
      <c r="N107" s="255" t="inlineStr">
        <is>
          <t>Prospect</t>
        </is>
      </c>
      <c r="O107" s="255" t="inlineStr">
        <is>
          <t>SHARIF Maaz</t>
        </is>
      </c>
      <c r="P107" s="258" t="inlineStr">
        <is>
          <t xml:space="preserve">The client stated that once we confirm the availability of the watch he will be traveling to UAE to purchase 
</t>
        </is>
      </c>
      <c r="Q107" s="259">
        <f>IF(AND(Table15[[#This Row],[Column1]]&lt;&gt;"",ISNUMBER(DATEVALUE(Table15[[#This Row],[Column1]]))),TODAY()-DATEVALUE(Table15[[#This Row],[Column1]]),"")</f>
        <v/>
      </c>
    </row>
    <row r="108" ht="62.4" customHeight="1" s="287">
      <c r="A108" s="254" t="inlineStr">
        <is>
          <t>Request</t>
        </is>
      </c>
      <c r="B108" s="255" t="inlineStr"/>
      <c r="C108" s="256" t="inlineStr">
        <is>
          <t>24/5/2025</t>
        </is>
      </c>
      <c r="D108" s="255" t="inlineStr">
        <is>
          <t>37640/000G-B021</t>
        </is>
      </c>
      <c r="E108" s="255">
        <f>_xlfn.XLOOKUP(D108, [1]Collection!B:B, [1]Collection!C:C)</f>
        <v/>
      </c>
      <c r="F108" s="255">
        <f>_xlfn.XLOOKUP(D108, [1]Collection!B:B, [1]Collection!D:D)</f>
        <v/>
      </c>
      <c r="G108" s="255" t="inlineStr">
        <is>
          <t>Phone sales Middle East</t>
        </is>
      </c>
      <c r="H108" s="257" t="inlineStr">
        <is>
          <t>92426913</t>
        </is>
      </c>
      <c r="I108" s="257" t="n"/>
      <c r="J108" s="261" t="n"/>
      <c r="K108" s="257" t="n"/>
      <c r="L108" s="257" t="n"/>
      <c r="M108" s="257" t="n"/>
      <c r="N108" s="255" t="inlineStr"/>
      <c r="O108" s="255" t="inlineStr">
        <is>
          <t>SHARIF Maaz</t>
        </is>
      </c>
      <c r="P108" s="262" t="inlineStr">
        <is>
          <t xml:space="preserve">The client requires delivery of the watch within one week.
</t>
        </is>
      </c>
      <c r="Q108" s="259">
        <f>IF(AND(Table15[[#This Row],[Column1]]&lt;&gt;"",ISNUMBER(DATEVALUE(Table15[[#This Row],[Column1]]))),TODAY()-DATEVALUE(Table15[[#This Row],[Column1]]),"")</f>
        <v/>
      </c>
    </row>
    <row r="109" hidden="1" s="287">
      <c r="A109" s="254" t="inlineStr">
        <is>
          <t>Request</t>
        </is>
      </c>
      <c r="B109" s="255" t="inlineStr"/>
      <c r="C109" s="256" t="inlineStr">
        <is>
          <t>24/4/2025</t>
        </is>
      </c>
      <c r="D109" s="255" t="inlineStr">
        <is>
          <t>4200H/222A-B934</t>
        </is>
      </c>
      <c r="E109" s="255">
        <f>_xlfn.XLOOKUP(D109, [1]Collection!B:B, [1]Collection!C:C)</f>
        <v/>
      </c>
      <c r="F109" s="255">
        <f>_xlfn.XLOOKUP(D109, [1]Collection!B:B, [1]Collection!D:D)</f>
        <v/>
      </c>
      <c r="G109" s="255" t="inlineStr">
        <is>
          <t>Phone sales Middle East</t>
        </is>
      </c>
      <c r="H109" s="257" t="inlineStr">
        <is>
          <t>105334014</t>
        </is>
      </c>
      <c r="I109" s="257" t="n"/>
      <c r="J109" s="257" t="n"/>
      <c r="K109" s="257" t="n"/>
      <c r="L109" s="257" t="n"/>
      <c r="M109" s="257" t="n"/>
      <c r="N109" s="255" t="inlineStr">
        <is>
          <t>Prospect</t>
        </is>
      </c>
      <c r="O109" s="255" t="inlineStr">
        <is>
          <t>SHARIF Maaz</t>
        </is>
      </c>
      <c r="P109" s="258" t="inlineStr">
        <is>
          <t xml:space="preserve">
</t>
        </is>
      </c>
      <c r="Q109" s="259">
        <f>IF(AND(Table15[[#This Row],[Column1]]&lt;&gt;"",ISNUMBER(DATEVALUE(Table15[[#This Row],[Column1]]))),TODAY()-DATEVALUE(Table15[[#This Row],[Column1]]),"")</f>
        <v/>
      </c>
    </row>
    <row r="110" hidden="1" s="287">
      <c r="A110" s="254" t="inlineStr">
        <is>
          <t>Request</t>
        </is>
      </c>
      <c r="B110" s="255" t="inlineStr"/>
      <c r="C110" s="256" t="inlineStr">
        <is>
          <t>24/4/2025</t>
        </is>
      </c>
      <c r="D110" s="255" t="inlineStr">
        <is>
          <t>4200H/222J-B935</t>
        </is>
      </c>
      <c r="E110" s="255">
        <f>_xlfn.XLOOKUP(D110, [1]Collection!B:B, [1]Collection!C:C)</f>
        <v/>
      </c>
      <c r="F110" s="255">
        <f>_xlfn.XLOOKUP(D110, [1]Collection!B:B, [1]Collection!D:D)</f>
        <v/>
      </c>
      <c r="G110" s="255" t="inlineStr">
        <is>
          <t>Phone sales Middle East</t>
        </is>
      </c>
      <c r="H110" s="257" t="inlineStr">
        <is>
          <t>105334014</t>
        </is>
      </c>
      <c r="I110" s="257" t="n"/>
      <c r="J110" s="257" t="n"/>
      <c r="K110" s="257" t="n"/>
      <c r="L110" s="257" t="n"/>
      <c r="M110" s="257" t="n"/>
      <c r="N110" s="255" t="inlineStr">
        <is>
          <t>Prospect</t>
        </is>
      </c>
      <c r="O110" s="255" t="inlineStr">
        <is>
          <t>SHARIF Maaz</t>
        </is>
      </c>
      <c r="P110" s="258" t="inlineStr">
        <is>
          <t xml:space="preserve">
</t>
        </is>
      </c>
      <c r="Q110" s="259">
        <f>IF(AND(Table15[[#This Row],[Column1]]&lt;&gt;"",ISNUMBER(DATEVALUE(Table15[[#This Row],[Column1]]))),TODAY()-DATEVALUE(Table15[[#This Row],[Column1]]),"")</f>
        <v/>
      </c>
    </row>
    <row r="111">
      <c r="A111" s="254" t="inlineStr">
        <is>
          <t>Request</t>
        </is>
      </c>
      <c r="B111" s="255" t="inlineStr"/>
      <c r="C111" s="256" t="inlineStr">
        <is>
          <t>24/1/2025</t>
        </is>
      </c>
      <c r="D111" s="255" t="inlineStr">
        <is>
          <t>7920V/210A-B334</t>
        </is>
      </c>
      <c r="E111" s="255">
        <f>_xlfn.XLOOKUP(D111, [1]Collection!B:B, [1]Collection!C:C)</f>
        <v/>
      </c>
      <c r="F111" s="255">
        <f>_xlfn.XLOOKUP(D111, [1]Collection!B:B, [1]Collection!D:D)</f>
        <v/>
      </c>
      <c r="G111" s="255" t="inlineStr">
        <is>
          <t>Phone sales Middle East</t>
        </is>
      </c>
      <c r="H111" s="257" t="inlineStr">
        <is>
          <t>103744983</t>
        </is>
      </c>
      <c r="I111" s="257" t="n"/>
      <c r="J111" s="261" t="n"/>
      <c r="K111" s="257" t="n"/>
      <c r="L111" s="257" t="n"/>
      <c r="M111" s="257" t="n"/>
      <c r="N111" s="255" t="inlineStr">
        <is>
          <t>Prospect</t>
        </is>
      </c>
      <c r="O111" s="255" t="inlineStr">
        <is>
          <t>SHARIF Maaz</t>
        </is>
      </c>
      <c r="P111" s="262" t="inlineStr"/>
      <c r="Q111" s="259">
        <f>IF(AND(Table15[[#This Row],[Column1]]&lt;&gt;"",ISNUMBER(DATEVALUE(Table15[[#This Row],[Column1]]))),TODAY()-DATEVALUE(Table15[[#This Row],[Column1]]),"")</f>
        <v/>
      </c>
    </row>
    <row r="112" ht="62.4" customHeight="1" s="287">
      <c r="A112" s="254" t="inlineStr">
        <is>
          <t>Cancelled</t>
        </is>
      </c>
      <c r="B112" s="255" t="inlineStr">
        <is>
          <t>Cancelled</t>
        </is>
      </c>
      <c r="C112" s="256" t="inlineStr">
        <is>
          <t>23/8/2024</t>
        </is>
      </c>
      <c r="D112" s="255" t="inlineStr">
        <is>
          <t>1225V/200A-B590</t>
        </is>
      </c>
      <c r="E112" s="255">
        <f>_xlfn.XLOOKUP(D112, [1]Collection!B:B, [1]Collection!C:C)</f>
        <v/>
      </c>
      <c r="F112" s="255">
        <f>_xlfn.XLOOKUP(D112, [1]Collection!B:B, [1]Collection!D:D)</f>
        <v/>
      </c>
      <c r="G112" s="255" t="inlineStr">
        <is>
          <t>Phone sales Middle East</t>
        </is>
      </c>
      <c r="H112" s="257" t="inlineStr">
        <is>
          <t>101220865</t>
        </is>
      </c>
      <c r="I112" s="257" t="n"/>
      <c r="J112" s="261" t="n"/>
      <c r="K112" s="257" t="n"/>
      <c r="L112" s="257" t="n"/>
      <c r="M112" s="257" t="n"/>
      <c r="N112" s="255" t="inlineStr">
        <is>
          <t>Prospect</t>
        </is>
      </c>
      <c r="O112" s="255" t="inlineStr">
        <is>
          <t>SHARIF Maaz</t>
        </is>
      </c>
      <c r="P112" s="262" t="inlineStr">
        <is>
          <t xml:space="preserve">The client is very interested in the OVERSEAS STEEL 
</t>
        </is>
      </c>
      <c r="Q112" s="259">
        <f>IF(AND(Table15[[#This Row],[Column1]]&lt;&gt;"",ISNUMBER(DATEVALUE(Table15[[#This Row],[Column1]]))),TODAY()-DATEVALUE(Table15[[#This Row],[Column1]]),"")</f>
        <v/>
      </c>
    </row>
    <row r="113" hidden="1" s="287">
      <c r="A113" s="254" t="inlineStr">
        <is>
          <t>Request</t>
        </is>
      </c>
      <c r="B113" s="255" t="inlineStr"/>
      <c r="C113" s="256" t="inlineStr">
        <is>
          <t>23/7/2024</t>
        </is>
      </c>
      <c r="D113" s="255" t="inlineStr">
        <is>
          <t>4520V/210A-B128</t>
        </is>
      </c>
      <c r="E113" s="255">
        <f>_xlfn.XLOOKUP(D113, [1]Collection!B:B, [1]Collection!C:C)</f>
        <v/>
      </c>
      <c r="F113" s="255">
        <f>_xlfn.XLOOKUP(D113, [1]Collection!B:B, [1]Collection!D:D)</f>
        <v/>
      </c>
      <c r="G113" s="255" t="inlineStr">
        <is>
          <t>Phone sales Middle East</t>
        </is>
      </c>
      <c r="H113" s="257" t="inlineStr">
        <is>
          <t>100793790</t>
        </is>
      </c>
      <c r="I113" s="257" t="n"/>
      <c r="J113" s="257" t="n"/>
      <c r="K113" s="257" t="n"/>
      <c r="L113" s="257" t="n"/>
      <c r="M113" s="257" t="n"/>
      <c r="N113" s="255" t="inlineStr">
        <is>
          <t>Prospect</t>
        </is>
      </c>
      <c r="O113" s="255" t="inlineStr">
        <is>
          <t>SHARIF Maaz</t>
        </is>
      </c>
      <c r="P113" s="258" t="inlineStr">
        <is>
          <t xml:space="preserve">The client is interested in the oversease self winding  living in Dubai 
</t>
        </is>
      </c>
      <c r="Q113" s="259">
        <f>IF(AND(Table15[[#This Row],[Column1]]&lt;&gt;"",ISNUMBER(DATEVALUE(Table15[[#This Row],[Column1]]))),TODAY()-DATEVALUE(Table15[[#This Row],[Column1]]),"")</f>
        <v/>
      </c>
    </row>
    <row r="114" hidden="1" s="287">
      <c r="A114" s="254" t="inlineStr">
        <is>
          <t>Request</t>
        </is>
      </c>
      <c r="B114" s="255" t="inlineStr"/>
      <c r="C114" s="256" t="inlineStr">
        <is>
          <t>23/7/2024</t>
        </is>
      </c>
      <c r="D114" s="255" t="inlineStr">
        <is>
          <t>4520V/210A-B128</t>
        </is>
      </c>
      <c r="E114" s="255">
        <f>_xlfn.XLOOKUP(D114, [1]Collection!B:B, [1]Collection!C:C)</f>
        <v/>
      </c>
      <c r="F114" s="255">
        <f>_xlfn.XLOOKUP(D114, [1]Collection!B:B, [1]Collection!D:D)</f>
        <v/>
      </c>
      <c r="G114" s="255" t="inlineStr">
        <is>
          <t>Phone sales Middle East</t>
        </is>
      </c>
      <c r="H114" s="257" t="inlineStr">
        <is>
          <t>100788006</t>
        </is>
      </c>
      <c r="I114" s="257" t="n"/>
      <c r="J114" s="257" t="n"/>
      <c r="K114" s="257" t="n"/>
      <c r="L114" s="257" t="n"/>
      <c r="M114" s="257" t="n"/>
      <c r="N114" s="255" t="inlineStr">
        <is>
          <t>Prospect</t>
        </is>
      </c>
      <c r="O114" s="255" t="inlineStr">
        <is>
          <t>SHARIF Maaz</t>
        </is>
      </c>
      <c r="P114" s="258" t="inlineStr">
        <is>
          <t xml:space="preserve">The client ins interested in 2 timepeices ( 6000V/110A-B544 \ 4520V/210A-B128)
</t>
        </is>
      </c>
      <c r="Q114" s="259">
        <f>IF(AND(Table15[[#This Row],[Column1]]&lt;&gt;"",ISNUMBER(DATEVALUE(Table15[[#This Row],[Column1]]))),TODAY()-DATEVALUE(Table15[[#This Row],[Column1]]),"")</f>
        <v/>
      </c>
    </row>
    <row r="115" ht="31.2" customHeight="1" s="287">
      <c r="A115" s="254" t="inlineStr">
        <is>
          <t>Request</t>
        </is>
      </c>
      <c r="B115" s="255" t="inlineStr"/>
      <c r="C115" s="256" t="inlineStr">
        <is>
          <t>23/6/2025</t>
        </is>
      </c>
      <c r="D115" s="255" t="inlineStr">
        <is>
          <t>4020T/000G-B655</t>
        </is>
      </c>
      <c r="E115" s="255">
        <f>_xlfn.XLOOKUP(D115, [1]Collection!B:B, [1]Collection!C:C)</f>
        <v/>
      </c>
      <c r="F115" s="255">
        <f>_xlfn.XLOOKUP(D115, [1]Collection!B:B, [1]Collection!D:D)</f>
        <v/>
      </c>
      <c r="G115" s="255" t="inlineStr">
        <is>
          <t>Phone sales Middle East</t>
        </is>
      </c>
      <c r="H115" s="257" t="inlineStr">
        <is>
          <t>106949718</t>
        </is>
      </c>
      <c r="I115" s="257" t="n"/>
      <c r="J115" s="261" t="n"/>
      <c r="K115" s="257" t="n"/>
      <c r="L115" s="257" t="n"/>
      <c r="M115" s="257" t="n"/>
      <c r="N115" s="255" t="inlineStr">
        <is>
          <t>Prospect</t>
        </is>
      </c>
      <c r="O115" s="255" t="inlineStr">
        <is>
          <t>SHARIF Maaz</t>
        </is>
      </c>
      <c r="P115" s="262" t="inlineStr">
        <is>
          <t xml:space="preserve">Omani collector 
</t>
        </is>
      </c>
      <c r="Q115" s="259">
        <f>IF(AND(Table15[[#This Row],[Column1]]&lt;&gt;"",ISNUMBER(DATEVALUE(Table15[[#This Row],[Column1]]))),TODAY()-DATEVALUE(Table15[[#This Row],[Column1]]),"")</f>
        <v/>
      </c>
    </row>
    <row r="116" hidden="1" s="287">
      <c r="A116" s="254" t="inlineStr">
        <is>
          <t>Request</t>
        </is>
      </c>
      <c r="B116" s="255" t="inlineStr"/>
      <c r="C116" s="256" t="inlineStr">
        <is>
          <t>23/5/2025</t>
        </is>
      </c>
      <c r="D116" s="255" t="inlineStr">
        <is>
          <t>4200H/222A-B934</t>
        </is>
      </c>
      <c r="E116" s="255">
        <f>_xlfn.XLOOKUP(D116, [1]Collection!B:B, [1]Collection!C:C)</f>
        <v/>
      </c>
      <c r="F116" s="255">
        <f>_xlfn.XLOOKUP(D116, [1]Collection!B:B, [1]Collection!D:D)</f>
        <v/>
      </c>
      <c r="G116" s="255" t="inlineStr">
        <is>
          <t>Phone sales Middle East</t>
        </is>
      </c>
      <c r="H116" s="257" t="inlineStr">
        <is>
          <t>106145560</t>
        </is>
      </c>
      <c r="I116" s="257" t="n"/>
      <c r="J116" s="257" t="n"/>
      <c r="K116" s="257" t="n"/>
      <c r="L116" s="257" t="n"/>
      <c r="M116" s="257" t="n"/>
      <c r="N116" s="255" t="inlineStr">
        <is>
          <t>Prospect</t>
        </is>
      </c>
      <c r="O116" s="255" t="inlineStr">
        <is>
          <t>SHARIF Maaz</t>
        </is>
      </c>
      <c r="P116" s="258" t="inlineStr">
        <is>
          <t xml:space="preserve">
</t>
        </is>
      </c>
      <c r="Q116" s="259">
        <f>IF(AND(Table15[[#This Row],[Column1]]&lt;&gt;"",ISNUMBER(DATEVALUE(Table15[[#This Row],[Column1]]))),TODAY()-DATEVALUE(Table15[[#This Row],[Column1]]),"")</f>
        <v/>
      </c>
    </row>
    <row r="117" hidden="1" s="287">
      <c r="A117" s="254" t="inlineStr">
        <is>
          <t>Request</t>
        </is>
      </c>
      <c r="B117" s="255" t="inlineStr"/>
      <c r="C117" s="256" t="inlineStr">
        <is>
          <t>23/5/2025</t>
        </is>
      </c>
      <c r="D117" s="255" t="inlineStr">
        <is>
          <t>4520V/210A-B128</t>
        </is>
      </c>
      <c r="E117" s="255">
        <f>_xlfn.XLOOKUP(D117, [1]Collection!B:B, [1]Collection!C:C)</f>
        <v/>
      </c>
      <c r="F117" s="255">
        <f>_xlfn.XLOOKUP(D117, [1]Collection!B:B, [1]Collection!D:D)</f>
        <v/>
      </c>
      <c r="G117" s="255" t="inlineStr">
        <is>
          <t>Phone sales Middle East</t>
        </is>
      </c>
      <c r="H117" s="257" t="inlineStr">
        <is>
          <t>106153944</t>
        </is>
      </c>
      <c r="I117" s="257" t="n"/>
      <c r="J117" s="257" t="n"/>
      <c r="K117" s="257" t="n"/>
      <c r="L117" s="257" t="n"/>
      <c r="M117" s="257" t="n"/>
      <c r="N117" s="255" t="inlineStr">
        <is>
          <t>Prospect</t>
        </is>
      </c>
      <c r="O117" s="255" t="inlineStr">
        <is>
          <t>SHARIF Maaz</t>
        </is>
      </c>
      <c r="P117" s="258" t="inlineStr">
        <is>
          <t xml:space="preserve">
</t>
        </is>
      </c>
      <c r="Q117" s="259">
        <f>IF(AND(Table15[[#This Row],[Column1]]&lt;&gt;"",ISNUMBER(DATEVALUE(Table15[[#This Row],[Column1]]))),TODAY()-DATEVALUE(Table15[[#This Row],[Column1]]),"")</f>
        <v/>
      </c>
    </row>
    <row r="118" hidden="1" s="287">
      <c r="A118" s="254" t="inlineStr">
        <is>
          <t>Request</t>
        </is>
      </c>
      <c r="B118" s="255" t="inlineStr"/>
      <c r="C118" s="256" t="inlineStr">
        <is>
          <t>22/8/2025</t>
        </is>
      </c>
      <c r="D118" s="255" t="inlineStr">
        <is>
          <t>4200H/222A-B934</t>
        </is>
      </c>
      <c r="E118" s="255">
        <f>_xlfn.XLOOKUP(D118, [1]Collection!B:B, [1]Collection!C:C)</f>
        <v/>
      </c>
      <c r="F118" s="255">
        <f>_xlfn.XLOOKUP(D118, [1]Collection!B:B, [1]Collection!D:D)</f>
        <v/>
      </c>
      <c r="G118" s="255" t="inlineStr">
        <is>
          <t>Phone sales Middle East</t>
        </is>
      </c>
      <c r="H118" s="257" t="inlineStr">
        <is>
          <t>108913736</t>
        </is>
      </c>
      <c r="I118" s="257" t="n"/>
      <c r="J118" s="257" t="n"/>
      <c r="K118" s="257" t="n"/>
      <c r="L118" s="257" t="n"/>
      <c r="M118" s="257" t="n"/>
      <c r="N118" s="255" t="inlineStr">
        <is>
          <t>Prospect</t>
        </is>
      </c>
      <c r="O118" s="255" t="inlineStr">
        <is>
          <t>SHARIF Maaz</t>
        </is>
      </c>
      <c r="P118" s="258" t="inlineStr">
        <is>
          <t xml:space="preserve">
</t>
        </is>
      </c>
      <c r="Q118" s="259">
        <f>IF(AND(Table15[[#This Row],[Column1]]&lt;&gt;"",ISNUMBER(DATEVALUE(Table15[[#This Row],[Column1]]))),TODAY()-DATEVALUE(Table15[[#This Row],[Column1]]),"")</f>
        <v/>
      </c>
    </row>
    <row r="119" hidden="1" s="287">
      <c r="A119" s="254" t="inlineStr">
        <is>
          <t>Request</t>
        </is>
      </c>
      <c r="B119" s="255" t="inlineStr"/>
      <c r="C119" s="256" t="inlineStr">
        <is>
          <t>22/8/2025</t>
        </is>
      </c>
      <c r="D119" s="255" t="inlineStr">
        <is>
          <t>4200H/222J-B935</t>
        </is>
      </c>
      <c r="E119" s="255">
        <f>_xlfn.XLOOKUP(D119, [1]Collection!B:B, [1]Collection!C:C)</f>
        <v/>
      </c>
      <c r="F119" s="255">
        <f>_xlfn.XLOOKUP(D119, [1]Collection!B:B, [1]Collection!D:D)</f>
        <v/>
      </c>
      <c r="G119" s="255" t="inlineStr">
        <is>
          <t>Phone sales Middle East</t>
        </is>
      </c>
      <c r="H119" s="257" t="inlineStr">
        <is>
          <t>108913736</t>
        </is>
      </c>
      <c r="I119" s="257" t="n"/>
      <c r="J119" s="257" t="n"/>
      <c r="K119" s="257" t="n"/>
      <c r="L119" s="257" t="n"/>
      <c r="M119" s="257" t="n"/>
      <c r="N119" s="255" t="inlineStr">
        <is>
          <t>Prospect</t>
        </is>
      </c>
      <c r="O119" s="255" t="inlineStr">
        <is>
          <t>SHARIF Maaz</t>
        </is>
      </c>
      <c r="P119" s="258" t="inlineStr">
        <is>
          <t xml:space="preserve">The client is interested 
</t>
        </is>
      </c>
      <c r="Q119" s="259">
        <f>IF(AND(Table15[[#This Row],[Column1]]&lt;&gt;"",ISNUMBER(DATEVALUE(Table15[[#This Row],[Column1]]))),TODAY()-DATEVALUE(Table15[[#This Row],[Column1]]),"")</f>
        <v/>
      </c>
    </row>
    <row r="120" hidden="1" s="287">
      <c r="A120" s="254" t="inlineStr">
        <is>
          <t>Request</t>
        </is>
      </c>
      <c r="B120" s="255" t="inlineStr"/>
      <c r="C120" s="256" t="inlineStr">
        <is>
          <t>22/8/2024</t>
        </is>
      </c>
      <c r="D120" s="255" t="inlineStr">
        <is>
          <t>4520V/210A-B128</t>
        </is>
      </c>
      <c r="E120" s="255">
        <f>_xlfn.XLOOKUP(D120, [1]Collection!B:B, [1]Collection!C:C)</f>
        <v/>
      </c>
      <c r="F120" s="255">
        <f>_xlfn.XLOOKUP(D120, [1]Collection!B:B, [1]Collection!D:D)</f>
        <v/>
      </c>
      <c r="G120" s="255" t="inlineStr">
        <is>
          <t>Phone sales Middle East</t>
        </is>
      </c>
      <c r="H120" s="257" t="inlineStr">
        <is>
          <t>101145972</t>
        </is>
      </c>
      <c r="I120" s="257" t="n"/>
      <c r="J120" s="257" t="n"/>
      <c r="K120" s="257" t="n"/>
      <c r="L120" s="257" t="n"/>
      <c r="M120" s="257" t="n"/>
      <c r="N120" s="255" t="inlineStr">
        <is>
          <t>Prospect</t>
        </is>
      </c>
      <c r="O120" s="255" t="inlineStr">
        <is>
          <t>SHARIF Maaz</t>
        </is>
      </c>
      <c r="P120" s="258" t="inlineStr">
        <is>
          <t xml:space="preserve">The client is very interested in the overseas self winding and will love to purchase it upon availability 
</t>
        </is>
      </c>
      <c r="Q120" s="259">
        <f>IF(AND(Table15[[#This Row],[Column1]]&lt;&gt;"",ISNUMBER(DATEVALUE(Table15[[#This Row],[Column1]]))),TODAY()-DATEVALUE(Table15[[#This Row],[Column1]]),"")</f>
        <v/>
      </c>
    </row>
    <row r="121" hidden="1" s="287">
      <c r="A121" s="254" t="inlineStr">
        <is>
          <t>Request</t>
        </is>
      </c>
      <c r="B121" s="255" t="inlineStr"/>
      <c r="C121" s="256" t="inlineStr">
        <is>
          <t>22/1/2025</t>
        </is>
      </c>
      <c r="D121" s="255" t="inlineStr">
        <is>
          <t>4200H/222J-B935</t>
        </is>
      </c>
      <c r="E121" s="255">
        <f>_xlfn.XLOOKUP(D121, [1]Collection!B:B, [1]Collection!C:C)</f>
        <v/>
      </c>
      <c r="F121" s="255">
        <f>_xlfn.XLOOKUP(D121, [1]Collection!B:B, [1]Collection!D:D)</f>
        <v/>
      </c>
      <c r="G121" s="255" t="inlineStr">
        <is>
          <t>Phone sales Middle East</t>
        </is>
      </c>
      <c r="H121" s="257" t="inlineStr">
        <is>
          <t>103729472</t>
        </is>
      </c>
      <c r="I121" s="257" t="n"/>
      <c r="J121" s="257" t="n"/>
      <c r="K121" s="257" t="n"/>
      <c r="L121" s="257" t="n"/>
      <c r="M121" s="257" t="n"/>
      <c r="N121" s="255" t="inlineStr">
        <is>
          <t>Prospect</t>
        </is>
      </c>
      <c r="O121" s="255" t="inlineStr">
        <is>
          <t>SHARIF Maaz</t>
        </is>
      </c>
      <c r="P121" s="258" t="inlineStr">
        <is>
          <t xml:space="preserve">The client was referred by my client and he's interested in the Gold 222
</t>
        </is>
      </c>
      <c r="Q121" s="259">
        <f>IF(AND(Table15[[#This Row],[Column1]]&lt;&gt;"",ISNUMBER(DATEVALUE(Table15[[#This Row],[Column1]]))),TODAY()-DATEVALUE(Table15[[#This Row],[Column1]]),"")</f>
        <v/>
      </c>
    </row>
    <row r="122" hidden="1" s="287">
      <c r="A122" s="254" t="inlineStr">
        <is>
          <t>Request</t>
        </is>
      </c>
      <c r="B122" s="255" t="inlineStr"/>
      <c r="C122" s="256" t="inlineStr">
        <is>
          <t>21/8/2025</t>
        </is>
      </c>
      <c r="D122" s="255" t="inlineStr">
        <is>
          <t>4200H/222A-B934</t>
        </is>
      </c>
      <c r="E122" s="255">
        <f>_xlfn.XLOOKUP(D122, [1]Collection!B:B, [1]Collection!C:C)</f>
        <v/>
      </c>
      <c r="F122" s="255">
        <f>_xlfn.XLOOKUP(D122, [1]Collection!B:B, [1]Collection!D:D)</f>
        <v/>
      </c>
      <c r="G122" s="255" t="inlineStr">
        <is>
          <t>Phone sales Middle East</t>
        </is>
      </c>
      <c r="H122" s="257" t="inlineStr">
        <is>
          <t>108884278</t>
        </is>
      </c>
      <c r="I122" s="257" t="n"/>
      <c r="J122" s="257" t="n"/>
      <c r="K122" s="257" t="n"/>
      <c r="L122" s="257" t="n"/>
      <c r="M122" s="257" t="n"/>
      <c r="N122" s="255" t="inlineStr">
        <is>
          <t>Prospect</t>
        </is>
      </c>
      <c r="O122" s="255" t="inlineStr">
        <is>
          <t>SHARIF Maaz</t>
        </is>
      </c>
      <c r="P122" s="258" t="inlineStr">
        <is>
          <t xml:space="preserve">The client is extremely interested 
</t>
        </is>
      </c>
      <c r="Q122" s="259">
        <f>IF(AND(Table15[[#This Row],[Column1]]&lt;&gt;"",ISNUMBER(DATEVALUE(Table15[[#This Row],[Column1]]))),TODAY()-DATEVALUE(Table15[[#This Row],[Column1]]),"")</f>
        <v/>
      </c>
    </row>
    <row r="123" ht="62.4" customHeight="1" s="287">
      <c r="A123" s="254" t="inlineStr">
        <is>
          <t>Request</t>
        </is>
      </c>
      <c r="B123" s="255" t="inlineStr"/>
      <c r="C123" s="256" t="inlineStr">
        <is>
          <t>21/8/2025</t>
        </is>
      </c>
      <c r="D123" s="255" t="inlineStr">
        <is>
          <t>4605V/200A-B971</t>
        </is>
      </c>
      <c r="E123" s="255">
        <f>_xlfn.XLOOKUP(D123, [1]Collection!B:B, [1]Collection!C:C)</f>
        <v/>
      </c>
      <c r="F123" s="255">
        <f>_xlfn.XLOOKUP(D123, [1]Collection!B:B, [1]Collection!D:D)</f>
        <v/>
      </c>
      <c r="G123" s="255" t="inlineStr">
        <is>
          <t>Phone sales Middle East</t>
        </is>
      </c>
      <c r="H123" s="257" t="inlineStr">
        <is>
          <t>108912954</t>
        </is>
      </c>
      <c r="I123" s="257" t="n"/>
      <c r="J123" s="261" t="n"/>
      <c r="K123" s="257" t="n"/>
      <c r="L123" s="257" t="n"/>
      <c r="M123" s="257" t="n"/>
      <c r="N123" s="255" t="inlineStr">
        <is>
          <t>Prospect</t>
        </is>
      </c>
      <c r="O123" s="255" t="inlineStr">
        <is>
          <t>SHARIF Maaz</t>
        </is>
      </c>
      <c r="P123" s="262" t="inlineStr">
        <is>
          <t xml:space="preserve">The client will be coming on the 2nd of October to purchase 
</t>
        </is>
      </c>
      <c r="Q123" s="259">
        <f>IF(AND(Table15[[#This Row],[Column1]]&lt;&gt;"",ISNUMBER(DATEVALUE(Table15[[#This Row],[Column1]]))),TODAY()-DATEVALUE(Table15[[#This Row],[Column1]]),"")</f>
        <v/>
      </c>
    </row>
    <row r="124" ht="78" customHeight="1" s="287">
      <c r="A124" s="254" t="inlineStr">
        <is>
          <t>Request</t>
        </is>
      </c>
      <c r="B124" s="255" t="inlineStr"/>
      <c r="C124" s="256" t="inlineStr">
        <is>
          <t>21/5/2025</t>
        </is>
      </c>
      <c r="D124" s="255" t="inlineStr">
        <is>
          <t>4000E/000A-B548</t>
        </is>
      </c>
      <c r="E124" s="255">
        <f>_xlfn.XLOOKUP(D124, [1]Collection!B:B, [1]Collection!C:C)</f>
        <v/>
      </c>
      <c r="F124" s="255">
        <f>_xlfn.XLOOKUP(D124, [1]Collection!B:B, [1]Collection!D:D)</f>
        <v/>
      </c>
      <c r="G124" s="255" t="inlineStr">
        <is>
          <t>Phone sales Middle East</t>
        </is>
      </c>
      <c r="H124" s="257" t="inlineStr">
        <is>
          <t>106138266</t>
        </is>
      </c>
      <c r="I124" s="257" t="n"/>
      <c r="J124" s="261" t="n"/>
      <c r="K124" s="257" t="n"/>
      <c r="L124" s="257" t="n"/>
      <c r="M124" s="257" t="n"/>
      <c r="N124" s="255" t="inlineStr">
        <is>
          <t>Prospect</t>
        </is>
      </c>
      <c r="O124" s="255" t="inlineStr">
        <is>
          <t>SHARIF Maaz</t>
        </is>
      </c>
      <c r="P124" s="262" t="inlineStr">
        <is>
          <t xml:space="preserve">The client is interested  in the Fiftysix complete calendar
 40 mm
</t>
        </is>
      </c>
      <c r="Q124" s="259">
        <f>IF(AND(Table15[[#This Row],[Column1]]&lt;&gt;"",ISNUMBER(DATEVALUE(Table15[[#This Row],[Column1]]))),TODAY()-DATEVALUE(Table15[[#This Row],[Column1]]),"")</f>
        <v/>
      </c>
    </row>
    <row r="125" ht="46.8" customHeight="1" s="287">
      <c r="A125" s="254" t="inlineStr">
        <is>
          <t>Request</t>
        </is>
      </c>
      <c r="B125" s="255" t="inlineStr"/>
      <c r="C125" s="256" t="inlineStr">
        <is>
          <t>21/5/2025</t>
        </is>
      </c>
      <c r="D125" s="255" t="inlineStr">
        <is>
          <t>82035/000P-H063</t>
        </is>
      </c>
      <c r="E125" s="255">
        <f>_xlfn.XLOOKUP(D125, [1]Collection!B:B, [1]Collection!C:C)</f>
        <v/>
      </c>
      <c r="F125" s="255">
        <f>_xlfn.XLOOKUP(D125, [1]Collection!B:B, [1]Collection!D:D)</f>
        <v/>
      </c>
      <c r="G125" s="255" t="inlineStr">
        <is>
          <t>Phone sales Middle East</t>
        </is>
      </c>
      <c r="H125" s="257" t="inlineStr">
        <is>
          <t>109215834</t>
        </is>
      </c>
      <c r="I125" s="257" t="n"/>
      <c r="J125" s="261" t="n"/>
      <c r="K125" s="257" t="n"/>
      <c r="L125" s="257" t="n"/>
      <c r="M125" s="257" t="n"/>
      <c r="N125" s="255" t="inlineStr">
        <is>
          <t>Prospect</t>
        </is>
      </c>
      <c r="O125" s="255" t="inlineStr">
        <is>
          <t>SHARIF Maaz</t>
        </is>
      </c>
      <c r="P125" s="262" t="inlineStr">
        <is>
          <t xml:space="preserve">the client is a collector or arabic numerals
</t>
        </is>
      </c>
      <c r="Q125" s="259">
        <f>IF(AND(Table15[[#This Row],[Column1]]&lt;&gt;"",ISNUMBER(DATEVALUE(Table15[[#This Row],[Column1]]))),TODAY()-DATEVALUE(Table15[[#This Row],[Column1]]),"")</f>
        <v/>
      </c>
    </row>
    <row r="126" ht="46.8" customHeight="1" s="287">
      <c r="A126" s="254" t="inlineStr">
        <is>
          <t>Request</t>
        </is>
      </c>
      <c r="B126" s="255" t="inlineStr"/>
      <c r="C126" s="256" t="inlineStr">
        <is>
          <t>21/12/2024</t>
        </is>
      </c>
      <c r="D126" s="255" t="inlineStr">
        <is>
          <t>7920V/210A-B334</t>
        </is>
      </c>
      <c r="E126" s="255">
        <f>_xlfn.XLOOKUP(D126, [1]Collection!B:B, [1]Collection!C:C)</f>
        <v/>
      </c>
      <c r="F126" s="255">
        <f>_xlfn.XLOOKUP(D126, [1]Collection!B:B, [1]Collection!D:D)</f>
        <v/>
      </c>
      <c r="G126" s="255" t="inlineStr">
        <is>
          <t>Phone sales Middle East</t>
        </is>
      </c>
      <c r="H126" s="257" t="inlineStr">
        <is>
          <t>102928395</t>
        </is>
      </c>
      <c r="I126" s="257" t="n"/>
      <c r="J126" s="261" t="n"/>
      <c r="K126" s="257" t="n"/>
      <c r="L126" s="257" t="n"/>
      <c r="M126" s="257" t="n"/>
      <c r="N126" s="255" t="inlineStr">
        <is>
          <t>Prospect</t>
        </is>
      </c>
      <c r="O126" s="255" t="inlineStr">
        <is>
          <t>SHARIF Maaz</t>
        </is>
      </c>
      <c r="P126" s="262" t="inlineStr">
        <is>
          <t xml:space="preserve">The client is watch collecter 
</t>
        </is>
      </c>
      <c r="Q126" s="259">
        <f>IF(AND(Table15[[#This Row],[Column1]]&lt;&gt;"",ISNUMBER(DATEVALUE(Table15[[#This Row],[Column1]]))),TODAY()-DATEVALUE(Table15[[#This Row],[Column1]]),"")</f>
        <v/>
      </c>
    </row>
    <row r="127" hidden="1" s="287">
      <c r="A127" s="254" t="inlineStr">
        <is>
          <t>Request</t>
        </is>
      </c>
      <c r="B127" s="255" t="inlineStr"/>
      <c r="C127" s="256" t="inlineStr">
        <is>
          <t>21/11/2023</t>
        </is>
      </c>
      <c r="D127" s="255" t="inlineStr">
        <is>
          <t>4520V/210A-B128</t>
        </is>
      </c>
      <c r="E127" s="255">
        <f>_xlfn.XLOOKUP(D127, [1]Collection!B:B, [1]Collection!C:C)</f>
        <v/>
      </c>
      <c r="F127" s="255">
        <f>_xlfn.XLOOKUP(D127, [1]Collection!B:B, [1]Collection!D:D)</f>
        <v/>
      </c>
      <c r="G127" s="255" t="inlineStr">
        <is>
          <t>Phone sales Middle East</t>
        </is>
      </c>
      <c r="H127" s="257" t="inlineStr">
        <is>
          <t>93573185</t>
        </is>
      </c>
      <c r="I127" s="257" t="n"/>
      <c r="J127" s="257" t="n"/>
      <c r="K127" s="257" t="n"/>
      <c r="L127" s="257" t="n"/>
      <c r="M127" s="257" t="n"/>
      <c r="N127" s="255" t="inlineStr">
        <is>
          <t>Prospect</t>
        </is>
      </c>
      <c r="O127" s="255" t="inlineStr">
        <is>
          <t>SHARIF Maaz</t>
        </is>
      </c>
      <c r="P127" s="258" t="inlineStr"/>
      <c r="Q127" s="259">
        <f>IF(AND(Table15[[#This Row],[Column1]]&lt;&gt;"",ISNUMBER(DATEVALUE(Table15[[#This Row],[Column1]]))),TODAY()-DATEVALUE(Table15[[#This Row],[Column1]]),"")</f>
        <v/>
      </c>
    </row>
    <row r="128" ht="78" customHeight="1" s="287">
      <c r="A128" s="254" t="inlineStr">
        <is>
          <t>Request</t>
        </is>
      </c>
      <c r="B128" s="255" t="inlineStr"/>
      <c r="C128" s="256" t="inlineStr">
        <is>
          <t>21/1/2025</t>
        </is>
      </c>
      <c r="D128" s="255" t="inlineStr">
        <is>
          <t>82035/000P-H063</t>
        </is>
      </c>
      <c r="E128" s="255">
        <f>_xlfn.XLOOKUP(D128, [1]Collection!B:B, [1]Collection!C:C)</f>
        <v/>
      </c>
      <c r="F128" s="255">
        <f>_xlfn.XLOOKUP(D128, [1]Collection!B:B, [1]Collection!D:D)</f>
        <v/>
      </c>
      <c r="G128" s="255" t="inlineStr">
        <is>
          <t>Phone sales Middle East</t>
        </is>
      </c>
      <c r="H128" s="257" t="inlineStr">
        <is>
          <t>103531883</t>
        </is>
      </c>
      <c r="I128" s="257" t="n"/>
      <c r="J128" s="261" t="n"/>
      <c r="K128" s="257" t="n"/>
      <c r="L128" s="257" t="n"/>
      <c r="M128" s="257" t="n"/>
      <c r="N128" s="255" t="inlineStr">
        <is>
          <t>Client</t>
        </is>
      </c>
      <c r="O128" s="255" t="inlineStr">
        <is>
          <t>SHARIF Maaz</t>
        </is>
      </c>
      <c r="P128" s="262" t="inlineStr">
        <is>
          <t xml:space="preserve">the client is intrested in this timepeice and aiming as well for the 222
</t>
        </is>
      </c>
      <c r="Q128" s="259">
        <f>IF(AND(Table15[[#This Row],[Column1]]&lt;&gt;"",ISNUMBER(DATEVALUE(Table15[[#This Row],[Column1]]))),TODAY()-DATEVALUE(Table15[[#This Row],[Column1]]),"")</f>
        <v/>
      </c>
    </row>
    <row r="129" ht="202.8" customHeight="1" s="287">
      <c r="A129" s="254" t="inlineStr">
        <is>
          <t>Cancelled</t>
        </is>
      </c>
      <c r="B129" s="255" t="inlineStr">
        <is>
          <t>Cancelled</t>
        </is>
      </c>
      <c r="C129" s="256" t="inlineStr">
        <is>
          <t>20/7/2024</t>
        </is>
      </c>
      <c r="D129" s="255" t="inlineStr">
        <is>
          <t>6000V/110A-B544</t>
        </is>
      </c>
      <c r="E129" s="255">
        <f>_xlfn.XLOOKUP(D129, [1]Collection!B:B, [1]Collection!C:C)</f>
        <v/>
      </c>
      <c r="F129" s="255">
        <f>_xlfn.XLOOKUP(D129, [1]Collection!B:B, [1]Collection!D:D)</f>
        <v/>
      </c>
      <c r="G129" s="255" t="inlineStr">
        <is>
          <t>Phone sales Middle East</t>
        </is>
      </c>
      <c r="H129" s="257" t="inlineStr">
        <is>
          <t>100788004</t>
        </is>
      </c>
      <c r="I129" s="257" t="n"/>
      <c r="J129" s="261" t="n"/>
      <c r="K129" s="257" t="n"/>
      <c r="L129" s="257" t="n"/>
      <c r="M129" s="257" t="n"/>
      <c r="N129" s="255" t="inlineStr">
        <is>
          <t>Prospect</t>
        </is>
      </c>
      <c r="O129" s="255" t="inlineStr">
        <is>
          <t>SHARIF Maaz</t>
        </is>
      </c>
      <c r="P129" s="262" t="inlineStr">
        <is>
          <t xml:space="preserve">The client would like to purchase one of the 2 overseas , either [Overseas tourbillon](https://richemont.lightning.force.com/lightning/r/01t1i000003IYweAAG/view) or the Overseas self-winding 
</t>
        </is>
      </c>
      <c r="Q129" s="259">
        <f>IF(AND(Table15[[#This Row],[Column1]]&lt;&gt;"",ISNUMBER(DATEVALUE(Table15[[#This Row],[Column1]]))),TODAY()-DATEVALUE(Table15[[#This Row],[Column1]]),"")</f>
        <v/>
      </c>
    </row>
    <row r="130" hidden="1" s="287">
      <c r="A130" s="254" t="inlineStr">
        <is>
          <t>Request</t>
        </is>
      </c>
      <c r="B130" s="255" t="inlineStr"/>
      <c r="C130" s="256" t="inlineStr">
        <is>
          <t>20/2/2025</t>
        </is>
      </c>
      <c r="D130" s="255" t="inlineStr">
        <is>
          <t>4200H/222A-B934</t>
        </is>
      </c>
      <c r="E130" s="255">
        <f>_xlfn.XLOOKUP(D130, [1]Collection!B:B, [1]Collection!C:C)</f>
        <v/>
      </c>
      <c r="F130" s="255">
        <f>_xlfn.XLOOKUP(D130, [1]Collection!B:B, [1]Collection!D:D)</f>
        <v/>
      </c>
      <c r="G130" s="255" t="inlineStr">
        <is>
          <t>Phone sales Middle East</t>
        </is>
      </c>
      <c r="H130" s="257" t="inlineStr">
        <is>
          <t>103831073</t>
        </is>
      </c>
      <c r="I130" s="257" t="n"/>
      <c r="J130" s="257" t="n"/>
      <c r="K130" s="257" t="n"/>
      <c r="L130" s="257" t="n"/>
      <c r="M130" s="257" t="n"/>
      <c r="N130" s="255" t="inlineStr">
        <is>
          <t>Prospect</t>
        </is>
      </c>
      <c r="O130" s="255" t="inlineStr">
        <is>
          <t>SHARIF Maaz</t>
        </is>
      </c>
      <c r="P130" s="258" t="inlineStr">
        <is>
          <t xml:space="preserve">interested in the 222
</t>
        </is>
      </c>
      <c r="Q130" s="259">
        <f>IF(AND(Table15[[#This Row],[Column1]]&lt;&gt;"",ISNUMBER(DATEVALUE(Table15[[#This Row],[Column1]]))),TODAY()-DATEVALUE(Table15[[#This Row],[Column1]]),"")</f>
        <v/>
      </c>
    </row>
    <row r="131" ht="109.2" customHeight="1" s="287">
      <c r="A131" s="254" t="inlineStr">
        <is>
          <t>Request</t>
        </is>
      </c>
      <c r="B131" s="255" t="inlineStr"/>
      <c r="C131" s="256" t="inlineStr">
        <is>
          <t>20/11/2024</t>
        </is>
      </c>
      <c r="D131" s="255" t="inlineStr">
        <is>
          <t>1225V/200A-B590</t>
        </is>
      </c>
      <c r="E131" s="255">
        <f>_xlfn.XLOOKUP(D131, [1]Collection!B:B, [1]Collection!C:C)</f>
        <v/>
      </c>
      <c r="F131" s="255">
        <f>_xlfn.XLOOKUP(D131, [1]Collection!B:B, [1]Collection!D:D)</f>
        <v/>
      </c>
      <c r="G131" s="255" t="inlineStr">
        <is>
          <t>Phone sales Middle East</t>
        </is>
      </c>
      <c r="H131" s="257" t="inlineStr">
        <is>
          <t>102502922</t>
        </is>
      </c>
      <c r="I131" s="257" t="n"/>
      <c r="J131" s="261" t="n"/>
      <c r="K131" s="257" t="n"/>
      <c r="L131" s="257" t="n"/>
      <c r="M131" s="257" t="n"/>
      <c r="N131" s="255" t="inlineStr">
        <is>
          <t>Prospect</t>
        </is>
      </c>
      <c r="O131" s="255" t="inlineStr">
        <is>
          <t>SHARIF Maaz</t>
        </is>
      </c>
      <c r="P131" s="262" t="inlineStr">
        <is>
          <t xml:space="preserve">the client would like to purchases the Overseasquartz
1225V/200A-B590 33 mm Steel 
</t>
        </is>
      </c>
      <c r="Q131" s="259">
        <f>IF(AND(Table15[[#This Row],[Column1]]&lt;&gt;"",ISNUMBER(DATEVALUE(Table15[[#This Row],[Column1]]))),TODAY()-DATEVALUE(Table15[[#This Row],[Column1]]),"")</f>
        <v/>
      </c>
    </row>
    <row r="132" ht="109.2" customHeight="1" s="287">
      <c r="A132" s="254" t="inlineStr">
        <is>
          <t>Request</t>
        </is>
      </c>
      <c r="B132" s="255" t="inlineStr">
        <is>
          <t>Confirmed</t>
        </is>
      </c>
      <c r="C132" s="256" t="inlineStr">
        <is>
          <t>20/11/2024</t>
        </is>
      </c>
      <c r="D132" s="255" t="inlineStr">
        <is>
          <t>7920V/210A-B334</t>
        </is>
      </c>
      <c r="E132" s="255">
        <f>_xlfn.XLOOKUP(D132, [1]Collection!B:B, [1]Collection!C:C)</f>
        <v/>
      </c>
      <c r="F132" s="255">
        <f>_xlfn.XLOOKUP(D132, [1]Collection!B:B, [1]Collection!D:D)</f>
        <v/>
      </c>
      <c r="G132" s="255" t="inlineStr">
        <is>
          <t>Phone sales Middle East</t>
        </is>
      </c>
      <c r="H132" s="257" t="inlineStr">
        <is>
          <t>101472623</t>
        </is>
      </c>
      <c r="I132" s="257" t="n"/>
      <c r="J132" s="261" t="n"/>
      <c r="K132" s="257" t="n"/>
      <c r="L132" s="257" t="n"/>
      <c r="M132" s="257" t="n"/>
      <c r="N132" s="255" t="inlineStr">
        <is>
          <t>Prospect</t>
        </is>
      </c>
      <c r="O132" s="255" t="inlineStr">
        <is>
          <t>SHARIF Maaz</t>
        </is>
      </c>
      <c r="P132" s="262" t="inlineStr">
        <is>
          <t xml:space="preserve">**Overseas Dual Time**: Mr. Nassef has expressed a preference for this model due to its suitability to his wrist size (41 mm).
</t>
        </is>
      </c>
      <c r="Q132" s="259">
        <f>IF(AND(Table15[[#This Row],[Column1]]&lt;&gt;"",ISNUMBER(DATEVALUE(Table15[[#This Row],[Column1]]))),TODAY()-DATEVALUE(Table15[[#This Row],[Column1]]),"")</f>
        <v/>
      </c>
    </row>
    <row r="133" ht="109.2" customHeight="1" s="287">
      <c r="A133" s="254" t="inlineStr">
        <is>
          <t>Request</t>
        </is>
      </c>
      <c r="B133" s="255" t="inlineStr">
        <is>
          <t>Postponed</t>
        </is>
      </c>
      <c r="C133" s="256" t="inlineStr">
        <is>
          <t>20/11/2024</t>
        </is>
      </c>
      <c r="D133" s="255" t="inlineStr">
        <is>
          <t>7920V/210A-B334</t>
        </is>
      </c>
      <c r="E133" s="255">
        <f>_xlfn.XLOOKUP(D133, [1]Collection!B:B, [1]Collection!C:C)</f>
        <v/>
      </c>
      <c r="F133" s="255">
        <f>_xlfn.XLOOKUP(D133, [1]Collection!B:B, [1]Collection!D:D)</f>
        <v/>
      </c>
      <c r="G133" s="255" t="inlineStr">
        <is>
          <t>Phone sales Middle East</t>
        </is>
      </c>
      <c r="H133" s="257" t="inlineStr">
        <is>
          <t>102505094</t>
        </is>
      </c>
      <c r="I133" s="257" t="n"/>
      <c r="J133" s="261" t="n"/>
      <c r="K133" s="257" t="n"/>
      <c r="L133" s="257" t="n"/>
      <c r="M133" s="257" t="n"/>
      <c r="N133" s="255" t="inlineStr">
        <is>
          <t>Prospect</t>
        </is>
      </c>
      <c r="O133" s="255" t="inlineStr">
        <is>
          <t>SHARIF Maaz</t>
        </is>
      </c>
      <c r="P133" s="262" t="inlineStr">
        <is>
          <t xml:space="preserve">The client wants to own his first VC and add it to his collection which inclouds , Rolexes, AP’s and Pateks’
</t>
        </is>
      </c>
      <c r="Q133" s="259">
        <f>IF(AND(Table15[[#This Row],[Column1]]&lt;&gt;"",ISNUMBER(DATEVALUE(Table15[[#This Row],[Column1]]))),TODAY()-DATEVALUE(Table15[[#This Row],[Column1]]),"")</f>
        <v/>
      </c>
    </row>
    <row r="134" ht="109.2" customHeight="1" s="287">
      <c r="A134" s="254" t="inlineStr">
        <is>
          <t>Request</t>
        </is>
      </c>
      <c r="B134" s="255" t="inlineStr">
        <is>
          <t>Confirmed</t>
        </is>
      </c>
      <c r="C134" s="256" t="inlineStr">
        <is>
          <t>20/10/2024</t>
        </is>
      </c>
      <c r="D134" s="255" t="inlineStr">
        <is>
          <t>7920V/210A-B334</t>
        </is>
      </c>
      <c r="E134" s="255">
        <f>_xlfn.XLOOKUP(D134, [1]Collection!B:B, [1]Collection!C:C)</f>
        <v/>
      </c>
      <c r="F134" s="255">
        <f>_xlfn.XLOOKUP(D134, [1]Collection!B:B, [1]Collection!D:D)</f>
        <v/>
      </c>
      <c r="G134" s="255" t="inlineStr">
        <is>
          <t>Phone sales Middle East</t>
        </is>
      </c>
      <c r="H134" s="257" t="inlineStr">
        <is>
          <t>98711501</t>
        </is>
      </c>
      <c r="I134" s="257" t="n"/>
      <c r="J134" s="261" t="n"/>
      <c r="K134" s="257" t="n"/>
      <c r="L134" s="257" t="n"/>
      <c r="M134" s="257" t="n"/>
      <c r="N134" s="255" t="inlineStr">
        <is>
          <t>Prospect</t>
        </is>
      </c>
      <c r="O134" s="255" t="inlineStr">
        <is>
          <t>SHARIF Maaz</t>
        </is>
      </c>
      <c r="P134" s="262" t="inlineStr">
        <is>
          <t xml:space="preserve">VVIC | The Mr. Ali showed his interest in the  timepeice and would like to meet and would like to purchase the watch 
</t>
        </is>
      </c>
      <c r="Q134" s="259">
        <f>IF(AND(Table15[[#This Row],[Column1]]&lt;&gt;"",ISNUMBER(DATEVALUE(Table15[[#This Row],[Column1]]))),TODAY()-DATEVALUE(Table15[[#This Row],[Column1]]),"")</f>
        <v/>
      </c>
    </row>
    <row r="135" hidden="1" s="287">
      <c r="A135" s="254" t="inlineStr">
        <is>
          <t>Sold</t>
        </is>
      </c>
      <c r="B135" s="255" t="inlineStr"/>
      <c r="C135" s="256" t="inlineStr">
        <is>
          <t>20/10/2023</t>
        </is>
      </c>
      <c r="D135" s="255" t="inlineStr">
        <is>
          <t>4200H/222J-B935</t>
        </is>
      </c>
      <c r="E135" s="255">
        <f>_xlfn.XLOOKUP(D135, [1]Collection!B:B, [1]Collection!C:C)</f>
        <v/>
      </c>
      <c r="F135" s="255">
        <f>_xlfn.XLOOKUP(D135, [1]Collection!B:B, [1]Collection!D:D)</f>
        <v/>
      </c>
      <c r="G135" s="255" t="inlineStr">
        <is>
          <t>Phone sales Middle East</t>
        </is>
      </c>
      <c r="H135" s="257" t="inlineStr">
        <is>
          <t>1291072</t>
        </is>
      </c>
      <c r="I135" s="257" t="n"/>
      <c r="J135" s="257" t="n"/>
      <c r="K135" s="257" t="n"/>
      <c r="L135" s="257" t="n"/>
      <c r="M135" s="257" t="n"/>
      <c r="N135" s="255" t="inlineStr">
        <is>
          <t>Prospect</t>
        </is>
      </c>
      <c r="O135" s="255" t="inlineStr">
        <is>
          <t>SHARIF Maaz</t>
        </is>
      </c>
      <c r="P135" s="258" t="inlineStr"/>
      <c r="Q135" s="259">
        <f>IF(AND(Table15[[#This Row],[Column1]]&lt;&gt;"",ISNUMBER(DATEVALUE(Table15[[#This Row],[Column1]]))),TODAY()-DATEVALUE(Table15[[#This Row],[Column1]]),"")</f>
        <v/>
      </c>
    </row>
    <row r="136" hidden="1" s="287">
      <c r="A136" s="254" t="inlineStr">
        <is>
          <t>Request</t>
        </is>
      </c>
      <c r="B136" s="255" t="inlineStr"/>
      <c r="C136" s="256" t="inlineStr">
        <is>
          <t>20/1/2025</t>
        </is>
      </c>
      <c r="D136" s="255" t="inlineStr">
        <is>
          <t>4200H/222A-B934</t>
        </is>
      </c>
      <c r="E136" s="255">
        <f>_xlfn.XLOOKUP(D136, [1]Collection!B:B, [1]Collection!C:C)</f>
        <v/>
      </c>
      <c r="F136" s="255">
        <f>_xlfn.XLOOKUP(D136, [1]Collection!B:B, [1]Collection!D:D)</f>
        <v/>
      </c>
      <c r="G136" s="255" t="inlineStr">
        <is>
          <t>Phone sales Middle East</t>
        </is>
      </c>
      <c r="H136" s="257" t="inlineStr">
        <is>
          <t>92408008</t>
        </is>
      </c>
      <c r="I136" s="257" t="n"/>
      <c r="J136" s="257" t="n"/>
      <c r="K136" s="257" t="n"/>
      <c r="L136" s="257" t="n"/>
      <c r="M136" s="257" t="n"/>
      <c r="N136" s="255" t="inlineStr">
        <is>
          <t>Prospect</t>
        </is>
      </c>
      <c r="O136" s="255" t="inlineStr">
        <is>
          <t>SHARIF Maaz</t>
        </is>
      </c>
      <c r="P136" s="258" t="inlineStr"/>
      <c r="Q136" s="259">
        <f>IF(AND(Table15[[#This Row],[Column1]]&lt;&gt;"",ISNUMBER(DATEVALUE(Table15[[#This Row],[Column1]]))),TODAY()-DATEVALUE(Table15[[#This Row],[Column1]]),"")</f>
        <v/>
      </c>
    </row>
    <row r="137" hidden="1" s="287">
      <c r="A137" s="254" t="inlineStr">
        <is>
          <t>Request</t>
        </is>
      </c>
      <c r="B137" s="255" t="inlineStr"/>
      <c r="C137" s="256" t="inlineStr">
        <is>
          <t>20/1/2025</t>
        </is>
      </c>
      <c r="D137" s="255" t="inlineStr">
        <is>
          <t>4200H/222A-B934</t>
        </is>
      </c>
      <c r="E137" s="255">
        <f>_xlfn.XLOOKUP(D137, [1]Collection!B:B, [1]Collection!C:C)</f>
        <v/>
      </c>
      <c r="F137" s="255">
        <f>_xlfn.XLOOKUP(D137, [1]Collection!B:B, [1]Collection!D:D)</f>
        <v/>
      </c>
      <c r="G137" s="255" t="inlineStr">
        <is>
          <t>Phone sales Middle East</t>
        </is>
      </c>
      <c r="H137" s="257" t="inlineStr">
        <is>
          <t>103713756</t>
        </is>
      </c>
      <c r="I137" s="257" t="n"/>
      <c r="J137" s="257" t="n"/>
      <c r="K137" s="257" t="n"/>
      <c r="L137" s="257" t="n"/>
      <c r="M137" s="257" t="n"/>
      <c r="N137" s="255" t="inlineStr">
        <is>
          <t>Prospect</t>
        </is>
      </c>
      <c r="O137" s="255" t="inlineStr">
        <is>
          <t>SHARIF Maaz</t>
        </is>
      </c>
      <c r="P137" s="258" t="inlineStr"/>
      <c r="Q137" s="259">
        <f>IF(AND(Table15[[#This Row],[Column1]]&lt;&gt;"",ISNUMBER(DATEVALUE(Table15[[#This Row],[Column1]]))),TODAY()-DATEVALUE(Table15[[#This Row],[Column1]]),"")</f>
        <v/>
      </c>
    </row>
    <row r="138" hidden="1" s="287">
      <c r="A138" s="254" t="inlineStr">
        <is>
          <t>Request</t>
        </is>
      </c>
      <c r="B138" s="255" t="inlineStr"/>
      <c r="C138" s="256" t="inlineStr">
        <is>
          <t>20/1/2025</t>
        </is>
      </c>
      <c r="D138" s="255" t="inlineStr">
        <is>
          <t>4200H/222A-B934</t>
        </is>
      </c>
      <c r="E138" s="255">
        <f>_xlfn.XLOOKUP(D138, [1]Collection!B:B, [1]Collection!C:C)</f>
        <v/>
      </c>
      <c r="F138" s="255">
        <f>_xlfn.XLOOKUP(D138, [1]Collection!B:B, [1]Collection!D:D)</f>
        <v/>
      </c>
      <c r="G138" s="255" t="inlineStr">
        <is>
          <t>Phone sales Middle East</t>
        </is>
      </c>
      <c r="H138" s="257" t="inlineStr">
        <is>
          <t>103742903</t>
        </is>
      </c>
      <c r="I138" s="257" t="n"/>
      <c r="J138" s="257" t="n"/>
      <c r="K138" s="257" t="n"/>
      <c r="L138" s="257" t="n"/>
      <c r="M138" s="257" t="n"/>
      <c r="N138" s="255" t="inlineStr">
        <is>
          <t>Prospect</t>
        </is>
      </c>
      <c r="O138" s="255" t="inlineStr">
        <is>
          <t>SHARIF Maaz</t>
        </is>
      </c>
      <c r="P138" s="258" t="inlineStr">
        <is>
          <t xml:space="preserve">Very interested client 
</t>
        </is>
      </c>
      <c r="Q138" s="259">
        <f>IF(AND(Table15[[#This Row],[Column1]]&lt;&gt;"",ISNUMBER(DATEVALUE(Table15[[#This Row],[Column1]]))),TODAY()-DATEVALUE(Table15[[#This Row],[Column1]]),"")</f>
        <v/>
      </c>
    </row>
    <row r="139">
      <c r="A139" s="254" t="inlineStr">
        <is>
          <t>Request</t>
        </is>
      </c>
      <c r="B139" s="255" t="inlineStr"/>
      <c r="C139" s="256" t="inlineStr">
        <is>
          <t>2/4/2025</t>
        </is>
      </c>
      <c r="D139" s="255" t="inlineStr">
        <is>
          <t>4600E/000A-B487</t>
        </is>
      </c>
      <c r="E139" s="255">
        <f>_xlfn.XLOOKUP(D139, [1]Collection!B:B, [1]Collection!C:C)</f>
        <v/>
      </c>
      <c r="F139" s="255">
        <f>_xlfn.XLOOKUP(D139, [1]Collection!B:B, [1]Collection!D:D)</f>
        <v/>
      </c>
      <c r="G139" s="255" t="inlineStr">
        <is>
          <t>Phone sales Middle East</t>
        </is>
      </c>
      <c r="H139" s="257" t="inlineStr">
        <is>
          <t>105485963</t>
        </is>
      </c>
      <c r="I139" s="257" t="n"/>
      <c r="J139" s="261" t="n"/>
      <c r="K139" s="257" t="n"/>
      <c r="L139" s="257" t="n"/>
      <c r="M139" s="257" t="n"/>
      <c r="N139" s="255" t="inlineStr">
        <is>
          <t>Prospect</t>
        </is>
      </c>
      <c r="O139" s="255" t="inlineStr">
        <is>
          <t>SHARIF Maaz</t>
        </is>
      </c>
      <c r="P139" s="262" t="inlineStr"/>
      <c r="Q139" s="259">
        <f>IF(AND(Table15[[#This Row],[Column1]]&lt;&gt;"",ISNUMBER(DATEVALUE(Table15[[#This Row],[Column1]]))),TODAY()-DATEVALUE(Table15[[#This Row],[Column1]]),"")</f>
        <v/>
      </c>
    </row>
    <row r="140" hidden="1" s="287">
      <c r="A140" s="254" t="inlineStr">
        <is>
          <t>Request</t>
        </is>
      </c>
      <c r="B140" s="255" t="inlineStr"/>
      <c r="C140" s="256" t="inlineStr">
        <is>
          <t>2/11/2024</t>
        </is>
      </c>
      <c r="D140" s="255" t="inlineStr">
        <is>
          <t>4520V/210A-B128</t>
        </is>
      </c>
      <c r="E140" s="255">
        <f>_xlfn.XLOOKUP(D140, [1]Collection!B:B, [1]Collection!C:C)</f>
        <v/>
      </c>
      <c r="F140" s="255">
        <f>_xlfn.XLOOKUP(D140, [1]Collection!B:B, [1]Collection!D:D)</f>
        <v/>
      </c>
      <c r="G140" s="255" t="inlineStr">
        <is>
          <t>Phone sales Middle East</t>
        </is>
      </c>
      <c r="H140" s="257" t="inlineStr">
        <is>
          <t>102232596</t>
        </is>
      </c>
      <c r="I140" s="257" t="n"/>
      <c r="J140" s="257" t="n"/>
      <c r="K140" s="257" t="n"/>
      <c r="L140" s="257" t="n"/>
      <c r="M140" s="257" t="n"/>
      <c r="N140" s="255" t="inlineStr">
        <is>
          <t>Prospect</t>
        </is>
      </c>
      <c r="O140" s="255" t="inlineStr">
        <is>
          <t>SHARIF Maaz</t>
        </is>
      </c>
      <c r="P140" s="258" t="inlineStr">
        <is>
          <t xml:space="preserve">VVIP Client - Mr. Abdulaziz  is very interested in the timepeice 
</t>
        </is>
      </c>
      <c r="Q140" s="259">
        <f>IF(AND(Table15[[#This Row],[Column1]]&lt;&gt;"",ISNUMBER(DATEVALUE(Table15[[#This Row],[Column1]]))),TODAY()-DATEVALUE(Table15[[#This Row],[Column1]]),"")</f>
        <v/>
      </c>
    </row>
    <row r="141" ht="62.4" customHeight="1" s="287">
      <c r="A141" s="254" t="inlineStr">
        <is>
          <t>Request</t>
        </is>
      </c>
      <c r="B141" s="255" t="inlineStr"/>
      <c r="C141" s="256" t="inlineStr">
        <is>
          <t>2/11/2024</t>
        </is>
      </c>
      <c r="D141" s="255" t="inlineStr">
        <is>
          <t>7920V/210A-B334</t>
        </is>
      </c>
      <c r="E141" s="255">
        <f>_xlfn.XLOOKUP(D141, [1]Collection!B:B, [1]Collection!C:C)</f>
        <v/>
      </c>
      <c r="F141" s="255">
        <f>_xlfn.XLOOKUP(D141, [1]Collection!B:B, [1]Collection!D:D)</f>
        <v/>
      </c>
      <c r="G141" s="255" t="inlineStr">
        <is>
          <t>Phone sales Middle East</t>
        </is>
      </c>
      <c r="H141" s="257" t="inlineStr">
        <is>
          <t>102220776</t>
        </is>
      </c>
      <c r="I141" s="257" t="n"/>
      <c r="J141" s="261" t="n"/>
      <c r="K141" s="257" t="n"/>
      <c r="L141" s="257" t="n"/>
      <c r="M141" s="257" t="n"/>
      <c r="N141" s="255" t="inlineStr">
        <is>
          <t>Prospect</t>
        </is>
      </c>
      <c r="O141" s="255" t="inlineStr">
        <is>
          <t>SHARIF Maaz</t>
        </is>
      </c>
      <c r="P141" s="262" t="inlineStr">
        <is>
          <t xml:space="preserve">The client is intrested in the OVERSEAS DUAL TIME \n 
</t>
        </is>
      </c>
      <c r="Q141" s="259">
        <f>IF(AND(Table15[[#This Row],[Column1]]&lt;&gt;"",ISNUMBER(DATEVALUE(Table15[[#This Row],[Column1]]))),TODAY()-DATEVALUE(Table15[[#This Row],[Column1]]),"")</f>
        <v/>
      </c>
    </row>
    <row r="142" ht="249.6" customHeight="1" s="287">
      <c r="A142" s="254" t="inlineStr">
        <is>
          <t>Request</t>
        </is>
      </c>
      <c r="B142" s="255" t="inlineStr">
        <is>
          <t>Confirmed</t>
        </is>
      </c>
      <c r="C142" s="256" t="inlineStr">
        <is>
          <t>2/10/2024</t>
        </is>
      </c>
      <c r="D142" s="255" t="inlineStr">
        <is>
          <t>4000V/210A-B911</t>
        </is>
      </c>
      <c r="E142" s="255">
        <f>_xlfn.XLOOKUP(D142, [1]Collection!B:B, [1]Collection!C:C)</f>
        <v/>
      </c>
      <c r="F142" s="255">
        <f>_xlfn.XLOOKUP(D142, [1]Collection!B:B, [1]Collection!D:D)</f>
        <v/>
      </c>
      <c r="G142" s="255" t="inlineStr">
        <is>
          <t>Phone sales Middle East</t>
        </is>
      </c>
      <c r="H142" s="257" t="inlineStr">
        <is>
          <t>101770162</t>
        </is>
      </c>
      <c r="I142" s="257" t="n"/>
      <c r="J142" s="261" t="n"/>
      <c r="K142" s="257" t="n"/>
      <c r="L142" s="257" t="n"/>
      <c r="M142" s="257" t="n"/>
      <c r="N142" s="255" t="inlineStr">
        <is>
          <t>Prospect</t>
        </is>
      </c>
      <c r="O142" s="255" t="inlineStr">
        <is>
          <t>SHARIF Maaz</t>
        </is>
      </c>
      <c r="P142" s="262" t="inlineStr">
        <is>
          <t xml:space="preserve">- No gold, prefers stainless steel.
- Moon phase complication holds personal significance.
- Interested in watches that symbolize achievement and uniqueness.
- Likes the blue dial for its versatility under different light conditions.
</t>
        </is>
      </c>
      <c r="Q142" s="259">
        <f>IF(AND(Table15[[#This Row],[Column1]]&lt;&gt;"",ISNUMBER(DATEVALUE(Table15[[#This Row],[Column1]]))),TODAY()-DATEVALUE(Table15[[#This Row],[Column1]]),"")</f>
        <v/>
      </c>
    </row>
    <row r="143" ht="312" customHeight="1" s="287">
      <c r="A143" s="254" t="inlineStr">
        <is>
          <t>Request</t>
        </is>
      </c>
      <c r="B143" s="255" t="inlineStr">
        <is>
          <t>Confirmed</t>
        </is>
      </c>
      <c r="C143" s="256" t="inlineStr">
        <is>
          <t>2/1/2025</t>
        </is>
      </c>
      <c r="D143" s="255" t="inlineStr">
        <is>
          <t>7920V/210A-B334</t>
        </is>
      </c>
      <c r="E143" s="255">
        <f>_xlfn.XLOOKUP(D143, [1]Collection!B:B, [1]Collection!C:C)</f>
        <v/>
      </c>
      <c r="F143" s="255">
        <f>_xlfn.XLOOKUP(D143, [1]Collection!B:B, [1]Collection!D:D)</f>
        <v/>
      </c>
      <c r="G143" s="255" t="inlineStr">
        <is>
          <t>Phone sales Middle East</t>
        </is>
      </c>
      <c r="H143" s="257" t="inlineStr">
        <is>
          <t>103437674</t>
        </is>
      </c>
      <c r="I143" s="257" t="n"/>
      <c r="J143" s="261" t="n"/>
      <c r="K143" s="257" t="n"/>
      <c r="L143" s="257" t="n"/>
      <c r="M143" s="257" t="n"/>
      <c r="N143" s="255" t="inlineStr">
        <is>
          <t>Prospect</t>
        </is>
      </c>
      <c r="O143" s="255" t="inlineStr">
        <is>
          <t>SHARIF Maaz</t>
        </is>
      </c>
      <c r="P143" s="262" t="inlineStr">
        <is>
          <t xml:space="preserve">as per the client expressing interest in two models:
- **Overseas Dual Time (Steel)**
- **1921 (40mm and 36mm)**
Mr. Khan described his existing collection, which includes:
- **Omega**
- **Panerai**
- **Vintage Raymond Weil**
</t>
        </is>
      </c>
      <c r="Q143" s="259">
        <f>IF(AND(Table15[[#This Row],[Column1]]&lt;&gt;"",ISNUMBER(DATEVALUE(Table15[[#This Row],[Column1]]))),TODAY()-DATEVALUE(Table15[[#This Row],[Column1]]),"")</f>
        <v/>
      </c>
    </row>
    <row r="144" ht="93.59999999999999" customHeight="1" s="287">
      <c r="A144" s="254" t="inlineStr">
        <is>
          <t>Request</t>
        </is>
      </c>
      <c r="B144" s="255" t="inlineStr"/>
      <c r="C144" s="256" t="inlineStr">
        <is>
          <t>2/1/2025</t>
        </is>
      </c>
      <c r="D144" s="255" t="inlineStr">
        <is>
          <t>4000V/210A-B911</t>
        </is>
      </c>
      <c r="E144" s="255">
        <f>_xlfn.XLOOKUP(D144, [1]Collection!B:B, [1]Collection!C:C)</f>
        <v/>
      </c>
      <c r="F144" s="255">
        <f>_xlfn.XLOOKUP(D144, [1]Collection!B:B, [1]Collection!D:D)</f>
        <v/>
      </c>
      <c r="G144" s="255" t="inlineStr">
        <is>
          <t>Phone sales Middle East</t>
        </is>
      </c>
      <c r="H144" s="257" t="inlineStr">
        <is>
          <t>93852629</t>
        </is>
      </c>
      <c r="I144" s="257" t="n"/>
      <c r="J144" s="261" t="n"/>
      <c r="K144" s="257" t="n"/>
      <c r="L144" s="257" t="n"/>
      <c r="M144" s="257" t="n"/>
      <c r="N144" s="255" t="inlineStr"/>
      <c r="O144" s="255" t="inlineStr">
        <is>
          <t>SHARIF Maaz</t>
        </is>
      </c>
      <c r="P144" s="262" t="inlineStr">
        <is>
          <t xml:space="preserve">The client already purchased the dual time black dial and would like to proceed with the moonphase 
</t>
        </is>
      </c>
      <c r="Q144" s="259">
        <f>IF(AND(Table15[[#This Row],[Column1]]&lt;&gt;"",ISNUMBER(DATEVALUE(Table15[[#This Row],[Column1]]))),TODAY()-DATEVALUE(Table15[[#This Row],[Column1]]),"")</f>
        <v/>
      </c>
    </row>
    <row r="145" hidden="1" s="287">
      <c r="A145" s="254" t="inlineStr">
        <is>
          <t>Request</t>
        </is>
      </c>
      <c r="B145" s="255" t="inlineStr"/>
      <c r="C145" s="256" t="inlineStr">
        <is>
          <t>19/9/2024</t>
        </is>
      </c>
      <c r="D145" s="255" t="inlineStr">
        <is>
          <t>4200H/222J-B935</t>
        </is>
      </c>
      <c r="E145" s="255">
        <f>_xlfn.XLOOKUP(D145, [1]Collection!B:B, [1]Collection!C:C)</f>
        <v/>
      </c>
      <c r="F145" s="255">
        <f>_xlfn.XLOOKUP(D145, [1]Collection!B:B, [1]Collection!D:D)</f>
        <v/>
      </c>
      <c r="G145" s="255" t="inlineStr">
        <is>
          <t>Phone sales Middle East</t>
        </is>
      </c>
      <c r="H145" s="257" t="inlineStr">
        <is>
          <t>101629288</t>
        </is>
      </c>
      <c r="I145" s="257" t="n"/>
      <c r="J145" s="257" t="n"/>
      <c r="K145" s="257" t="n"/>
      <c r="L145" s="257" t="n"/>
      <c r="M145" s="257" t="n"/>
      <c r="N145" s="255" t="inlineStr">
        <is>
          <t>Prospect</t>
        </is>
      </c>
      <c r="O145" s="255" t="inlineStr">
        <is>
          <t>SHARIF Maaz</t>
        </is>
      </c>
      <c r="P145" s="258" t="inlineStr">
        <is>
          <t xml:space="preserve">
</t>
        </is>
      </c>
      <c r="Q145" s="259">
        <f>IF(AND(Table15[[#This Row],[Column1]]&lt;&gt;"",ISNUMBER(DATEVALUE(Table15[[#This Row],[Column1]]))),TODAY()-DATEVALUE(Table15[[#This Row],[Column1]]),"")</f>
        <v/>
      </c>
    </row>
    <row r="146" ht="31.2" customHeight="1" s="287">
      <c r="A146" s="254" t="inlineStr">
        <is>
          <t>Request</t>
        </is>
      </c>
      <c r="B146" s="255" t="inlineStr">
        <is>
          <t>Pending client feedback</t>
        </is>
      </c>
      <c r="C146" s="256" t="inlineStr">
        <is>
          <t>19/8/2025</t>
        </is>
      </c>
      <c r="D146" s="255" t="inlineStr">
        <is>
          <t>1225V/000R-B592</t>
        </is>
      </c>
      <c r="E146" s="255">
        <f>_xlfn.XLOOKUP(D146, [1]Collection!B:B, [1]Collection!C:C)</f>
        <v/>
      </c>
      <c r="F146" s="255">
        <f>_xlfn.XLOOKUP(D146, [1]Collection!B:B, [1]Collection!D:D)</f>
        <v/>
      </c>
      <c r="G146" s="255" t="inlineStr">
        <is>
          <t>Phone sales Middle East</t>
        </is>
      </c>
      <c r="H146" s="257" t="inlineStr">
        <is>
          <t>108806049</t>
        </is>
      </c>
      <c r="I146" s="257" t="n"/>
      <c r="J146" s="261" t="n"/>
      <c r="K146" s="257" t="n"/>
      <c r="L146" s="257" t="n"/>
      <c r="M146" s="257" t="n"/>
      <c r="N146" s="255" t="inlineStr">
        <is>
          <t>Prospect</t>
        </is>
      </c>
      <c r="O146" s="255" t="inlineStr">
        <is>
          <t>SHARIF Maaz</t>
        </is>
      </c>
      <c r="P146" s="262" t="inlineStr">
        <is>
          <t xml:space="preserve">
</t>
        </is>
      </c>
      <c r="Q146" s="259">
        <f>IF(AND(Table15[[#This Row],[Column1]]&lt;&gt;"",ISNUMBER(DATEVALUE(Table15[[#This Row],[Column1]]))),TODAY()-DATEVALUE(Table15[[#This Row],[Column1]]),"")</f>
        <v/>
      </c>
    </row>
    <row r="147" hidden="1" s="287">
      <c r="A147" s="254" t="inlineStr">
        <is>
          <t>Request</t>
        </is>
      </c>
      <c r="B147" s="255" t="inlineStr"/>
      <c r="C147" s="256" t="inlineStr">
        <is>
          <t>19/8/2025</t>
        </is>
      </c>
      <c r="D147" s="255" t="inlineStr">
        <is>
          <t>4200H/222A-B934</t>
        </is>
      </c>
      <c r="E147" s="255">
        <f>_xlfn.XLOOKUP(D147, [1]Collection!B:B, [1]Collection!C:C)</f>
        <v/>
      </c>
      <c r="F147" s="255">
        <f>_xlfn.XLOOKUP(D147, [1]Collection!B:B, [1]Collection!D:D)</f>
        <v/>
      </c>
      <c r="G147" s="255" t="inlineStr">
        <is>
          <t>Phone sales Middle East</t>
        </is>
      </c>
      <c r="H147" s="257" t="inlineStr">
        <is>
          <t>108807053</t>
        </is>
      </c>
      <c r="I147" s="257" t="n"/>
      <c r="J147" s="257" t="n"/>
      <c r="K147" s="257" t="n"/>
      <c r="L147" s="257" t="n"/>
      <c r="M147" s="257" t="n"/>
      <c r="N147" s="255" t="inlineStr">
        <is>
          <t>Prospect</t>
        </is>
      </c>
      <c r="O147" s="255" t="inlineStr">
        <is>
          <t>SHARIF Maaz</t>
        </is>
      </c>
      <c r="P147" s="258" t="inlineStr">
        <is>
          <t xml:space="preserve">Matthew E. Nix is an American writer, producer, and director. He is best known for creating the television series Burn Notice, The Good Guys, and The Gifted.  high potential 
</t>
        </is>
      </c>
      <c r="Q147" s="259">
        <f>IF(AND(Table15[[#This Row],[Column1]]&lt;&gt;"",ISNUMBER(DATEVALUE(Table15[[#This Row],[Column1]]))),TODAY()-DATEVALUE(Table15[[#This Row],[Column1]]),"")</f>
        <v/>
      </c>
    </row>
    <row r="148" ht="31.2" customHeight="1" s="287">
      <c r="A148" s="254" t="inlineStr">
        <is>
          <t>Request</t>
        </is>
      </c>
      <c r="B148" s="255" t="inlineStr"/>
      <c r="C148" s="256" t="inlineStr">
        <is>
          <t>19/4/2025</t>
        </is>
      </c>
      <c r="D148" s="255" t="inlineStr">
        <is>
          <t>4000V/210A-B911</t>
        </is>
      </c>
      <c r="E148" s="255">
        <f>_xlfn.XLOOKUP(D148, [1]Collection!B:B, [1]Collection!C:C)</f>
        <v/>
      </c>
      <c r="F148" s="255">
        <f>_xlfn.XLOOKUP(D148, [1]Collection!B:B, [1]Collection!D:D)</f>
        <v/>
      </c>
      <c r="G148" s="255" t="inlineStr">
        <is>
          <t>Phone sales Middle East</t>
        </is>
      </c>
      <c r="H148" s="257" t="inlineStr">
        <is>
          <t>105306744</t>
        </is>
      </c>
      <c r="I148" s="257" t="n"/>
      <c r="J148" s="261" t="n"/>
      <c r="K148" s="257" t="n"/>
      <c r="L148" s="257" t="n"/>
      <c r="M148" s="257" t="n"/>
      <c r="N148" s="255" t="inlineStr">
        <is>
          <t>Prospect</t>
        </is>
      </c>
      <c r="O148" s="255" t="inlineStr">
        <is>
          <t>SHARIF Maaz</t>
        </is>
      </c>
      <c r="P148" s="262" t="inlineStr">
        <is>
          <t xml:space="preserve">UAE - Collector AP, RM
</t>
        </is>
      </c>
      <c r="Q148" s="259">
        <f>IF(AND(Table15[[#This Row],[Column1]]&lt;&gt;"",ISNUMBER(DATEVALUE(Table15[[#This Row],[Column1]]))),TODAY()-DATEVALUE(Table15[[#This Row],[Column1]]),"")</f>
        <v/>
      </c>
    </row>
    <row r="149" hidden="1" s="287">
      <c r="A149" s="254" t="inlineStr">
        <is>
          <t>Request</t>
        </is>
      </c>
      <c r="B149" s="255" t="inlineStr"/>
      <c r="C149" s="256" t="inlineStr">
        <is>
          <t>19/4/2025</t>
        </is>
      </c>
      <c r="D149" s="255" t="inlineStr">
        <is>
          <t>4520V/210A-B128</t>
        </is>
      </c>
      <c r="E149" s="255">
        <f>_xlfn.XLOOKUP(D149, [1]Collection!B:B, [1]Collection!C:C)</f>
        <v/>
      </c>
      <c r="F149" s="255">
        <f>_xlfn.XLOOKUP(D149, [1]Collection!B:B, [1]Collection!D:D)</f>
        <v/>
      </c>
      <c r="G149" s="255" t="inlineStr">
        <is>
          <t>Phone sales Middle East</t>
        </is>
      </c>
      <c r="H149" s="257" t="inlineStr">
        <is>
          <t>105306744</t>
        </is>
      </c>
      <c r="I149" s="257" t="n"/>
      <c r="J149" s="257" t="n"/>
      <c r="K149" s="257" t="n"/>
      <c r="L149" s="257" t="n"/>
      <c r="M149" s="257" t="n"/>
      <c r="N149" s="255" t="inlineStr">
        <is>
          <t>Prospect</t>
        </is>
      </c>
      <c r="O149" s="255" t="inlineStr">
        <is>
          <t>SHARIF Maaz</t>
        </is>
      </c>
      <c r="P149" s="258" t="inlineStr"/>
      <c r="Q149" s="259">
        <f>IF(AND(Table15[[#This Row],[Column1]]&lt;&gt;"",ISNUMBER(DATEVALUE(Table15[[#This Row],[Column1]]))),TODAY()-DATEVALUE(Table15[[#This Row],[Column1]]),"")</f>
        <v/>
      </c>
    </row>
    <row r="150" hidden="1" s="287">
      <c r="A150" s="254" t="inlineStr">
        <is>
          <t>Request</t>
        </is>
      </c>
      <c r="B150" s="255" t="inlineStr"/>
      <c r="C150" s="256" t="inlineStr">
        <is>
          <t>19/4/2025</t>
        </is>
      </c>
      <c r="D150" s="255" t="inlineStr">
        <is>
          <t>4200H/222A-B934</t>
        </is>
      </c>
      <c r="E150" s="255">
        <f>_xlfn.XLOOKUP(D150, [1]Collection!B:B, [1]Collection!C:C)</f>
        <v/>
      </c>
      <c r="F150" s="255">
        <f>_xlfn.XLOOKUP(D150, [1]Collection!B:B, [1]Collection!D:D)</f>
        <v/>
      </c>
      <c r="G150" s="255" t="inlineStr">
        <is>
          <t>Phone sales Middle East</t>
        </is>
      </c>
      <c r="H150" s="257" t="inlineStr">
        <is>
          <t>105306744</t>
        </is>
      </c>
      <c r="I150" s="257" t="n"/>
      <c r="J150" s="257" t="n"/>
      <c r="K150" s="257" t="n"/>
      <c r="L150" s="257" t="n"/>
      <c r="M150" s="257" t="n"/>
      <c r="N150" s="255" t="inlineStr">
        <is>
          <t>Prospect</t>
        </is>
      </c>
      <c r="O150" s="255" t="inlineStr">
        <is>
          <t>SHARIF Maaz</t>
        </is>
      </c>
      <c r="P150" s="258" t="inlineStr"/>
      <c r="Q150" s="259">
        <f>IF(AND(Table15[[#This Row],[Column1]]&lt;&gt;"",ISNUMBER(DATEVALUE(Table15[[#This Row],[Column1]]))),TODAY()-DATEVALUE(Table15[[#This Row],[Column1]]),"")</f>
        <v/>
      </c>
    </row>
    <row r="151">
      <c r="A151" s="254" t="inlineStr">
        <is>
          <t>Request</t>
        </is>
      </c>
      <c r="B151" s="255" t="inlineStr"/>
      <c r="C151" s="256" t="inlineStr">
        <is>
          <t>19/4/2025</t>
        </is>
      </c>
      <c r="D151" s="255" t="inlineStr">
        <is>
          <t>82035/000P-H063</t>
        </is>
      </c>
      <c r="E151" s="255">
        <f>_xlfn.XLOOKUP(D151, [1]Collection!B:B, [1]Collection!C:C)</f>
        <v/>
      </c>
      <c r="F151" s="255">
        <f>_xlfn.XLOOKUP(D151, [1]Collection!B:B, [1]Collection!D:D)</f>
        <v/>
      </c>
      <c r="G151" s="255" t="inlineStr">
        <is>
          <t>Phone sales Middle East</t>
        </is>
      </c>
      <c r="H151" s="257" t="inlineStr">
        <is>
          <t>105306744</t>
        </is>
      </c>
      <c r="I151" s="257" t="n"/>
      <c r="J151" s="261" t="n"/>
      <c r="K151" s="257" t="n"/>
      <c r="L151" s="257" t="n"/>
      <c r="M151" s="257" t="n"/>
      <c r="N151" s="255" t="inlineStr">
        <is>
          <t>Prospect</t>
        </is>
      </c>
      <c r="O151" s="255" t="inlineStr">
        <is>
          <t>SHARIF Maaz</t>
        </is>
      </c>
      <c r="P151" s="262" t="inlineStr"/>
      <c r="Q151" s="259">
        <f>IF(AND(Table15[[#This Row],[Column1]]&lt;&gt;"",ISNUMBER(DATEVALUE(Table15[[#This Row],[Column1]]))),TODAY()-DATEVALUE(Table15[[#This Row],[Column1]]),"")</f>
        <v/>
      </c>
    </row>
    <row r="152" hidden="1" s="287">
      <c r="A152" s="254" t="inlineStr">
        <is>
          <t>Request</t>
        </is>
      </c>
      <c r="B152" s="255" t="inlineStr"/>
      <c r="C152" s="256" t="inlineStr">
        <is>
          <t>19/2/2025</t>
        </is>
      </c>
      <c r="D152" s="255" t="inlineStr">
        <is>
          <t>4200H/222A-B934</t>
        </is>
      </c>
      <c r="E152" s="255">
        <f>_xlfn.XLOOKUP(D152, [1]Collection!B:B, [1]Collection!C:C)</f>
        <v/>
      </c>
      <c r="F152" s="255">
        <f>_xlfn.XLOOKUP(D152, [1]Collection!B:B, [1]Collection!D:D)</f>
        <v/>
      </c>
      <c r="G152" s="255" t="inlineStr">
        <is>
          <t>Phone sales Middle East</t>
        </is>
      </c>
      <c r="H152" s="257" t="inlineStr">
        <is>
          <t>102905736</t>
        </is>
      </c>
      <c r="I152" s="257" t="n"/>
      <c r="J152" s="257" t="n"/>
      <c r="K152" s="257" t="n"/>
      <c r="L152" s="257" t="n"/>
      <c r="M152" s="257" t="n"/>
      <c r="N152" s="255" t="inlineStr"/>
      <c r="O152" s="255" t="inlineStr">
        <is>
          <t>SHARIF Maaz</t>
        </is>
      </c>
      <c r="P152" s="258" t="inlineStr"/>
      <c r="Q152" s="259">
        <f>IF(AND(Table15[[#This Row],[Column1]]&lt;&gt;"",ISNUMBER(DATEVALUE(Table15[[#This Row],[Column1]]))),TODAY()-DATEVALUE(Table15[[#This Row],[Column1]]),"")</f>
        <v/>
      </c>
    </row>
    <row r="153" ht="62.4" customHeight="1" s="287">
      <c r="A153" s="254" t="inlineStr">
        <is>
          <t>Request</t>
        </is>
      </c>
      <c r="B153" s="255" t="inlineStr"/>
      <c r="C153" s="256" t="inlineStr">
        <is>
          <t>19/2/2025</t>
        </is>
      </c>
      <c r="D153" s="255" t="inlineStr">
        <is>
          <t>5520V/210R-B966</t>
        </is>
      </c>
      <c r="E153" s="255">
        <f>_xlfn.XLOOKUP(D153, [1]Collection!B:B, [1]Collection!C:C)</f>
        <v/>
      </c>
      <c r="F153" s="255">
        <f>_xlfn.XLOOKUP(D153, [1]Collection!B:B, [1]Collection!D:D)</f>
        <v/>
      </c>
      <c r="G153" s="255" t="inlineStr">
        <is>
          <t>Phone sales Middle East</t>
        </is>
      </c>
      <c r="H153" s="257" t="inlineStr">
        <is>
          <t>104459131</t>
        </is>
      </c>
      <c r="I153" s="257" t="n"/>
      <c r="J153" s="261" t="n"/>
      <c r="K153" s="257" t="n"/>
      <c r="L153" s="257" t="n"/>
      <c r="M153" s="257" t="n"/>
      <c r="N153" s="255" t="inlineStr">
        <is>
          <t>Prospect</t>
        </is>
      </c>
      <c r="O153" s="255" t="inlineStr">
        <is>
          <t>SHARIF Maaz</t>
        </is>
      </c>
      <c r="P153" s="262" t="inlineStr">
        <is>
          <t xml:space="preserve">the client would like to reserve  Overseas chronograph
</t>
        </is>
      </c>
      <c r="Q153" s="259">
        <f>IF(AND(Table15[[#This Row],[Column1]]&lt;&gt;"",ISNUMBER(DATEVALUE(Table15[[#This Row],[Column1]]))),TODAY()-DATEVALUE(Table15[[#This Row],[Column1]]),"")</f>
        <v/>
      </c>
    </row>
    <row r="154" ht="62.4" customHeight="1" s="287">
      <c r="A154" s="254" t="inlineStr">
        <is>
          <t>Request</t>
        </is>
      </c>
      <c r="B154" s="255" t="inlineStr">
        <is>
          <t>Postponed</t>
        </is>
      </c>
      <c r="C154" s="256" t="inlineStr">
        <is>
          <t>19/12/2024</t>
        </is>
      </c>
      <c r="D154" s="255" t="inlineStr">
        <is>
          <t>5520V/210A-B481</t>
        </is>
      </c>
      <c r="E154" s="255">
        <f>_xlfn.XLOOKUP(D154, [1]Collection!B:B, [1]Collection!C:C)</f>
        <v/>
      </c>
      <c r="F154" s="255">
        <f>_xlfn.XLOOKUP(D154, [1]Collection!B:B, [1]Collection!D:D)</f>
        <v/>
      </c>
      <c r="G154" s="255" t="inlineStr">
        <is>
          <t>Phone sales Middle East</t>
        </is>
      </c>
      <c r="H154" s="257" t="inlineStr">
        <is>
          <t>102505094</t>
        </is>
      </c>
      <c r="I154" s="257" t="n"/>
      <c r="J154" s="261" t="n"/>
      <c r="K154" s="257" t="n"/>
      <c r="L154" s="257" t="n"/>
      <c r="M154" s="257" t="n"/>
      <c r="N154" s="255" t="inlineStr">
        <is>
          <t>Prospect</t>
        </is>
      </c>
      <c r="O154" s="255" t="inlineStr">
        <is>
          <t>SHARIF Maaz</t>
        </is>
      </c>
      <c r="P154" s="262" t="inlineStr">
        <is>
          <t xml:space="preserve">The client would like to be listed for the chronograph
</t>
        </is>
      </c>
      <c r="Q154" s="259">
        <f>IF(AND(Table15[[#This Row],[Column1]]&lt;&gt;"",ISNUMBER(DATEVALUE(Table15[[#This Row],[Column1]]))),TODAY()-DATEVALUE(Table15[[#This Row],[Column1]]),"")</f>
        <v/>
      </c>
    </row>
    <row r="155" ht="62.4" customHeight="1" s="287">
      <c r="A155" s="254" t="inlineStr">
        <is>
          <t>Request</t>
        </is>
      </c>
      <c r="B155" s="255" t="inlineStr">
        <is>
          <t>Confirmed</t>
        </is>
      </c>
      <c r="C155" s="256" t="inlineStr">
        <is>
          <t>19/12/2024</t>
        </is>
      </c>
      <c r="D155" s="255" t="inlineStr">
        <is>
          <t>7920V/210A-B546</t>
        </is>
      </c>
      <c r="E155" s="255">
        <f>_xlfn.XLOOKUP(D155, [1]Collection!B:B, [1]Collection!C:C)</f>
        <v/>
      </c>
      <c r="F155" s="255">
        <f>_xlfn.XLOOKUP(D155, [1]Collection!B:B, [1]Collection!D:D)</f>
        <v/>
      </c>
      <c r="G155" s="255" t="inlineStr">
        <is>
          <t>Phone sales Middle East</t>
        </is>
      </c>
      <c r="H155" s="257" t="inlineStr">
        <is>
          <t>102928395</t>
        </is>
      </c>
      <c r="I155" s="257" t="n"/>
      <c r="J155" s="261" t="n"/>
      <c r="K155" s="257" t="n"/>
      <c r="L155" s="257" t="n"/>
      <c r="M155" s="257" t="n"/>
      <c r="N155" s="255" t="inlineStr">
        <is>
          <t>Prospect</t>
        </is>
      </c>
      <c r="O155" s="255" t="inlineStr">
        <is>
          <t>SHARIF Maaz</t>
        </is>
      </c>
      <c r="P155" s="262" t="inlineStr">
        <is>
          <t xml:space="preserve">The client is a collecter with big interest  on the overseas collection 
</t>
        </is>
      </c>
      <c r="Q155" s="259">
        <f>IF(AND(Table15[[#This Row],[Column1]]&lt;&gt;"",ISNUMBER(DATEVALUE(Table15[[#This Row],[Column1]]))),TODAY()-DATEVALUE(Table15[[#This Row],[Column1]]),"")</f>
        <v/>
      </c>
    </row>
    <row r="156" hidden="1" s="287">
      <c r="A156" s="254" t="inlineStr">
        <is>
          <t>Request</t>
        </is>
      </c>
      <c r="B156" s="255" t="inlineStr"/>
      <c r="C156" s="256" t="inlineStr">
        <is>
          <t>19/10/2024</t>
        </is>
      </c>
      <c r="D156" s="255" t="inlineStr">
        <is>
          <t>4520V/210A-B128</t>
        </is>
      </c>
      <c r="E156" s="255">
        <f>_xlfn.XLOOKUP(D156, [1]Collection!B:B, [1]Collection!C:C)</f>
        <v/>
      </c>
      <c r="F156" s="255">
        <f>_xlfn.XLOOKUP(D156, [1]Collection!B:B, [1]Collection!D:D)</f>
        <v/>
      </c>
      <c r="G156" s="255" t="inlineStr">
        <is>
          <t>Phone sales Middle East</t>
        </is>
      </c>
      <c r="H156" s="257" t="inlineStr">
        <is>
          <t>0</t>
        </is>
      </c>
      <c r="I156" s="257" t="n"/>
      <c r="J156" s="257" t="n"/>
      <c r="K156" s="257" t="n"/>
      <c r="L156" s="257" t="n"/>
      <c r="M156" s="257" t="n"/>
      <c r="N156" s="255" t="inlineStr">
        <is>
          <t>Prospect</t>
        </is>
      </c>
      <c r="O156" s="255" t="inlineStr">
        <is>
          <t>SHARIF Maaz</t>
        </is>
      </c>
      <c r="P156" s="258" t="inlineStr">
        <is>
          <t xml:space="preserve">The client is interested in the blue dial the ID still not appearing will update it accordingly 
</t>
        </is>
      </c>
      <c r="Q156" s="259">
        <f>IF(AND(Table15[[#This Row],[Column1]]&lt;&gt;"",ISNUMBER(DATEVALUE(Table15[[#This Row],[Column1]]))),TODAY()-DATEVALUE(Table15[[#This Row],[Column1]]),"")</f>
        <v/>
      </c>
    </row>
    <row r="157" ht="93.59999999999999" customHeight="1" s="287">
      <c r="A157" s="254" t="inlineStr">
        <is>
          <t>Request</t>
        </is>
      </c>
      <c r="B157" s="255" t="inlineStr"/>
      <c r="C157" s="256" t="inlineStr">
        <is>
          <t>19/1/2024</t>
        </is>
      </c>
      <c r="D157" s="255" t="inlineStr">
        <is>
          <t>4000E/000A-B548</t>
        </is>
      </c>
      <c r="E157" s="255">
        <f>_xlfn.XLOOKUP(D157, [1]Collection!B:B, [1]Collection!C:C)</f>
        <v/>
      </c>
      <c r="F157" s="255">
        <f>_xlfn.XLOOKUP(D157, [1]Collection!B:B, [1]Collection!D:D)</f>
        <v/>
      </c>
      <c r="G157" s="255" t="inlineStr">
        <is>
          <t>Phone sales Middle East</t>
        </is>
      </c>
      <c r="H157" s="257" t="inlineStr">
        <is>
          <t>97266884</t>
        </is>
      </c>
      <c r="I157" s="257" t="n"/>
      <c r="J157" s="261" t="n"/>
      <c r="K157" s="257" t="n"/>
      <c r="L157" s="257" t="n"/>
      <c r="M157" s="257" t="n"/>
      <c r="N157" s="255" t="inlineStr">
        <is>
          <t>Prospect</t>
        </is>
      </c>
      <c r="O157" s="255" t="inlineStr">
        <is>
          <t>SHARIF Maaz</t>
        </is>
      </c>
      <c r="P157" s="262" t="inlineStr">
        <is>
          <t xml:space="preserve">Client’s wedding is in November 2024 and would like to purchase the timepiece and wear it on his day
</t>
        </is>
      </c>
      <c r="Q157" s="259">
        <f>IF(AND(Table15[[#This Row],[Column1]]&lt;&gt;"",ISNUMBER(DATEVALUE(Table15[[#This Row],[Column1]]))),TODAY()-DATEVALUE(Table15[[#This Row],[Column1]]),"")</f>
        <v/>
      </c>
    </row>
    <row r="158" ht="31.2" customHeight="1" s="287">
      <c r="A158" s="254" t="inlineStr">
        <is>
          <t>Request</t>
        </is>
      </c>
      <c r="B158" s="255" t="inlineStr">
        <is>
          <t>Confirmed</t>
        </is>
      </c>
      <c r="C158" s="256" t="inlineStr">
        <is>
          <t>18/7/2025</t>
        </is>
      </c>
      <c r="D158" s="255" t="inlineStr">
        <is>
          <t>4000V/210A-B911</t>
        </is>
      </c>
      <c r="E158" s="255">
        <f>_xlfn.XLOOKUP(D158, [1]Collection!B:B, [1]Collection!C:C)</f>
        <v/>
      </c>
      <c r="F158" s="255">
        <f>_xlfn.XLOOKUP(D158, [1]Collection!B:B, [1]Collection!D:D)</f>
        <v/>
      </c>
      <c r="G158" s="255" t="inlineStr">
        <is>
          <t>Phone sales Middle East</t>
        </is>
      </c>
      <c r="H158" s="257" t="inlineStr">
        <is>
          <t>107634931</t>
        </is>
      </c>
      <c r="I158" s="257" t="n"/>
      <c r="J158" s="261" t="n"/>
      <c r="K158" s="257" t="n"/>
      <c r="L158" s="257" t="n"/>
      <c r="M158" s="257" t="n"/>
      <c r="N158" s="255" t="inlineStr">
        <is>
          <t>Prospect</t>
        </is>
      </c>
      <c r="O158" s="255" t="inlineStr">
        <is>
          <t>SHARIF Maaz</t>
        </is>
      </c>
      <c r="P158" s="262" t="inlineStr">
        <is>
          <t xml:space="preserve">
</t>
        </is>
      </c>
      <c r="Q158" s="259">
        <f>IF(AND(Table15[[#This Row],[Column1]]&lt;&gt;"",ISNUMBER(DATEVALUE(Table15[[#This Row],[Column1]]))),TODAY()-DATEVALUE(Table15[[#This Row],[Column1]]),"")</f>
        <v/>
      </c>
    </row>
    <row r="159" ht="93.59999999999999" customHeight="1" s="287">
      <c r="A159" s="254" t="inlineStr">
        <is>
          <t>Request</t>
        </is>
      </c>
      <c r="B159" s="255" t="inlineStr"/>
      <c r="C159" s="256" t="inlineStr">
        <is>
          <t>18/6/2025</t>
        </is>
      </c>
      <c r="D159" s="255" t="inlineStr">
        <is>
          <t>4520V/210R-B967</t>
        </is>
      </c>
      <c r="E159" s="255">
        <f>_xlfn.XLOOKUP(D159, [1]Collection!B:B, [1]Collection!C:C)</f>
        <v/>
      </c>
      <c r="F159" s="255">
        <f>_xlfn.XLOOKUP(D159, [1]Collection!B:B, [1]Collection!D:D)</f>
        <v/>
      </c>
      <c r="G159" s="255" t="inlineStr">
        <is>
          <t>Phone sales Middle East</t>
        </is>
      </c>
      <c r="H159" s="257" t="inlineStr">
        <is>
          <t>106850475</t>
        </is>
      </c>
      <c r="I159" s="257" t="n"/>
      <c r="J159" s="261" t="n"/>
      <c r="K159" s="257" t="n"/>
      <c r="L159" s="257" t="n"/>
      <c r="M159" s="257" t="n"/>
      <c r="N159" s="255" t="inlineStr">
        <is>
          <t>Prospect</t>
        </is>
      </c>
      <c r="O159" s="255" t="inlineStr">
        <is>
          <t>SHARIF Maaz</t>
        </is>
      </c>
      <c r="P159" s="262" t="inlineStr">
        <is>
          <t xml:space="preserve">The client stated that hes purchasing it for his father for his 65 birthday as a gift on the 3rd of july🤞 
</t>
        </is>
      </c>
      <c r="Q159" s="259">
        <f>IF(AND(Table15[[#This Row],[Column1]]&lt;&gt;"",ISNUMBER(DATEVALUE(Table15[[#This Row],[Column1]]))),TODAY()-DATEVALUE(Table15[[#This Row],[Column1]]),"")</f>
        <v/>
      </c>
    </row>
    <row r="160" hidden="1" s="287">
      <c r="A160" s="254" t="inlineStr">
        <is>
          <t>Request</t>
        </is>
      </c>
      <c r="B160" s="255" t="inlineStr"/>
      <c r="C160" s="256" t="inlineStr">
        <is>
          <t>18/1/2025</t>
        </is>
      </c>
      <c r="D160" s="255" t="inlineStr">
        <is>
          <t>4200H/222A-B934</t>
        </is>
      </c>
      <c r="E160" s="255">
        <f>_xlfn.XLOOKUP(D160, [1]Collection!B:B, [1]Collection!C:C)</f>
        <v/>
      </c>
      <c r="F160" s="255">
        <f>_xlfn.XLOOKUP(D160, [1]Collection!B:B, [1]Collection!D:D)</f>
        <v/>
      </c>
      <c r="G160" s="255" t="inlineStr">
        <is>
          <t>Phone sales Middle East</t>
        </is>
      </c>
      <c r="H160" s="257" t="inlineStr">
        <is>
          <t>98874827</t>
        </is>
      </c>
      <c r="I160" s="257" t="n"/>
      <c r="J160" s="257" t="n"/>
      <c r="K160" s="257" t="n"/>
      <c r="L160" s="257" t="n"/>
      <c r="M160" s="257" t="n"/>
      <c r="N160" s="255" t="inlineStr">
        <is>
          <t>Prospect</t>
        </is>
      </c>
      <c r="O160" s="255" t="inlineStr">
        <is>
          <t>SHARIF Maaz</t>
        </is>
      </c>
      <c r="P160" s="258" t="inlineStr"/>
      <c r="Q160" s="259">
        <f>IF(AND(Table15[[#This Row],[Column1]]&lt;&gt;"",ISNUMBER(DATEVALUE(Table15[[#This Row],[Column1]]))),TODAY()-DATEVALUE(Table15[[#This Row],[Column1]]),"")</f>
        <v/>
      </c>
    </row>
    <row r="161" hidden="1" s="287">
      <c r="A161" s="254" t="inlineStr">
        <is>
          <t>Request</t>
        </is>
      </c>
      <c r="B161" s="255" t="inlineStr"/>
      <c r="C161" s="256" t="inlineStr">
        <is>
          <t>18/1/2025</t>
        </is>
      </c>
      <c r="D161" s="255" t="inlineStr">
        <is>
          <t>4200H/222A-B934</t>
        </is>
      </c>
      <c r="E161" s="255">
        <f>_xlfn.XLOOKUP(D161, [1]Collection!B:B, [1]Collection!C:C)</f>
        <v/>
      </c>
      <c r="F161" s="255">
        <f>_xlfn.XLOOKUP(D161, [1]Collection!B:B, [1]Collection!D:D)</f>
        <v/>
      </c>
      <c r="G161" s="255" t="inlineStr">
        <is>
          <t>Phone sales Middle East</t>
        </is>
      </c>
      <c r="H161" s="257" t="inlineStr">
        <is>
          <t>92408008</t>
        </is>
      </c>
      <c r="I161" s="257" t="n"/>
      <c r="J161" s="257" t="n"/>
      <c r="K161" s="257" t="n"/>
      <c r="L161" s="257" t="n"/>
      <c r="M161" s="257" t="n"/>
      <c r="N161" s="255" t="inlineStr">
        <is>
          <t>Prospect</t>
        </is>
      </c>
      <c r="O161" s="255" t="inlineStr">
        <is>
          <t>SHARIF Maaz</t>
        </is>
      </c>
      <c r="P161" s="258" t="inlineStr"/>
      <c r="Q161" s="259">
        <f>IF(AND(Table15[[#This Row],[Column1]]&lt;&gt;"",ISNUMBER(DATEVALUE(Table15[[#This Row],[Column1]]))),TODAY()-DATEVALUE(Table15[[#This Row],[Column1]]),"")</f>
        <v/>
      </c>
    </row>
    <row r="162" hidden="1" s="287">
      <c r="A162" s="254" t="inlineStr">
        <is>
          <t>Request</t>
        </is>
      </c>
      <c r="B162" s="255" t="inlineStr"/>
      <c r="C162" s="256" t="inlineStr">
        <is>
          <t>18/1/2025</t>
        </is>
      </c>
      <c r="D162" s="255" t="inlineStr">
        <is>
          <t>4200H/222A-B934</t>
        </is>
      </c>
      <c r="E162" s="255">
        <f>_xlfn.XLOOKUP(D162, [1]Collection!B:B, [1]Collection!C:C)</f>
        <v/>
      </c>
      <c r="F162" s="255">
        <f>_xlfn.XLOOKUP(D162, [1]Collection!B:B, [1]Collection!D:D)</f>
        <v/>
      </c>
      <c r="G162" s="255" t="inlineStr">
        <is>
          <t>Phone sales Middle East</t>
        </is>
      </c>
      <c r="H162" s="257" t="inlineStr">
        <is>
          <t>103675481</t>
        </is>
      </c>
      <c r="I162" s="257" t="n"/>
      <c r="J162" s="257" t="n"/>
      <c r="K162" s="257" t="n"/>
      <c r="L162" s="257" t="n"/>
      <c r="M162" s="257" t="n"/>
      <c r="N162" s="255" t="inlineStr">
        <is>
          <t>Prospect</t>
        </is>
      </c>
      <c r="O162" s="255" t="inlineStr">
        <is>
          <t>SHARIF Maaz</t>
        </is>
      </c>
      <c r="P162" s="258" t="inlineStr">
        <is>
          <t xml:space="preserve">Leo Dogan
</t>
        </is>
      </c>
      <c r="Q162" s="259">
        <f>IF(AND(Table15[[#This Row],[Column1]]&lt;&gt;"",ISNUMBER(DATEVALUE(Table15[[#This Row],[Column1]]))),TODAY()-DATEVALUE(Table15[[#This Row],[Column1]]),"")</f>
        <v/>
      </c>
    </row>
    <row r="163" hidden="1" s="287">
      <c r="A163" s="254" t="inlineStr">
        <is>
          <t>Request</t>
        </is>
      </c>
      <c r="B163" s="255" t="inlineStr"/>
      <c r="C163" s="256" t="inlineStr">
        <is>
          <t>18/1/2025</t>
        </is>
      </c>
      <c r="D163" s="255" t="inlineStr">
        <is>
          <t>4200H/222A-B934</t>
        </is>
      </c>
      <c r="E163" s="255">
        <f>_xlfn.XLOOKUP(D163, [1]Collection!B:B, [1]Collection!C:C)</f>
        <v/>
      </c>
      <c r="F163" s="255">
        <f>_xlfn.XLOOKUP(D163, [1]Collection!B:B, [1]Collection!D:D)</f>
        <v/>
      </c>
      <c r="G163" s="255" t="inlineStr">
        <is>
          <t>Phone sales Middle East</t>
        </is>
      </c>
      <c r="H163" s="257" t="inlineStr">
        <is>
          <t>92428108</t>
        </is>
      </c>
      <c r="I163" s="257" t="n"/>
      <c r="J163" s="257" t="n"/>
      <c r="K163" s="257" t="n"/>
      <c r="L163" s="257" t="n"/>
      <c r="M163" s="257" t="n"/>
      <c r="N163" s="255" t="inlineStr">
        <is>
          <t>Client</t>
        </is>
      </c>
      <c r="O163" s="255" t="inlineStr">
        <is>
          <t>SHARIF Maaz</t>
        </is>
      </c>
      <c r="P163" s="258" t="inlineStr"/>
      <c r="Q163" s="259">
        <f>IF(AND(Table15[[#This Row],[Column1]]&lt;&gt;"",ISNUMBER(DATEVALUE(Table15[[#This Row],[Column1]]))),TODAY()-DATEVALUE(Table15[[#This Row],[Column1]]),"")</f>
        <v/>
      </c>
    </row>
    <row r="164" hidden="1" s="287">
      <c r="A164" s="254" t="inlineStr">
        <is>
          <t>Request</t>
        </is>
      </c>
      <c r="B164" s="255" t="inlineStr"/>
      <c r="C164" s="256" t="inlineStr">
        <is>
          <t>18/1/2025</t>
        </is>
      </c>
      <c r="D164" s="255" t="inlineStr">
        <is>
          <t>4200H/222A-B934</t>
        </is>
      </c>
      <c r="E164" s="255">
        <f>_xlfn.XLOOKUP(D164, [1]Collection!B:B, [1]Collection!C:C)</f>
        <v/>
      </c>
      <c r="F164" s="255">
        <f>_xlfn.XLOOKUP(D164, [1]Collection!B:B, [1]Collection!D:D)</f>
        <v/>
      </c>
      <c r="G164" s="255" t="inlineStr">
        <is>
          <t>Phone sales Middle East</t>
        </is>
      </c>
      <c r="H164" s="257" t="inlineStr">
        <is>
          <t>92403555</t>
        </is>
      </c>
      <c r="I164" s="257" t="n"/>
      <c r="J164" s="257" t="n"/>
      <c r="K164" s="257" t="n"/>
      <c r="L164" s="257" t="n"/>
      <c r="M164" s="257" t="n"/>
      <c r="N164" s="255" t="inlineStr">
        <is>
          <t>Prospect</t>
        </is>
      </c>
      <c r="O164" s="255" t="inlineStr">
        <is>
          <t>SHARIF Maaz</t>
        </is>
      </c>
      <c r="P164" s="258" t="inlineStr"/>
      <c r="Q164" s="259">
        <f>IF(AND(Table15[[#This Row],[Column1]]&lt;&gt;"",ISNUMBER(DATEVALUE(Table15[[#This Row],[Column1]]))),TODAY()-DATEVALUE(Table15[[#This Row],[Column1]]),"")</f>
        <v/>
      </c>
    </row>
    <row r="165" hidden="1" s="287">
      <c r="A165" s="254" t="inlineStr">
        <is>
          <t>Request</t>
        </is>
      </c>
      <c r="B165" s="255" t="inlineStr"/>
      <c r="C165" s="256" t="inlineStr">
        <is>
          <t>18/1/2025</t>
        </is>
      </c>
      <c r="D165" s="255" t="inlineStr">
        <is>
          <t>4200H/222A-B934</t>
        </is>
      </c>
      <c r="E165" s="255">
        <f>_xlfn.XLOOKUP(D165, [1]Collection!B:B, [1]Collection!C:C)</f>
        <v/>
      </c>
      <c r="F165" s="255">
        <f>_xlfn.XLOOKUP(D165, [1]Collection!B:B, [1]Collection!D:D)</f>
        <v/>
      </c>
      <c r="G165" s="255" t="inlineStr">
        <is>
          <t>Phone sales Middle East</t>
        </is>
      </c>
      <c r="H165" s="257" t="inlineStr">
        <is>
          <t>103673092</t>
        </is>
      </c>
      <c r="I165" s="257" t="n"/>
      <c r="J165" s="257" t="n"/>
      <c r="K165" s="257" t="n"/>
      <c r="L165" s="257" t="n"/>
      <c r="M165" s="257" t="n"/>
      <c r="N165" s="255" t="inlineStr">
        <is>
          <t>Prospect</t>
        </is>
      </c>
      <c r="O165" s="255" t="inlineStr">
        <is>
          <t>SHARIF Maaz</t>
        </is>
      </c>
      <c r="P165" s="258" t="inlineStr"/>
      <c r="Q165" s="259">
        <f>IF(AND(Table15[[#This Row],[Column1]]&lt;&gt;"",ISNUMBER(DATEVALUE(Table15[[#This Row],[Column1]]))),TODAY()-DATEVALUE(Table15[[#This Row],[Column1]]),"")</f>
        <v/>
      </c>
    </row>
    <row r="166" hidden="1" s="287">
      <c r="A166" s="254" t="inlineStr">
        <is>
          <t>Request</t>
        </is>
      </c>
      <c r="B166" s="255" t="inlineStr"/>
      <c r="C166" s="256" t="inlineStr">
        <is>
          <t>18/1/2025</t>
        </is>
      </c>
      <c r="D166" s="255" t="inlineStr">
        <is>
          <t>4200H/222A-B934</t>
        </is>
      </c>
      <c r="E166" s="255">
        <f>_xlfn.XLOOKUP(D166, [1]Collection!B:B, [1]Collection!C:C)</f>
        <v/>
      </c>
      <c r="F166" s="255">
        <f>_xlfn.XLOOKUP(D166, [1]Collection!B:B, [1]Collection!D:D)</f>
        <v/>
      </c>
      <c r="G166" s="255" t="inlineStr">
        <is>
          <t>Phone sales Middle East</t>
        </is>
      </c>
      <c r="H166" s="257" t="inlineStr">
        <is>
          <t>98874827</t>
        </is>
      </c>
      <c r="I166" s="257" t="n"/>
      <c r="J166" s="257" t="n"/>
      <c r="K166" s="257" t="n"/>
      <c r="L166" s="257" t="n"/>
      <c r="M166" s="257" t="n"/>
      <c r="N166" s="255" t="inlineStr">
        <is>
          <t>Prospect</t>
        </is>
      </c>
      <c r="O166" s="255" t="inlineStr">
        <is>
          <t>SHARIF Maaz</t>
        </is>
      </c>
      <c r="P166" s="258" t="inlineStr"/>
      <c r="Q166" s="259">
        <f>IF(AND(Table15[[#This Row],[Column1]]&lt;&gt;"",ISNUMBER(DATEVALUE(Table15[[#This Row],[Column1]]))),TODAY()-DATEVALUE(Table15[[#This Row],[Column1]]),"")</f>
        <v/>
      </c>
    </row>
    <row r="167" hidden="1" s="287">
      <c r="A167" s="254" t="inlineStr">
        <is>
          <t>Request</t>
        </is>
      </c>
      <c r="B167" s="255" t="inlineStr"/>
      <c r="C167" s="256" t="inlineStr">
        <is>
          <t>18/1/2025</t>
        </is>
      </c>
      <c r="D167" s="255" t="inlineStr">
        <is>
          <t>4200H/222A-B934</t>
        </is>
      </c>
      <c r="E167" s="255">
        <f>_xlfn.XLOOKUP(D167, [1]Collection!B:B, [1]Collection!C:C)</f>
        <v/>
      </c>
      <c r="F167" s="255">
        <f>_xlfn.XLOOKUP(D167, [1]Collection!B:B, [1]Collection!D:D)</f>
        <v/>
      </c>
      <c r="G167" s="255" t="inlineStr">
        <is>
          <t>Phone sales Middle East</t>
        </is>
      </c>
      <c r="H167" s="257" t="inlineStr">
        <is>
          <t>103671613</t>
        </is>
      </c>
      <c r="I167" s="257" t="n"/>
      <c r="J167" s="257" t="n"/>
      <c r="K167" s="257" t="n"/>
      <c r="L167" s="257" t="n"/>
      <c r="M167" s="257" t="n"/>
      <c r="N167" s="255" t="inlineStr">
        <is>
          <t>Prospect</t>
        </is>
      </c>
      <c r="O167" s="255" t="inlineStr">
        <is>
          <t>SHARIF Maaz</t>
        </is>
      </c>
      <c r="P167" s="258" t="inlineStr"/>
      <c r="Q167" s="259">
        <f>IF(AND(Table15[[#This Row],[Column1]]&lt;&gt;"",ISNUMBER(DATEVALUE(Table15[[#This Row],[Column1]]))),TODAY()-DATEVALUE(Table15[[#This Row],[Column1]]),"")</f>
        <v/>
      </c>
    </row>
    <row r="168" hidden="1" s="287">
      <c r="A168" s="254" t="inlineStr">
        <is>
          <t>Request</t>
        </is>
      </c>
      <c r="B168" s="255" t="inlineStr"/>
      <c r="C168" s="256" t="inlineStr">
        <is>
          <t>18/1/2025</t>
        </is>
      </c>
      <c r="D168" s="255" t="inlineStr">
        <is>
          <t>4200H/222A-B934</t>
        </is>
      </c>
      <c r="E168" s="255">
        <f>_xlfn.XLOOKUP(D168, [1]Collection!B:B, [1]Collection!C:C)</f>
        <v/>
      </c>
      <c r="F168" s="255">
        <f>_xlfn.XLOOKUP(D168, [1]Collection!B:B, [1]Collection!D:D)</f>
        <v/>
      </c>
      <c r="G168" s="255" t="inlineStr">
        <is>
          <t>Phone sales Middle East</t>
        </is>
      </c>
      <c r="H168" s="257" t="inlineStr">
        <is>
          <t>92406996</t>
        </is>
      </c>
      <c r="I168" s="257" t="n"/>
      <c r="J168" s="257" t="n"/>
      <c r="K168" s="257" t="n"/>
      <c r="L168" s="257" t="n"/>
      <c r="M168" s="257" t="n"/>
      <c r="N168" s="255" t="inlineStr">
        <is>
          <t>Prospect</t>
        </is>
      </c>
      <c r="O168" s="255" t="inlineStr">
        <is>
          <t>SHARIF Maaz</t>
        </is>
      </c>
      <c r="P168" s="258" t="inlineStr"/>
      <c r="Q168" s="259">
        <f>IF(AND(Table15[[#This Row],[Column1]]&lt;&gt;"",ISNUMBER(DATEVALUE(Table15[[#This Row],[Column1]]))),TODAY()-DATEVALUE(Table15[[#This Row],[Column1]]),"")</f>
        <v/>
      </c>
    </row>
    <row r="169" hidden="1" s="287">
      <c r="A169" s="254" t="inlineStr">
        <is>
          <t>Request</t>
        </is>
      </c>
      <c r="B169" s="255" t="inlineStr"/>
      <c r="C169" s="256" t="inlineStr">
        <is>
          <t>18/1/2025</t>
        </is>
      </c>
      <c r="D169" s="255" t="inlineStr">
        <is>
          <t>4200H/222A-B934</t>
        </is>
      </c>
      <c r="E169" s="255">
        <f>_xlfn.XLOOKUP(D169, [1]Collection!B:B, [1]Collection!C:C)</f>
        <v/>
      </c>
      <c r="F169" s="255">
        <f>_xlfn.XLOOKUP(D169, [1]Collection!B:B, [1]Collection!D:D)</f>
        <v/>
      </c>
      <c r="G169" s="255" t="inlineStr">
        <is>
          <t>Phone sales Middle East</t>
        </is>
      </c>
      <c r="H169" s="257" t="inlineStr">
        <is>
          <t>103673291</t>
        </is>
      </c>
      <c r="I169" s="257" t="n"/>
      <c r="J169" s="257" t="n"/>
      <c r="K169" s="257" t="n"/>
      <c r="L169" s="257" t="n"/>
      <c r="M169" s="257" t="n"/>
      <c r="N169" s="255" t="inlineStr">
        <is>
          <t>Prospect</t>
        </is>
      </c>
      <c r="O169" s="255" t="inlineStr">
        <is>
          <t>SHARIF Maaz</t>
        </is>
      </c>
      <c r="P169" s="258" t="inlineStr"/>
      <c r="Q169" s="259">
        <f>IF(AND(Table15[[#This Row],[Column1]]&lt;&gt;"",ISNUMBER(DATEVALUE(Table15[[#This Row],[Column1]]))),TODAY()-DATEVALUE(Table15[[#This Row],[Column1]]),"")</f>
        <v/>
      </c>
    </row>
    <row r="170" hidden="1" s="287">
      <c r="A170" s="254" t="inlineStr">
        <is>
          <t>Request</t>
        </is>
      </c>
      <c r="B170" s="255" t="inlineStr"/>
      <c r="C170" s="256" t="inlineStr">
        <is>
          <t>17/9/2024</t>
        </is>
      </c>
      <c r="D170" s="255" t="inlineStr">
        <is>
          <t>4520V/210A-B128</t>
        </is>
      </c>
      <c r="E170" s="255">
        <f>_xlfn.XLOOKUP(D170, [1]Collection!B:B, [1]Collection!C:C)</f>
        <v/>
      </c>
      <c r="F170" s="255">
        <f>_xlfn.XLOOKUP(D170, [1]Collection!B:B, [1]Collection!D:D)</f>
        <v/>
      </c>
      <c r="G170" s="255" t="inlineStr">
        <is>
          <t>Phone sales Middle East</t>
        </is>
      </c>
      <c r="H170" s="257" t="inlineStr">
        <is>
          <t>101522662</t>
        </is>
      </c>
      <c r="I170" s="257" t="n"/>
      <c r="J170" s="257" t="n"/>
      <c r="K170" s="257" t="n"/>
      <c r="L170" s="257" t="n"/>
      <c r="M170" s="257" t="n"/>
      <c r="N170" s="255" t="inlineStr">
        <is>
          <t>Prospect</t>
        </is>
      </c>
      <c r="O170" s="255" t="inlineStr">
        <is>
          <t>SHARIF Maaz</t>
        </is>
      </c>
      <c r="P170" s="258" t="inlineStr">
        <is>
          <t xml:space="preserve">The client showed interest  in the oversease blue dial , 
</t>
        </is>
      </c>
      <c r="Q170" s="259">
        <f>IF(AND(Table15[[#This Row],[Column1]]&lt;&gt;"",ISNUMBER(DATEVALUE(Table15[[#This Row],[Column1]]))),TODAY()-DATEVALUE(Table15[[#This Row],[Column1]]),"")</f>
        <v/>
      </c>
    </row>
    <row r="171" hidden="1" s="287">
      <c r="A171" s="254" t="inlineStr">
        <is>
          <t>Request</t>
        </is>
      </c>
      <c r="B171" s="255" t="inlineStr"/>
      <c r="C171" s="256" t="inlineStr">
        <is>
          <t>17/7/2024</t>
        </is>
      </c>
      <c r="D171" s="255" t="inlineStr">
        <is>
          <t>4520V/210A-B128</t>
        </is>
      </c>
      <c r="E171" s="255">
        <f>_xlfn.XLOOKUP(D171, [1]Collection!B:B, [1]Collection!C:C)</f>
        <v/>
      </c>
      <c r="F171" s="255">
        <f>_xlfn.XLOOKUP(D171, [1]Collection!B:B, [1]Collection!D:D)</f>
        <v/>
      </c>
      <c r="G171" s="255" t="inlineStr">
        <is>
          <t>Phone sales Middle East</t>
        </is>
      </c>
      <c r="H171" s="257" t="inlineStr">
        <is>
          <t>100737696</t>
        </is>
      </c>
      <c r="I171" s="257" t="n"/>
      <c r="J171" s="257" t="n"/>
      <c r="K171" s="257" t="n"/>
      <c r="L171" s="257" t="n"/>
      <c r="M171" s="257" t="n"/>
      <c r="N171" s="255" t="inlineStr">
        <is>
          <t>Prospect</t>
        </is>
      </c>
      <c r="O171" s="255" t="inlineStr">
        <is>
          <t>SHARIF Maaz</t>
        </is>
      </c>
      <c r="P171" s="258" t="inlineStr">
        <is>
          <t xml:space="preserve">the client is interested in purchasing the **[Overseas self-winding ](https://richemont.lightning.force.com/lightning/r/01t1i000004DWYiAAO/view)**
</t>
        </is>
      </c>
      <c r="Q171" s="259">
        <f>IF(AND(Table15[[#This Row],[Column1]]&lt;&gt;"",ISNUMBER(DATEVALUE(Table15[[#This Row],[Column1]]))),TODAY()-DATEVALUE(Table15[[#This Row],[Column1]]),"")</f>
        <v/>
      </c>
    </row>
    <row r="172" ht="31.2" customHeight="1" s="287">
      <c r="A172" s="254" t="inlineStr">
        <is>
          <t>Request</t>
        </is>
      </c>
      <c r="B172" s="255" t="inlineStr"/>
      <c r="C172" s="256" t="inlineStr">
        <is>
          <t>17/6/2025</t>
        </is>
      </c>
      <c r="D172" s="255" t="inlineStr">
        <is>
          <t>82035/000G-B735</t>
        </is>
      </c>
      <c r="E172" s="255">
        <f>_xlfn.XLOOKUP(D172, [1]Collection!B:B, [1]Collection!C:C)</f>
        <v/>
      </c>
      <c r="F172" s="255">
        <f>_xlfn.XLOOKUP(D172, [1]Collection!B:B, [1]Collection!D:D)</f>
        <v/>
      </c>
      <c r="G172" s="255" t="inlineStr">
        <is>
          <t>Phone sales Middle East</t>
        </is>
      </c>
      <c r="H172" s="257" t="inlineStr">
        <is>
          <t>106797668</t>
        </is>
      </c>
      <c r="I172" s="257" t="n"/>
      <c r="J172" s="261" t="n"/>
      <c r="K172" s="257" t="n"/>
      <c r="L172" s="257" t="n"/>
      <c r="M172" s="257" t="n"/>
      <c r="N172" s="255" t="inlineStr">
        <is>
          <t>Prospect</t>
        </is>
      </c>
      <c r="O172" s="255" t="inlineStr">
        <is>
          <t>SHARIF Maaz</t>
        </is>
      </c>
      <c r="P172" s="262" t="inlineStr">
        <is>
          <t xml:space="preserve">
</t>
        </is>
      </c>
      <c r="Q172" s="259">
        <f>IF(AND(Table15[[#This Row],[Column1]]&lt;&gt;"",ISNUMBER(DATEVALUE(Table15[[#This Row],[Column1]]))),TODAY()-DATEVALUE(Table15[[#This Row],[Column1]]),"")</f>
        <v/>
      </c>
    </row>
    <row r="173" ht="31.2" customHeight="1" s="287">
      <c r="A173" s="254" t="inlineStr">
        <is>
          <t>Request</t>
        </is>
      </c>
      <c r="B173" s="255" t="inlineStr"/>
      <c r="C173" s="256" t="inlineStr">
        <is>
          <t>17/6/2025</t>
        </is>
      </c>
      <c r="D173" s="255" t="inlineStr">
        <is>
          <t>6000V/210T-H032</t>
        </is>
      </c>
      <c r="E173" s="255">
        <f>_xlfn.XLOOKUP(D173, [1]Collection!B:B, [1]Collection!C:C)</f>
        <v/>
      </c>
      <c r="F173" s="255">
        <f>_xlfn.XLOOKUP(D173, [1]Collection!B:B, [1]Collection!D:D)</f>
        <v/>
      </c>
      <c r="G173" s="255" t="inlineStr">
        <is>
          <t>Phone sales Middle East</t>
        </is>
      </c>
      <c r="H173" s="257" t="inlineStr">
        <is>
          <t>106806026</t>
        </is>
      </c>
      <c r="I173" s="257" t="n"/>
      <c r="J173" s="261" t="n"/>
      <c r="K173" s="257" t="n"/>
      <c r="L173" s="257" t="n"/>
      <c r="M173" s="257" t="n"/>
      <c r="N173" s="255" t="inlineStr">
        <is>
          <t>Prospect</t>
        </is>
      </c>
      <c r="O173" s="255" t="inlineStr">
        <is>
          <t>SHARIF Maaz</t>
        </is>
      </c>
      <c r="P173" s="262" t="inlineStr">
        <is>
          <t xml:space="preserve">
</t>
        </is>
      </c>
      <c r="Q173" s="259">
        <f>IF(AND(Table15[[#This Row],[Column1]]&lt;&gt;"",ISNUMBER(DATEVALUE(Table15[[#This Row],[Column1]]))),TODAY()-DATEVALUE(Table15[[#This Row],[Column1]]),"")</f>
        <v/>
      </c>
    </row>
    <row r="174" ht="31.2" customHeight="1" s="287">
      <c r="A174" s="254" t="inlineStr">
        <is>
          <t>Request</t>
        </is>
      </c>
      <c r="B174" s="255" t="inlineStr"/>
      <c r="C174" s="256" t="inlineStr">
        <is>
          <t>17/5/2025</t>
        </is>
      </c>
      <c r="D174" s="255" t="inlineStr">
        <is>
          <t>7920V/210A-B334</t>
        </is>
      </c>
      <c r="E174" s="255">
        <f>_xlfn.XLOOKUP(D174, [1]Collection!B:B, [1]Collection!C:C)</f>
        <v/>
      </c>
      <c r="F174" s="255">
        <f>_xlfn.XLOOKUP(D174, [1]Collection!B:B, [1]Collection!D:D)</f>
        <v/>
      </c>
      <c r="G174" s="255" t="inlineStr">
        <is>
          <t>Phone sales Middle East</t>
        </is>
      </c>
      <c r="H174" s="257" t="inlineStr">
        <is>
          <t>104715298</t>
        </is>
      </c>
      <c r="I174" s="257" t="n"/>
      <c r="J174" s="261" t="n"/>
      <c r="K174" s="257" t="n"/>
      <c r="L174" s="257" t="n"/>
      <c r="M174" s="257" t="n"/>
      <c r="N174" s="255" t="inlineStr">
        <is>
          <t>Prospect</t>
        </is>
      </c>
      <c r="O174" s="255" t="inlineStr">
        <is>
          <t>SHARIF Maaz</t>
        </is>
      </c>
      <c r="P174" s="262" t="inlineStr">
        <is>
          <t xml:space="preserve">Dual time and the Quartz 
</t>
        </is>
      </c>
      <c r="Q174" s="259">
        <f>IF(AND(Table15[[#This Row],[Column1]]&lt;&gt;"",ISNUMBER(DATEVALUE(Table15[[#This Row],[Column1]]))),TODAY()-DATEVALUE(Table15[[#This Row],[Column1]]),"")</f>
        <v/>
      </c>
    </row>
    <row r="175" hidden="1" s="287">
      <c r="A175" s="254" t="inlineStr">
        <is>
          <t>Request</t>
        </is>
      </c>
      <c r="B175" s="255" t="inlineStr"/>
      <c r="C175" s="256" t="inlineStr">
        <is>
          <t>17/4/2025</t>
        </is>
      </c>
      <c r="D175" s="255" t="inlineStr">
        <is>
          <t>4200H/222A-B934</t>
        </is>
      </c>
      <c r="E175" s="255">
        <f>_xlfn.XLOOKUP(D175, [1]Collection!B:B, [1]Collection!C:C)</f>
        <v/>
      </c>
      <c r="F175" s="255">
        <f>_xlfn.XLOOKUP(D175, [1]Collection!B:B, [1]Collection!D:D)</f>
        <v/>
      </c>
      <c r="G175" s="255" t="inlineStr">
        <is>
          <t>Phone sales Middle East</t>
        </is>
      </c>
      <c r="H175" s="257" t="inlineStr">
        <is>
          <t>105234569</t>
        </is>
      </c>
      <c r="I175" s="257" t="n"/>
      <c r="J175" s="257" t="n"/>
      <c r="K175" s="257" t="n"/>
      <c r="L175" s="257" t="n"/>
      <c r="M175" s="257" t="n"/>
      <c r="N175" s="255" t="inlineStr">
        <is>
          <t>Prospect</t>
        </is>
      </c>
      <c r="O175" s="255" t="inlineStr">
        <is>
          <t>SHARIF Maaz</t>
        </is>
      </c>
      <c r="P175" s="258" t="inlineStr">
        <is>
          <t xml:space="preserve">KSA 222
</t>
        </is>
      </c>
      <c r="Q175" s="259">
        <f>IF(AND(Table15[[#This Row],[Column1]]&lt;&gt;"",ISNUMBER(DATEVALUE(Table15[[#This Row],[Column1]]))),TODAY()-DATEVALUE(Table15[[#This Row],[Column1]]),"")</f>
        <v/>
      </c>
    </row>
    <row r="176" ht="202.8" customHeight="1" s="287">
      <c r="A176" s="254" t="inlineStr">
        <is>
          <t>Request</t>
        </is>
      </c>
      <c r="B176" s="255" t="inlineStr">
        <is>
          <t>Confirmed</t>
        </is>
      </c>
      <c r="C176" s="256" t="inlineStr">
        <is>
          <t>17/12/2024</t>
        </is>
      </c>
      <c r="D176" s="255" t="inlineStr">
        <is>
          <t>4300V/220G-B946</t>
        </is>
      </c>
      <c r="E176" s="255">
        <f>_xlfn.XLOOKUP(D176, [1]Collection!B:B, [1]Collection!C:C)</f>
        <v/>
      </c>
      <c r="F176" s="255">
        <f>_xlfn.XLOOKUP(D176, [1]Collection!B:B, [1]Collection!D:D)</f>
        <v/>
      </c>
      <c r="G176" s="255" t="inlineStr">
        <is>
          <t>Phone sales Middle East</t>
        </is>
      </c>
      <c r="H176" s="257" t="inlineStr">
        <is>
          <t>103058741</t>
        </is>
      </c>
      <c r="I176" s="257" t="n"/>
      <c r="J176" s="261" t="n"/>
      <c r="K176" s="257" t="n"/>
      <c r="L176" s="257" t="n"/>
      <c r="M176" s="257" t="n"/>
      <c r="N176" s="255" t="inlineStr">
        <is>
          <t>Prospect</t>
        </is>
      </c>
      <c r="O176" s="255" t="inlineStr">
        <is>
          <t>SHARIF Maaz</t>
        </is>
      </c>
      <c r="P176" s="262" t="inlineStr">
        <is>
          <t xml:space="preserve">The client is of exceptional stature, with deep-rooted connections to family-operated holding companies and a distinguished legacy in multi-generational wealth management, reflecting both influence and enduring financial sophistication. 
</t>
        </is>
      </c>
      <c r="Q176" s="259">
        <f>IF(AND(Table15[[#This Row],[Column1]]&lt;&gt;"",ISNUMBER(DATEVALUE(Table15[[#This Row],[Column1]]))),TODAY()-DATEVALUE(Table15[[#This Row],[Column1]]),"")</f>
        <v/>
      </c>
    </row>
    <row r="177" ht="234" customHeight="1" s="287">
      <c r="A177" s="254" t="inlineStr">
        <is>
          <t>Sold</t>
        </is>
      </c>
      <c r="B177" s="255" t="inlineStr">
        <is>
          <t>Confirmed</t>
        </is>
      </c>
      <c r="C177" s="256" t="inlineStr">
        <is>
          <t>17/10/2024</t>
        </is>
      </c>
      <c r="D177" s="255" t="inlineStr">
        <is>
          <t>5520V/210R-B966</t>
        </is>
      </c>
      <c r="E177" s="255">
        <f>_xlfn.XLOOKUP(D177, [1]Collection!B:B, [1]Collection!C:C)</f>
        <v/>
      </c>
      <c r="F177" s="255">
        <f>_xlfn.XLOOKUP(D177, [1]Collection!B:B, [1]Collection!D:D)</f>
        <v/>
      </c>
      <c r="G177" s="255" t="inlineStr">
        <is>
          <t>Phone sales Middle East</t>
        </is>
      </c>
      <c r="H177" s="257" t="inlineStr">
        <is>
          <t>101923321</t>
        </is>
      </c>
      <c r="I177" s="257" t="n"/>
      <c r="J177" s="261" t="n"/>
      <c r="K177" s="257" t="n"/>
      <c r="L177" s="257" t="n"/>
      <c r="M177" s="257" t="n"/>
      <c r="N177" s="255" t="inlineStr">
        <is>
          <t>Prospect</t>
        </is>
      </c>
      <c r="O177" s="255" t="inlineStr">
        <is>
          <t>SHARIF Maaz</t>
        </is>
      </c>
      <c r="P177" s="262" t="inlineStr">
        <is>
          <t xml:space="preserve">\\
Interested in buying the **Overseas Chronograph** 
5520V/210R-B966  as a birthday gift for her husband in November. She’s comparing the 41mm 7920V/210R-B965 | and 42.5mm models, as she’s concerned about the size difference. 
</t>
        </is>
      </c>
      <c r="Q177" s="259">
        <f>IF(AND(Table15[[#This Row],[Column1]]&lt;&gt;"",ISNUMBER(DATEVALUE(Table15[[#This Row],[Column1]]))),TODAY()-DATEVALUE(Table15[[#This Row],[Column1]]),"")</f>
        <v/>
      </c>
    </row>
    <row r="178" ht="93.59999999999999" customHeight="1" s="287">
      <c r="A178" s="254" t="inlineStr">
        <is>
          <t>Cancelled</t>
        </is>
      </c>
      <c r="B178" s="255" t="inlineStr">
        <is>
          <t>Cancelled</t>
        </is>
      </c>
      <c r="C178" s="256" t="inlineStr">
        <is>
          <t>17/10/2024</t>
        </is>
      </c>
      <c r="D178" s="255" t="inlineStr">
        <is>
          <t>7920V/210R-B965</t>
        </is>
      </c>
      <c r="E178" s="255">
        <f>_xlfn.XLOOKUP(D178, [1]Collection!B:B, [1]Collection!C:C)</f>
        <v/>
      </c>
      <c r="F178" s="255">
        <f>_xlfn.XLOOKUP(D178, [1]Collection!B:B, [1]Collection!D:D)</f>
        <v/>
      </c>
      <c r="G178" s="255" t="inlineStr">
        <is>
          <t>Phone sales Middle East</t>
        </is>
      </c>
      <c r="H178" s="257" t="inlineStr">
        <is>
          <t>101923321</t>
        </is>
      </c>
      <c r="I178" s="257" t="n"/>
      <c r="J178" s="261" t="n"/>
      <c r="K178" s="257" t="n"/>
      <c r="L178" s="257" t="n"/>
      <c r="M178" s="257" t="n"/>
      <c r="N178" s="255" t="inlineStr">
        <is>
          <t>Prospect</t>
        </is>
      </c>
      <c r="O178" s="255" t="inlineStr">
        <is>
          <t>SHARIF Maaz</t>
        </is>
      </c>
      <c r="P178" s="262" t="inlineStr">
        <is>
          <t xml:space="preserve">The client will be taken either the dual time or the 
Overseas chronograph
</t>
        </is>
      </c>
      <c r="Q178" s="259">
        <f>IF(AND(Table15[[#This Row],[Column1]]&lt;&gt;"",ISNUMBER(DATEVALUE(Table15[[#This Row],[Column1]]))),TODAY()-DATEVALUE(Table15[[#This Row],[Column1]]),"")</f>
        <v/>
      </c>
    </row>
    <row r="179" ht="62.4" customHeight="1" s="287">
      <c r="A179" s="254" t="inlineStr">
        <is>
          <t>Cancelled</t>
        </is>
      </c>
      <c r="B179" s="255" t="inlineStr">
        <is>
          <t>Cancelled</t>
        </is>
      </c>
      <c r="C179" s="256" t="inlineStr">
        <is>
          <t>17/10/2024</t>
        </is>
      </c>
      <c r="D179" s="255" t="inlineStr">
        <is>
          <t>82035/000R-9359</t>
        </is>
      </c>
      <c r="E179" s="255">
        <f>_xlfn.XLOOKUP(D179, [1]Collection!B:B, [1]Collection!C:C)</f>
        <v/>
      </c>
      <c r="F179" s="255">
        <f>_xlfn.XLOOKUP(D179, [1]Collection!B:B, [1]Collection!D:D)</f>
        <v/>
      </c>
      <c r="G179" s="255" t="inlineStr">
        <is>
          <t>Phone sales Middle East</t>
        </is>
      </c>
      <c r="H179" s="257" t="inlineStr">
        <is>
          <t>101952731</t>
        </is>
      </c>
      <c r="I179" s="257" t="n"/>
      <c r="J179" s="261" t="n"/>
      <c r="K179" s="257" t="n"/>
      <c r="L179" s="257" t="n"/>
      <c r="M179" s="257" t="n"/>
      <c r="N179" s="255" t="inlineStr">
        <is>
          <t>Prospect</t>
        </is>
      </c>
      <c r="O179" s="255" t="inlineStr">
        <is>
          <t>SHARIF Maaz</t>
        </is>
      </c>
      <c r="P179" s="262" t="inlineStr">
        <is>
          <t xml:space="preserve">Waiting for the client confirmation when he will come to UAE
</t>
        </is>
      </c>
      <c r="Q179" s="259">
        <f>IF(AND(Table15[[#This Row],[Column1]]&lt;&gt;"",ISNUMBER(DATEVALUE(Table15[[#This Row],[Column1]]))),TODAY()-DATEVALUE(Table15[[#This Row],[Column1]]),"")</f>
        <v/>
      </c>
    </row>
    <row r="180" hidden="1" s="287">
      <c r="A180" s="254" t="inlineStr">
        <is>
          <t>Request</t>
        </is>
      </c>
      <c r="B180" s="255" t="inlineStr"/>
      <c r="C180" s="256" t="inlineStr">
        <is>
          <t>17/1/2025</t>
        </is>
      </c>
      <c r="D180" s="255" t="inlineStr">
        <is>
          <t>4200H/222A-B934</t>
        </is>
      </c>
      <c r="E180" s="255">
        <f>_xlfn.XLOOKUP(D180, [1]Collection!B:B, [1]Collection!C:C)</f>
        <v/>
      </c>
      <c r="F180" s="255">
        <f>_xlfn.XLOOKUP(D180, [1]Collection!B:B, [1]Collection!D:D)</f>
        <v/>
      </c>
      <c r="G180" s="255" t="inlineStr">
        <is>
          <t>Phone sales Middle East</t>
        </is>
      </c>
      <c r="H180" s="257" t="inlineStr">
        <is>
          <t>103616253</t>
        </is>
      </c>
      <c r="I180" s="257" t="n"/>
      <c r="J180" s="257" t="n"/>
      <c r="K180" s="257" t="n"/>
      <c r="L180" s="257" t="n"/>
      <c r="M180" s="257" t="n"/>
      <c r="N180" s="255" t="inlineStr">
        <is>
          <t>Prospect</t>
        </is>
      </c>
      <c r="O180" s="255" t="inlineStr">
        <is>
          <t>SHARIF Maaz</t>
        </is>
      </c>
      <c r="P180" s="258" t="inlineStr"/>
      <c r="Q180" s="259">
        <f>IF(AND(Table15[[#This Row],[Column1]]&lt;&gt;"",ISNUMBER(DATEVALUE(Table15[[#This Row],[Column1]]))),TODAY()-DATEVALUE(Table15[[#This Row],[Column1]]),"")</f>
        <v/>
      </c>
    </row>
    <row r="181" hidden="1" s="287">
      <c r="A181" s="254" t="inlineStr">
        <is>
          <t>Request</t>
        </is>
      </c>
      <c r="B181" s="255" t="inlineStr"/>
      <c r="C181" s="256" t="inlineStr">
        <is>
          <t>17/1/2025</t>
        </is>
      </c>
      <c r="D181" s="255" t="inlineStr">
        <is>
          <t>4200H/222A-B934</t>
        </is>
      </c>
      <c r="E181" s="255">
        <f>_xlfn.XLOOKUP(D181, [1]Collection!B:B, [1]Collection!C:C)</f>
        <v/>
      </c>
      <c r="F181" s="255">
        <f>_xlfn.XLOOKUP(D181, [1]Collection!B:B, [1]Collection!D:D)</f>
        <v/>
      </c>
      <c r="G181" s="255" t="inlineStr">
        <is>
          <t>Phone sales Middle East</t>
        </is>
      </c>
      <c r="H181" s="257" t="inlineStr">
        <is>
          <t>92404856</t>
        </is>
      </c>
      <c r="I181" s="257" t="n"/>
      <c r="J181" s="257" t="n"/>
      <c r="K181" s="257" t="n"/>
      <c r="L181" s="257" t="n"/>
      <c r="M181" s="257" t="n"/>
      <c r="N181" s="255" t="inlineStr">
        <is>
          <t>Prospect</t>
        </is>
      </c>
      <c r="O181" s="255" t="inlineStr">
        <is>
          <t>SHARIF Maaz</t>
        </is>
      </c>
      <c r="P181" s="258" t="inlineStr"/>
      <c r="Q181" s="259">
        <f>IF(AND(Table15[[#This Row],[Column1]]&lt;&gt;"",ISNUMBER(DATEVALUE(Table15[[#This Row],[Column1]]))),TODAY()-DATEVALUE(Table15[[#This Row],[Column1]]),"")</f>
        <v/>
      </c>
    </row>
    <row r="182" hidden="1" s="287">
      <c r="A182" s="254" t="inlineStr">
        <is>
          <t>Request</t>
        </is>
      </c>
      <c r="B182" s="255" t="inlineStr"/>
      <c r="C182" s="256" t="inlineStr">
        <is>
          <t>17/1/2025</t>
        </is>
      </c>
      <c r="D182" s="255" t="inlineStr">
        <is>
          <t>4200H/222A-B934</t>
        </is>
      </c>
      <c r="E182" s="255">
        <f>_xlfn.XLOOKUP(D182, [1]Collection!B:B, [1]Collection!C:C)</f>
        <v/>
      </c>
      <c r="F182" s="255">
        <f>_xlfn.XLOOKUP(D182, [1]Collection!B:B, [1]Collection!D:D)</f>
        <v/>
      </c>
      <c r="G182" s="255" t="inlineStr">
        <is>
          <t>Phone sales Middle East</t>
        </is>
      </c>
      <c r="H182" s="257" t="inlineStr">
        <is>
          <t>103658184</t>
        </is>
      </c>
      <c r="I182" s="257" t="n"/>
      <c r="J182" s="257" t="n"/>
      <c r="K182" s="257" t="n"/>
      <c r="L182" s="257" t="n"/>
      <c r="M182" s="257" t="n"/>
      <c r="N182" s="255" t="inlineStr">
        <is>
          <t>Prospect</t>
        </is>
      </c>
      <c r="O182" s="255" t="inlineStr">
        <is>
          <t>SHARIF Maaz</t>
        </is>
      </c>
      <c r="P182" s="258" t="inlineStr"/>
      <c r="Q182" s="259">
        <f>IF(AND(Table15[[#This Row],[Column1]]&lt;&gt;"",ISNUMBER(DATEVALUE(Table15[[#This Row],[Column1]]))),TODAY()-DATEVALUE(Table15[[#This Row],[Column1]]),"")</f>
        <v/>
      </c>
    </row>
    <row r="183" hidden="1" s="287">
      <c r="A183" s="254" t="inlineStr">
        <is>
          <t>Request</t>
        </is>
      </c>
      <c r="B183" s="255" t="inlineStr"/>
      <c r="C183" s="256" t="inlineStr">
        <is>
          <t>17/1/2025</t>
        </is>
      </c>
      <c r="D183" s="255" t="inlineStr">
        <is>
          <t>4200H/222A-B934</t>
        </is>
      </c>
      <c r="E183" s="255">
        <f>_xlfn.XLOOKUP(D183, [1]Collection!B:B, [1]Collection!C:C)</f>
        <v/>
      </c>
      <c r="F183" s="255">
        <f>_xlfn.XLOOKUP(D183, [1]Collection!B:B, [1]Collection!D:D)</f>
        <v/>
      </c>
      <c r="G183" s="255" t="inlineStr">
        <is>
          <t>Phone sales Middle East</t>
        </is>
      </c>
      <c r="H183" s="257" t="inlineStr">
        <is>
          <t>100481133</t>
        </is>
      </c>
      <c r="I183" s="257" t="n"/>
      <c r="J183" s="257" t="n"/>
      <c r="K183" s="257" t="n"/>
      <c r="L183" s="257" t="n"/>
      <c r="M183" s="257" t="n"/>
      <c r="N183" s="255" t="inlineStr">
        <is>
          <t>VIC</t>
        </is>
      </c>
      <c r="O183" s="255" t="inlineStr">
        <is>
          <t>SHARIF Maaz</t>
        </is>
      </c>
      <c r="P183" s="258" t="inlineStr">
        <is>
          <t xml:space="preserve">
</t>
        </is>
      </c>
      <c r="Q183" s="259">
        <f>IF(AND(Table15[[#This Row],[Column1]]&lt;&gt;"",ISNUMBER(DATEVALUE(Table15[[#This Row],[Column1]]))),TODAY()-DATEVALUE(Table15[[#This Row],[Column1]]),"")</f>
        <v/>
      </c>
    </row>
    <row r="184" hidden="1" s="287">
      <c r="A184" s="254" t="inlineStr">
        <is>
          <t>Request</t>
        </is>
      </c>
      <c r="B184" s="255" t="inlineStr"/>
      <c r="C184" s="256" t="inlineStr">
        <is>
          <t>16/7/2024</t>
        </is>
      </c>
      <c r="D184" s="255" t="inlineStr">
        <is>
          <t>4520V/210A-B128</t>
        </is>
      </c>
      <c r="E184" s="255">
        <f>_xlfn.XLOOKUP(D184, [1]Collection!B:B, [1]Collection!C:C)</f>
        <v/>
      </c>
      <c r="F184" s="255">
        <f>_xlfn.XLOOKUP(D184, [1]Collection!B:B, [1]Collection!D:D)</f>
        <v/>
      </c>
      <c r="G184" s="255" t="inlineStr">
        <is>
          <t>Phone sales Middle East</t>
        </is>
      </c>
      <c r="H184" s="257" t="inlineStr">
        <is>
          <t>100599306</t>
        </is>
      </c>
      <c r="I184" s="257" t="n"/>
      <c r="J184" s="257" t="n"/>
      <c r="K184" s="257" t="n"/>
      <c r="L184" s="257" t="n"/>
      <c r="M184" s="257" t="n"/>
      <c r="N184" s="255" t="inlineStr">
        <is>
          <t>Prospect</t>
        </is>
      </c>
      <c r="O184" s="255" t="inlineStr">
        <is>
          <t>SHARIF Maaz</t>
        </is>
      </c>
      <c r="P184" s="258" t="inlineStr">
        <is>
          <t xml:space="preserve">The client wish to be added to the waiting list 
</t>
        </is>
      </c>
      <c r="Q184" s="259">
        <f>IF(AND(Table15[[#This Row],[Column1]]&lt;&gt;"",ISNUMBER(DATEVALUE(Table15[[#This Row],[Column1]]))),TODAY()-DATEVALUE(Table15[[#This Row],[Column1]]),"")</f>
        <v/>
      </c>
    </row>
    <row r="185" ht="78" customHeight="1" s="287">
      <c r="A185" s="254" t="inlineStr">
        <is>
          <t>Request</t>
        </is>
      </c>
      <c r="B185" s="255" t="inlineStr">
        <is>
          <t>Pending client feedback</t>
        </is>
      </c>
      <c r="C185" s="256" t="inlineStr">
        <is>
          <t>16/7/2024</t>
        </is>
      </c>
      <c r="D185" s="255" t="inlineStr">
        <is>
          <t>5100T/000P-H041</t>
        </is>
      </c>
      <c r="E185" s="255">
        <f>_xlfn.XLOOKUP(D185, [1]Collection!B:B, [1]Collection!C:C)</f>
        <v/>
      </c>
      <c r="F185" s="255">
        <f>_xlfn.XLOOKUP(D185, [1]Collection!B:B, [1]Collection!D:D)</f>
        <v/>
      </c>
      <c r="G185" s="255" t="inlineStr">
        <is>
          <t>Phone sales Middle East</t>
        </is>
      </c>
      <c r="H185" s="257" t="inlineStr">
        <is>
          <t>100736346</t>
        </is>
      </c>
      <c r="I185" s="257" t="n"/>
      <c r="J185" s="261" t="n"/>
      <c r="K185" s="257" t="n"/>
      <c r="L185" s="257" t="n"/>
      <c r="M185" s="257" t="n"/>
      <c r="N185" s="255" t="inlineStr">
        <is>
          <t>Prospect</t>
        </is>
      </c>
      <c r="O185" s="255" t="inlineStr">
        <is>
          <t>SHARIF Maaz</t>
        </is>
      </c>
      <c r="P185" s="262" t="inlineStr">
        <is>
          <t xml:space="preserve">The client is interested in Traditionnelle tourbillon chronograph, 
</t>
        </is>
      </c>
      <c r="Q185" s="259">
        <f>IF(AND(Table15[[#This Row],[Column1]]&lt;&gt;"",ISNUMBER(DATEVALUE(Table15[[#This Row],[Column1]]))),TODAY()-DATEVALUE(Table15[[#This Row],[Column1]]),"")</f>
        <v/>
      </c>
    </row>
    <row r="186">
      <c r="A186" s="254" t="inlineStr">
        <is>
          <t>Request</t>
        </is>
      </c>
      <c r="B186" s="255" t="inlineStr"/>
      <c r="C186" s="256" t="inlineStr">
        <is>
          <t>16/4/2025</t>
        </is>
      </c>
      <c r="D186" s="255" t="inlineStr">
        <is>
          <t>4300V/220G-B945</t>
        </is>
      </c>
      <c r="E186" s="255">
        <f>_xlfn.XLOOKUP(D186, [1]Collection!B:B, [1]Collection!C:C)</f>
        <v/>
      </c>
      <c r="F186" s="255">
        <f>_xlfn.XLOOKUP(D186, [1]Collection!B:B, [1]Collection!D:D)</f>
        <v/>
      </c>
      <c r="G186" s="255" t="inlineStr">
        <is>
          <t>Phone sales Middle East</t>
        </is>
      </c>
      <c r="H186" s="257" t="inlineStr">
        <is>
          <t>105248739</t>
        </is>
      </c>
      <c r="I186" s="257" t="n"/>
      <c r="J186" s="261" t="n"/>
      <c r="K186" s="257" t="n"/>
      <c r="L186" s="257" t="n"/>
      <c r="M186" s="257" t="n"/>
      <c r="N186" s="255" t="inlineStr">
        <is>
          <t>Prospect</t>
        </is>
      </c>
      <c r="O186" s="255" t="inlineStr">
        <is>
          <t>SHARIF Maaz</t>
        </is>
      </c>
      <c r="P186" s="262" t="inlineStr">
        <is>
          <t xml:space="preserve">client showed interest 
</t>
        </is>
      </c>
      <c r="Q186" s="259">
        <f>IF(AND(Table15[[#This Row],[Column1]]&lt;&gt;"",ISNUMBER(DATEVALUE(Table15[[#This Row],[Column1]]))),TODAY()-DATEVALUE(Table15[[#This Row],[Column1]]),"")</f>
        <v/>
      </c>
    </row>
    <row r="187" ht="156" customHeight="1" s="287">
      <c r="A187" s="254" t="inlineStr">
        <is>
          <t>Request</t>
        </is>
      </c>
      <c r="B187" s="255" t="inlineStr">
        <is>
          <t>Confirmed</t>
        </is>
      </c>
      <c r="C187" s="256" t="inlineStr">
        <is>
          <t>16/4/2025</t>
        </is>
      </c>
      <c r="D187" s="255" t="inlineStr">
        <is>
          <t>4010T/000G-B740</t>
        </is>
      </c>
      <c r="E187" s="255">
        <f>_xlfn.XLOOKUP(D187, [1]Collection!B:B, [1]Collection!C:C)</f>
        <v/>
      </c>
      <c r="F187" s="255">
        <f>_xlfn.XLOOKUP(D187, [1]Collection!B:B, [1]Collection!D:D)</f>
        <v/>
      </c>
      <c r="G187" s="255" t="inlineStr">
        <is>
          <t>Phone sales Middle East</t>
        </is>
      </c>
      <c r="H187" s="257" t="inlineStr">
        <is>
          <t>105370532</t>
        </is>
      </c>
      <c r="I187" s="257" t="n"/>
      <c r="J187" s="261" t="n"/>
      <c r="K187" s="257" t="n"/>
      <c r="L187" s="257" t="n"/>
      <c r="M187" s="257" t="n"/>
      <c r="N187" s="255" t="inlineStr">
        <is>
          <t>Prospect</t>
        </is>
      </c>
      <c r="O187" s="255" t="inlineStr">
        <is>
          <t>SHARIF Maaz</t>
        </is>
      </c>
      <c r="P187" s="262" t="inlineStr">
        <is>
          <t xml:space="preserve">**Managing Director**
- **Companies:**
- **Blue Star Tiles** (real estate/construction) fiftysix black dial 
</t>
        </is>
      </c>
      <c r="Q187" s="259">
        <f>IF(AND(Table15[[#This Row],[Column1]]&lt;&gt;"",ISNUMBER(DATEVALUE(Table15[[#This Row],[Column1]]))),TODAY()-DATEVALUE(Table15[[#This Row],[Column1]]),"")</f>
        <v/>
      </c>
    </row>
    <row r="188" ht="124.8" customHeight="1" s="287">
      <c r="A188" s="254" t="inlineStr">
        <is>
          <t>Request</t>
        </is>
      </c>
      <c r="B188" s="255" t="inlineStr">
        <is>
          <t>Pending client feedback</t>
        </is>
      </c>
      <c r="C188" s="256" t="inlineStr">
        <is>
          <t>16/10/2024</t>
        </is>
      </c>
      <c r="D188" s="255" t="inlineStr">
        <is>
          <t>4000V/210A-B911</t>
        </is>
      </c>
      <c r="E188" s="255">
        <f>_xlfn.XLOOKUP(D188, [1]Collection!B:B, [1]Collection!C:C)</f>
        <v/>
      </c>
      <c r="F188" s="255">
        <f>_xlfn.XLOOKUP(D188, [1]Collection!B:B, [1]Collection!D:D)</f>
        <v/>
      </c>
      <c r="G188" s="255" t="inlineStr">
        <is>
          <t>Phone sales Middle East</t>
        </is>
      </c>
      <c r="H188" s="257" t="inlineStr">
        <is>
          <t>102003092</t>
        </is>
      </c>
      <c r="I188" s="257" t="n"/>
      <c r="J188" s="261" t="n"/>
      <c r="K188" s="257" t="n"/>
      <c r="L188" s="257" t="n"/>
      <c r="M188" s="257" t="n"/>
      <c r="N188" s="255" t="inlineStr">
        <is>
          <t>Prospect</t>
        </is>
      </c>
      <c r="O188" s="255" t="inlineStr">
        <is>
          <t>SHARIF Maaz</t>
        </is>
      </c>
      <c r="P188" s="262" t="inlineStr">
        <is>
          <t xml:space="preserve">The client is open for the Overseas moon phase retrograde date
As per the client hes going in a trip therefore , will love to purchase it from UAE 
</t>
        </is>
      </c>
      <c r="Q188" s="259">
        <f>IF(AND(Table15[[#This Row],[Column1]]&lt;&gt;"",ISNUMBER(DATEVALUE(Table15[[#This Row],[Column1]]))),TODAY()-DATEVALUE(Table15[[#This Row],[Column1]]),"")</f>
        <v/>
      </c>
    </row>
    <row r="189" hidden="1" s="287">
      <c r="A189" s="254" t="inlineStr">
        <is>
          <t>Request</t>
        </is>
      </c>
      <c r="B189" s="255" t="inlineStr"/>
      <c r="C189" s="256" t="inlineStr">
        <is>
          <t>16/1/2025</t>
        </is>
      </c>
      <c r="D189" s="255" t="inlineStr">
        <is>
          <t>4200H/222A-B934</t>
        </is>
      </c>
      <c r="E189" s="255">
        <f>_xlfn.XLOOKUP(D189, [1]Collection!B:B, [1]Collection!C:C)</f>
        <v/>
      </c>
      <c r="F189" s="255">
        <f>_xlfn.XLOOKUP(D189, [1]Collection!B:B, [1]Collection!D:D)</f>
        <v/>
      </c>
      <c r="G189" s="255" t="inlineStr">
        <is>
          <t>Phone sales Middle East</t>
        </is>
      </c>
      <c r="H189" s="257" t="inlineStr">
        <is>
          <t>103642113</t>
        </is>
      </c>
      <c r="I189" s="257" t="n"/>
      <c r="J189" s="257" t="n"/>
      <c r="K189" s="257" t="n"/>
      <c r="L189" s="257" t="n"/>
      <c r="M189" s="257" t="n"/>
      <c r="N189" s="255" t="inlineStr">
        <is>
          <t>Prospect</t>
        </is>
      </c>
      <c r="O189" s="255" t="inlineStr">
        <is>
          <t>SHARIF Maaz</t>
        </is>
      </c>
      <c r="P189" s="258" t="inlineStr">
        <is>
          <t xml:space="preserve">the client is very interested 
</t>
        </is>
      </c>
      <c r="Q189" s="259">
        <f>IF(AND(Table15[[#This Row],[Column1]]&lt;&gt;"",ISNUMBER(DATEVALUE(Table15[[#This Row],[Column1]]))),TODAY()-DATEVALUE(Table15[[#This Row],[Column1]]),"")</f>
        <v/>
      </c>
    </row>
    <row r="190" hidden="1" s="287">
      <c r="A190" s="254" t="inlineStr">
        <is>
          <t>Request</t>
        </is>
      </c>
      <c r="B190" s="255" t="inlineStr"/>
      <c r="C190" s="256" t="inlineStr">
        <is>
          <t>16/1/2025</t>
        </is>
      </c>
      <c r="D190" s="255" t="inlineStr">
        <is>
          <t>4200H/222A-B934</t>
        </is>
      </c>
      <c r="E190" s="255">
        <f>_xlfn.XLOOKUP(D190, [1]Collection!B:B, [1]Collection!C:C)</f>
        <v/>
      </c>
      <c r="F190" s="255">
        <f>_xlfn.XLOOKUP(D190, [1]Collection!B:B, [1]Collection!D:D)</f>
        <v/>
      </c>
      <c r="G190" s="255" t="inlineStr">
        <is>
          <t>Phone sales Middle East</t>
        </is>
      </c>
      <c r="H190" s="257" t="inlineStr">
        <is>
          <t>98199321</t>
        </is>
      </c>
      <c r="I190" s="257" t="n"/>
      <c r="J190" s="257" t="n"/>
      <c r="K190" s="257" t="n"/>
      <c r="L190" s="257" t="n"/>
      <c r="M190" s="257" t="n"/>
      <c r="N190" s="255" t="inlineStr">
        <is>
          <t>VVIC</t>
        </is>
      </c>
      <c r="O190" s="255" t="inlineStr">
        <is>
          <t>SHARIF Maaz</t>
        </is>
      </c>
      <c r="P190" s="258" t="inlineStr">
        <is>
          <t xml:space="preserve">the client already purchased the b128 
</t>
        </is>
      </c>
      <c r="Q190" s="259">
        <f>IF(AND(Table15[[#This Row],[Column1]]&lt;&gt;"",ISNUMBER(DATEVALUE(Table15[[#This Row],[Column1]]))),TODAY()-DATEVALUE(Table15[[#This Row],[Column1]]),"")</f>
        <v/>
      </c>
    </row>
    <row r="191" hidden="1" s="287">
      <c r="A191" s="254" t="inlineStr">
        <is>
          <t>Request</t>
        </is>
      </c>
      <c r="B191" s="255" t="inlineStr"/>
      <c r="C191" s="256" t="inlineStr">
        <is>
          <t>16/1/2025</t>
        </is>
      </c>
      <c r="D191" s="255" t="inlineStr">
        <is>
          <t>4200H/222A-B934</t>
        </is>
      </c>
      <c r="E191" s="255">
        <f>_xlfn.XLOOKUP(D191, [1]Collection!B:B, [1]Collection!C:C)</f>
        <v/>
      </c>
      <c r="F191" s="255">
        <f>_xlfn.XLOOKUP(D191, [1]Collection!B:B, [1]Collection!D:D)</f>
        <v/>
      </c>
      <c r="G191" s="255" t="inlineStr">
        <is>
          <t>Phone sales Middle East</t>
        </is>
      </c>
      <c r="H191" s="257" t="inlineStr">
        <is>
          <t>92397711</t>
        </is>
      </c>
      <c r="I191" s="257" t="n"/>
      <c r="J191" s="257" t="n"/>
      <c r="K191" s="257" t="n"/>
      <c r="L191" s="257" t="n"/>
      <c r="M191" s="257" t="n"/>
      <c r="N191" s="255" t="inlineStr">
        <is>
          <t>VIC</t>
        </is>
      </c>
      <c r="O191" s="255" t="inlineStr">
        <is>
          <t>SHARIF Maaz</t>
        </is>
      </c>
      <c r="P191" s="258" t="inlineStr">
        <is>
          <t xml:space="preserve">
</t>
        </is>
      </c>
      <c r="Q191" s="259">
        <f>IF(AND(Table15[[#This Row],[Column1]]&lt;&gt;"",ISNUMBER(DATEVALUE(Table15[[#This Row],[Column1]]))),TODAY()-DATEVALUE(Table15[[#This Row],[Column1]]),"")</f>
        <v/>
      </c>
    </row>
    <row r="192" hidden="1" s="287">
      <c r="A192" s="254" t="inlineStr">
        <is>
          <t>Request</t>
        </is>
      </c>
      <c r="B192" s="255" t="inlineStr"/>
      <c r="C192" s="256" t="inlineStr">
        <is>
          <t>16/1/2025</t>
        </is>
      </c>
      <c r="D192" s="255" t="inlineStr">
        <is>
          <t>4200H/222A-B934</t>
        </is>
      </c>
      <c r="E192" s="255">
        <f>_xlfn.XLOOKUP(D192, [1]Collection!B:B, [1]Collection!C:C)</f>
        <v/>
      </c>
      <c r="F192" s="255">
        <f>_xlfn.XLOOKUP(D192, [1]Collection!B:B, [1]Collection!D:D)</f>
        <v/>
      </c>
      <c r="G192" s="255" t="inlineStr">
        <is>
          <t>Phone sales Middle East</t>
        </is>
      </c>
      <c r="H192" s="257" t="inlineStr">
        <is>
          <t>101346110</t>
        </is>
      </c>
      <c r="I192" s="257" t="n"/>
      <c r="J192" s="257" t="n"/>
      <c r="K192" s="257" t="n"/>
      <c r="L192" s="257" t="n"/>
      <c r="M192" s="257" t="n"/>
      <c r="N192" s="255" t="inlineStr">
        <is>
          <t>Prospect</t>
        </is>
      </c>
      <c r="O192" s="255" t="inlineStr">
        <is>
          <t>SHARIF Maaz</t>
        </is>
      </c>
      <c r="P192" s="258" t="inlineStr"/>
      <c r="Q192" s="259">
        <f>IF(AND(Table15[[#This Row],[Column1]]&lt;&gt;"",ISNUMBER(DATEVALUE(Table15[[#This Row],[Column1]]))),TODAY()-DATEVALUE(Table15[[#This Row],[Column1]]),"")</f>
        <v/>
      </c>
    </row>
    <row r="193" hidden="1" s="287">
      <c r="A193" s="254" t="inlineStr">
        <is>
          <t>Request</t>
        </is>
      </c>
      <c r="B193" s="255" t="inlineStr"/>
      <c r="C193" s="256" t="inlineStr">
        <is>
          <t>16/1/2025</t>
        </is>
      </c>
      <c r="D193" s="255" t="inlineStr">
        <is>
          <t>4200H/222A-B934</t>
        </is>
      </c>
      <c r="E193" s="255">
        <f>_xlfn.XLOOKUP(D193, [1]Collection!B:B, [1]Collection!C:C)</f>
        <v/>
      </c>
      <c r="F193" s="255">
        <f>_xlfn.XLOOKUP(D193, [1]Collection!B:B, [1]Collection!D:D)</f>
        <v/>
      </c>
      <c r="G193" s="255" t="inlineStr">
        <is>
          <t>Phone sales Middle East</t>
        </is>
      </c>
      <c r="H193" s="257" t="inlineStr">
        <is>
          <t>103656728</t>
        </is>
      </c>
      <c r="I193" s="257" t="n"/>
      <c r="J193" s="257" t="n"/>
      <c r="K193" s="257" t="n"/>
      <c r="L193" s="257" t="n"/>
      <c r="M193" s="257" t="n"/>
      <c r="N193" s="255" t="inlineStr">
        <is>
          <t>Prospect</t>
        </is>
      </c>
      <c r="O193" s="255" t="inlineStr">
        <is>
          <t>SHARIF Maaz</t>
        </is>
      </c>
      <c r="P193" s="258" t="inlineStr"/>
      <c r="Q193" s="259">
        <f>IF(AND(Table15[[#This Row],[Column1]]&lt;&gt;"",ISNUMBER(DATEVALUE(Table15[[#This Row],[Column1]]))),TODAY()-DATEVALUE(Table15[[#This Row],[Column1]]),"")</f>
        <v/>
      </c>
    </row>
    <row r="194" hidden="1" s="287">
      <c r="A194" s="254" t="inlineStr">
        <is>
          <t>Request</t>
        </is>
      </c>
      <c r="B194" s="255" t="inlineStr"/>
      <c r="C194" s="256" t="inlineStr">
        <is>
          <t>16/1/2025</t>
        </is>
      </c>
      <c r="D194" s="255" t="inlineStr">
        <is>
          <t>4200H/222A-B934</t>
        </is>
      </c>
      <c r="E194" s="255">
        <f>_xlfn.XLOOKUP(D194, [1]Collection!B:B, [1]Collection!C:C)</f>
        <v/>
      </c>
      <c r="F194" s="255">
        <f>_xlfn.XLOOKUP(D194, [1]Collection!B:B, [1]Collection!D:D)</f>
        <v/>
      </c>
      <c r="G194" s="255" t="inlineStr">
        <is>
          <t>Phone sales Middle East</t>
        </is>
      </c>
      <c r="H194" s="257" t="inlineStr">
        <is>
          <t>92403591</t>
        </is>
      </c>
      <c r="I194" s="257" t="n"/>
      <c r="J194" s="257" t="n"/>
      <c r="K194" s="257" t="n"/>
      <c r="L194" s="257" t="n"/>
      <c r="M194" s="257" t="n"/>
      <c r="N194" s="255" t="inlineStr">
        <is>
          <t>Prospect</t>
        </is>
      </c>
      <c r="O194" s="255" t="inlineStr">
        <is>
          <t>SHARIF Maaz</t>
        </is>
      </c>
      <c r="P194" s="258" t="inlineStr"/>
      <c r="Q194" s="259">
        <f>IF(AND(Table15[[#This Row],[Column1]]&lt;&gt;"",ISNUMBER(DATEVALUE(Table15[[#This Row],[Column1]]))),TODAY()-DATEVALUE(Table15[[#This Row],[Column1]]),"")</f>
        <v/>
      </c>
    </row>
    <row r="195" hidden="1" s="287">
      <c r="A195" s="254" t="inlineStr">
        <is>
          <t>Request</t>
        </is>
      </c>
      <c r="B195" s="255" t="inlineStr"/>
      <c r="C195" s="256" t="inlineStr">
        <is>
          <t>16/1/2025</t>
        </is>
      </c>
      <c r="D195" s="255" t="inlineStr">
        <is>
          <t>4200H/222A-B934</t>
        </is>
      </c>
      <c r="E195" s="255">
        <f>_xlfn.XLOOKUP(D195, [1]Collection!B:B, [1]Collection!C:C)</f>
        <v/>
      </c>
      <c r="F195" s="255">
        <f>_xlfn.XLOOKUP(D195, [1]Collection!B:B, [1]Collection!D:D)</f>
        <v/>
      </c>
      <c r="G195" s="255" t="inlineStr">
        <is>
          <t>Phone sales Middle East</t>
        </is>
      </c>
      <c r="H195" s="257" t="inlineStr">
        <is>
          <t>92400865</t>
        </is>
      </c>
      <c r="I195" s="257" t="n"/>
      <c r="J195" s="257" t="n"/>
      <c r="K195" s="257" t="n"/>
      <c r="L195" s="257" t="n"/>
      <c r="M195" s="257" t="n"/>
      <c r="N195" s="255" t="inlineStr">
        <is>
          <t>Prospect</t>
        </is>
      </c>
      <c r="O195" s="255" t="inlineStr">
        <is>
          <t>SHARIF Maaz</t>
        </is>
      </c>
      <c r="P195" s="258" t="inlineStr"/>
      <c r="Q195" s="259">
        <f>IF(AND(Table15[[#This Row],[Column1]]&lt;&gt;"",ISNUMBER(DATEVALUE(Table15[[#This Row],[Column1]]))),TODAY()-DATEVALUE(Table15[[#This Row],[Column1]]),"")</f>
        <v/>
      </c>
    </row>
    <row r="196" ht="93.59999999999999" customHeight="1" s="287">
      <c r="A196" s="254" t="inlineStr">
        <is>
          <t>Request</t>
        </is>
      </c>
      <c r="B196" s="255" t="inlineStr">
        <is>
          <t>Confirmed</t>
        </is>
      </c>
      <c r="C196" s="256" t="inlineStr">
        <is>
          <t>15/8/2024</t>
        </is>
      </c>
      <c r="D196" s="255" t="inlineStr">
        <is>
          <t>5520V/210R-B966</t>
        </is>
      </c>
      <c r="E196" s="255">
        <f>_xlfn.XLOOKUP(D196, [1]Collection!B:B, [1]Collection!C:C)</f>
        <v/>
      </c>
      <c r="F196" s="255">
        <f>_xlfn.XLOOKUP(D196, [1]Collection!B:B, [1]Collection!D:D)</f>
        <v/>
      </c>
      <c r="G196" s="255" t="inlineStr">
        <is>
          <t>Phone sales Middle East</t>
        </is>
      </c>
      <c r="H196" s="257" t="inlineStr">
        <is>
          <t>101110183</t>
        </is>
      </c>
      <c r="I196" s="257" t="n"/>
      <c r="J196" s="261" t="n"/>
      <c r="K196" s="257" t="n"/>
      <c r="L196" s="257" t="n"/>
      <c r="M196" s="257" t="n"/>
      <c r="N196" s="255" t="inlineStr">
        <is>
          <t>Prospect</t>
        </is>
      </c>
      <c r="O196" s="255" t="inlineStr">
        <is>
          <t>SHARIF Maaz</t>
        </is>
      </c>
      <c r="P196" s="262" t="inlineStr">
        <is>
          <t xml:space="preserve">The client expressed a strong interest in the Overseas chronograph and insisted on being added to the list
</t>
        </is>
      </c>
      <c r="Q196" s="259">
        <f>IF(AND(Table15[[#This Row],[Column1]]&lt;&gt;"",ISNUMBER(DATEVALUE(Table15[[#This Row],[Column1]]))),TODAY()-DATEVALUE(Table15[[#This Row],[Column1]]),"")</f>
        <v/>
      </c>
    </row>
    <row r="197" ht="31.2" customHeight="1" s="287">
      <c r="A197" s="254" t="inlineStr">
        <is>
          <t>Request</t>
        </is>
      </c>
      <c r="B197" s="255" t="inlineStr"/>
      <c r="C197" s="256" t="inlineStr">
        <is>
          <t>15/7/2025</t>
        </is>
      </c>
      <c r="D197" s="255" t="inlineStr">
        <is>
          <t>4010U/000R-H117</t>
        </is>
      </c>
      <c r="E197" s="255">
        <f>_xlfn.XLOOKUP(D197, [1]Collection!B:B, [1]Collection!C:C)</f>
        <v/>
      </c>
      <c r="F197" s="255">
        <f>_xlfn.XLOOKUP(D197, [1]Collection!B:B, [1]Collection!D:D)</f>
        <v/>
      </c>
      <c r="G197" s="255" t="inlineStr">
        <is>
          <t>Phone sales Middle East</t>
        </is>
      </c>
      <c r="H197" s="257" t="inlineStr">
        <is>
          <t>92407639</t>
        </is>
      </c>
      <c r="I197" s="257" t="n"/>
      <c r="J197" s="261" t="n"/>
      <c r="K197" s="257" t="n"/>
      <c r="L197" s="257" t="n"/>
      <c r="M197" s="257" t="n"/>
      <c r="N197" s="255" t="inlineStr">
        <is>
          <t>Prospect</t>
        </is>
      </c>
      <c r="O197" s="255" t="inlineStr">
        <is>
          <t>SHARIF Maaz</t>
        </is>
      </c>
      <c r="P197" s="262" t="inlineStr">
        <is>
          <t xml:space="preserve">
</t>
        </is>
      </c>
      <c r="Q197" s="259">
        <f>IF(AND(Table15[[#This Row],[Column1]]&lt;&gt;"",ISNUMBER(DATEVALUE(Table15[[#This Row],[Column1]]))),TODAY()-DATEVALUE(Table15[[#This Row],[Column1]]),"")</f>
        <v/>
      </c>
    </row>
    <row r="198" ht="31.2" customHeight="1" s="287">
      <c r="A198" s="254" t="inlineStr">
        <is>
          <t>Request</t>
        </is>
      </c>
      <c r="B198" s="255" t="inlineStr"/>
      <c r="C198" s="256" t="inlineStr">
        <is>
          <t>15/7/2025</t>
        </is>
      </c>
      <c r="D198" s="255" t="inlineStr">
        <is>
          <t>5520V/210R-B966</t>
        </is>
      </c>
      <c r="E198" s="255">
        <f>_xlfn.XLOOKUP(D198, [1]Collection!B:B, [1]Collection!C:C)</f>
        <v/>
      </c>
      <c r="F198" s="255">
        <f>_xlfn.XLOOKUP(D198, [1]Collection!B:B, [1]Collection!D:D)</f>
        <v/>
      </c>
      <c r="G198" s="255" t="inlineStr">
        <is>
          <t>Phone sales Middle East</t>
        </is>
      </c>
      <c r="H198" s="257" t="inlineStr">
        <is>
          <t>107552378</t>
        </is>
      </c>
      <c r="I198" s="257" t="n"/>
      <c r="J198" s="261" t="n"/>
      <c r="K198" s="257" t="n"/>
      <c r="L198" s="257" t="n"/>
      <c r="M198" s="257" t="n"/>
      <c r="N198" s="255" t="inlineStr">
        <is>
          <t>Prospect</t>
        </is>
      </c>
      <c r="O198" s="255" t="inlineStr">
        <is>
          <t>SHARIF Maaz</t>
        </is>
      </c>
      <c r="P198" s="262" t="inlineStr">
        <is>
          <t xml:space="preserve">
</t>
        </is>
      </c>
      <c r="Q198" s="259">
        <f>IF(AND(Table15[[#This Row],[Column1]]&lt;&gt;"",ISNUMBER(DATEVALUE(Table15[[#This Row],[Column1]]))),TODAY()-DATEVALUE(Table15[[#This Row],[Column1]]),"")</f>
        <v/>
      </c>
    </row>
    <row r="199" ht="31.2" customHeight="1" s="287">
      <c r="A199" s="254" t="inlineStr">
        <is>
          <t>Request</t>
        </is>
      </c>
      <c r="B199" s="255" t="inlineStr"/>
      <c r="C199" s="256" t="inlineStr">
        <is>
          <t>15/7/2025</t>
        </is>
      </c>
      <c r="D199" s="255" t="inlineStr">
        <is>
          <t>5520V/210R-B966</t>
        </is>
      </c>
      <c r="E199" s="255">
        <f>_xlfn.XLOOKUP(D199, [1]Collection!B:B, [1]Collection!C:C)</f>
        <v/>
      </c>
      <c r="F199" s="255">
        <f>_xlfn.XLOOKUP(D199, [1]Collection!B:B, [1]Collection!D:D)</f>
        <v/>
      </c>
      <c r="G199" s="255" t="inlineStr">
        <is>
          <t>Phone sales Middle East</t>
        </is>
      </c>
      <c r="H199" s="257" t="inlineStr">
        <is>
          <t>107552378</t>
        </is>
      </c>
      <c r="I199" s="257" t="n"/>
      <c r="J199" s="261" t="n"/>
      <c r="K199" s="257" t="n"/>
      <c r="L199" s="257" t="n"/>
      <c r="M199" s="257" t="n"/>
      <c r="N199" s="255" t="inlineStr">
        <is>
          <t>Prospect</t>
        </is>
      </c>
      <c r="O199" s="255" t="inlineStr">
        <is>
          <t>SHARIF Maaz</t>
        </is>
      </c>
      <c r="P199" s="262" t="inlineStr">
        <is>
          <t xml:space="preserve">
</t>
        </is>
      </c>
      <c r="Q199" s="259">
        <f>IF(AND(Table15[[#This Row],[Column1]]&lt;&gt;"",ISNUMBER(DATEVALUE(Table15[[#This Row],[Column1]]))),TODAY()-DATEVALUE(Table15[[#This Row],[Column1]]),"")</f>
        <v/>
      </c>
    </row>
    <row r="200" ht="31.2" customHeight="1" s="287">
      <c r="A200" s="254" t="inlineStr">
        <is>
          <t>Request</t>
        </is>
      </c>
      <c r="B200" s="255" t="inlineStr"/>
      <c r="C200" s="256" t="inlineStr">
        <is>
          <t>15/7/2025</t>
        </is>
      </c>
      <c r="D200" s="255" t="inlineStr">
        <is>
          <t>5520V/210R-B966</t>
        </is>
      </c>
      <c r="E200" s="255">
        <f>_xlfn.XLOOKUP(D200, [1]Collection!B:B, [1]Collection!C:C)</f>
        <v/>
      </c>
      <c r="F200" s="255">
        <f>_xlfn.XLOOKUP(D200, [1]Collection!B:B, [1]Collection!D:D)</f>
        <v/>
      </c>
      <c r="G200" s="255" t="inlineStr">
        <is>
          <t>Phone sales Middle East</t>
        </is>
      </c>
      <c r="H200" s="257" t="inlineStr">
        <is>
          <t>107552378</t>
        </is>
      </c>
      <c r="I200" s="257" t="n"/>
      <c r="J200" s="261" t="n"/>
      <c r="K200" s="257" t="n"/>
      <c r="L200" s="257" t="n"/>
      <c r="M200" s="257" t="n"/>
      <c r="N200" s="255" t="inlineStr">
        <is>
          <t>Prospect</t>
        </is>
      </c>
      <c r="O200" s="255" t="inlineStr">
        <is>
          <t>SHARIF Maaz</t>
        </is>
      </c>
      <c r="P200" s="262" t="inlineStr">
        <is>
          <t xml:space="preserve">
</t>
        </is>
      </c>
      <c r="Q200" s="259">
        <f>IF(AND(Table15[[#This Row],[Column1]]&lt;&gt;"",ISNUMBER(DATEVALUE(Table15[[#This Row],[Column1]]))),TODAY()-DATEVALUE(Table15[[#This Row],[Column1]]),"")</f>
        <v/>
      </c>
    </row>
    <row r="201" hidden="1" s="287">
      <c r="A201" s="254" t="inlineStr">
        <is>
          <t>Request</t>
        </is>
      </c>
      <c r="B201" s="255" t="inlineStr"/>
      <c r="C201" s="256" t="inlineStr">
        <is>
          <t>15/3/2025</t>
        </is>
      </c>
      <c r="D201" s="255" t="inlineStr">
        <is>
          <t>4520V/210A-B128</t>
        </is>
      </c>
      <c r="E201" s="255">
        <f>_xlfn.XLOOKUP(D201, [1]Collection!B:B, [1]Collection!C:C)</f>
        <v/>
      </c>
      <c r="F201" s="255">
        <f>_xlfn.XLOOKUP(D201, [1]Collection!B:B, [1]Collection!D:D)</f>
        <v/>
      </c>
      <c r="G201" s="255" t="inlineStr">
        <is>
          <t>Phone sales Middle East</t>
        </is>
      </c>
      <c r="H201" s="257" t="inlineStr">
        <is>
          <t>104609280</t>
        </is>
      </c>
      <c r="I201" s="257" t="n"/>
      <c r="J201" s="257" t="n"/>
      <c r="K201" s="257" t="n"/>
      <c r="L201" s="257" t="n"/>
      <c r="M201" s="257" t="n"/>
      <c r="N201" s="255" t="inlineStr">
        <is>
          <t>Prospect</t>
        </is>
      </c>
      <c r="O201" s="255" t="inlineStr">
        <is>
          <t>SHARIF Maaz</t>
        </is>
      </c>
      <c r="P201" s="258" t="inlineStr">
        <is>
          <t xml:space="preserve">b128 no history 
</t>
        </is>
      </c>
      <c r="Q201" s="259">
        <f>IF(AND(Table15[[#This Row],[Column1]]&lt;&gt;"",ISNUMBER(DATEVALUE(Table15[[#This Row],[Column1]]))),TODAY()-DATEVALUE(Table15[[#This Row],[Column1]]),"")</f>
        <v/>
      </c>
    </row>
    <row r="202" ht="93.59999999999999" customHeight="1" s="287">
      <c r="A202" s="254" t="inlineStr">
        <is>
          <t>Request</t>
        </is>
      </c>
      <c r="B202" s="255" t="inlineStr"/>
      <c r="C202" s="256" t="inlineStr">
        <is>
          <t>15/2/2025</t>
        </is>
      </c>
      <c r="D202" s="255" t="inlineStr">
        <is>
          <t>5520V/210A-B148</t>
        </is>
      </c>
      <c r="E202" s="255">
        <f>_xlfn.XLOOKUP(D202, [1]Collection!B:B, [1]Collection!C:C)</f>
        <v/>
      </c>
      <c r="F202" s="255">
        <f>_xlfn.XLOOKUP(D202, [1]Collection!B:B, [1]Collection!D:D)</f>
        <v/>
      </c>
      <c r="G202" s="255" t="inlineStr">
        <is>
          <t>Phone sales Middle East</t>
        </is>
      </c>
      <c r="H202" s="257" t="inlineStr">
        <is>
          <t>104495233</t>
        </is>
      </c>
      <c r="I202" s="257" t="n"/>
      <c r="J202" s="261" t="n"/>
      <c r="K202" s="257" t="n"/>
      <c r="L202" s="257" t="n"/>
      <c r="M202" s="257" t="n"/>
      <c r="N202" s="255" t="inlineStr">
        <is>
          <t>Prospect</t>
        </is>
      </c>
      <c r="O202" s="255" t="inlineStr">
        <is>
          <t>SHARIF Maaz</t>
        </is>
      </c>
      <c r="P202" s="262" t="inlineStr">
        <is>
          <t xml:space="preserve">the client is very interested in the Overseas chronograph
and willing to secure it via payment link 
</t>
        </is>
      </c>
      <c r="Q202" s="259">
        <f>IF(AND(Table15[[#This Row],[Column1]]&lt;&gt;"",ISNUMBER(DATEVALUE(Table15[[#This Row],[Column1]]))),TODAY()-DATEVALUE(Table15[[#This Row],[Column1]]),"")</f>
        <v/>
      </c>
    </row>
    <row r="203">
      <c r="A203" s="254" t="inlineStr">
        <is>
          <t>Request</t>
        </is>
      </c>
      <c r="B203" s="255" t="inlineStr"/>
      <c r="C203" s="256" t="inlineStr">
        <is>
          <t>15/12/2023</t>
        </is>
      </c>
      <c r="D203" s="255" t="inlineStr">
        <is>
          <t>7920V/210A-B334</t>
        </is>
      </c>
      <c r="E203" s="255">
        <f>_xlfn.XLOOKUP(D203, [1]Collection!B:B, [1]Collection!C:C)</f>
        <v/>
      </c>
      <c r="F203" s="255">
        <f>_xlfn.XLOOKUP(D203, [1]Collection!B:B, [1]Collection!D:D)</f>
        <v/>
      </c>
      <c r="G203" s="255" t="inlineStr">
        <is>
          <t>Phone sales Middle East</t>
        </is>
      </c>
      <c r="H203" s="257" t="inlineStr">
        <is>
          <t>92398068</t>
        </is>
      </c>
      <c r="I203" s="257" t="n"/>
      <c r="J203" s="261" t="n"/>
      <c r="K203" s="257" t="n"/>
      <c r="L203" s="257" t="n"/>
      <c r="M203" s="257" t="n"/>
      <c r="N203" s="255" t="inlineStr">
        <is>
          <t>Prospect</t>
        </is>
      </c>
      <c r="O203" s="255" t="inlineStr">
        <is>
          <t>SHARIF Maaz</t>
        </is>
      </c>
      <c r="P203" s="262" t="inlineStr"/>
      <c r="Q203" s="259">
        <f>IF(AND(Table15[[#This Row],[Column1]]&lt;&gt;"",ISNUMBER(DATEVALUE(Table15[[#This Row],[Column1]]))),TODAY()-DATEVALUE(Table15[[#This Row],[Column1]]),"")</f>
        <v/>
      </c>
    </row>
    <row r="204" ht="78" customHeight="1" s="287">
      <c r="A204" s="254" t="inlineStr">
        <is>
          <t>Request</t>
        </is>
      </c>
      <c r="B204" s="255" t="inlineStr">
        <is>
          <t>Pending client feedback</t>
        </is>
      </c>
      <c r="C204" s="256" t="inlineStr">
        <is>
          <t>15/11/2024</t>
        </is>
      </c>
      <c r="D204" s="255" t="inlineStr">
        <is>
          <t>4600V/200A-B980</t>
        </is>
      </c>
      <c r="E204" s="255">
        <f>_xlfn.XLOOKUP(D204, [1]Collection!B:B, [1]Collection!C:C)</f>
        <v/>
      </c>
      <c r="F204" s="255">
        <f>_xlfn.XLOOKUP(D204, [1]Collection!B:B, [1]Collection!D:D)</f>
        <v/>
      </c>
      <c r="G204" s="255" t="inlineStr">
        <is>
          <t>Phone sales Middle East</t>
        </is>
      </c>
      <c r="H204" s="257" t="inlineStr">
        <is>
          <t>102424724</t>
        </is>
      </c>
      <c r="I204" s="257" t="n"/>
      <c r="J204" s="261" t="n"/>
      <c r="K204" s="257" t="n"/>
      <c r="L204" s="257" t="n"/>
      <c r="M204" s="257" t="n"/>
      <c r="N204" s="255" t="inlineStr">
        <is>
          <t>Prospect</t>
        </is>
      </c>
      <c r="O204" s="255" t="inlineStr">
        <is>
          <t>SHARIF Maaz</t>
        </is>
      </c>
      <c r="P204" s="262" t="inlineStr">
        <is>
          <t xml:space="preserve">The client would like to purchase the oversease for his wife as  Christmas gift
</t>
        </is>
      </c>
      <c r="Q204" s="259">
        <f>IF(AND(Table15[[#This Row],[Column1]]&lt;&gt;"",ISNUMBER(DATEVALUE(Table15[[#This Row],[Column1]]))),TODAY()-DATEVALUE(Table15[[#This Row],[Column1]]),"")</f>
        <v/>
      </c>
    </row>
    <row r="205" hidden="1" s="287">
      <c r="A205" s="254" t="inlineStr">
        <is>
          <t>Request</t>
        </is>
      </c>
      <c r="B205" s="255" t="inlineStr"/>
      <c r="C205" s="256" t="inlineStr">
        <is>
          <t>15/1/2025</t>
        </is>
      </c>
      <c r="D205" s="255" t="inlineStr">
        <is>
          <t>4200H/222A-B934</t>
        </is>
      </c>
      <c r="E205" s="255">
        <f>_xlfn.XLOOKUP(D205, [1]Collection!B:B, [1]Collection!C:C)</f>
        <v/>
      </c>
      <c r="F205" s="255">
        <f>_xlfn.XLOOKUP(D205, [1]Collection!B:B, [1]Collection!D:D)</f>
        <v/>
      </c>
      <c r="G205" s="255" t="inlineStr">
        <is>
          <t>Phone sales Middle East</t>
        </is>
      </c>
      <c r="H205" s="257" t="inlineStr">
        <is>
          <t>103616594</t>
        </is>
      </c>
      <c r="I205" s="257" t="n"/>
      <c r="J205" s="257" t="n"/>
      <c r="K205" s="257" t="n"/>
      <c r="L205" s="257" t="n"/>
      <c r="M205" s="257" t="n"/>
      <c r="N205" s="255" t="inlineStr">
        <is>
          <t>Prospect</t>
        </is>
      </c>
      <c r="O205" s="255" t="inlineStr">
        <is>
          <t>SHARIF Maaz</t>
        </is>
      </c>
      <c r="P205" s="258" t="inlineStr">
        <is>
          <t xml:space="preserve">the client is intrested in the Timepeice 
</t>
        </is>
      </c>
      <c r="Q205" s="259">
        <f>IF(AND(Table15[[#This Row],[Column1]]&lt;&gt;"",ISNUMBER(DATEVALUE(Table15[[#This Row],[Column1]]))),TODAY()-DATEVALUE(Table15[[#This Row],[Column1]]),"")</f>
        <v/>
      </c>
    </row>
    <row r="206" hidden="1" s="287">
      <c r="A206" s="254" t="inlineStr">
        <is>
          <t>Request</t>
        </is>
      </c>
      <c r="B206" s="255" t="inlineStr"/>
      <c r="C206" s="256" t="inlineStr">
        <is>
          <t>15/1/2025</t>
        </is>
      </c>
      <c r="D206" s="255" t="inlineStr">
        <is>
          <t>4200H/222A-B934</t>
        </is>
      </c>
      <c r="E206" s="255">
        <f>_xlfn.XLOOKUP(D206, [1]Collection!B:B, [1]Collection!C:C)</f>
        <v/>
      </c>
      <c r="F206" s="255">
        <f>_xlfn.XLOOKUP(D206, [1]Collection!B:B, [1]Collection!D:D)</f>
        <v/>
      </c>
      <c r="G206" s="255" t="inlineStr">
        <is>
          <t>Phone sales Middle East</t>
        </is>
      </c>
      <c r="H206" s="257" t="inlineStr">
        <is>
          <t>103610315</t>
        </is>
      </c>
      <c r="I206" s="257" t="n"/>
      <c r="J206" s="257" t="n"/>
      <c r="K206" s="257" t="n"/>
      <c r="L206" s="257" t="n"/>
      <c r="M206" s="257" t="n"/>
      <c r="N206" s="255" t="inlineStr">
        <is>
          <t>Prospect</t>
        </is>
      </c>
      <c r="O206" s="255" t="inlineStr">
        <is>
          <t>SHARIF Maaz</t>
        </is>
      </c>
      <c r="P206" s="258" t="inlineStr">
        <is>
          <t xml:space="preserve">The client is interested in the 222
</t>
        </is>
      </c>
      <c r="Q206" s="259">
        <f>IF(AND(Table15[[#This Row],[Column1]]&lt;&gt;"",ISNUMBER(DATEVALUE(Table15[[#This Row],[Column1]]))),TODAY()-DATEVALUE(Table15[[#This Row],[Column1]]),"")</f>
        <v/>
      </c>
    </row>
    <row r="207" hidden="1" s="287">
      <c r="A207" s="254" t="inlineStr">
        <is>
          <t>Request</t>
        </is>
      </c>
      <c r="B207" s="255" t="inlineStr"/>
      <c r="C207" s="256" t="inlineStr">
        <is>
          <t>15/1/2025</t>
        </is>
      </c>
      <c r="D207" s="255" t="inlineStr">
        <is>
          <t>4200H/222A-B934</t>
        </is>
      </c>
      <c r="E207" s="255">
        <f>_xlfn.XLOOKUP(D207, [1]Collection!B:B, [1]Collection!C:C)</f>
        <v/>
      </c>
      <c r="F207" s="255">
        <f>_xlfn.XLOOKUP(D207, [1]Collection!B:B, [1]Collection!D:D)</f>
        <v/>
      </c>
      <c r="G207" s="255" t="inlineStr">
        <is>
          <t>Phone sales Middle East</t>
        </is>
      </c>
      <c r="H207" s="257" t="inlineStr">
        <is>
          <t>93832355</t>
        </is>
      </c>
      <c r="I207" s="257" t="n"/>
      <c r="J207" s="257" t="n"/>
      <c r="K207" s="257" t="n"/>
      <c r="L207" s="257" t="n"/>
      <c r="M207" s="257" t="n"/>
      <c r="N207" s="255" t="inlineStr">
        <is>
          <t>Prospect</t>
        </is>
      </c>
      <c r="O207" s="255" t="inlineStr">
        <is>
          <t>SHARIF Maaz</t>
        </is>
      </c>
      <c r="P207" s="258" t="inlineStr"/>
      <c r="Q207" s="259">
        <f>IF(AND(Table15[[#This Row],[Column1]]&lt;&gt;"",ISNUMBER(DATEVALUE(Table15[[#This Row],[Column1]]))),TODAY()-DATEVALUE(Table15[[#This Row],[Column1]]),"")</f>
        <v/>
      </c>
    </row>
    <row r="208" hidden="1" s="287">
      <c r="A208" s="254" t="inlineStr">
        <is>
          <t>Request</t>
        </is>
      </c>
      <c r="B208" s="255" t="inlineStr"/>
      <c r="C208" s="256" t="inlineStr">
        <is>
          <t>15/1/2025</t>
        </is>
      </c>
      <c r="D208" s="255" t="inlineStr">
        <is>
          <t>4200H/222A-B934</t>
        </is>
      </c>
      <c r="E208" s="255">
        <f>_xlfn.XLOOKUP(D208, [1]Collection!B:B, [1]Collection!C:C)</f>
        <v/>
      </c>
      <c r="F208" s="255">
        <f>_xlfn.XLOOKUP(D208, [1]Collection!B:B, [1]Collection!D:D)</f>
        <v/>
      </c>
      <c r="G208" s="255" t="inlineStr">
        <is>
          <t>Phone sales Middle East</t>
        </is>
      </c>
      <c r="H208" s="257" t="inlineStr">
        <is>
          <t>98742444</t>
        </is>
      </c>
      <c r="I208" s="257" t="n"/>
      <c r="J208" s="257" t="n"/>
      <c r="K208" s="257" t="n"/>
      <c r="L208" s="257" t="n"/>
      <c r="M208" s="257" t="n"/>
      <c r="N208" s="255" t="inlineStr">
        <is>
          <t>Prospect</t>
        </is>
      </c>
      <c r="O208" s="255" t="inlineStr">
        <is>
          <t>SHARIF Maaz</t>
        </is>
      </c>
      <c r="P208" s="258" t="inlineStr"/>
      <c r="Q208" s="259">
        <f>IF(AND(Table15[[#This Row],[Column1]]&lt;&gt;"",ISNUMBER(DATEVALUE(Table15[[#This Row],[Column1]]))),TODAY()-DATEVALUE(Table15[[#This Row],[Column1]]),"")</f>
        <v/>
      </c>
    </row>
    <row r="209" hidden="1" s="287">
      <c r="A209" s="254" t="inlineStr">
        <is>
          <t>Request</t>
        </is>
      </c>
      <c r="B209" s="255" t="inlineStr"/>
      <c r="C209" s="256" t="inlineStr">
        <is>
          <t>15/1/2025</t>
        </is>
      </c>
      <c r="D209" s="255" t="inlineStr">
        <is>
          <t>4200H/222A-B934</t>
        </is>
      </c>
      <c r="E209" s="255">
        <f>_xlfn.XLOOKUP(D209, [1]Collection!B:B, [1]Collection!C:C)</f>
        <v/>
      </c>
      <c r="F209" s="255">
        <f>_xlfn.XLOOKUP(D209, [1]Collection!B:B, [1]Collection!D:D)</f>
        <v/>
      </c>
      <c r="G209" s="255" t="inlineStr">
        <is>
          <t>Phone sales Middle East</t>
        </is>
      </c>
      <c r="H209" s="257" t="inlineStr">
        <is>
          <t>92408025</t>
        </is>
      </c>
      <c r="I209" s="257" t="n"/>
      <c r="J209" s="257" t="n"/>
      <c r="K209" s="257" t="n"/>
      <c r="L209" s="257" t="n"/>
      <c r="M209" s="257" t="n"/>
      <c r="N209" s="255" t="inlineStr">
        <is>
          <t>Prospect</t>
        </is>
      </c>
      <c r="O209" s="255" t="inlineStr">
        <is>
          <t>SHARIF Maaz</t>
        </is>
      </c>
      <c r="P209" s="258" t="inlineStr"/>
      <c r="Q209" s="259">
        <f>IF(AND(Table15[[#This Row],[Column1]]&lt;&gt;"",ISNUMBER(DATEVALUE(Table15[[#This Row],[Column1]]))),TODAY()-DATEVALUE(Table15[[#This Row],[Column1]]),"")</f>
        <v/>
      </c>
    </row>
    <row r="210" hidden="1" s="287">
      <c r="A210" s="254" t="inlineStr">
        <is>
          <t>Request</t>
        </is>
      </c>
      <c r="B210" s="255" t="inlineStr"/>
      <c r="C210" s="256" t="inlineStr">
        <is>
          <t>15/1/2025</t>
        </is>
      </c>
      <c r="D210" s="255" t="inlineStr">
        <is>
          <t>4200H/222A-B934</t>
        </is>
      </c>
      <c r="E210" s="255">
        <f>_xlfn.XLOOKUP(D210, [1]Collection!B:B, [1]Collection!C:C)</f>
        <v/>
      </c>
      <c r="F210" s="255">
        <f>_xlfn.XLOOKUP(D210, [1]Collection!B:B, [1]Collection!D:D)</f>
        <v/>
      </c>
      <c r="G210" s="255" t="inlineStr">
        <is>
          <t>Phone sales Middle East</t>
        </is>
      </c>
      <c r="H210" s="257" t="inlineStr">
        <is>
          <t>103616558</t>
        </is>
      </c>
      <c r="I210" s="257" t="n"/>
      <c r="J210" s="257" t="n"/>
      <c r="K210" s="257" t="n"/>
      <c r="L210" s="257" t="n"/>
      <c r="M210" s="257" t="n"/>
      <c r="N210" s="255" t="inlineStr">
        <is>
          <t>Prospect</t>
        </is>
      </c>
      <c r="O210" s="255" t="inlineStr">
        <is>
          <t>SHARIF Maaz</t>
        </is>
      </c>
      <c r="P210" s="258" t="inlineStr"/>
      <c r="Q210" s="259">
        <f>IF(AND(Table15[[#This Row],[Column1]]&lt;&gt;"",ISNUMBER(DATEVALUE(Table15[[#This Row],[Column1]]))),TODAY()-DATEVALUE(Table15[[#This Row],[Column1]]),"")</f>
        <v/>
      </c>
    </row>
    <row r="211" hidden="1" s="287">
      <c r="A211" s="254" t="inlineStr">
        <is>
          <t>Request</t>
        </is>
      </c>
      <c r="B211" s="255" t="inlineStr"/>
      <c r="C211" s="256" t="inlineStr">
        <is>
          <t>15/1/2025</t>
        </is>
      </c>
      <c r="D211" s="255" t="inlineStr">
        <is>
          <t>4200H/222A-B934</t>
        </is>
      </c>
      <c r="E211" s="255">
        <f>_xlfn.XLOOKUP(D211, [1]Collection!B:B, [1]Collection!C:C)</f>
        <v/>
      </c>
      <c r="F211" s="255">
        <f>_xlfn.XLOOKUP(D211, [1]Collection!B:B, [1]Collection!D:D)</f>
        <v/>
      </c>
      <c r="G211" s="255" t="inlineStr">
        <is>
          <t>Phone sales Middle East</t>
        </is>
      </c>
      <c r="H211" s="257" t="inlineStr">
        <is>
          <t>92397362</t>
        </is>
      </c>
      <c r="I211" s="257" t="n"/>
      <c r="J211" s="257" t="n"/>
      <c r="K211" s="257" t="n"/>
      <c r="L211" s="257" t="n"/>
      <c r="M211" s="257" t="n"/>
      <c r="N211" s="255" t="inlineStr">
        <is>
          <t>Prospect</t>
        </is>
      </c>
      <c r="O211" s="255" t="inlineStr">
        <is>
          <t>SHARIF Maaz</t>
        </is>
      </c>
      <c r="P211" s="258" t="inlineStr"/>
      <c r="Q211" s="259">
        <f>IF(AND(Table15[[#This Row],[Column1]]&lt;&gt;"",ISNUMBER(DATEVALUE(Table15[[#This Row],[Column1]]))),TODAY()-DATEVALUE(Table15[[#This Row],[Column1]]),"")</f>
        <v/>
      </c>
    </row>
    <row r="212" hidden="1" s="287">
      <c r="A212" s="254" t="inlineStr">
        <is>
          <t>Request</t>
        </is>
      </c>
      <c r="B212" s="255" t="inlineStr"/>
      <c r="C212" s="256" t="inlineStr">
        <is>
          <t>15/1/2025</t>
        </is>
      </c>
      <c r="D212" s="255" t="inlineStr">
        <is>
          <t>4200H/222A-B934</t>
        </is>
      </c>
      <c r="E212" s="255">
        <f>_xlfn.XLOOKUP(D212, [1]Collection!B:B, [1]Collection!C:C)</f>
        <v/>
      </c>
      <c r="F212" s="255">
        <f>_xlfn.XLOOKUP(D212, [1]Collection!B:B, [1]Collection!D:D)</f>
        <v/>
      </c>
      <c r="G212" s="255" t="inlineStr">
        <is>
          <t>Phone sales Middle East</t>
        </is>
      </c>
      <c r="H212" s="257" t="inlineStr">
        <is>
          <t>103591723</t>
        </is>
      </c>
      <c r="I212" s="257" t="n"/>
      <c r="J212" s="257" t="n"/>
      <c r="K212" s="257" t="n"/>
      <c r="L212" s="257" t="n"/>
      <c r="M212" s="257" t="n"/>
      <c r="N212" s="255" t="inlineStr">
        <is>
          <t>Prospect</t>
        </is>
      </c>
      <c r="O212" s="255" t="inlineStr">
        <is>
          <t>SHARIF Maaz</t>
        </is>
      </c>
      <c r="P212" s="258" t="inlineStr"/>
      <c r="Q212" s="259">
        <f>IF(AND(Table15[[#This Row],[Column1]]&lt;&gt;"",ISNUMBER(DATEVALUE(Table15[[#This Row],[Column1]]))),TODAY()-DATEVALUE(Table15[[#This Row],[Column1]]),"")</f>
        <v/>
      </c>
    </row>
    <row r="213" hidden="1" s="287">
      <c r="A213" s="254" t="inlineStr">
        <is>
          <t>Request</t>
        </is>
      </c>
      <c r="B213" s="255" t="inlineStr"/>
      <c r="C213" s="256" t="inlineStr">
        <is>
          <t>15/1/2025</t>
        </is>
      </c>
      <c r="D213" s="255" t="inlineStr">
        <is>
          <t>4200H/222A-B934</t>
        </is>
      </c>
      <c r="E213" s="255">
        <f>_xlfn.XLOOKUP(D213, [1]Collection!B:B, [1]Collection!C:C)</f>
        <v/>
      </c>
      <c r="F213" s="255">
        <f>_xlfn.XLOOKUP(D213, [1]Collection!B:B, [1]Collection!D:D)</f>
        <v/>
      </c>
      <c r="G213" s="255" t="inlineStr">
        <is>
          <t>Phone sales Middle East</t>
        </is>
      </c>
      <c r="H213" s="257" t="inlineStr">
        <is>
          <t>92401316</t>
        </is>
      </c>
      <c r="I213" s="257" t="n"/>
      <c r="J213" s="257" t="n"/>
      <c r="K213" s="257" t="n"/>
      <c r="L213" s="257" t="n"/>
      <c r="M213" s="257" t="n"/>
      <c r="N213" s="255" t="inlineStr">
        <is>
          <t>Prospect</t>
        </is>
      </c>
      <c r="O213" s="255" t="inlineStr">
        <is>
          <t>SHARIF Maaz</t>
        </is>
      </c>
      <c r="P213" s="258" t="inlineStr"/>
      <c r="Q213" s="259">
        <f>IF(AND(Table15[[#This Row],[Column1]]&lt;&gt;"",ISNUMBER(DATEVALUE(Table15[[#This Row],[Column1]]))),TODAY()-DATEVALUE(Table15[[#This Row],[Column1]]),"")</f>
        <v/>
      </c>
    </row>
    <row r="214" hidden="1" s="287">
      <c r="A214" s="254" t="inlineStr">
        <is>
          <t>Request</t>
        </is>
      </c>
      <c r="B214" s="255" t="inlineStr"/>
      <c r="C214" s="256" t="inlineStr">
        <is>
          <t>15/1/2025</t>
        </is>
      </c>
      <c r="D214" s="255" t="inlineStr">
        <is>
          <t>4200H/222A-B934</t>
        </is>
      </c>
      <c r="E214" s="255">
        <f>_xlfn.XLOOKUP(D214, [1]Collection!B:B, [1]Collection!C:C)</f>
        <v/>
      </c>
      <c r="F214" s="255">
        <f>_xlfn.XLOOKUP(D214, [1]Collection!B:B, [1]Collection!D:D)</f>
        <v/>
      </c>
      <c r="G214" s="255" t="inlineStr">
        <is>
          <t>Phone sales Middle East</t>
        </is>
      </c>
      <c r="H214" s="257" t="inlineStr">
        <is>
          <t>103617256</t>
        </is>
      </c>
      <c r="I214" s="257" t="n"/>
      <c r="J214" s="257" t="n"/>
      <c r="K214" s="257" t="n"/>
      <c r="L214" s="257" t="n"/>
      <c r="M214" s="257" t="n"/>
      <c r="N214" s="255" t="inlineStr">
        <is>
          <t>Prospect</t>
        </is>
      </c>
      <c r="O214" s="255" t="inlineStr">
        <is>
          <t>SHARIF Maaz</t>
        </is>
      </c>
      <c r="P214" s="258" t="inlineStr"/>
      <c r="Q214" s="259">
        <f>IF(AND(Table15[[#This Row],[Column1]]&lt;&gt;"",ISNUMBER(DATEVALUE(Table15[[#This Row],[Column1]]))),TODAY()-DATEVALUE(Table15[[#This Row],[Column1]]),"")</f>
        <v/>
      </c>
    </row>
    <row r="215" hidden="1" s="287">
      <c r="A215" s="254" t="inlineStr">
        <is>
          <t>Request</t>
        </is>
      </c>
      <c r="B215" s="255" t="inlineStr"/>
      <c r="C215" s="256" t="inlineStr">
        <is>
          <t>15/1/2025</t>
        </is>
      </c>
      <c r="D215" s="255" t="inlineStr">
        <is>
          <t>4200H/222A-B934</t>
        </is>
      </c>
      <c r="E215" s="255">
        <f>_xlfn.XLOOKUP(D215, [1]Collection!B:B, [1]Collection!C:C)</f>
        <v/>
      </c>
      <c r="F215" s="255">
        <f>_xlfn.XLOOKUP(D215, [1]Collection!B:B, [1]Collection!D:D)</f>
        <v/>
      </c>
      <c r="G215" s="255" t="inlineStr">
        <is>
          <t>Phone sales Middle East</t>
        </is>
      </c>
      <c r="H215" s="257" t="inlineStr">
        <is>
          <t>103616653</t>
        </is>
      </c>
      <c r="I215" s="257" t="n"/>
      <c r="J215" s="257" t="n"/>
      <c r="K215" s="257" t="n"/>
      <c r="L215" s="257" t="n"/>
      <c r="M215" s="257" t="n"/>
      <c r="N215" s="255" t="inlineStr">
        <is>
          <t>Prospect</t>
        </is>
      </c>
      <c r="O215" s="255" t="inlineStr">
        <is>
          <t>SHARIF Maaz</t>
        </is>
      </c>
      <c r="P215" s="258" t="inlineStr"/>
      <c r="Q215" s="259">
        <f>IF(AND(Table15[[#This Row],[Column1]]&lt;&gt;"",ISNUMBER(DATEVALUE(Table15[[#This Row],[Column1]]))),TODAY()-DATEVALUE(Table15[[#This Row],[Column1]]),"")</f>
        <v/>
      </c>
    </row>
    <row r="216" hidden="1" s="287">
      <c r="A216" s="254" t="inlineStr">
        <is>
          <t>Request</t>
        </is>
      </c>
      <c r="B216" s="255" t="inlineStr"/>
      <c r="C216" s="256" t="inlineStr">
        <is>
          <t>15/1/2025</t>
        </is>
      </c>
      <c r="D216" s="255" t="inlineStr">
        <is>
          <t>4200H/222A-B934</t>
        </is>
      </c>
      <c r="E216" s="255">
        <f>_xlfn.XLOOKUP(D216, [1]Collection!B:B, [1]Collection!C:C)</f>
        <v/>
      </c>
      <c r="F216" s="255">
        <f>_xlfn.XLOOKUP(D216, [1]Collection!B:B, [1]Collection!D:D)</f>
        <v/>
      </c>
      <c r="G216" s="255" t="inlineStr">
        <is>
          <t>Phone sales Middle East</t>
        </is>
      </c>
      <c r="H216" s="257" t="inlineStr">
        <is>
          <t>103620663</t>
        </is>
      </c>
      <c r="I216" s="257" t="n"/>
      <c r="J216" s="257" t="n"/>
      <c r="K216" s="257" t="n"/>
      <c r="L216" s="257" t="n"/>
      <c r="M216" s="257" t="n"/>
      <c r="N216" s="255" t="inlineStr">
        <is>
          <t>Prospect</t>
        </is>
      </c>
      <c r="O216" s="255" t="inlineStr">
        <is>
          <t>SHARIF Maaz</t>
        </is>
      </c>
      <c r="P216" s="258" t="inlineStr"/>
      <c r="Q216" s="259">
        <f>IF(AND(Table15[[#This Row],[Column1]]&lt;&gt;"",ISNUMBER(DATEVALUE(Table15[[#This Row],[Column1]]))),TODAY()-DATEVALUE(Table15[[#This Row],[Column1]]),"")</f>
        <v/>
      </c>
    </row>
    <row r="217" hidden="1" s="287">
      <c r="A217" s="254" t="inlineStr">
        <is>
          <t>Request</t>
        </is>
      </c>
      <c r="B217" s="255" t="inlineStr"/>
      <c r="C217" s="256" t="inlineStr">
        <is>
          <t>15/1/2025</t>
        </is>
      </c>
      <c r="D217" s="255" t="inlineStr">
        <is>
          <t>4200H/222A-B934</t>
        </is>
      </c>
      <c r="E217" s="255">
        <f>_xlfn.XLOOKUP(D217, [1]Collection!B:B, [1]Collection!C:C)</f>
        <v/>
      </c>
      <c r="F217" s="255">
        <f>_xlfn.XLOOKUP(D217, [1]Collection!B:B, [1]Collection!D:D)</f>
        <v/>
      </c>
      <c r="G217" s="255" t="inlineStr">
        <is>
          <t>Phone sales Middle East</t>
        </is>
      </c>
      <c r="H217" s="257" t="inlineStr">
        <is>
          <t>103621182</t>
        </is>
      </c>
      <c r="I217" s="257" t="n"/>
      <c r="J217" s="257" t="n"/>
      <c r="K217" s="257" t="n"/>
      <c r="L217" s="257" t="n"/>
      <c r="M217" s="257" t="n"/>
      <c r="N217" s="255" t="inlineStr">
        <is>
          <t>Prospect</t>
        </is>
      </c>
      <c r="O217" s="255" t="inlineStr">
        <is>
          <t>SHARIF Maaz</t>
        </is>
      </c>
      <c r="P217" s="258" t="inlineStr"/>
      <c r="Q217" s="259">
        <f>IF(AND(Table15[[#This Row],[Column1]]&lt;&gt;"",ISNUMBER(DATEVALUE(Table15[[#This Row],[Column1]]))),TODAY()-DATEVALUE(Table15[[#This Row],[Column1]]),"")</f>
        <v/>
      </c>
    </row>
    <row r="218" hidden="1" s="287">
      <c r="A218" s="254" t="inlineStr">
        <is>
          <t>Request</t>
        </is>
      </c>
      <c r="B218" s="255" t="inlineStr"/>
      <c r="C218" s="256" t="inlineStr">
        <is>
          <t>15/1/2025</t>
        </is>
      </c>
      <c r="D218" s="255" t="inlineStr">
        <is>
          <t>4200H/222A-B934</t>
        </is>
      </c>
      <c r="E218" s="255">
        <f>_xlfn.XLOOKUP(D218, [1]Collection!B:B, [1]Collection!C:C)</f>
        <v/>
      </c>
      <c r="F218" s="255">
        <f>_xlfn.XLOOKUP(D218, [1]Collection!B:B, [1]Collection!D:D)</f>
        <v/>
      </c>
      <c r="G218" s="255" t="inlineStr">
        <is>
          <t>Phone sales Middle East</t>
        </is>
      </c>
      <c r="H218" s="257" t="inlineStr">
        <is>
          <t>103620632</t>
        </is>
      </c>
      <c r="I218" s="257" t="n"/>
      <c r="J218" s="257" t="n"/>
      <c r="K218" s="257" t="n"/>
      <c r="L218" s="257" t="n"/>
      <c r="M218" s="257" t="n"/>
      <c r="N218" s="255" t="inlineStr">
        <is>
          <t>Prospect</t>
        </is>
      </c>
      <c r="O218" s="255" t="inlineStr">
        <is>
          <t>SHARIF Maaz</t>
        </is>
      </c>
      <c r="P218" s="258" t="inlineStr"/>
      <c r="Q218" s="259">
        <f>IF(AND(Table15[[#This Row],[Column1]]&lt;&gt;"",ISNUMBER(DATEVALUE(Table15[[#This Row],[Column1]]))),TODAY()-DATEVALUE(Table15[[#This Row],[Column1]]),"")</f>
        <v/>
      </c>
    </row>
    <row r="219" hidden="1" s="287">
      <c r="A219" s="254" t="inlineStr">
        <is>
          <t>Request</t>
        </is>
      </c>
      <c r="B219" s="255" t="inlineStr"/>
      <c r="C219" s="256" t="inlineStr">
        <is>
          <t>15/1/2025</t>
        </is>
      </c>
      <c r="D219" s="255" t="inlineStr">
        <is>
          <t>4200H/222A-B934</t>
        </is>
      </c>
      <c r="E219" s="255">
        <f>_xlfn.XLOOKUP(D219, [1]Collection!B:B, [1]Collection!C:C)</f>
        <v/>
      </c>
      <c r="F219" s="255">
        <f>_xlfn.XLOOKUP(D219, [1]Collection!B:B, [1]Collection!D:D)</f>
        <v/>
      </c>
      <c r="G219" s="255" t="inlineStr">
        <is>
          <t>Phone sales Middle East</t>
        </is>
      </c>
      <c r="H219" s="257" t="inlineStr">
        <is>
          <t>92397707</t>
        </is>
      </c>
      <c r="I219" s="257" t="n"/>
      <c r="J219" s="257" t="n"/>
      <c r="K219" s="257" t="n"/>
      <c r="L219" s="257" t="n"/>
      <c r="M219" s="257" t="n"/>
      <c r="N219" s="255" t="inlineStr">
        <is>
          <t>Prospect</t>
        </is>
      </c>
      <c r="O219" s="255" t="inlineStr">
        <is>
          <t>SHARIF Maaz</t>
        </is>
      </c>
      <c r="P219" s="258" t="inlineStr"/>
      <c r="Q219" s="259">
        <f>IF(AND(Table15[[#This Row],[Column1]]&lt;&gt;"",ISNUMBER(DATEVALUE(Table15[[#This Row],[Column1]]))),TODAY()-DATEVALUE(Table15[[#This Row],[Column1]]),"")</f>
        <v/>
      </c>
    </row>
    <row r="220" hidden="1" s="287">
      <c r="A220" s="254" t="inlineStr">
        <is>
          <t>Request</t>
        </is>
      </c>
      <c r="B220" s="255" t="inlineStr"/>
      <c r="C220" s="256" t="inlineStr">
        <is>
          <t>15/1/2025</t>
        </is>
      </c>
      <c r="D220" s="255" t="inlineStr">
        <is>
          <t>4200H/222A-B934</t>
        </is>
      </c>
      <c r="E220" s="255">
        <f>_xlfn.XLOOKUP(D220, [1]Collection!B:B, [1]Collection!C:C)</f>
        <v/>
      </c>
      <c r="F220" s="255">
        <f>_xlfn.XLOOKUP(D220, [1]Collection!B:B, [1]Collection!D:D)</f>
        <v/>
      </c>
      <c r="G220" s="255" t="inlineStr">
        <is>
          <t>Phone sales Middle East</t>
        </is>
      </c>
      <c r="H220" s="257" t="inlineStr">
        <is>
          <t>92404856</t>
        </is>
      </c>
      <c r="I220" s="257" t="n"/>
      <c r="J220" s="257" t="n"/>
      <c r="K220" s="257" t="n"/>
      <c r="L220" s="257" t="n"/>
      <c r="M220" s="257" t="n"/>
      <c r="N220" s="255" t="inlineStr">
        <is>
          <t>Prospect</t>
        </is>
      </c>
      <c r="O220" s="255" t="inlineStr">
        <is>
          <t>SHARIF Maaz</t>
        </is>
      </c>
      <c r="P220" s="258" t="inlineStr"/>
      <c r="Q220" s="259">
        <f>IF(AND(Table15[[#This Row],[Column1]]&lt;&gt;"",ISNUMBER(DATEVALUE(Table15[[#This Row],[Column1]]))),TODAY()-DATEVALUE(Table15[[#This Row],[Column1]]),"")</f>
        <v/>
      </c>
    </row>
    <row r="221" ht="109.2" customHeight="1" s="287">
      <c r="A221" s="254" t="inlineStr">
        <is>
          <t>Request</t>
        </is>
      </c>
      <c r="B221" s="255" t="inlineStr"/>
      <c r="C221" s="256" t="inlineStr">
        <is>
          <t>14/8/2024</t>
        </is>
      </c>
      <c r="D221" s="255" t="inlineStr">
        <is>
          <t>5520V/210A-B481</t>
        </is>
      </c>
      <c r="E221" s="255">
        <f>_xlfn.XLOOKUP(D221, [1]Collection!B:B, [1]Collection!C:C)</f>
        <v/>
      </c>
      <c r="F221" s="255">
        <f>_xlfn.XLOOKUP(D221, [1]Collection!B:B, [1]Collection!D:D)</f>
        <v/>
      </c>
      <c r="G221" s="255" t="inlineStr">
        <is>
          <t>Phone sales Middle East</t>
        </is>
      </c>
      <c r="H221" s="257" t="inlineStr">
        <is>
          <t>101104408</t>
        </is>
      </c>
      <c r="I221" s="257" t="n"/>
      <c r="J221" s="261" t="n"/>
      <c r="K221" s="257" t="n"/>
      <c r="L221" s="257" t="n"/>
      <c r="M221" s="257" t="n"/>
      <c r="N221" s="255" t="inlineStr">
        <is>
          <t>Prospect</t>
        </is>
      </c>
      <c r="O221" s="255" t="inlineStr">
        <is>
          <t>SHARIF Maaz</t>
        </is>
      </c>
      <c r="P221" s="262" t="inlineStr">
        <is>
          <t xml:space="preserve">The client is interested in both the  Overseas chronographand the  Historiques American 1921
</t>
        </is>
      </c>
      <c r="Q221" s="259">
        <f>IF(AND(Table15[[#This Row],[Column1]]&lt;&gt;"",ISNUMBER(DATEVALUE(Table15[[#This Row],[Column1]]))),TODAY()-DATEVALUE(Table15[[#This Row],[Column1]]),"")</f>
        <v/>
      </c>
    </row>
    <row r="222" ht="31.2" customHeight="1" s="287">
      <c r="A222" s="254" t="inlineStr">
        <is>
          <t>Request</t>
        </is>
      </c>
      <c r="B222" s="255" t="inlineStr"/>
      <c r="C222" s="256" t="inlineStr">
        <is>
          <t>14/2/2025</t>
        </is>
      </c>
      <c r="D222" s="255" t="inlineStr">
        <is>
          <t>5520V/210R-B966</t>
        </is>
      </c>
      <c r="E222" s="255">
        <f>_xlfn.XLOOKUP(D222, [1]Collection!B:B, [1]Collection!C:C)</f>
        <v/>
      </c>
      <c r="F222" s="255">
        <f>_xlfn.XLOOKUP(D222, [1]Collection!B:B, [1]Collection!D:D)</f>
        <v/>
      </c>
      <c r="G222" s="255" t="inlineStr">
        <is>
          <t>Phone sales Middle East</t>
        </is>
      </c>
      <c r="H222" s="257" t="inlineStr">
        <is>
          <t>107552378</t>
        </is>
      </c>
      <c r="I222" s="257" t="n"/>
      <c r="J222" s="261" t="n"/>
      <c r="K222" s="257" t="n"/>
      <c r="L222" s="257" t="n"/>
      <c r="M222" s="257" t="n"/>
      <c r="N222" s="255" t="inlineStr">
        <is>
          <t>Prospect</t>
        </is>
      </c>
      <c r="O222" s="255" t="inlineStr">
        <is>
          <t>SHARIF Maaz</t>
        </is>
      </c>
      <c r="P222" s="262" t="inlineStr">
        <is>
          <t xml:space="preserve">
</t>
        </is>
      </c>
      <c r="Q222" s="259">
        <f>IF(AND(Table15[[#This Row],[Column1]]&lt;&gt;"",ISNUMBER(DATEVALUE(Table15[[#This Row],[Column1]]))),TODAY()-DATEVALUE(Table15[[#This Row],[Column1]]),"")</f>
        <v/>
      </c>
    </row>
    <row r="223" hidden="1" s="287">
      <c r="A223" s="254" t="inlineStr">
        <is>
          <t>Request</t>
        </is>
      </c>
      <c r="B223" s="255" t="inlineStr"/>
      <c r="C223" s="256" t="inlineStr">
        <is>
          <t>14/2/2024</t>
        </is>
      </c>
      <c r="D223" s="255" t="inlineStr">
        <is>
          <t>4520V/210A-B128</t>
        </is>
      </c>
      <c r="E223" s="255">
        <f>_xlfn.XLOOKUP(D223, [1]Collection!B:B, [1]Collection!C:C)</f>
        <v/>
      </c>
      <c r="F223" s="255">
        <f>_xlfn.XLOOKUP(D223, [1]Collection!B:B, [1]Collection!D:D)</f>
        <v/>
      </c>
      <c r="G223" s="255" t="inlineStr">
        <is>
          <t>Phone sales Middle East</t>
        </is>
      </c>
      <c r="H223" s="257" t="inlineStr">
        <is>
          <t>97863424</t>
        </is>
      </c>
      <c r="I223" s="257" t="n"/>
      <c r="J223" s="257" t="n"/>
      <c r="K223" s="257" t="n"/>
      <c r="L223" s="257" t="n"/>
      <c r="M223" s="257" t="n"/>
      <c r="N223" s="255" t="inlineStr">
        <is>
          <t>Prospect</t>
        </is>
      </c>
      <c r="O223" s="255" t="inlineStr">
        <is>
          <t>SHARIF Maaz</t>
        </is>
      </c>
      <c r="P223" s="258" t="inlineStr"/>
      <c r="Q223" s="259">
        <f>IF(AND(Table15[[#This Row],[Column1]]&lt;&gt;"",ISNUMBER(DATEVALUE(Table15[[#This Row],[Column1]]))),TODAY()-DATEVALUE(Table15[[#This Row],[Column1]]),"")</f>
        <v/>
      </c>
    </row>
    <row r="224" hidden="1" s="287">
      <c r="A224" s="254" t="inlineStr">
        <is>
          <t>Request</t>
        </is>
      </c>
      <c r="B224" s="255" t="inlineStr">
        <is>
          <t>Confirmed</t>
        </is>
      </c>
      <c r="C224" s="256" t="inlineStr">
        <is>
          <t>14/11/2024</t>
        </is>
      </c>
      <c r="D224" s="255" t="inlineStr">
        <is>
          <t>4520V/210A-B128</t>
        </is>
      </c>
      <c r="E224" s="255">
        <f>_xlfn.XLOOKUP(D224, [1]Collection!B:B, [1]Collection!C:C)</f>
        <v/>
      </c>
      <c r="F224" s="255">
        <f>_xlfn.XLOOKUP(D224, [1]Collection!B:B, [1]Collection!D:D)</f>
        <v/>
      </c>
      <c r="G224" s="255" t="inlineStr">
        <is>
          <t>Phone sales Middle East</t>
        </is>
      </c>
      <c r="H224" s="257" t="inlineStr">
        <is>
          <t>98700258</t>
        </is>
      </c>
      <c r="I224" s="257" t="n"/>
      <c r="J224" s="257" t="n"/>
      <c r="K224" s="257" t="n"/>
      <c r="L224" s="257" t="n"/>
      <c r="M224" s="257" t="n"/>
      <c r="N224" s="255" t="inlineStr">
        <is>
          <t>Prospect</t>
        </is>
      </c>
      <c r="O224" s="255" t="inlineStr">
        <is>
          <t>SHARIF Maaz</t>
        </is>
      </c>
      <c r="P224" s="258" t="inlineStr">
        <is>
          <t xml:space="preserve">The client would like to purchases the overseas blue simple 
</t>
        </is>
      </c>
      <c r="Q224" s="259">
        <f>IF(AND(Table15[[#This Row],[Column1]]&lt;&gt;"",ISNUMBER(DATEVALUE(Table15[[#This Row],[Column1]]))),TODAY()-DATEVALUE(Table15[[#This Row],[Column1]]),"")</f>
        <v/>
      </c>
    </row>
    <row r="225" ht="109.2" customHeight="1" s="287">
      <c r="A225" s="254" t="inlineStr">
        <is>
          <t>Request</t>
        </is>
      </c>
      <c r="B225" s="255" t="inlineStr">
        <is>
          <t>Pending client feedback</t>
        </is>
      </c>
      <c r="C225" s="256" t="inlineStr">
        <is>
          <t>14/11/2024</t>
        </is>
      </c>
      <c r="D225" s="255" t="inlineStr">
        <is>
          <t>6000V/110A-B544</t>
        </is>
      </c>
      <c r="E225" s="255">
        <f>_xlfn.XLOOKUP(D225, [1]Collection!B:B, [1]Collection!C:C)</f>
        <v/>
      </c>
      <c r="F225" s="255">
        <f>_xlfn.XLOOKUP(D225, [1]Collection!B:B, [1]Collection!D:D)</f>
        <v/>
      </c>
      <c r="G225" s="255" t="inlineStr">
        <is>
          <t>Phone sales Middle East</t>
        </is>
      </c>
      <c r="H225" s="257" t="inlineStr">
        <is>
          <t>98700258</t>
        </is>
      </c>
      <c r="I225" s="257" t="n"/>
      <c r="J225" s="261" t="n"/>
      <c r="K225" s="257" t="n"/>
      <c r="L225" s="257" t="n"/>
      <c r="M225" s="257" t="n"/>
      <c r="N225" s="255" t="inlineStr">
        <is>
          <t>Prospect</t>
        </is>
      </c>
      <c r="O225" s="255" t="inlineStr">
        <is>
          <t>SHARIF Maaz</t>
        </is>
      </c>
      <c r="P225" s="262" t="inlineStr">
        <is>
          <t xml:space="preserve">The client would like to purchase the overseas and stated that , he considers him self a Vacheron Constantin ambassador 
</t>
        </is>
      </c>
      <c r="Q225" s="259">
        <f>IF(AND(Table15[[#This Row],[Column1]]&lt;&gt;"",ISNUMBER(DATEVALUE(Table15[[#This Row],[Column1]]))),TODAY()-DATEVALUE(Table15[[#This Row],[Column1]]),"")</f>
        <v/>
      </c>
    </row>
    <row r="226" hidden="1" s="287">
      <c r="A226" s="254" t="inlineStr">
        <is>
          <t>Request</t>
        </is>
      </c>
      <c r="B226" s="255" t="inlineStr"/>
      <c r="C226" s="256" t="inlineStr">
        <is>
          <t>14/1/2025</t>
        </is>
      </c>
      <c r="D226" s="255" t="inlineStr">
        <is>
          <t>4200H/222A-B934</t>
        </is>
      </c>
      <c r="E226" s="255">
        <f>_xlfn.XLOOKUP(D226, [1]Collection!B:B, [1]Collection!C:C)</f>
        <v/>
      </c>
      <c r="F226" s="255">
        <f>_xlfn.XLOOKUP(D226, [1]Collection!B:B, [1]Collection!D:D)</f>
        <v/>
      </c>
      <c r="G226" s="255" t="inlineStr">
        <is>
          <t>Phone sales Middle East</t>
        </is>
      </c>
      <c r="H226" s="257" t="inlineStr">
        <is>
          <t>103437674</t>
        </is>
      </c>
      <c r="I226" s="257" t="n"/>
      <c r="J226" s="257" t="n"/>
      <c r="K226" s="257" t="n"/>
      <c r="L226" s="257" t="n"/>
      <c r="M226" s="257" t="n"/>
      <c r="N226" s="255" t="inlineStr">
        <is>
          <t>Prospect</t>
        </is>
      </c>
      <c r="O226" s="255" t="inlineStr">
        <is>
          <t>SHARIF Maaz</t>
        </is>
      </c>
      <c r="P226" s="258" t="inlineStr">
        <is>
          <t xml:space="preserve">The client is already interested in the 222 and willing to pay in advance 
</t>
        </is>
      </c>
      <c r="Q226" s="259">
        <f>IF(AND(Table15[[#This Row],[Column1]]&lt;&gt;"",ISNUMBER(DATEVALUE(Table15[[#This Row],[Column1]]))),TODAY()-DATEVALUE(Table15[[#This Row],[Column1]]),"")</f>
        <v/>
      </c>
    </row>
    <row r="227" hidden="1" s="287">
      <c r="A227" s="254" t="inlineStr">
        <is>
          <t>Request</t>
        </is>
      </c>
      <c r="B227" s="255" t="inlineStr"/>
      <c r="C227" s="256" t="inlineStr">
        <is>
          <t>14/1/2025</t>
        </is>
      </c>
      <c r="D227" s="255" t="inlineStr">
        <is>
          <t>4200H/222A-B934</t>
        </is>
      </c>
      <c r="E227" s="255">
        <f>_xlfn.XLOOKUP(D227, [1]Collection!B:B, [1]Collection!C:C)</f>
        <v/>
      </c>
      <c r="F227" s="255">
        <f>_xlfn.XLOOKUP(D227, [1]Collection!B:B, [1]Collection!D:D)</f>
        <v/>
      </c>
      <c r="G227" s="255" t="inlineStr">
        <is>
          <t>Phone sales Middle East</t>
        </is>
      </c>
      <c r="H227" s="257" t="inlineStr">
        <is>
          <t>103531883</t>
        </is>
      </c>
      <c r="I227" s="257" t="n"/>
      <c r="J227" s="257" t="n"/>
      <c r="K227" s="257" t="n"/>
      <c r="L227" s="257" t="n"/>
      <c r="M227" s="257" t="n"/>
      <c r="N227" s="255" t="inlineStr">
        <is>
          <t>Prospect</t>
        </is>
      </c>
      <c r="O227" s="255" t="inlineStr">
        <is>
          <t>SHARIF Maaz</t>
        </is>
      </c>
      <c r="P227" s="258" t="inlineStr">
        <is>
          <t xml:space="preserve">the client is very intrested 
</t>
        </is>
      </c>
      <c r="Q227" s="259">
        <f>IF(AND(Table15[[#This Row],[Column1]]&lt;&gt;"",ISNUMBER(DATEVALUE(Table15[[#This Row],[Column1]]))),TODAY()-DATEVALUE(Table15[[#This Row],[Column1]]),"")</f>
        <v/>
      </c>
    </row>
    <row r="228" hidden="1" s="287">
      <c r="A228" s="254" t="inlineStr">
        <is>
          <t>Request</t>
        </is>
      </c>
      <c r="B228" s="255" t="inlineStr"/>
      <c r="C228" s="256" t="inlineStr">
        <is>
          <t>14/1/2025</t>
        </is>
      </c>
      <c r="D228" s="255" t="inlineStr">
        <is>
          <t>4200H/222A-B934</t>
        </is>
      </c>
      <c r="E228" s="255">
        <f>_xlfn.XLOOKUP(D228, [1]Collection!B:B, [1]Collection!C:C)</f>
        <v/>
      </c>
      <c r="F228" s="255">
        <f>_xlfn.XLOOKUP(D228, [1]Collection!B:B, [1]Collection!D:D)</f>
        <v/>
      </c>
      <c r="G228" s="255" t="inlineStr">
        <is>
          <t>Phone sales Middle East</t>
        </is>
      </c>
      <c r="H228" s="257" t="inlineStr">
        <is>
          <t>103531883</t>
        </is>
      </c>
      <c r="I228" s="257" t="n"/>
      <c r="J228" s="257" t="n"/>
      <c r="K228" s="257" t="n"/>
      <c r="L228" s="257" t="n"/>
      <c r="M228" s="257" t="n"/>
      <c r="N228" s="255" t="inlineStr">
        <is>
          <t>Prospect</t>
        </is>
      </c>
      <c r="O228" s="255" t="inlineStr">
        <is>
          <t>SHARIF Maaz</t>
        </is>
      </c>
      <c r="P228" s="258" t="inlineStr">
        <is>
          <t xml:space="preserve">Cllient is very interested 
</t>
        </is>
      </c>
      <c r="Q228" s="259">
        <f>IF(AND(Table15[[#This Row],[Column1]]&lt;&gt;"",ISNUMBER(DATEVALUE(Table15[[#This Row],[Column1]]))),TODAY()-DATEVALUE(Table15[[#This Row],[Column1]]),"")</f>
        <v/>
      </c>
    </row>
    <row r="229" hidden="1" s="287">
      <c r="A229" s="254" t="inlineStr">
        <is>
          <t>Request</t>
        </is>
      </c>
      <c r="B229" s="255" t="inlineStr"/>
      <c r="C229" s="256" t="inlineStr">
        <is>
          <t>14/1/2025</t>
        </is>
      </c>
      <c r="D229" s="255" t="inlineStr">
        <is>
          <t>4200H/222A-B934</t>
        </is>
      </c>
      <c r="E229" s="255">
        <f>_xlfn.XLOOKUP(D229, [1]Collection!B:B, [1]Collection!C:C)</f>
        <v/>
      </c>
      <c r="F229" s="255">
        <f>_xlfn.XLOOKUP(D229, [1]Collection!B:B, [1]Collection!D:D)</f>
        <v/>
      </c>
      <c r="G229" s="255" t="inlineStr">
        <is>
          <t>Phone sales Middle East</t>
        </is>
      </c>
      <c r="H229" s="257" t="inlineStr">
        <is>
          <t>92406536</t>
        </is>
      </c>
      <c r="I229" s="257" t="n"/>
      <c r="J229" s="257" t="n"/>
      <c r="K229" s="257" t="n"/>
      <c r="L229" s="257" t="n"/>
      <c r="M229" s="257" t="n"/>
      <c r="N229" s="255" t="inlineStr">
        <is>
          <t>Prospect</t>
        </is>
      </c>
      <c r="O229" s="255" t="inlineStr">
        <is>
          <t>SHARIF Maaz</t>
        </is>
      </c>
      <c r="P229" s="258" t="inlineStr"/>
      <c r="Q229" s="259">
        <f>IF(AND(Table15[[#This Row],[Column1]]&lt;&gt;"",ISNUMBER(DATEVALUE(Table15[[#This Row],[Column1]]))),TODAY()-DATEVALUE(Table15[[#This Row],[Column1]]),"")</f>
        <v/>
      </c>
    </row>
    <row r="230" hidden="1" s="287">
      <c r="A230" s="254" t="inlineStr">
        <is>
          <t>Request</t>
        </is>
      </c>
      <c r="B230" s="255" t="inlineStr"/>
      <c r="C230" s="256" t="inlineStr">
        <is>
          <t>14/1/2025</t>
        </is>
      </c>
      <c r="D230" s="255" t="inlineStr">
        <is>
          <t>4200H/222A-B934</t>
        </is>
      </c>
      <c r="E230" s="255">
        <f>_xlfn.XLOOKUP(D230, [1]Collection!B:B, [1]Collection!C:C)</f>
        <v/>
      </c>
      <c r="F230" s="255">
        <f>_xlfn.XLOOKUP(D230, [1]Collection!B:B, [1]Collection!D:D)</f>
        <v/>
      </c>
      <c r="G230" s="255" t="inlineStr">
        <is>
          <t>Phone sales Middle East</t>
        </is>
      </c>
      <c r="H230" s="257" t="inlineStr">
        <is>
          <t>103620484</t>
        </is>
      </c>
      <c r="I230" s="257" t="n"/>
      <c r="J230" s="257" t="n"/>
      <c r="K230" s="257" t="n"/>
      <c r="L230" s="257" t="n"/>
      <c r="M230" s="257" t="n"/>
      <c r="N230" s="255" t="inlineStr">
        <is>
          <t>Prospect</t>
        </is>
      </c>
      <c r="O230" s="255" t="inlineStr">
        <is>
          <t>SHARIF Maaz</t>
        </is>
      </c>
      <c r="P230" s="258" t="inlineStr"/>
      <c r="Q230" s="259">
        <f>IF(AND(Table15[[#This Row],[Column1]]&lt;&gt;"",ISNUMBER(DATEVALUE(Table15[[#This Row],[Column1]]))),TODAY()-DATEVALUE(Table15[[#This Row],[Column1]]),"")</f>
        <v/>
      </c>
    </row>
    <row r="231" hidden="1" s="287">
      <c r="A231" s="254" t="inlineStr">
        <is>
          <t>Request</t>
        </is>
      </c>
      <c r="B231" s="255" t="inlineStr"/>
      <c r="C231" s="256" t="inlineStr">
        <is>
          <t>14/1/2025</t>
        </is>
      </c>
      <c r="D231" s="255" t="inlineStr">
        <is>
          <t>4200H/222A-B934</t>
        </is>
      </c>
      <c r="E231" s="255">
        <f>_xlfn.XLOOKUP(D231, [1]Collection!B:B, [1]Collection!C:C)</f>
        <v/>
      </c>
      <c r="F231" s="255">
        <f>_xlfn.XLOOKUP(D231, [1]Collection!B:B, [1]Collection!D:D)</f>
        <v/>
      </c>
      <c r="G231" s="255" t="inlineStr">
        <is>
          <t>Phone sales Middle East</t>
        </is>
      </c>
      <c r="H231" s="257" t="inlineStr">
        <is>
          <t>103631902</t>
        </is>
      </c>
      <c r="I231" s="257" t="n"/>
      <c r="J231" s="257" t="n"/>
      <c r="K231" s="257" t="n"/>
      <c r="L231" s="257" t="n"/>
      <c r="M231" s="257" t="n"/>
      <c r="N231" s="255" t="inlineStr">
        <is>
          <t>Prospect</t>
        </is>
      </c>
      <c r="O231" s="255" t="inlineStr">
        <is>
          <t>SHARIF Maaz</t>
        </is>
      </c>
      <c r="P231" s="258" t="inlineStr"/>
      <c r="Q231" s="259">
        <f>IF(AND(Table15[[#This Row],[Column1]]&lt;&gt;"",ISNUMBER(DATEVALUE(Table15[[#This Row],[Column1]]))),TODAY()-DATEVALUE(Table15[[#This Row],[Column1]]),"")</f>
        <v/>
      </c>
    </row>
    <row r="232" hidden="1" s="287">
      <c r="A232" s="254" t="inlineStr">
        <is>
          <t>Request</t>
        </is>
      </c>
      <c r="B232" s="255" t="inlineStr"/>
      <c r="C232" s="256" t="inlineStr">
        <is>
          <t>14/1/2025</t>
        </is>
      </c>
      <c r="D232" s="255" t="inlineStr">
        <is>
          <t>4200H/222A-B934</t>
        </is>
      </c>
      <c r="E232" s="255">
        <f>_xlfn.XLOOKUP(D232, [1]Collection!B:B, [1]Collection!C:C)</f>
        <v/>
      </c>
      <c r="F232" s="255">
        <f>_xlfn.XLOOKUP(D232, [1]Collection!B:B, [1]Collection!D:D)</f>
        <v/>
      </c>
      <c r="G232" s="255" t="inlineStr">
        <is>
          <t>Phone sales Middle East</t>
        </is>
      </c>
      <c r="H232" s="257" t="inlineStr">
        <is>
          <t>93912121</t>
        </is>
      </c>
      <c r="I232" s="257" t="n"/>
      <c r="J232" s="257" t="n"/>
      <c r="K232" s="257" t="n"/>
      <c r="L232" s="257" t="n"/>
      <c r="M232" s="257" t="n"/>
      <c r="N232" s="255" t="inlineStr">
        <is>
          <t>Prospect</t>
        </is>
      </c>
      <c r="O232" s="255" t="inlineStr">
        <is>
          <t>SHARIF Maaz</t>
        </is>
      </c>
      <c r="P232" s="258" t="inlineStr"/>
      <c r="Q232" s="259">
        <f>IF(AND(Table15[[#This Row],[Column1]]&lt;&gt;"",ISNUMBER(DATEVALUE(Table15[[#This Row],[Column1]]))),TODAY()-DATEVALUE(Table15[[#This Row],[Column1]]),"")</f>
        <v/>
      </c>
    </row>
    <row r="233" hidden="1" s="287">
      <c r="A233" s="254" t="inlineStr">
        <is>
          <t>Request</t>
        </is>
      </c>
      <c r="B233" s="255" t="inlineStr"/>
      <c r="C233" s="256" t="inlineStr">
        <is>
          <t>14/1/2025</t>
        </is>
      </c>
      <c r="D233" s="255" t="inlineStr">
        <is>
          <t>4200H/222A-B934</t>
        </is>
      </c>
      <c r="E233" s="255">
        <f>_xlfn.XLOOKUP(D233, [1]Collection!B:B, [1]Collection!C:C)</f>
        <v/>
      </c>
      <c r="F233" s="255">
        <f>_xlfn.XLOOKUP(D233, [1]Collection!B:B, [1]Collection!D:D)</f>
        <v/>
      </c>
      <c r="G233" s="255" t="inlineStr">
        <is>
          <t>Phone sales Middle East</t>
        </is>
      </c>
      <c r="H233" s="257" t="inlineStr">
        <is>
          <t>103617256</t>
        </is>
      </c>
      <c r="I233" s="257" t="n"/>
      <c r="J233" s="257" t="n"/>
      <c r="K233" s="257" t="n"/>
      <c r="L233" s="257" t="n"/>
      <c r="M233" s="257" t="n"/>
      <c r="N233" s="255" t="inlineStr">
        <is>
          <t>Prospect</t>
        </is>
      </c>
      <c r="O233" s="255" t="inlineStr">
        <is>
          <t>SHARIF Maaz</t>
        </is>
      </c>
      <c r="P233" s="258" t="inlineStr"/>
      <c r="Q233" s="259">
        <f>IF(AND(Table15[[#This Row],[Column1]]&lt;&gt;"",ISNUMBER(DATEVALUE(Table15[[#This Row],[Column1]]))),TODAY()-DATEVALUE(Table15[[#This Row],[Column1]]),"")</f>
        <v/>
      </c>
    </row>
    <row r="234" hidden="1" s="287">
      <c r="A234" s="254" t="inlineStr">
        <is>
          <t>Request</t>
        </is>
      </c>
      <c r="B234" s="255" t="inlineStr"/>
      <c r="C234" s="256" t="inlineStr">
        <is>
          <t>14/1/2025</t>
        </is>
      </c>
      <c r="D234" s="255" t="inlineStr">
        <is>
          <t>4200H/222A-B934</t>
        </is>
      </c>
      <c r="E234" s="255">
        <f>_xlfn.XLOOKUP(D234, [1]Collection!B:B, [1]Collection!C:C)</f>
        <v/>
      </c>
      <c r="F234" s="255">
        <f>_xlfn.XLOOKUP(D234, [1]Collection!B:B, [1]Collection!D:D)</f>
        <v/>
      </c>
      <c r="G234" s="255" t="inlineStr">
        <is>
          <t>Phone sales Middle East</t>
        </is>
      </c>
      <c r="H234" s="257" t="inlineStr">
        <is>
          <t>103634777</t>
        </is>
      </c>
      <c r="I234" s="257" t="n"/>
      <c r="J234" s="257" t="n"/>
      <c r="K234" s="257" t="n"/>
      <c r="L234" s="257" t="n"/>
      <c r="M234" s="257" t="n"/>
      <c r="N234" s="255" t="inlineStr">
        <is>
          <t>Prospect</t>
        </is>
      </c>
      <c r="O234" s="255" t="inlineStr">
        <is>
          <t>SHARIF Maaz</t>
        </is>
      </c>
      <c r="P234" s="258" t="inlineStr"/>
      <c r="Q234" s="259">
        <f>IF(AND(Table15[[#This Row],[Column1]]&lt;&gt;"",ISNUMBER(DATEVALUE(Table15[[#This Row],[Column1]]))),TODAY()-DATEVALUE(Table15[[#This Row],[Column1]]),"")</f>
        <v/>
      </c>
    </row>
    <row r="235" ht="62.4" customHeight="1" s="287">
      <c r="A235" s="254" t="inlineStr">
        <is>
          <t>Request</t>
        </is>
      </c>
      <c r="B235" s="255" t="inlineStr">
        <is>
          <t>Pending client feedback</t>
        </is>
      </c>
      <c r="C235" s="256" t="inlineStr">
        <is>
          <t>13/7/2024</t>
        </is>
      </c>
      <c r="D235" s="255" t="inlineStr">
        <is>
          <t>7920V/210A-B334</t>
        </is>
      </c>
      <c r="E235" s="255">
        <f>_xlfn.XLOOKUP(D235, [1]Collection!B:B, [1]Collection!C:C)</f>
        <v/>
      </c>
      <c r="F235" s="255">
        <f>_xlfn.XLOOKUP(D235, [1]Collection!B:B, [1]Collection!D:D)</f>
        <v/>
      </c>
      <c r="G235" s="255" t="inlineStr">
        <is>
          <t>Phone sales Middle East</t>
        </is>
      </c>
      <c r="H235" s="257" t="inlineStr">
        <is>
          <t>100668746</t>
        </is>
      </c>
      <c r="I235" s="257" t="n"/>
      <c r="J235" s="261" t="n"/>
      <c r="K235" s="257" t="n"/>
      <c r="L235" s="257" t="n"/>
      <c r="M235" s="257" t="n"/>
      <c r="N235" s="255" t="inlineStr">
        <is>
          <t>Prospect</t>
        </is>
      </c>
      <c r="O235" s="255" t="inlineStr">
        <is>
          <t>SHARIF Maaz</t>
        </is>
      </c>
      <c r="P235" s="262" t="inlineStr">
        <is>
          <t xml:space="preserve">The client is interested in the  Overseas dual time “ very interested 
</t>
        </is>
      </c>
      <c r="Q235" s="259">
        <f>IF(AND(Table15[[#This Row],[Column1]]&lt;&gt;"",ISNUMBER(DATEVALUE(Table15[[#This Row],[Column1]]))),TODAY()-DATEVALUE(Table15[[#This Row],[Column1]]),"")</f>
        <v/>
      </c>
    </row>
    <row r="236" ht="46.8" customHeight="1" s="287">
      <c r="A236" s="254" t="inlineStr">
        <is>
          <t>Request</t>
        </is>
      </c>
      <c r="B236" s="255" t="inlineStr">
        <is>
          <t>Confirmed</t>
        </is>
      </c>
      <c r="C236" s="256" t="inlineStr">
        <is>
          <t>13/5/2025</t>
        </is>
      </c>
      <c r="D236" s="255" t="inlineStr">
        <is>
          <t>4000V/210A-B911</t>
        </is>
      </c>
      <c r="E236" s="255">
        <f>_xlfn.XLOOKUP(D236, [1]Collection!B:B, [1]Collection!C:C)</f>
        <v/>
      </c>
      <c r="F236" s="255">
        <f>_xlfn.XLOOKUP(D236, [1]Collection!B:B, [1]Collection!D:D)</f>
        <v/>
      </c>
      <c r="G236" s="255" t="inlineStr">
        <is>
          <t>Phone sales Middle East</t>
        </is>
      </c>
      <c r="H236" s="257" t="inlineStr">
        <is>
          <t>105904737</t>
        </is>
      </c>
      <c r="I236" s="257" t="n"/>
      <c r="J236" s="261" t="n"/>
      <c r="K236" s="257" t="n"/>
      <c r="L236" s="257" t="n"/>
      <c r="M236" s="257" t="n"/>
      <c r="N236" s="255" t="inlineStr">
        <is>
          <t>Prospect</t>
        </is>
      </c>
      <c r="O236" s="255" t="inlineStr">
        <is>
          <t>SHARIF Maaz</t>
        </is>
      </c>
      <c r="P236" s="262" t="inlineStr">
        <is>
          <t xml:space="preserve">The client is intrested in the B911 and the Fiftysix 
</t>
        </is>
      </c>
      <c r="Q236" s="259">
        <f>IF(AND(Table15[[#This Row],[Column1]]&lt;&gt;"",ISNUMBER(DATEVALUE(Table15[[#This Row],[Column1]]))),TODAY()-DATEVALUE(Table15[[#This Row],[Column1]]),"")</f>
        <v/>
      </c>
    </row>
    <row r="237" ht="46.8" customHeight="1" s="287">
      <c r="A237" s="254" t="inlineStr">
        <is>
          <t>Request</t>
        </is>
      </c>
      <c r="B237" s="255" t="inlineStr">
        <is>
          <t>Confirmed</t>
        </is>
      </c>
      <c r="C237" s="256" t="inlineStr">
        <is>
          <t>13/5/2025</t>
        </is>
      </c>
      <c r="D237" s="255" t="inlineStr">
        <is>
          <t>4000E/000A-B439</t>
        </is>
      </c>
      <c r="E237" s="255">
        <f>_xlfn.XLOOKUP(D237, [1]Collection!B:B, [1]Collection!C:C)</f>
        <v/>
      </c>
      <c r="F237" s="255">
        <f>_xlfn.XLOOKUP(D237, [1]Collection!B:B, [1]Collection!D:D)</f>
        <v/>
      </c>
      <c r="G237" s="255" t="inlineStr">
        <is>
          <t>Phone sales Middle East</t>
        </is>
      </c>
      <c r="H237" s="257" t="inlineStr">
        <is>
          <t>105904737</t>
        </is>
      </c>
      <c r="I237" s="257" t="n"/>
      <c r="J237" s="261" t="n"/>
      <c r="K237" s="257" t="n"/>
      <c r="L237" s="257" t="n"/>
      <c r="M237" s="257" t="n"/>
      <c r="N237" s="255" t="inlineStr">
        <is>
          <t>Prospect</t>
        </is>
      </c>
      <c r="O237" s="255" t="inlineStr">
        <is>
          <t>SHARIF Maaz</t>
        </is>
      </c>
      <c r="P237" s="262" t="inlineStr">
        <is>
          <t xml:space="preserve">Fiftysix complete calendar
</t>
        </is>
      </c>
      <c r="Q237" s="259">
        <f>IF(AND(Table15[[#This Row],[Column1]]&lt;&gt;"",ISNUMBER(DATEVALUE(Table15[[#This Row],[Column1]]))),TODAY()-DATEVALUE(Table15[[#This Row],[Column1]]),"")</f>
        <v/>
      </c>
    </row>
    <row r="238" ht="31.2" customHeight="1" s="287">
      <c r="A238" s="254" t="inlineStr">
        <is>
          <t>Request</t>
        </is>
      </c>
      <c r="B238" s="255" t="inlineStr"/>
      <c r="C238" s="256" t="inlineStr">
        <is>
          <t>13/5/2025</t>
        </is>
      </c>
      <c r="D238" s="255" t="inlineStr">
        <is>
          <t>7920V/210A-B334</t>
        </is>
      </c>
      <c r="E238" s="255">
        <f>_xlfn.XLOOKUP(D238, [1]Collection!B:B, [1]Collection!C:C)</f>
        <v/>
      </c>
      <c r="F238" s="255">
        <f>_xlfn.XLOOKUP(D238, [1]Collection!B:B, [1]Collection!D:D)</f>
        <v/>
      </c>
      <c r="G238" s="255" t="inlineStr">
        <is>
          <t>Phone sales Middle East</t>
        </is>
      </c>
      <c r="H238" s="257" t="inlineStr">
        <is>
          <t>103744604</t>
        </is>
      </c>
      <c r="I238" s="257" t="n"/>
      <c r="J238" s="261" t="n"/>
      <c r="K238" s="257" t="n"/>
      <c r="L238" s="257" t="n"/>
      <c r="M238" s="257" t="n"/>
      <c r="N238" s="255" t="inlineStr">
        <is>
          <t>Prospect</t>
        </is>
      </c>
      <c r="O238" s="255" t="inlineStr">
        <is>
          <t>SHARIF Maaz</t>
        </is>
      </c>
      <c r="P238" s="262" t="inlineStr">
        <is>
          <t xml:space="preserve">the client is intrested in the Dual time 
</t>
        </is>
      </c>
      <c r="Q238" s="259">
        <f>IF(AND(Table15[[#This Row],[Column1]]&lt;&gt;"",ISNUMBER(DATEVALUE(Table15[[#This Row],[Column1]]))),TODAY()-DATEVALUE(Table15[[#This Row],[Column1]]),"")</f>
        <v/>
      </c>
    </row>
    <row r="239" hidden="1" s="287">
      <c r="A239" s="254" t="inlineStr">
        <is>
          <t>Request</t>
        </is>
      </c>
      <c r="B239" s="255" t="inlineStr"/>
      <c r="C239" s="256" t="inlineStr">
        <is>
          <t>13/3/2025</t>
        </is>
      </c>
      <c r="D239" s="255" t="inlineStr">
        <is>
          <t>4200H/222A-B934</t>
        </is>
      </c>
      <c r="E239" s="255">
        <f>_xlfn.XLOOKUP(D239, [1]Collection!B:B, [1]Collection!C:C)</f>
        <v/>
      </c>
      <c r="F239" s="255">
        <f>_xlfn.XLOOKUP(D239, [1]Collection!B:B, [1]Collection!D:D)</f>
        <v/>
      </c>
      <c r="G239" s="255" t="inlineStr">
        <is>
          <t>Phone sales Middle East</t>
        </is>
      </c>
      <c r="H239" s="257" t="inlineStr">
        <is>
          <t>104576008</t>
        </is>
      </c>
      <c r="I239" s="257" t="n"/>
      <c r="J239" s="257" t="n"/>
      <c r="K239" s="257" t="n"/>
      <c r="L239" s="257" t="n"/>
      <c r="M239" s="257" t="n"/>
      <c r="N239" s="255" t="inlineStr">
        <is>
          <t>Prospect</t>
        </is>
      </c>
      <c r="O239" s="255" t="inlineStr">
        <is>
          <t>SHARIF Maaz</t>
        </is>
      </c>
      <c r="P239" s="258" t="inlineStr">
        <is>
          <t xml:space="preserve">222
</t>
        </is>
      </c>
      <c r="Q239" s="259">
        <f>IF(AND(Table15[[#This Row],[Column1]]&lt;&gt;"",ISNUMBER(DATEVALUE(Table15[[#This Row],[Column1]]))),TODAY()-DATEVALUE(Table15[[#This Row],[Column1]]),"")</f>
        <v/>
      </c>
    </row>
    <row r="240" hidden="1" s="287">
      <c r="A240" s="254" t="inlineStr">
        <is>
          <t>Request</t>
        </is>
      </c>
      <c r="B240" s="255" t="inlineStr"/>
      <c r="C240" s="256" t="inlineStr">
        <is>
          <t>13/11/2024</t>
        </is>
      </c>
      <c r="D240" s="255" t="inlineStr">
        <is>
          <t>4520V/210A-B128</t>
        </is>
      </c>
      <c r="E240" s="255">
        <f>_xlfn.XLOOKUP(D240, [1]Collection!B:B, [1]Collection!C:C)</f>
        <v/>
      </c>
      <c r="F240" s="255">
        <f>_xlfn.XLOOKUP(D240, [1]Collection!B:B, [1]Collection!D:D)</f>
        <v/>
      </c>
      <c r="G240" s="255" t="inlineStr">
        <is>
          <t>Phone sales Middle East</t>
        </is>
      </c>
      <c r="H240" s="257" t="inlineStr">
        <is>
          <t>102395824</t>
        </is>
      </c>
      <c r="I240" s="257" t="n"/>
      <c r="J240" s="257" t="n"/>
      <c r="K240" s="257" t="n"/>
      <c r="L240" s="257" t="n"/>
      <c r="M240" s="257" t="n"/>
      <c r="N240" s="255" t="inlineStr">
        <is>
          <t>Prospect</t>
        </is>
      </c>
      <c r="O240" s="255" t="inlineStr">
        <is>
          <t>SHARIF Maaz</t>
        </is>
      </c>
      <c r="P240" s="258" t="inlineStr">
        <is>
          <t xml:space="preserve">The customer appreciates the simplicity and elegance of the model, as well as the collapsible strap, which aligns with his lifestyle.
The customer has tried on the model in-store and confirmed his intent to purchase it as soon as it becomes available.
</t>
        </is>
      </c>
      <c r="Q240" s="259">
        <f>IF(AND(Table15[[#This Row],[Column1]]&lt;&gt;"",ISNUMBER(DATEVALUE(Table15[[#This Row],[Column1]]))),TODAY()-DATEVALUE(Table15[[#This Row],[Column1]]),"")</f>
        <v/>
      </c>
    </row>
    <row r="241" hidden="1" s="287">
      <c r="A241" s="254" t="inlineStr">
        <is>
          <t>Request</t>
        </is>
      </c>
      <c r="B241" s="255" t="inlineStr"/>
      <c r="C241" s="256" t="inlineStr">
        <is>
          <t>13/11/2023</t>
        </is>
      </c>
      <c r="D241" s="255" t="inlineStr">
        <is>
          <t>4520V/210A-B128</t>
        </is>
      </c>
      <c r="E241" s="255">
        <f>_xlfn.XLOOKUP(D241, [1]Collection!B:B, [1]Collection!C:C)</f>
        <v/>
      </c>
      <c r="F241" s="255">
        <f>_xlfn.XLOOKUP(D241, [1]Collection!B:B, [1]Collection!D:D)</f>
        <v/>
      </c>
      <c r="G241" s="255" t="inlineStr">
        <is>
          <t>Phone sales Middle East</t>
        </is>
      </c>
      <c r="H241" s="257" t="inlineStr">
        <is>
          <t>92407789</t>
        </is>
      </c>
      <c r="I241" s="257" t="n"/>
      <c r="J241" s="257" t="n"/>
      <c r="K241" s="257" t="n"/>
      <c r="L241" s="257" t="n"/>
      <c r="M241" s="257" t="n"/>
      <c r="N241" s="255" t="inlineStr">
        <is>
          <t>Prospect</t>
        </is>
      </c>
      <c r="O241" s="255" t="inlineStr">
        <is>
          <t>SHARIF Maaz</t>
        </is>
      </c>
      <c r="P241" s="258" t="inlineStr"/>
      <c r="Q241" s="259">
        <f>IF(AND(Table15[[#This Row],[Column1]]&lt;&gt;"",ISNUMBER(DATEVALUE(Table15[[#This Row],[Column1]]))),TODAY()-DATEVALUE(Table15[[#This Row],[Column1]]),"")</f>
        <v/>
      </c>
    </row>
    <row r="242" hidden="1" s="287">
      <c r="A242" s="254" t="inlineStr">
        <is>
          <t>Request</t>
        </is>
      </c>
      <c r="B242" s="255" t="inlineStr"/>
      <c r="C242" s="256" t="inlineStr">
        <is>
          <t>13/1/2025</t>
        </is>
      </c>
      <c r="D242" s="255" t="inlineStr">
        <is>
          <t>4200H/222A-B934</t>
        </is>
      </c>
      <c r="E242" s="255">
        <f>_xlfn.XLOOKUP(D242, [1]Collection!B:B, [1]Collection!C:C)</f>
        <v/>
      </c>
      <c r="F242" s="255">
        <f>_xlfn.XLOOKUP(D242, [1]Collection!B:B, [1]Collection!D:D)</f>
        <v/>
      </c>
      <c r="G242" s="255" t="inlineStr">
        <is>
          <t>Phone sales Middle East</t>
        </is>
      </c>
      <c r="H242" s="257" t="inlineStr">
        <is>
          <t>92409117</t>
        </is>
      </c>
      <c r="I242" s="257" t="n"/>
      <c r="J242" s="257" t="n"/>
      <c r="K242" s="257" t="n"/>
      <c r="L242" s="257" t="n"/>
      <c r="M242" s="257" t="n"/>
      <c r="N242" s="255" t="inlineStr"/>
      <c r="O242" s="255" t="inlineStr">
        <is>
          <t>SHARIF Maaz</t>
        </is>
      </c>
      <c r="P242" s="258" t="inlineStr">
        <is>
          <t xml:space="preserve">
</t>
        </is>
      </c>
      <c r="Q242" s="259">
        <f>IF(AND(Table15[[#This Row],[Column1]]&lt;&gt;"",ISNUMBER(DATEVALUE(Table15[[#This Row],[Column1]]))),TODAY()-DATEVALUE(Table15[[#This Row],[Column1]]),"")</f>
        <v/>
      </c>
    </row>
    <row r="243" hidden="1" s="287">
      <c r="A243" s="254" t="inlineStr">
        <is>
          <t>Request</t>
        </is>
      </c>
      <c r="B243" s="255" t="inlineStr"/>
      <c r="C243" s="256" t="inlineStr">
        <is>
          <t>12/7/2025</t>
        </is>
      </c>
      <c r="D243" s="255" t="inlineStr">
        <is>
          <t>4520V/210A-B128</t>
        </is>
      </c>
      <c r="E243" s="255">
        <f>_xlfn.XLOOKUP(D243, [1]Collection!B:B, [1]Collection!C:C)</f>
        <v/>
      </c>
      <c r="F243" s="255">
        <f>_xlfn.XLOOKUP(D243, [1]Collection!B:B, [1]Collection!D:D)</f>
        <v/>
      </c>
      <c r="G243" s="255" t="inlineStr">
        <is>
          <t>Phone sales Middle East</t>
        </is>
      </c>
      <c r="H243" s="257" t="inlineStr">
        <is>
          <t>94298107</t>
        </is>
      </c>
      <c r="I243" s="257" t="n"/>
      <c r="J243" s="257" t="n"/>
      <c r="K243" s="257" t="n"/>
      <c r="L243" s="257" t="n"/>
      <c r="M243" s="257" t="n"/>
      <c r="N243" s="255" t="inlineStr">
        <is>
          <t>Prospect</t>
        </is>
      </c>
      <c r="O243" s="255" t="inlineStr">
        <is>
          <t>SHARIF Maaz</t>
        </is>
      </c>
      <c r="P243" s="258" t="inlineStr">
        <is>
          <t xml:space="preserve">A friend of mine introduced me to Mr. Nader (Collecter)
</t>
        </is>
      </c>
      <c r="Q243" s="259">
        <f>IF(AND(Table15[[#This Row],[Column1]]&lt;&gt;"",ISNUMBER(DATEVALUE(Table15[[#This Row],[Column1]]))),TODAY()-DATEVALUE(Table15[[#This Row],[Column1]]),"")</f>
        <v/>
      </c>
    </row>
    <row r="244" ht="156" customHeight="1" s="287">
      <c r="A244" s="254" t="inlineStr">
        <is>
          <t>Request</t>
        </is>
      </c>
      <c r="B244" s="255" t="inlineStr"/>
      <c r="C244" s="256" t="inlineStr">
        <is>
          <t>12/6/2025</t>
        </is>
      </c>
      <c r="D244" s="255" t="inlineStr">
        <is>
          <t>81558/J00R-9600</t>
        </is>
      </c>
      <c r="E244" s="255">
        <f>_xlfn.XLOOKUP(D244, [1]Collection!B:B, [1]Collection!C:C)</f>
        <v/>
      </c>
      <c r="F244" s="255">
        <f>_xlfn.XLOOKUP(D244, [1]Collection!B:B, [1]Collection!D:D)</f>
        <v/>
      </c>
      <c r="G244" s="255" t="inlineStr">
        <is>
          <t>Phone sales Middle East</t>
        </is>
      </c>
      <c r="H244" s="257" t="inlineStr">
        <is>
          <t>106737636</t>
        </is>
      </c>
      <c r="I244" s="257" t="n"/>
      <c r="J244" s="261" t="n"/>
      <c r="K244" s="257" t="n"/>
      <c r="L244" s="257" t="n"/>
      <c r="M244" s="257" t="n"/>
      <c r="N244" s="255" t="inlineStr">
        <is>
          <t>Prospect</t>
        </is>
      </c>
      <c r="O244" s="255" t="inlineStr">
        <is>
          <t>SHARIF Maaz</t>
        </is>
      </c>
      <c r="P244" s="262" t="inlineStr">
        <is>
          <t xml:space="preserve">This person working for the family which is considered among the country’s top five richest families. They are interested in purchasing the Vacheron Constantin Solaria.
</t>
        </is>
      </c>
      <c r="Q244" s="259">
        <f>IF(AND(Table15[[#This Row],[Column1]]&lt;&gt;"",ISNUMBER(DATEVALUE(Table15[[#This Row],[Column1]]))),TODAY()-DATEVALUE(Table15[[#This Row],[Column1]]),"")</f>
        <v/>
      </c>
    </row>
    <row r="245">
      <c r="A245" s="254" t="inlineStr">
        <is>
          <t>Cancelled</t>
        </is>
      </c>
      <c r="B245" s="255" t="inlineStr">
        <is>
          <t>Cancelled</t>
        </is>
      </c>
      <c r="C245" s="256" t="inlineStr">
        <is>
          <t>12/4/2025</t>
        </is>
      </c>
      <c r="D245" s="255" t="inlineStr">
        <is>
          <t>4000V/210A-B911</t>
        </is>
      </c>
      <c r="E245" s="255">
        <f>_xlfn.XLOOKUP(D245, [1]Collection!B:B, [1]Collection!C:C)</f>
        <v/>
      </c>
      <c r="F245" s="255">
        <f>_xlfn.XLOOKUP(D245, [1]Collection!B:B, [1]Collection!D:D)</f>
        <v/>
      </c>
      <c r="G245" s="255" t="inlineStr">
        <is>
          <t>Phone sales Middle East</t>
        </is>
      </c>
      <c r="H245" s="257" t="inlineStr">
        <is>
          <t>105366145</t>
        </is>
      </c>
      <c r="I245" s="257" t="n"/>
      <c r="J245" s="261" t="n"/>
      <c r="K245" s="257" t="n"/>
      <c r="L245" s="257" t="n"/>
      <c r="M245" s="257" t="n"/>
      <c r="N245" s="255" t="inlineStr">
        <is>
          <t>Prospect</t>
        </is>
      </c>
      <c r="O245" s="255" t="inlineStr">
        <is>
          <t>SHARIF Maaz</t>
        </is>
      </c>
      <c r="P245" s="262" t="inlineStr"/>
      <c r="Q245" s="259">
        <f>IF(AND(Table15[[#This Row],[Column1]]&lt;&gt;"",ISNUMBER(DATEVALUE(Table15[[#This Row],[Column1]]))),TODAY()-DATEVALUE(Table15[[#This Row],[Column1]]),"")</f>
        <v/>
      </c>
    </row>
    <row r="246" ht="109.2" customHeight="1" s="287">
      <c r="A246" s="254" t="inlineStr">
        <is>
          <t>Request</t>
        </is>
      </c>
      <c r="B246" s="255" t="inlineStr"/>
      <c r="C246" s="256" t="inlineStr">
        <is>
          <t>12/4/2025</t>
        </is>
      </c>
      <c r="D246" s="255" t="inlineStr">
        <is>
          <t>7920V/210R-B965</t>
        </is>
      </c>
      <c r="E246" s="255">
        <f>_xlfn.XLOOKUP(D246, [1]Collection!B:B, [1]Collection!C:C)</f>
        <v/>
      </c>
      <c r="F246" s="255">
        <f>_xlfn.XLOOKUP(D246, [1]Collection!B:B, [1]Collection!D:D)</f>
        <v/>
      </c>
      <c r="G246" s="255" t="inlineStr">
        <is>
          <t>Phone sales Middle East</t>
        </is>
      </c>
      <c r="H246" s="257" t="inlineStr">
        <is>
          <t>105371442</t>
        </is>
      </c>
      <c r="I246" s="257" t="n"/>
      <c r="J246" s="261" t="n"/>
      <c r="K246" s="257" t="n"/>
      <c r="L246" s="257" t="n"/>
      <c r="M246" s="257" t="n"/>
      <c r="N246" s="255" t="inlineStr">
        <is>
          <t>Prospect</t>
        </is>
      </c>
      <c r="O246" s="255" t="inlineStr">
        <is>
          <t>SHARIF Maaz</t>
        </is>
      </c>
      <c r="P246" s="262" t="inlineStr">
        <is>
          <t xml:space="preserve">the client owns : Rolex Submariner 126613LB - Rolex Datejust 41 - Rolex Submariner Date 41mm **Target budget ~185,000 AE**  
</t>
        </is>
      </c>
      <c r="Q246" s="259">
        <f>IF(AND(Table15[[#This Row],[Column1]]&lt;&gt;"",ISNUMBER(DATEVALUE(Table15[[#This Row],[Column1]]))),TODAY()-DATEVALUE(Table15[[#This Row],[Column1]]),"")</f>
        <v/>
      </c>
    </row>
    <row r="247" hidden="1" s="287">
      <c r="A247" s="254" t="inlineStr">
        <is>
          <t>Request</t>
        </is>
      </c>
      <c r="B247" s="255" t="inlineStr"/>
      <c r="C247" s="256" t="inlineStr">
        <is>
          <t>11/3/2025</t>
        </is>
      </c>
      <c r="D247" s="255" t="inlineStr">
        <is>
          <t>4200H/222A-B934</t>
        </is>
      </c>
      <c r="E247" s="255">
        <f>_xlfn.XLOOKUP(D247, [1]Collection!B:B, [1]Collection!C:C)</f>
        <v/>
      </c>
      <c r="F247" s="255">
        <f>_xlfn.XLOOKUP(D247, [1]Collection!B:B, [1]Collection!D:D)</f>
        <v/>
      </c>
      <c r="G247" s="255" t="inlineStr">
        <is>
          <t>Phone sales Middle East</t>
        </is>
      </c>
      <c r="H247" s="257" t="inlineStr">
        <is>
          <t>104075516</t>
        </is>
      </c>
      <c r="I247" s="257" t="n"/>
      <c r="J247" s="257" t="n"/>
      <c r="K247" s="257" t="n"/>
      <c r="L247" s="257" t="n"/>
      <c r="M247" s="257" t="n"/>
      <c r="N247" s="255" t="inlineStr">
        <is>
          <t>Client</t>
        </is>
      </c>
      <c r="O247" s="255" t="inlineStr">
        <is>
          <t>SHARIF Maaz</t>
        </is>
      </c>
      <c r="P247" s="258" t="inlineStr">
        <is>
          <t xml:space="preserve">interested in the 222
</t>
        </is>
      </c>
      <c r="Q247" s="259">
        <f>IF(AND(Table15[[#This Row],[Column1]]&lt;&gt;"",ISNUMBER(DATEVALUE(Table15[[#This Row],[Column1]]))),TODAY()-DATEVALUE(Table15[[#This Row],[Column1]]),"")</f>
        <v/>
      </c>
    </row>
    <row r="248" ht="31.2" customHeight="1" s="287">
      <c r="A248" s="254" t="inlineStr">
        <is>
          <t>Request</t>
        </is>
      </c>
      <c r="B248" s="255" t="inlineStr"/>
      <c r="C248" s="256" t="inlineStr">
        <is>
          <t>11/2/2025</t>
        </is>
      </c>
      <c r="D248" s="255" t="inlineStr">
        <is>
          <t>4020T/000G-B655</t>
        </is>
      </c>
      <c r="E248" s="255">
        <f>_xlfn.XLOOKUP(D248, [1]Collection!B:B, [1]Collection!C:C)</f>
        <v/>
      </c>
      <c r="F248" s="255">
        <f>_xlfn.XLOOKUP(D248, [1]Collection!B:B, [1]Collection!D:D)</f>
        <v/>
      </c>
      <c r="G248" s="255" t="inlineStr">
        <is>
          <t>Phone sales Middle East</t>
        </is>
      </c>
      <c r="H248" s="257" t="inlineStr">
        <is>
          <t>98199321</t>
        </is>
      </c>
      <c r="I248" s="257" t="n"/>
      <c r="J248" s="261" t="n"/>
      <c r="K248" s="257" t="n"/>
      <c r="L248" s="257" t="n"/>
      <c r="M248" s="257" t="n"/>
      <c r="N248" s="255" t="inlineStr"/>
      <c r="O248" s="255" t="inlineStr">
        <is>
          <t>SHARIF Maaz</t>
        </is>
      </c>
      <c r="P248" s="262" t="inlineStr">
        <is>
          <t xml:space="preserve">
</t>
        </is>
      </c>
      <c r="Q248" s="259">
        <f>IF(AND(Table15[[#This Row],[Column1]]&lt;&gt;"",ISNUMBER(DATEVALUE(Table15[[#This Row],[Column1]]))),TODAY()-DATEVALUE(Table15[[#This Row],[Column1]]),"")</f>
        <v/>
      </c>
    </row>
    <row r="249" ht="93.59999999999999" customHeight="1" s="287">
      <c r="A249" s="254" t="inlineStr">
        <is>
          <t>Request</t>
        </is>
      </c>
      <c r="B249" s="255" t="inlineStr"/>
      <c r="C249" s="256" t="inlineStr">
        <is>
          <t>11/1/2025</t>
        </is>
      </c>
      <c r="D249" s="255" t="inlineStr">
        <is>
          <t>7920V/210A-B334</t>
        </is>
      </c>
      <c r="E249" s="255">
        <f>_xlfn.XLOOKUP(D249, [1]Collection!B:B, [1]Collection!C:C)</f>
        <v/>
      </c>
      <c r="F249" s="255">
        <f>_xlfn.XLOOKUP(D249, [1]Collection!B:B, [1]Collection!D:D)</f>
        <v/>
      </c>
      <c r="G249" s="255" t="inlineStr">
        <is>
          <t>Phone sales Middle East</t>
        </is>
      </c>
      <c r="H249" s="257" t="inlineStr">
        <is>
          <t>103576190</t>
        </is>
      </c>
      <c r="I249" s="257" t="n"/>
      <c r="J249" s="261" t="n"/>
      <c r="K249" s="257" t="n"/>
      <c r="L249" s="257" t="n"/>
      <c r="M249" s="257" t="n"/>
      <c r="N249" s="255" t="inlineStr">
        <is>
          <t>Prospect</t>
        </is>
      </c>
      <c r="O249" s="255" t="inlineStr">
        <is>
          <t>SHARIF Maaz</t>
        </is>
      </c>
      <c r="P249" s="262" t="inlineStr">
        <is>
          <t xml:space="preserve">The client showed interest in the Dual Time and he will be visiting Geneva from 5 of Feb until the 7th Feb 2025 
</t>
        </is>
      </c>
      <c r="Q249" s="259">
        <f>IF(AND(Table15[[#This Row],[Column1]]&lt;&gt;"",ISNUMBER(DATEVALUE(Table15[[#This Row],[Column1]]))),TODAY()-DATEVALUE(Table15[[#This Row],[Column1]]),"")</f>
        <v/>
      </c>
    </row>
    <row r="250" ht="78" customHeight="1" s="287">
      <c r="A250" s="254" t="inlineStr">
        <is>
          <t>Request</t>
        </is>
      </c>
      <c r="B250" s="255" t="inlineStr"/>
      <c r="C250" s="256" t="inlineStr">
        <is>
          <t>10/9/2024</t>
        </is>
      </c>
      <c r="D250" s="255" t="inlineStr">
        <is>
          <t>4520V/210R-B705</t>
        </is>
      </c>
      <c r="E250" s="255">
        <f>_xlfn.XLOOKUP(D250, [1]Collection!B:B, [1]Collection!C:C)</f>
        <v/>
      </c>
      <c r="F250" s="255">
        <f>_xlfn.XLOOKUP(D250, [1]Collection!B:B, [1]Collection!D:D)</f>
        <v/>
      </c>
      <c r="G250" s="255" t="inlineStr">
        <is>
          <t>Phone sales Middle East</t>
        </is>
      </c>
      <c r="H250" s="257" t="inlineStr">
        <is>
          <t>100995935</t>
        </is>
      </c>
      <c r="I250" s="257" t="n"/>
      <c r="J250" s="261" t="n"/>
      <c r="K250" s="257" t="n"/>
      <c r="L250" s="257" t="n"/>
      <c r="M250" s="257" t="n"/>
      <c r="N250" s="255" t="inlineStr">
        <is>
          <t>Prospect</t>
        </is>
      </c>
      <c r="O250" s="255" t="inlineStr">
        <is>
          <t>SHARIF Maaz</t>
        </is>
      </c>
      <c r="P250" s="262" t="inlineStr">
        <is>
          <t xml:space="preserve">The client purchased the  Fiftysix self-winding and  now planing for the oversease blue dail 
</t>
        </is>
      </c>
      <c r="Q250" s="259">
        <f>IF(AND(Table15[[#This Row],[Column1]]&lt;&gt;"",ISNUMBER(DATEVALUE(Table15[[#This Row],[Column1]]))),TODAY()-DATEVALUE(Table15[[#This Row],[Column1]]),"")</f>
        <v/>
      </c>
    </row>
    <row r="251" hidden="1" s="287">
      <c r="A251" s="254" t="inlineStr">
        <is>
          <t>Request</t>
        </is>
      </c>
      <c r="B251" s="255" t="inlineStr"/>
      <c r="C251" s="256" t="inlineStr">
        <is>
          <t>10/9/2024</t>
        </is>
      </c>
      <c r="D251" s="255" t="inlineStr">
        <is>
          <t>4520V/210A-B128</t>
        </is>
      </c>
      <c r="E251" s="255">
        <f>_xlfn.XLOOKUP(D251, [1]Collection!B:B, [1]Collection!C:C)</f>
        <v/>
      </c>
      <c r="F251" s="255">
        <f>_xlfn.XLOOKUP(D251, [1]Collection!B:B, [1]Collection!D:D)</f>
        <v/>
      </c>
      <c r="G251" s="255" t="inlineStr">
        <is>
          <t>Phone sales Middle East</t>
        </is>
      </c>
      <c r="H251" s="257" t="inlineStr">
        <is>
          <t>100995935</t>
        </is>
      </c>
      <c r="I251" s="257" t="n"/>
      <c r="J251" s="257" t="n"/>
      <c r="K251" s="257" t="n"/>
      <c r="L251" s="257" t="n"/>
      <c r="M251" s="257" t="n"/>
      <c r="N251" s="255" t="inlineStr">
        <is>
          <t>Prospect</t>
        </is>
      </c>
      <c r="O251" s="255" t="inlineStr">
        <is>
          <t>SHARIF Maaz</t>
        </is>
      </c>
      <c r="P251" s="258" t="inlineStr">
        <is>
          <t xml:space="preserve">The client is interested in purchasing the Overseas Blue Dial.
</t>
        </is>
      </c>
      <c r="Q251" s="259">
        <f>IF(AND(Table15[[#This Row],[Column1]]&lt;&gt;"",ISNUMBER(DATEVALUE(Table15[[#This Row],[Column1]]))),TODAY()-DATEVALUE(Table15[[#This Row],[Column1]]),"")</f>
        <v/>
      </c>
    </row>
    <row r="252" hidden="1" s="287">
      <c r="A252" s="254" t="inlineStr">
        <is>
          <t>Request</t>
        </is>
      </c>
      <c r="B252" s="255" t="inlineStr"/>
      <c r="C252" s="256" t="inlineStr">
        <is>
          <t>10/9/2024</t>
        </is>
      </c>
      <c r="D252" s="255" t="inlineStr">
        <is>
          <t>4520V/210A-B128</t>
        </is>
      </c>
      <c r="E252" s="255">
        <f>_xlfn.XLOOKUP(D252, [1]Collection!B:B, [1]Collection!C:C)</f>
        <v/>
      </c>
      <c r="F252" s="255">
        <f>_xlfn.XLOOKUP(D252, [1]Collection!B:B, [1]Collection!D:D)</f>
        <v/>
      </c>
      <c r="G252" s="255" t="inlineStr">
        <is>
          <t>Phone sales Middle East</t>
        </is>
      </c>
      <c r="H252" s="257" t="inlineStr">
        <is>
          <t>101413931</t>
        </is>
      </c>
      <c r="I252" s="257" t="n"/>
      <c r="J252" s="257" t="n"/>
      <c r="K252" s="257" t="n"/>
      <c r="L252" s="257" t="n"/>
      <c r="M252" s="257" t="n"/>
      <c r="N252" s="255" t="inlineStr">
        <is>
          <t>Prospect</t>
        </is>
      </c>
      <c r="O252" s="255" t="inlineStr">
        <is>
          <t>SHARIF Maaz</t>
        </is>
      </c>
      <c r="P252" s="258" t="inlineStr">
        <is>
          <t xml:space="preserve">The client is intrested in the overseas 
</t>
        </is>
      </c>
      <c r="Q252" s="259">
        <f>IF(AND(Table15[[#This Row],[Column1]]&lt;&gt;"",ISNUMBER(DATEVALUE(Table15[[#This Row],[Column1]]))),TODAY()-DATEVALUE(Table15[[#This Row],[Column1]]),"")</f>
        <v/>
      </c>
    </row>
    <row r="253" ht="46.8" customHeight="1" s="287">
      <c r="A253" s="254" t="inlineStr">
        <is>
          <t>Request</t>
        </is>
      </c>
      <c r="B253" s="255" t="inlineStr"/>
      <c r="C253" s="256" t="inlineStr">
        <is>
          <t>10/9/2024</t>
        </is>
      </c>
      <c r="D253" s="255" t="inlineStr">
        <is>
          <t>4600E/110A-B487</t>
        </is>
      </c>
      <c r="E253" s="255">
        <f>_xlfn.XLOOKUP(D253, [1]Collection!B:B, [1]Collection!C:C)</f>
        <v/>
      </c>
      <c r="F253" s="255">
        <f>_xlfn.XLOOKUP(D253, [1]Collection!B:B, [1]Collection!D:D)</f>
        <v/>
      </c>
      <c r="G253" s="255" t="inlineStr">
        <is>
          <t>Phone sales Middle East</t>
        </is>
      </c>
      <c r="H253" s="257" t="inlineStr">
        <is>
          <t>101413931</t>
        </is>
      </c>
      <c r="I253" s="257" t="n"/>
      <c r="J253" s="261" t="n"/>
      <c r="K253" s="257" t="n"/>
      <c r="L253" s="257" t="n"/>
      <c r="M253" s="257" t="n"/>
      <c r="N253" s="255" t="inlineStr">
        <is>
          <t>Prospect</t>
        </is>
      </c>
      <c r="O253" s="255" t="inlineStr">
        <is>
          <t>SHARIF Maaz</t>
        </is>
      </c>
      <c r="P253" s="262" t="inlineStr">
        <is>
          <t xml:space="preserve">the client is interested in both the oversease and fiftysix 
</t>
        </is>
      </c>
      <c r="Q253" s="259">
        <f>IF(AND(Table15[[#This Row],[Column1]]&lt;&gt;"",ISNUMBER(DATEVALUE(Table15[[#This Row],[Column1]]))),TODAY()-DATEVALUE(Table15[[#This Row],[Column1]]),"")</f>
        <v/>
      </c>
    </row>
    <row r="254" ht="62.4" customHeight="1" s="287">
      <c r="A254" s="254" t="inlineStr">
        <is>
          <t>Request</t>
        </is>
      </c>
      <c r="B254" s="255" t="inlineStr"/>
      <c r="C254" s="256" t="inlineStr">
        <is>
          <t>10/9/2024</t>
        </is>
      </c>
      <c r="D254" s="255" t="inlineStr">
        <is>
          <t>4520V/210A-B483</t>
        </is>
      </c>
      <c r="E254" s="255">
        <f>_xlfn.XLOOKUP(D254, [1]Collection!B:B, [1]Collection!C:C)</f>
        <v/>
      </c>
      <c r="F254" s="255">
        <f>_xlfn.XLOOKUP(D254, [1]Collection!B:B, [1]Collection!D:D)</f>
        <v/>
      </c>
      <c r="G254" s="255" t="inlineStr">
        <is>
          <t>Phone sales Middle East</t>
        </is>
      </c>
      <c r="H254" s="257" t="inlineStr">
        <is>
          <t>101413931</t>
        </is>
      </c>
      <c r="I254" s="257" t="n"/>
      <c r="J254" s="261" t="n"/>
      <c r="K254" s="257" t="n"/>
      <c r="L254" s="257" t="n"/>
      <c r="M254" s="257" t="n"/>
      <c r="N254" s="255" t="inlineStr">
        <is>
          <t>Prospect</t>
        </is>
      </c>
      <c r="O254" s="255" t="inlineStr">
        <is>
          <t>SHARIF Maaz</t>
        </is>
      </c>
      <c r="P254" s="262" t="inlineStr">
        <is>
          <t xml:space="preserve">the client would like to purchase both fiftysix and oversease black dial 
</t>
        </is>
      </c>
      <c r="Q254" s="259">
        <f>IF(AND(Table15[[#This Row],[Column1]]&lt;&gt;"",ISNUMBER(DATEVALUE(Table15[[#This Row],[Column1]]))),TODAY()-DATEVALUE(Table15[[#This Row],[Column1]]),"")</f>
        <v/>
      </c>
    </row>
    <row r="255" ht="46.8" customHeight="1" s="287">
      <c r="A255" s="254" t="inlineStr">
        <is>
          <t>Request</t>
        </is>
      </c>
      <c r="B255" s="255" t="inlineStr"/>
      <c r="C255" s="256" t="inlineStr">
        <is>
          <t>10/9/2024</t>
        </is>
      </c>
      <c r="D255" s="255" t="inlineStr">
        <is>
          <t>4520V/210A-B483</t>
        </is>
      </c>
      <c r="E255" s="255">
        <f>_xlfn.XLOOKUP(D255, [1]Collection!B:B, [1]Collection!C:C)</f>
        <v/>
      </c>
      <c r="F255" s="255">
        <f>_xlfn.XLOOKUP(D255, [1]Collection!B:B, [1]Collection!D:D)</f>
        <v/>
      </c>
      <c r="G255" s="255" t="inlineStr">
        <is>
          <t>Phone sales Middle East</t>
        </is>
      </c>
      <c r="H255" s="257" t="inlineStr">
        <is>
          <t>101413931</t>
        </is>
      </c>
      <c r="I255" s="257" t="n"/>
      <c r="J255" s="261" t="n"/>
      <c r="K255" s="257" t="n"/>
      <c r="L255" s="257" t="n"/>
      <c r="M255" s="257" t="n"/>
      <c r="N255" s="255" t="inlineStr">
        <is>
          <t>Prospect</t>
        </is>
      </c>
      <c r="O255" s="255" t="inlineStr">
        <is>
          <t>SHARIF Maaz</t>
        </is>
      </c>
      <c r="P255" s="262" t="inlineStr">
        <is>
          <t xml:space="preserve">the client would like to purchase the oversease black dial 
</t>
        </is>
      </c>
      <c r="Q255" s="259">
        <f>IF(AND(Table15[[#This Row],[Column1]]&lt;&gt;"",ISNUMBER(DATEVALUE(Table15[[#This Row],[Column1]]))),TODAY()-DATEVALUE(Table15[[#This Row],[Column1]]),"")</f>
        <v/>
      </c>
    </row>
    <row r="256" hidden="1" s="287">
      <c r="A256" s="254" t="inlineStr">
        <is>
          <t>Request</t>
        </is>
      </c>
      <c r="B256" s="255" t="inlineStr"/>
      <c r="C256" s="256" t="inlineStr">
        <is>
          <t>10/9/2024</t>
        </is>
      </c>
      <c r="D256" s="255" t="inlineStr">
        <is>
          <t>4520V/210A-B128</t>
        </is>
      </c>
      <c r="E256" s="255">
        <f>_xlfn.XLOOKUP(D256, [1]Collection!B:B, [1]Collection!C:C)</f>
        <v/>
      </c>
      <c r="F256" s="255">
        <f>_xlfn.XLOOKUP(D256, [1]Collection!B:B, [1]Collection!D:D)</f>
        <v/>
      </c>
      <c r="G256" s="255" t="inlineStr">
        <is>
          <t>Phone sales Middle East</t>
        </is>
      </c>
      <c r="H256" s="257" t="inlineStr">
        <is>
          <t>101467308</t>
        </is>
      </c>
      <c r="I256" s="257" t="n"/>
      <c r="J256" s="257" t="n"/>
      <c r="K256" s="257" t="n"/>
      <c r="L256" s="257" t="n"/>
      <c r="M256" s="257" t="n"/>
      <c r="N256" s="255" t="inlineStr">
        <is>
          <t>Prospect</t>
        </is>
      </c>
      <c r="O256" s="255" t="inlineStr">
        <is>
          <t>SHARIF Maaz</t>
        </is>
      </c>
      <c r="P256" s="258" t="inlineStr">
        <is>
          <t xml:space="preserve">The client shows intreset in the oversease self winding 
</t>
        </is>
      </c>
      <c r="Q256" s="259">
        <f>IF(AND(Table15[[#This Row],[Column1]]&lt;&gt;"",ISNUMBER(DATEVALUE(Table15[[#This Row],[Column1]]))),TODAY()-DATEVALUE(Table15[[#This Row],[Column1]]),"")</f>
        <v/>
      </c>
    </row>
    <row r="257" ht="46.8" customHeight="1" s="287">
      <c r="A257" s="254" t="inlineStr">
        <is>
          <t>Request</t>
        </is>
      </c>
      <c r="B257" s="255" t="inlineStr">
        <is>
          <t>Confirmed</t>
        </is>
      </c>
      <c r="C257" s="256" t="inlineStr">
        <is>
          <t>10/9/2024</t>
        </is>
      </c>
      <c r="D257" s="255" t="inlineStr">
        <is>
          <t>4600E/000R-H101</t>
        </is>
      </c>
      <c r="E257" s="255">
        <f>_xlfn.XLOOKUP(D257, [1]Collection!B:B, [1]Collection!C:C)</f>
        <v/>
      </c>
      <c r="F257" s="255">
        <f>_xlfn.XLOOKUP(D257, [1]Collection!B:B, [1]Collection!D:D)</f>
        <v/>
      </c>
      <c r="G257" s="255" t="inlineStr">
        <is>
          <t>Phone sales Middle East</t>
        </is>
      </c>
      <c r="H257" s="257" t="inlineStr">
        <is>
          <t>101467913</t>
        </is>
      </c>
      <c r="I257" s="257" t="n"/>
      <c r="J257" s="261" t="n"/>
      <c r="K257" s="257" t="n"/>
      <c r="L257" s="257" t="n"/>
      <c r="M257" s="257" t="n"/>
      <c r="N257" s="255" t="inlineStr">
        <is>
          <t>Prospect</t>
        </is>
      </c>
      <c r="O257" s="255" t="inlineStr">
        <is>
          <t>SHARIF Maaz</t>
        </is>
      </c>
      <c r="P257" s="262" t="inlineStr">
        <is>
          <t xml:space="preserve">The client is interested in the fiftysix  black dial 
</t>
        </is>
      </c>
      <c r="Q257" s="259">
        <f>IF(AND(Table15[[#This Row],[Column1]]&lt;&gt;"",ISNUMBER(DATEVALUE(Table15[[#This Row],[Column1]]))),TODAY()-DATEVALUE(Table15[[#This Row],[Column1]]),"")</f>
        <v/>
      </c>
    </row>
    <row r="258" ht="187.2" customHeight="1" s="287">
      <c r="A258" s="254" t="inlineStr">
        <is>
          <t>Request</t>
        </is>
      </c>
      <c r="B258" s="255" t="inlineStr"/>
      <c r="C258" s="256" t="inlineStr">
        <is>
          <t>10/7/2024</t>
        </is>
      </c>
      <c r="D258" s="255" t="inlineStr">
        <is>
          <t>7920V/210A-B334</t>
        </is>
      </c>
      <c r="E258" s="255">
        <f>_xlfn.XLOOKUP(D258, [1]Collection!B:B, [1]Collection!C:C)</f>
        <v/>
      </c>
      <c r="F258" s="255">
        <f>_xlfn.XLOOKUP(D258, [1]Collection!B:B, [1]Collection!D:D)</f>
        <v/>
      </c>
      <c r="G258" s="255" t="inlineStr">
        <is>
          <t>Phone sales Middle East</t>
        </is>
      </c>
      <c r="H258" s="257" t="inlineStr">
        <is>
          <t>100634537</t>
        </is>
      </c>
      <c r="I258" s="257" t="n"/>
      <c r="J258" s="261" t="n"/>
      <c r="K258" s="257" t="n"/>
      <c r="L258" s="257" t="n"/>
      <c r="M258" s="257" t="n"/>
      <c r="N258" s="255" t="inlineStr">
        <is>
          <t>Prospect</t>
        </is>
      </c>
      <c r="O258" s="255" t="inlineStr">
        <is>
          <t>SHARIF Maaz</t>
        </is>
      </c>
      <c r="P258" s="262" t="inlineStr">
        <is>
          <t xml:space="preserve">Mr. Ahmad, who has previously expressed his interest in the Overseas Dual Time, has been in communication with Yasser. We have committed to contacting Mr. Ahmad once the timepiece becomes available.
</t>
        </is>
      </c>
      <c r="Q258" s="259">
        <f>IF(AND(Table15[[#This Row],[Column1]]&lt;&gt;"",ISNUMBER(DATEVALUE(Table15[[#This Row],[Column1]]))),TODAY()-DATEVALUE(Table15[[#This Row],[Column1]]),"")</f>
        <v/>
      </c>
    </row>
    <row r="259" hidden="1" s="287">
      <c r="A259" s="254" t="inlineStr">
        <is>
          <t>Cancelled</t>
        </is>
      </c>
      <c r="B259" s="255" t="inlineStr">
        <is>
          <t>Cancelled</t>
        </is>
      </c>
      <c r="C259" s="256" t="inlineStr">
        <is>
          <t>10/10/2024</t>
        </is>
      </c>
      <c r="D259" s="255" t="inlineStr">
        <is>
          <t>4520V/210A-B128</t>
        </is>
      </c>
      <c r="E259" s="255">
        <f>_xlfn.XLOOKUP(D259, [1]Collection!B:B, [1]Collection!C:C)</f>
        <v/>
      </c>
      <c r="F259" s="255">
        <f>_xlfn.XLOOKUP(D259, [1]Collection!B:B, [1]Collection!D:D)</f>
        <v/>
      </c>
      <c r="G259" s="255" t="inlineStr">
        <is>
          <t>Phone sales Middle East</t>
        </is>
      </c>
      <c r="H259" s="257" t="inlineStr">
        <is>
          <t>101876625</t>
        </is>
      </c>
      <c r="I259" s="257" t="n"/>
      <c r="J259" s="257" t="n"/>
      <c r="K259" s="257" t="n"/>
      <c r="L259" s="257" t="n"/>
      <c r="M259" s="257" t="n"/>
      <c r="N259" s="255" t="inlineStr">
        <is>
          <t>Prospect</t>
        </is>
      </c>
      <c r="O259" s="255" t="inlineStr">
        <is>
          <t>SHARIF Maaz</t>
        </is>
      </c>
      <c r="P259" s="258" t="inlineStr">
        <is>
          <t xml:space="preserve">the client is intersted in the overseas 
</t>
        </is>
      </c>
      <c r="Q259" s="259">
        <f>IF(AND(Table15[[#This Row],[Column1]]&lt;&gt;"",ISNUMBER(DATEVALUE(Table15[[#This Row],[Column1]]))),TODAY()-DATEVALUE(Table15[[#This Row],[Column1]]),"")</f>
        <v/>
      </c>
    </row>
    <row r="260" ht="31.2" customHeight="1" s="287">
      <c r="A260" s="254" t="inlineStr">
        <is>
          <t>Request</t>
        </is>
      </c>
      <c r="B260" s="255" t="inlineStr"/>
      <c r="C260" s="256" t="inlineStr">
        <is>
          <t>10/1/2025</t>
        </is>
      </c>
      <c r="D260" s="255" t="inlineStr">
        <is>
          <t>4600E/000A-B442</t>
        </is>
      </c>
      <c r="E260" s="255">
        <f>_xlfn.XLOOKUP(D260, [1]Collection!B:B, [1]Collection!C:C)</f>
        <v/>
      </c>
      <c r="F260" s="255">
        <f>_xlfn.XLOOKUP(D260, [1]Collection!B:B, [1]Collection!D:D)</f>
        <v/>
      </c>
      <c r="G260" s="255" t="inlineStr">
        <is>
          <t>Phone sales Middle East</t>
        </is>
      </c>
      <c r="H260" s="257" t="inlineStr">
        <is>
          <t>103437674</t>
        </is>
      </c>
      <c r="I260" s="257" t="n"/>
      <c r="J260" s="261" t="n"/>
      <c r="K260" s="257" t="n"/>
      <c r="L260" s="257" t="n"/>
      <c r="M260" s="257" t="n"/>
      <c r="N260" s="255" t="inlineStr">
        <is>
          <t>Prospect</t>
        </is>
      </c>
      <c r="O260" s="255" t="inlineStr">
        <is>
          <t>SHARIF Maaz</t>
        </is>
      </c>
      <c r="P260" s="262" t="inlineStr">
        <is>
          <t xml:space="preserve">The client stated that he will go and try it 
</t>
        </is>
      </c>
      <c r="Q260" s="259">
        <f>IF(AND(Table15[[#This Row],[Column1]]&lt;&gt;"",ISNUMBER(DATEVALUE(Table15[[#This Row],[Column1]]))),TODAY()-DATEVALUE(Table15[[#This Row],[Column1]]),"")</f>
        <v/>
      </c>
    </row>
    <row r="261" hidden="1" s="287">
      <c r="A261" s="254" t="inlineStr">
        <is>
          <t>Request</t>
        </is>
      </c>
      <c r="B261" s="255" t="inlineStr"/>
      <c r="C261" s="256" t="inlineStr">
        <is>
          <t>1/7/2025</t>
        </is>
      </c>
      <c r="D261" s="255" t="inlineStr">
        <is>
          <t>4520V/210A-B128</t>
        </is>
      </c>
      <c r="E261" s="255">
        <f>_xlfn.XLOOKUP(D261, [1]Collection!B:B, [1]Collection!C:C)</f>
        <v/>
      </c>
      <c r="F261" s="255">
        <f>_xlfn.XLOOKUP(D261, [1]Collection!B:B, [1]Collection!D:D)</f>
        <v/>
      </c>
      <c r="G261" s="255" t="inlineStr">
        <is>
          <t>Phone sales Middle East</t>
        </is>
      </c>
      <c r="H261" s="257" t="inlineStr">
        <is>
          <t>100576190</t>
        </is>
      </c>
      <c r="I261" s="257" t="n"/>
      <c r="J261" s="257" t="n"/>
      <c r="K261" s="257" t="n"/>
      <c r="L261" s="257" t="n"/>
      <c r="M261" s="257" t="n"/>
      <c r="N261" s="255" t="inlineStr"/>
      <c r="O261" s="255" t="inlineStr">
        <is>
          <t>SHARIF Maaz</t>
        </is>
      </c>
      <c r="P261" s="258" t="inlineStr">
        <is>
          <t xml:space="preserve">Mr. Siddiqui is a long term client
</t>
        </is>
      </c>
      <c r="Q261" s="259">
        <f>IF(AND(Table15[[#This Row],[Column1]]&lt;&gt;"",ISNUMBER(DATEVALUE(Table15[[#This Row],[Column1]]))),TODAY()-DATEVALUE(Table15[[#This Row],[Column1]]),"")</f>
        <v/>
      </c>
    </row>
    <row r="262" ht="31.2" customHeight="1" s="287">
      <c r="A262" s="254" t="inlineStr">
        <is>
          <t>Request</t>
        </is>
      </c>
      <c r="B262" s="255" t="inlineStr"/>
      <c r="C262" s="256" t="inlineStr">
        <is>
          <t>1/7/2025</t>
        </is>
      </c>
      <c r="D262" s="255" t="inlineStr">
        <is>
          <t>7920V/210A-B546</t>
        </is>
      </c>
      <c r="E262" s="255">
        <f>_xlfn.XLOOKUP(D262, [1]Collection!B:B, [1]Collection!C:C)</f>
        <v/>
      </c>
      <c r="F262" s="255">
        <f>_xlfn.XLOOKUP(D262, [1]Collection!B:B, [1]Collection!D:D)</f>
        <v/>
      </c>
      <c r="G262" s="255" t="inlineStr">
        <is>
          <t>Phone sales Middle East</t>
        </is>
      </c>
      <c r="H262" s="257" t="inlineStr">
        <is>
          <t>107207262</t>
        </is>
      </c>
      <c r="I262" s="257" t="n"/>
      <c r="J262" s="261" t="n"/>
      <c r="K262" s="257" t="n"/>
      <c r="L262" s="257" t="n"/>
      <c r="M262" s="257" t="n"/>
      <c r="N262" s="255" t="inlineStr"/>
      <c r="O262" s="255" t="inlineStr">
        <is>
          <t>SHARIF Maaz</t>
        </is>
      </c>
      <c r="P262" s="262" t="inlineStr">
        <is>
          <t xml:space="preserve">
</t>
        </is>
      </c>
      <c r="Q262" s="259">
        <f>IF(AND(Table15[[#This Row],[Column1]]&lt;&gt;"",ISNUMBER(DATEVALUE(Table15[[#This Row],[Column1]]))),TODAY()-DATEVALUE(Table15[[#This Row],[Column1]]),"")</f>
        <v/>
      </c>
    </row>
    <row r="263" ht="31.2" customHeight="1" s="287">
      <c r="A263" s="254" t="inlineStr">
        <is>
          <t>Request</t>
        </is>
      </c>
      <c r="B263" s="255" t="inlineStr"/>
      <c r="C263" s="256" t="inlineStr">
        <is>
          <t>1/6/2025</t>
        </is>
      </c>
      <c r="D263" s="255" t="inlineStr">
        <is>
          <t>6000V/110A-B544</t>
        </is>
      </c>
      <c r="E263" s="255">
        <f>_xlfn.XLOOKUP(D263, [1]Collection!B:B, [1]Collection!C:C)</f>
        <v/>
      </c>
      <c r="F263" s="255">
        <f>_xlfn.XLOOKUP(D263, [1]Collection!B:B, [1]Collection!D:D)</f>
        <v/>
      </c>
      <c r="G263" s="255" t="inlineStr">
        <is>
          <t>Phone sales Middle East</t>
        </is>
      </c>
      <c r="H263" s="257" t="inlineStr">
        <is>
          <t>106652874</t>
        </is>
      </c>
      <c r="I263" s="257" t="n"/>
      <c r="J263" s="261" t="n"/>
      <c r="K263" s="257" t="n"/>
      <c r="L263" s="257" t="n"/>
      <c r="M263" s="257" t="n"/>
      <c r="N263" s="255" t="inlineStr"/>
      <c r="O263" s="255" t="inlineStr">
        <is>
          <t>SHARIF Maaz</t>
        </is>
      </c>
      <c r="P263" s="262" t="inlineStr">
        <is>
          <t xml:space="preserve">
</t>
        </is>
      </c>
      <c r="Q263" s="259">
        <f>IF(AND(Table15[[#This Row],[Column1]]&lt;&gt;"",ISNUMBER(DATEVALUE(Table15[[#This Row],[Column1]]))),TODAY()-DATEVALUE(Table15[[#This Row],[Column1]]),"")</f>
        <v/>
      </c>
    </row>
    <row r="264" hidden="1" s="287">
      <c r="A264" s="254" t="inlineStr">
        <is>
          <t>Request</t>
        </is>
      </c>
      <c r="B264" s="255" t="inlineStr"/>
      <c r="C264" s="256" t="inlineStr">
        <is>
          <t>1/6/2025</t>
        </is>
      </c>
      <c r="D264" s="255" t="inlineStr">
        <is>
          <t>4200H/222A-B934</t>
        </is>
      </c>
      <c r="E264" s="255">
        <f>_xlfn.XLOOKUP(D264, [1]Collection!B:B, [1]Collection!C:C)</f>
        <v/>
      </c>
      <c r="F264" s="255">
        <f>_xlfn.XLOOKUP(D264, [1]Collection!B:B, [1]Collection!D:D)</f>
        <v/>
      </c>
      <c r="G264" s="255" t="inlineStr">
        <is>
          <t>Phone sales Middle East</t>
        </is>
      </c>
      <c r="H264" s="257" t="inlineStr">
        <is>
          <t>106652874</t>
        </is>
      </c>
      <c r="I264" s="257" t="n"/>
      <c r="J264" s="257" t="n"/>
      <c r="K264" s="257" t="n"/>
      <c r="L264" s="257" t="n"/>
      <c r="M264" s="257" t="n"/>
      <c r="N264" s="255" t="inlineStr"/>
      <c r="O264" s="255" t="inlineStr">
        <is>
          <t>SHARIF Maaz</t>
        </is>
      </c>
      <c r="P264" s="258" t="inlineStr">
        <is>
          <t xml:space="preserve">
</t>
        </is>
      </c>
      <c r="Q264" s="259">
        <f>IF(AND(Table15[[#This Row],[Column1]]&lt;&gt;"",ISNUMBER(DATEVALUE(Table15[[#This Row],[Column1]]))),TODAY()-DATEVALUE(Table15[[#This Row],[Column1]]),"")</f>
        <v/>
      </c>
    </row>
    <row r="265" ht="31.2" customHeight="1" s="287">
      <c r="A265" s="254" t="inlineStr">
        <is>
          <t>Request</t>
        </is>
      </c>
      <c r="B265" s="255" t="inlineStr"/>
      <c r="C265" s="256" t="inlineStr">
        <is>
          <t>1/6/2025</t>
        </is>
      </c>
      <c r="D265" s="255" t="inlineStr">
        <is>
          <t>6000V/210R-B934</t>
        </is>
      </c>
      <c r="E265" s="255">
        <f>_xlfn.XLOOKUP(D265, [1]Collection!B:B, [1]Collection!C:C)</f>
        <v/>
      </c>
      <c r="F265" s="255">
        <f>_xlfn.XLOOKUP(D265, [1]Collection!B:B, [1]Collection!D:D)</f>
        <v/>
      </c>
      <c r="G265" s="255" t="inlineStr">
        <is>
          <t>Phone sales Middle East</t>
        </is>
      </c>
      <c r="H265" s="257" t="inlineStr">
        <is>
          <t>106652874</t>
        </is>
      </c>
      <c r="I265" s="257" t="n"/>
      <c r="J265" s="261" t="n"/>
      <c r="K265" s="257" t="n"/>
      <c r="L265" s="257" t="n"/>
      <c r="M265" s="257" t="n"/>
      <c r="N265" s="255" t="inlineStr"/>
      <c r="O265" s="255" t="inlineStr">
        <is>
          <t>SHARIF Maaz</t>
        </is>
      </c>
      <c r="P265" s="262" t="inlineStr">
        <is>
          <t xml:space="preserve">
</t>
        </is>
      </c>
      <c r="Q265" s="259">
        <f>IF(AND(Table15[[#This Row],[Column1]]&lt;&gt;"",ISNUMBER(DATEVALUE(Table15[[#This Row],[Column1]]))),TODAY()-DATEVALUE(Table15[[#This Row],[Column1]]),"")</f>
        <v/>
      </c>
    </row>
    <row r="266" ht="31.2" customHeight="1" s="287">
      <c r="A266" s="254" t="inlineStr">
        <is>
          <t>Request</t>
        </is>
      </c>
      <c r="B266" s="255" t="inlineStr"/>
      <c r="C266" s="256" t="inlineStr">
        <is>
          <t>1/6/2025</t>
        </is>
      </c>
      <c r="D266" s="255" t="inlineStr">
        <is>
          <t>6000V/110A-B544</t>
        </is>
      </c>
      <c r="E266" s="255">
        <f>_xlfn.XLOOKUP(D266, [1]Collection!B:B, [1]Collection!C:C)</f>
        <v/>
      </c>
      <c r="F266" s="255">
        <f>_xlfn.XLOOKUP(D266, [1]Collection!B:B, [1]Collection!D:D)</f>
        <v/>
      </c>
      <c r="G266" s="255" t="inlineStr">
        <is>
          <t>Phone sales Middle East</t>
        </is>
      </c>
      <c r="H266" s="257" t="inlineStr">
        <is>
          <t>106652874</t>
        </is>
      </c>
      <c r="I266" s="257" t="n"/>
      <c r="J266" s="261" t="n"/>
      <c r="K266" s="257" t="n"/>
      <c r="L266" s="257" t="n"/>
      <c r="M266" s="257" t="n"/>
      <c r="N266" s="255" t="inlineStr"/>
      <c r="O266" s="255" t="inlineStr">
        <is>
          <t>SHARIF Maaz</t>
        </is>
      </c>
      <c r="P266" s="262" t="inlineStr">
        <is>
          <t xml:space="preserve">
</t>
        </is>
      </c>
      <c r="Q266" s="259">
        <f>IF(AND(Table15[[#This Row],[Column1]]&lt;&gt;"",ISNUMBER(DATEVALUE(Table15[[#This Row],[Column1]]))),TODAY()-DATEVALUE(Table15[[#This Row],[Column1]]),"")</f>
        <v/>
      </c>
    </row>
    <row r="267" ht="31.2" customHeight="1" s="287">
      <c r="A267" s="254" t="inlineStr">
        <is>
          <t>Request</t>
        </is>
      </c>
      <c r="B267" s="255" t="inlineStr"/>
      <c r="C267" s="256" t="inlineStr">
        <is>
          <t>1/6/2025</t>
        </is>
      </c>
      <c r="D267" s="255" t="inlineStr">
        <is>
          <t>6000V/210R-B733</t>
        </is>
      </c>
      <c r="E267" s="255">
        <f>_xlfn.XLOOKUP(D267, [1]Collection!B:B, [1]Collection!C:C)</f>
        <v/>
      </c>
      <c r="F267" s="255">
        <f>_xlfn.XLOOKUP(D267, [1]Collection!B:B, [1]Collection!D:D)</f>
        <v/>
      </c>
      <c r="G267" s="255" t="inlineStr">
        <is>
          <t>Phone sales Middle East</t>
        </is>
      </c>
      <c r="H267" s="257" t="inlineStr">
        <is>
          <t>106652874</t>
        </is>
      </c>
      <c r="I267" s="257" t="n"/>
      <c r="J267" s="261" t="n"/>
      <c r="K267" s="257" t="n"/>
      <c r="L267" s="257" t="n"/>
      <c r="M267" s="257" t="n"/>
      <c r="N267" s="255" t="inlineStr"/>
      <c r="O267" s="255" t="inlineStr">
        <is>
          <t>SHARIF Maaz</t>
        </is>
      </c>
      <c r="P267" s="262" t="inlineStr">
        <is>
          <t xml:space="preserve">
</t>
        </is>
      </c>
      <c r="Q267" s="259">
        <f>IF(AND(Table15[[#This Row],[Column1]]&lt;&gt;"",ISNUMBER(DATEVALUE(Table15[[#This Row],[Column1]]))),TODAY()-DATEVALUE(Table15[[#This Row],[Column1]]),"")</f>
        <v/>
      </c>
    </row>
    <row r="268" hidden="1" s="287">
      <c r="A268" s="254" t="inlineStr">
        <is>
          <t>Request</t>
        </is>
      </c>
      <c r="B268" s="255" t="inlineStr"/>
      <c r="C268" s="256" t="inlineStr">
        <is>
          <t>1/6/2025</t>
        </is>
      </c>
      <c r="D268" s="255" t="inlineStr">
        <is>
          <t>4200H/222J-B935</t>
        </is>
      </c>
      <c r="E268" s="255">
        <f>_xlfn.XLOOKUP(D268, [1]Collection!B:B, [1]Collection!C:C)</f>
        <v/>
      </c>
      <c r="F268" s="255">
        <f>_xlfn.XLOOKUP(D268, [1]Collection!B:B, [1]Collection!D:D)</f>
        <v/>
      </c>
      <c r="G268" s="255" t="inlineStr">
        <is>
          <t>Phone sales Middle East</t>
        </is>
      </c>
      <c r="H268" s="257" t="inlineStr">
        <is>
          <t>106652874</t>
        </is>
      </c>
      <c r="I268" s="257" t="n"/>
      <c r="J268" s="257" t="n"/>
      <c r="K268" s="257" t="n"/>
      <c r="L268" s="257" t="n"/>
      <c r="M268" s="257" t="n"/>
      <c r="N268" s="255" t="inlineStr"/>
      <c r="O268" s="255" t="inlineStr">
        <is>
          <t>SHARIF Maaz</t>
        </is>
      </c>
      <c r="P268" s="258" t="inlineStr">
        <is>
          <t xml:space="preserve">
</t>
        </is>
      </c>
      <c r="Q268" s="259">
        <f>IF(AND(Table15[[#This Row],[Column1]]&lt;&gt;"",ISNUMBER(DATEVALUE(Table15[[#This Row],[Column1]]))),TODAY()-DATEVALUE(Table15[[#This Row],[Column1]]),"")</f>
        <v/>
      </c>
    </row>
    <row r="269" hidden="1" s="287">
      <c r="A269" s="254" t="inlineStr">
        <is>
          <t>Request</t>
        </is>
      </c>
      <c r="B269" s="255" t="inlineStr"/>
      <c r="C269" s="256" t="inlineStr">
        <is>
          <t>1/6/2025</t>
        </is>
      </c>
      <c r="D269" s="255" t="inlineStr">
        <is>
          <t>4200H/222A-B934</t>
        </is>
      </c>
      <c r="E269" s="255">
        <f>_xlfn.XLOOKUP(D269, [1]Collection!B:B, [1]Collection!C:C)</f>
        <v/>
      </c>
      <c r="F269" s="255">
        <f>_xlfn.XLOOKUP(D269, [1]Collection!B:B, [1]Collection!D:D)</f>
        <v/>
      </c>
      <c r="G269" s="255" t="inlineStr">
        <is>
          <t>Phone sales Middle East</t>
        </is>
      </c>
      <c r="H269" s="257" t="inlineStr">
        <is>
          <t>107159160</t>
        </is>
      </c>
      <c r="I269" s="257" t="n"/>
      <c r="J269" s="257" t="n"/>
      <c r="K269" s="257" t="n"/>
      <c r="L269" s="257" t="n"/>
      <c r="M269" s="257" t="n"/>
      <c r="N269" s="255" t="inlineStr">
        <is>
          <t>Prospect</t>
        </is>
      </c>
      <c r="O269" s="255" t="inlineStr">
        <is>
          <t>SHARIF Maaz</t>
        </is>
      </c>
      <c r="P269" s="258" t="inlineStr">
        <is>
          <t xml:space="preserve">The client has expressed interest in joining the 222 and brings a strong profile from Siddiqi ( already have in his collection the blue simple date) 
</t>
        </is>
      </c>
      <c r="Q269" s="259">
        <f>IF(AND(Table15[[#This Row],[Column1]]&lt;&gt;"",ISNUMBER(DATEVALUE(Table15[[#This Row],[Column1]]))),TODAY()-DATEVALUE(Table15[[#This Row],[Column1]]),"")</f>
        <v/>
      </c>
    </row>
    <row r="270" hidden="1" s="287">
      <c r="A270" s="254" t="inlineStr">
        <is>
          <t>Request</t>
        </is>
      </c>
      <c r="B270" s="255" t="inlineStr"/>
      <c r="C270" s="256" t="inlineStr">
        <is>
          <t>1/6/2025</t>
        </is>
      </c>
      <c r="D270" s="255" t="inlineStr">
        <is>
          <t>4200H/222A-B934</t>
        </is>
      </c>
      <c r="E270" s="255">
        <f>_xlfn.XLOOKUP(D270, [1]Collection!B:B, [1]Collection!C:C)</f>
        <v/>
      </c>
      <c r="F270" s="255">
        <f>_xlfn.XLOOKUP(D270, [1]Collection!B:B, [1]Collection!D:D)</f>
        <v/>
      </c>
      <c r="G270" s="255" t="inlineStr">
        <is>
          <t>Phone sales Middle East</t>
        </is>
      </c>
      <c r="H270" s="257" t="inlineStr">
        <is>
          <t>107443668</t>
        </is>
      </c>
      <c r="I270" s="257" t="n"/>
      <c r="J270" s="257" t="n"/>
      <c r="K270" s="257" t="n"/>
      <c r="L270" s="257" t="n"/>
      <c r="M270" s="257" t="n"/>
      <c r="N270" s="255" t="inlineStr">
        <is>
          <t>Prospect</t>
        </is>
      </c>
      <c r="O270" s="255" t="inlineStr">
        <is>
          <t>SHARIF Maaz</t>
        </is>
      </c>
      <c r="P270" s="258" t="inlineStr">
        <is>
          <t xml:space="preserve">Rolex:
Five Daytonas
Multiple GMTs
Yacht-Master in titanium (the new model)
Audemars Piguet:
AP Offshore in titanium
His taste:
Favors sporty, lightweight watches
Prefers pieces that are “not loud, not flashy yet speak volumes”
Drawn to pieces with heritage and unique design stories
</t>
        </is>
      </c>
      <c r="Q270" s="259">
        <f>IF(AND(Table15[[#This Row],[Column1]]&lt;&gt;"",ISNUMBER(DATEVALUE(Table15[[#This Row],[Column1]]))),TODAY()-DATEVALUE(Table15[[#This Row],[Column1]]),"")</f>
        <v/>
      </c>
    </row>
    <row r="271" ht="109.2" customHeight="1" s="287">
      <c r="A271" s="254" t="inlineStr">
        <is>
          <t>Sold</t>
        </is>
      </c>
      <c r="B271" s="255" t="inlineStr"/>
      <c r="C271" s="256" t="inlineStr">
        <is>
          <t>1/5/2025</t>
        </is>
      </c>
      <c r="D271" s="255" t="inlineStr">
        <is>
          <t>4000V/210A-B911</t>
        </is>
      </c>
      <c r="E271" s="255">
        <f>_xlfn.XLOOKUP(D271, [1]Collection!B:B, [1]Collection!C:C)</f>
        <v/>
      </c>
      <c r="F271" s="255">
        <f>_xlfn.XLOOKUP(D271, [1]Collection!B:B, [1]Collection!D:D)</f>
        <v/>
      </c>
      <c r="G271" s="255" t="inlineStr">
        <is>
          <t>Phone sales Middle East</t>
        </is>
      </c>
      <c r="H271" s="257" t="inlineStr">
        <is>
          <t>106652874</t>
        </is>
      </c>
      <c r="I271" s="257" t="n"/>
      <c r="J271" s="261" t="n"/>
      <c r="K271" s="257" t="n"/>
      <c r="L271" s="257" t="n"/>
      <c r="M271" s="257" t="n"/>
      <c r="N271" s="255" t="inlineStr">
        <is>
          <t>Prospect</t>
        </is>
      </c>
      <c r="O271" s="255" t="inlineStr">
        <is>
          <t>SHARIF Maaz</t>
        </is>
      </c>
      <c r="P271" s="262" t="inlineStr">
        <is>
          <t xml:space="preserve">the client is  professional investor . Property, stocks etc Planning to set up a small fund here in AD (ADGM)
</t>
        </is>
      </c>
      <c r="Q271" s="259">
        <f>IF(AND(Table15[[#This Row],[Column1]]&lt;&gt;"",ISNUMBER(DATEVALUE(Table15[[#This Row],[Column1]]))),TODAY()-DATEVALUE(Table15[[#This Row],[Column1]]),"")</f>
        <v/>
      </c>
    </row>
    <row r="272" ht="31.2" customHeight="1" s="287">
      <c r="A272" s="254" t="inlineStr">
        <is>
          <t>Request</t>
        </is>
      </c>
      <c r="B272" s="255" t="inlineStr"/>
      <c r="C272" s="256" t="inlineStr">
        <is>
          <t>1/4/2025</t>
        </is>
      </c>
      <c r="D272" s="255" t="inlineStr">
        <is>
          <t>4020T/000P-H038</t>
        </is>
      </c>
      <c r="E272" s="255">
        <f>_xlfn.XLOOKUP(D272, [1]Collection!B:B, [1]Collection!C:C)</f>
        <v/>
      </c>
      <c r="F272" s="255">
        <f>_xlfn.XLOOKUP(D272, [1]Collection!B:B, [1]Collection!D:D)</f>
        <v/>
      </c>
      <c r="G272" s="255" t="inlineStr">
        <is>
          <t>Phone sales Middle East</t>
        </is>
      </c>
      <c r="H272" s="257" t="inlineStr">
        <is>
          <t>103814709</t>
        </is>
      </c>
      <c r="I272" s="257" t="n"/>
      <c r="J272" s="261" t="n"/>
      <c r="K272" s="257" t="n"/>
      <c r="L272" s="257" t="n"/>
      <c r="M272" s="257" t="n"/>
      <c r="N272" s="255" t="inlineStr">
        <is>
          <t>Prospect</t>
        </is>
      </c>
      <c r="O272" s="255" t="inlineStr">
        <is>
          <t>SHARIF Maaz</t>
        </is>
      </c>
      <c r="P272" s="262" t="inlineStr">
        <is>
          <t xml:space="preserve">
</t>
        </is>
      </c>
      <c r="Q272" s="259">
        <f>IF(AND(Table15[[#This Row],[Column1]]&lt;&gt;"",ISNUMBER(DATEVALUE(Table15[[#This Row],[Column1]]))),TODAY()-DATEVALUE(Table15[[#This Row],[Column1]]),"")</f>
        <v/>
      </c>
    </row>
    <row r="273">
      <c r="A273" s="254" t="inlineStr">
        <is>
          <t>Request</t>
        </is>
      </c>
      <c r="B273" s="255" t="inlineStr"/>
      <c r="C273" s="256" t="inlineStr">
        <is>
          <t>1/4/2025</t>
        </is>
      </c>
      <c r="D273" s="255" t="inlineStr">
        <is>
          <t>5520V/210A-B148</t>
        </is>
      </c>
      <c r="E273" s="255">
        <f>_xlfn.XLOOKUP(D273, [1]Collection!B:B, [1]Collection!C:C)</f>
        <v/>
      </c>
      <c r="F273" s="255">
        <f>_xlfn.XLOOKUP(D273, [1]Collection!B:B, [1]Collection!D:D)</f>
        <v/>
      </c>
      <c r="G273" s="255" t="inlineStr">
        <is>
          <t>Phone sales Middle East</t>
        </is>
      </c>
      <c r="H273" s="257" t="inlineStr">
        <is>
          <t>106736682</t>
        </is>
      </c>
      <c r="I273" s="257" t="n"/>
      <c r="J273" s="261" t="n"/>
      <c r="K273" s="257" t="n"/>
      <c r="L273" s="257" t="n"/>
      <c r="M273" s="257" t="n"/>
      <c r="N273" s="255" t="inlineStr">
        <is>
          <t>Prospect</t>
        </is>
      </c>
      <c r="O273" s="255" t="inlineStr">
        <is>
          <t>SHARIF Maaz</t>
        </is>
      </c>
      <c r="P273" s="262" t="inlineStr">
        <is>
          <t xml:space="preserve">Blue chronograph 
</t>
        </is>
      </c>
      <c r="Q273" s="259">
        <f>IF(AND(Table15[[#This Row],[Column1]]&lt;&gt;"",ISNUMBER(DATEVALUE(Table15[[#This Row],[Column1]]))),TODAY()-DATEVALUE(Table15[[#This Row],[Column1]]),"")</f>
        <v/>
      </c>
    </row>
    <row r="274" hidden="1" s="287">
      <c r="A274" s="254" t="inlineStr">
        <is>
          <t>Request</t>
        </is>
      </c>
      <c r="B274" s="255" t="inlineStr"/>
      <c r="C274" s="256" t="inlineStr">
        <is>
          <t>1/4/2025</t>
        </is>
      </c>
      <c r="D274" s="255" t="inlineStr">
        <is>
          <t>4200H/222A-B934</t>
        </is>
      </c>
      <c r="E274" s="255">
        <f>_xlfn.XLOOKUP(D274, [1]Collection!B:B, [1]Collection!C:C)</f>
        <v/>
      </c>
      <c r="F274" s="255">
        <f>_xlfn.XLOOKUP(D274, [1]Collection!B:B, [1]Collection!D:D)</f>
        <v/>
      </c>
      <c r="G274" s="255" t="inlineStr">
        <is>
          <t>Phone sales Middle East</t>
        </is>
      </c>
      <c r="H274" s="257" t="inlineStr">
        <is>
          <t>108953377</t>
        </is>
      </c>
      <c r="I274" s="257" t="n"/>
      <c r="J274" s="257" t="n"/>
      <c r="K274" s="257" t="n"/>
      <c r="L274" s="257" t="n"/>
      <c r="M274" s="257" t="n"/>
      <c r="N274" s="255" t="inlineStr">
        <is>
          <t>Prospect</t>
        </is>
      </c>
      <c r="O274" s="255" t="inlineStr">
        <is>
          <t>SHARIF Maaz</t>
        </is>
      </c>
      <c r="P274" s="258" t="inlineStr">
        <is>
          <t xml:space="preserve">
</t>
        </is>
      </c>
      <c r="Q274" s="259">
        <f>IF(AND(Table15[[#This Row],[Column1]]&lt;&gt;"",ISNUMBER(DATEVALUE(Table15[[#This Row],[Column1]]))),TODAY()-DATEVALUE(Table15[[#This Row],[Column1]]),"")</f>
        <v/>
      </c>
    </row>
    <row r="275" hidden="1" s="287">
      <c r="A275" s="254" t="inlineStr">
        <is>
          <t>Request</t>
        </is>
      </c>
      <c r="B275" s="255" t="inlineStr"/>
      <c r="C275" s="256" t="inlineStr">
        <is>
          <t>1/3/2025</t>
        </is>
      </c>
      <c r="D275" s="255" t="inlineStr">
        <is>
          <t>4200H/222A-B934</t>
        </is>
      </c>
      <c r="E275" s="255">
        <f>_xlfn.XLOOKUP(D275, [1]Collection!B:B, [1]Collection!C:C)</f>
        <v/>
      </c>
      <c r="F275" s="255">
        <f>_xlfn.XLOOKUP(D275, [1]Collection!B:B, [1]Collection!D:D)</f>
        <v/>
      </c>
      <c r="G275" s="255" t="inlineStr">
        <is>
          <t>Phone sales Middle East</t>
        </is>
      </c>
      <c r="H275" s="257" t="inlineStr">
        <is>
          <t>104397738</t>
        </is>
      </c>
      <c r="I275" s="257" t="n"/>
      <c r="J275" s="257" t="n"/>
      <c r="K275" s="257" t="n"/>
      <c r="L275" s="257" t="n"/>
      <c r="M275" s="257" t="n"/>
      <c r="N275" s="255" t="inlineStr">
        <is>
          <t>Prospect</t>
        </is>
      </c>
      <c r="O275" s="255" t="inlineStr">
        <is>
          <t>SHARIF Maaz</t>
        </is>
      </c>
      <c r="P275" s="258" t="inlineStr">
        <is>
          <t xml:space="preserve">interested in the 222 and dual time 
</t>
        </is>
      </c>
      <c r="Q275" s="259">
        <f>IF(AND(Table15[[#This Row],[Column1]]&lt;&gt;"",ISNUMBER(DATEVALUE(Table15[[#This Row],[Column1]]))),TODAY()-DATEVALUE(Table15[[#This Row],[Column1]]),"")</f>
        <v/>
      </c>
    </row>
    <row r="276" hidden="1" s="287">
      <c r="A276" s="254" t="inlineStr">
        <is>
          <t>Request</t>
        </is>
      </c>
      <c r="B276" s="255" t="inlineStr"/>
      <c r="C276" s="256" t="inlineStr">
        <is>
          <t>1/3/2025</t>
        </is>
      </c>
      <c r="D276" s="255" t="inlineStr">
        <is>
          <t>4200H/222J-B935</t>
        </is>
      </c>
      <c r="E276" s="255">
        <f>_xlfn.XLOOKUP(D276, [1]Collection!B:B, [1]Collection!C:C)</f>
        <v/>
      </c>
      <c r="F276" s="255">
        <f>_xlfn.XLOOKUP(D276, [1]Collection!B:B, [1]Collection!D:D)</f>
        <v/>
      </c>
      <c r="G276" s="255" t="inlineStr">
        <is>
          <t>Phone sales Middle East</t>
        </is>
      </c>
      <c r="H276" s="257" t="inlineStr">
        <is>
          <t>98874827</t>
        </is>
      </c>
      <c r="I276" s="257" t="n"/>
      <c r="J276" s="257" t="n"/>
      <c r="K276" s="257" t="n"/>
      <c r="L276" s="257" t="n"/>
      <c r="M276" s="257" t="n"/>
      <c r="N276" s="255" t="inlineStr">
        <is>
          <t>Prospect</t>
        </is>
      </c>
      <c r="O276" s="255" t="inlineStr">
        <is>
          <t>SHARIF Maaz</t>
        </is>
      </c>
      <c r="P276" s="258" t="inlineStr">
        <is>
          <t xml:space="preserve">the client intrested in the 222
</t>
        </is>
      </c>
      <c r="Q276" s="259">
        <f>IF(AND(Table15[[#This Row],[Column1]]&lt;&gt;"",ISNUMBER(DATEVALUE(Table15[[#This Row],[Column1]]))),TODAY()-DATEVALUE(Table15[[#This Row],[Column1]]),"")</f>
        <v/>
      </c>
    </row>
    <row r="277" hidden="1" s="287">
      <c r="A277" s="254" t="inlineStr">
        <is>
          <t>Request</t>
        </is>
      </c>
      <c r="B277" s="255" t="inlineStr"/>
      <c r="C277" s="256" t="inlineStr">
        <is>
          <t>1/3/2025</t>
        </is>
      </c>
      <c r="D277" s="255" t="inlineStr">
        <is>
          <t>4200H/222A-B934</t>
        </is>
      </c>
      <c r="E277" s="255">
        <f>_xlfn.XLOOKUP(D277, [1]Collection!B:B, [1]Collection!C:C)</f>
        <v/>
      </c>
      <c r="F277" s="255">
        <f>_xlfn.XLOOKUP(D277, [1]Collection!B:B, [1]Collection!D:D)</f>
        <v/>
      </c>
      <c r="G277" s="255" t="inlineStr">
        <is>
          <t>Phone sales Middle East</t>
        </is>
      </c>
      <c r="H277" s="257" t="inlineStr">
        <is>
          <t>104457807</t>
        </is>
      </c>
      <c r="I277" s="257" t="n"/>
      <c r="J277" s="257" t="n"/>
      <c r="K277" s="257" t="n"/>
      <c r="L277" s="257" t="n"/>
      <c r="M277" s="257" t="n"/>
      <c r="N277" s="255" t="inlineStr">
        <is>
          <t>Prospect</t>
        </is>
      </c>
      <c r="O277" s="255" t="inlineStr">
        <is>
          <t>SHARIF Maaz</t>
        </is>
      </c>
      <c r="P277" s="258" t="inlineStr">
        <is>
          <t xml:space="preserve">the client is interested 
</t>
        </is>
      </c>
      <c r="Q277" s="259">
        <f>IF(AND(Table15[[#This Row],[Column1]]&lt;&gt;"",ISNUMBER(DATEVALUE(Table15[[#This Row],[Column1]]))),TODAY()-DATEVALUE(Table15[[#This Row],[Column1]]),"")</f>
        <v/>
      </c>
    </row>
    <row r="278" ht="171.6" customHeight="1" s="287">
      <c r="A278" s="254" t="inlineStr">
        <is>
          <t>Request</t>
        </is>
      </c>
      <c r="B278" s="255" t="inlineStr"/>
      <c r="C278" s="256" t="inlineStr">
        <is>
          <t>1/3/2025</t>
        </is>
      </c>
      <c r="D278" s="255" t="inlineStr">
        <is>
          <t>6010T/000R-B638</t>
        </is>
      </c>
      <c r="E278" s="255">
        <f>_xlfn.XLOOKUP(D278, [1]Collection!B:B, [1]Collection!C:C)</f>
        <v/>
      </c>
      <c r="F278" s="255">
        <f>_xlfn.XLOOKUP(D278, [1]Collection!B:B, [1]Collection!D:D)</f>
        <v/>
      </c>
      <c r="G278" s="255" t="inlineStr">
        <is>
          <t>Phone sales Middle East</t>
        </is>
      </c>
      <c r="H278" s="257" t="inlineStr">
        <is>
          <t>104509438</t>
        </is>
      </c>
      <c r="I278" s="257" t="n"/>
      <c r="J278" s="261" t="n"/>
      <c r="K278" s="257" t="n"/>
      <c r="L278" s="257" t="n"/>
      <c r="M278" s="257" t="n"/>
      <c r="N278" s="255" t="inlineStr">
        <is>
          <t>Prospect</t>
        </is>
      </c>
      <c r="O278" s="255" t="inlineStr">
        <is>
          <t>SHARIF Maaz</t>
        </is>
      </c>
      <c r="P278" s="262" t="inlineStr">
        <is>
          <t xml:space="preserve">The client specializes in auto tuning, automatic watches, and exclusive key fobs. His uncle has a strong interest in Traditionnelle and Overseas collections, particularly the tourbillon editions
</t>
        </is>
      </c>
      <c r="Q278" s="259">
        <f>IF(AND(Table15[[#This Row],[Column1]]&lt;&gt;"",ISNUMBER(DATEVALUE(Table15[[#This Row],[Column1]]))),TODAY()-DATEVALUE(Table15[[#This Row],[Column1]]),"")</f>
        <v/>
      </c>
    </row>
    <row r="279" hidden="1" s="287">
      <c r="A279" s="254" t="inlineStr">
        <is>
          <t>Request</t>
        </is>
      </c>
      <c r="B279" s="255" t="inlineStr">
        <is>
          <t>Confirmed</t>
        </is>
      </c>
      <c r="C279" s="256" t="inlineStr">
        <is>
          <t>1/3/2025</t>
        </is>
      </c>
      <c r="D279" s="255" t="inlineStr">
        <is>
          <t>4520V/210A-B128</t>
        </is>
      </c>
      <c r="E279" s="255">
        <f>_xlfn.XLOOKUP(D279, [1]Collection!B:B, [1]Collection!C:C)</f>
        <v/>
      </c>
      <c r="F279" s="255">
        <f>_xlfn.XLOOKUP(D279, [1]Collection!B:B, [1]Collection!D:D)</f>
        <v/>
      </c>
      <c r="G279" s="255" t="inlineStr">
        <is>
          <t>Phone sales Middle East</t>
        </is>
      </c>
      <c r="H279" s="257" t="inlineStr">
        <is>
          <t>103673092</t>
        </is>
      </c>
      <c r="I279" s="257" t="n"/>
      <c r="J279" s="257" t="n"/>
      <c r="K279" s="257" t="n"/>
      <c r="L279" s="257" t="n"/>
      <c r="M279" s="257" t="n"/>
      <c r="N279" s="255" t="inlineStr">
        <is>
          <t>Prospect</t>
        </is>
      </c>
      <c r="O279" s="255" t="inlineStr">
        <is>
          <t>SHARIF Maaz</t>
        </is>
      </c>
      <c r="P279" s="258" t="inlineStr">
        <is>
          <t xml:space="preserve">the client main aim is the 222 and the 128 
</t>
        </is>
      </c>
      <c r="Q279" s="259">
        <f>IF(AND(Table15[[#This Row],[Column1]]&lt;&gt;"",ISNUMBER(DATEVALUE(Table15[[#This Row],[Column1]]))),TODAY()-DATEVALUE(Table15[[#This Row],[Column1]]),"")</f>
        <v/>
      </c>
    </row>
    <row r="280" ht="31.2" customHeight="1" s="287">
      <c r="A280" s="254" t="inlineStr">
        <is>
          <t>Request</t>
        </is>
      </c>
      <c r="B280" s="255" t="inlineStr"/>
      <c r="C280" s="256" t="inlineStr">
        <is>
          <t>1/3/2025</t>
        </is>
      </c>
      <c r="D280" s="255" t="inlineStr">
        <is>
          <t>5520V/210A-B148</t>
        </is>
      </c>
      <c r="E280" s="255">
        <f>_xlfn.XLOOKUP(D280, [1]Collection!B:B, [1]Collection!C:C)</f>
        <v/>
      </c>
      <c r="F280" s="255">
        <f>_xlfn.XLOOKUP(D280, [1]Collection!B:B, [1]Collection!D:D)</f>
        <v/>
      </c>
      <c r="G280" s="255" t="inlineStr">
        <is>
          <t>Phone sales Middle East</t>
        </is>
      </c>
      <c r="H280" s="257" t="inlineStr">
        <is>
          <t>104726140</t>
        </is>
      </c>
      <c r="I280" s="257" t="n"/>
      <c r="J280" s="261" t="n"/>
      <c r="K280" s="257" t="n"/>
      <c r="L280" s="257" t="n"/>
      <c r="M280" s="257" t="n"/>
      <c r="N280" s="255" t="inlineStr">
        <is>
          <t>Prospect</t>
        </is>
      </c>
      <c r="O280" s="255" t="inlineStr">
        <is>
          <t>SHARIF Maaz</t>
        </is>
      </c>
      <c r="P280" s="262" t="inlineStr">
        <is>
          <t xml:space="preserve">
</t>
        </is>
      </c>
      <c r="Q280" s="259">
        <f>IF(AND(Table15[[#This Row],[Column1]]&lt;&gt;"",ISNUMBER(DATEVALUE(Table15[[#This Row],[Column1]]))),TODAY()-DATEVALUE(Table15[[#This Row],[Column1]]),"")</f>
        <v/>
      </c>
    </row>
    <row r="281" ht="78" customHeight="1" s="287">
      <c r="A281" s="254" t="inlineStr">
        <is>
          <t>Request</t>
        </is>
      </c>
      <c r="B281" s="255" t="inlineStr">
        <is>
          <t>Confirmed</t>
        </is>
      </c>
      <c r="C281" s="256" t="inlineStr">
        <is>
          <t>1/3/2025</t>
        </is>
      </c>
      <c r="D281" s="255" t="inlineStr">
        <is>
          <t>5520V/210A-B148</t>
        </is>
      </c>
      <c r="E281" s="255">
        <f>_xlfn.XLOOKUP(D281, [1]Collection!B:B, [1]Collection!C:C)</f>
        <v/>
      </c>
      <c r="F281" s="255">
        <f>_xlfn.XLOOKUP(D281, [1]Collection!B:B, [1]Collection!D:D)</f>
        <v/>
      </c>
      <c r="G281" s="255" t="inlineStr">
        <is>
          <t>Phone sales Middle East</t>
        </is>
      </c>
      <c r="H281" s="257" t="inlineStr">
        <is>
          <t>102140303</t>
        </is>
      </c>
      <c r="I281" s="257" t="n"/>
      <c r="J281" s="261" t="n"/>
      <c r="K281" s="257" t="n"/>
      <c r="L281" s="257" t="n"/>
      <c r="M281" s="257" t="n"/>
      <c r="N281" s="255" t="inlineStr">
        <is>
          <t>Prospect</t>
        </is>
      </c>
      <c r="O281" s="255" t="inlineStr">
        <is>
          <t>SHARIF Maaz</t>
        </is>
      </c>
      <c r="P281" s="262" t="inlineStr">
        <is>
          <t xml:space="preserve">The client is interested in the Overseas chronograph
 blue
</t>
        </is>
      </c>
      <c r="Q281" s="259">
        <f>IF(AND(Table15[[#This Row],[Column1]]&lt;&gt;"",ISNUMBER(DATEVALUE(Table15[[#This Row],[Column1]]))),TODAY()-DATEVALUE(Table15[[#This Row],[Column1]]),"")</f>
        <v/>
      </c>
    </row>
    <row r="282" hidden="1" s="287">
      <c r="A282" s="254" t="inlineStr">
        <is>
          <t>Request</t>
        </is>
      </c>
      <c r="B282" s="255" t="inlineStr"/>
      <c r="C282" s="256" t="inlineStr">
        <is>
          <t>1/3/2025</t>
        </is>
      </c>
      <c r="D282" s="255" t="inlineStr">
        <is>
          <t>4200H/222A-B934</t>
        </is>
      </c>
      <c r="E282" s="255">
        <f>_xlfn.XLOOKUP(D282, [1]Collection!B:B, [1]Collection!C:C)</f>
        <v/>
      </c>
      <c r="F282" s="255">
        <f>_xlfn.XLOOKUP(D282, [1]Collection!B:B, [1]Collection!D:D)</f>
        <v/>
      </c>
      <c r="G282" s="255" t="inlineStr">
        <is>
          <t>Phone sales Middle East</t>
        </is>
      </c>
      <c r="H282" s="257" t="inlineStr">
        <is>
          <t>104507397</t>
        </is>
      </c>
      <c r="I282" s="257" t="n"/>
      <c r="J282" s="257" t="n"/>
      <c r="K282" s="257" t="n"/>
      <c r="L282" s="257" t="n"/>
      <c r="M282" s="257" t="n"/>
      <c r="N282" s="255" t="inlineStr">
        <is>
          <t>Prospect</t>
        </is>
      </c>
      <c r="O282" s="255" t="inlineStr">
        <is>
          <t>SHARIF Maaz</t>
        </is>
      </c>
      <c r="P282" s="258" t="inlineStr">
        <is>
          <t xml:space="preserve">
</t>
        </is>
      </c>
      <c r="Q282" s="259">
        <f>IF(AND(Table15[[#This Row],[Column1]]&lt;&gt;"",ISNUMBER(DATEVALUE(Table15[[#This Row],[Column1]]))),TODAY()-DATEVALUE(Table15[[#This Row],[Column1]]),"")</f>
        <v/>
      </c>
    </row>
    <row r="283" ht="46.8" customHeight="1" s="287">
      <c r="A283" s="254" t="inlineStr">
        <is>
          <t>Request</t>
        </is>
      </c>
      <c r="B283" s="255" t="inlineStr"/>
      <c r="C283" s="256" t="inlineStr">
        <is>
          <t>1/3/2025</t>
        </is>
      </c>
      <c r="D283" s="255" t="inlineStr">
        <is>
          <t>82035/000G-B735</t>
        </is>
      </c>
      <c r="E283" s="255">
        <f>_xlfn.XLOOKUP(D283, [1]Collection!B:B, [1]Collection!C:C)</f>
        <v/>
      </c>
      <c r="F283" s="255">
        <f>_xlfn.XLOOKUP(D283, [1]Collection!B:B, [1]Collection!D:D)</f>
        <v/>
      </c>
      <c r="G283" s="255" t="inlineStr">
        <is>
          <t>Phone sales Middle East</t>
        </is>
      </c>
      <c r="H283" s="257" t="inlineStr">
        <is>
          <t>105210142</t>
        </is>
      </c>
      <c r="I283" s="257" t="n"/>
      <c r="J283" s="261" t="n"/>
      <c r="K283" s="257" t="n"/>
      <c r="L283" s="257" t="n"/>
      <c r="M283" s="257" t="n"/>
      <c r="N283" s="255" t="inlineStr">
        <is>
          <t>Prospect</t>
        </is>
      </c>
      <c r="O283" s="255" t="inlineStr">
        <is>
          <t>SHARIF Maaz</t>
        </is>
      </c>
      <c r="P283" s="262" t="inlineStr">
        <is>
          <t xml:space="preserve">The client showed interest in the 1921
</t>
        </is>
      </c>
      <c r="Q283" s="259">
        <f>IF(AND(Table15[[#This Row],[Column1]]&lt;&gt;"",ISNUMBER(DATEVALUE(Table15[[#This Row],[Column1]]))),TODAY()-DATEVALUE(Table15[[#This Row],[Column1]]),"")</f>
        <v/>
      </c>
    </row>
    <row r="284" hidden="1" s="287">
      <c r="A284" s="254" t="inlineStr">
        <is>
          <t>Request</t>
        </is>
      </c>
      <c r="B284" s="255" t="inlineStr"/>
      <c r="C284" s="256" t="inlineStr">
        <is>
          <t>1/2/2025</t>
        </is>
      </c>
      <c r="D284" s="255" t="inlineStr">
        <is>
          <t>4200H/222A-B934</t>
        </is>
      </c>
      <c r="E284" s="255">
        <f>_xlfn.XLOOKUP(D284, [1]Collection!B:B, [1]Collection!C:C)</f>
        <v/>
      </c>
      <c r="F284" s="255">
        <f>_xlfn.XLOOKUP(D284, [1]Collection!B:B, [1]Collection!D:D)</f>
        <v/>
      </c>
      <c r="G284" s="255" t="inlineStr">
        <is>
          <t>Phone sales Middle East</t>
        </is>
      </c>
      <c r="H284" s="257" t="inlineStr">
        <is>
          <t>104495233</t>
        </is>
      </c>
      <c r="I284" s="257" t="n"/>
      <c r="J284" s="257" t="n"/>
      <c r="K284" s="257" t="n"/>
      <c r="L284" s="257" t="n"/>
      <c r="M284" s="257" t="n"/>
      <c r="N284" s="255" t="inlineStr">
        <is>
          <t>Prospect</t>
        </is>
      </c>
      <c r="O284" s="255" t="inlineStr">
        <is>
          <t>SHARIF Maaz</t>
        </is>
      </c>
      <c r="P284" s="258" t="inlineStr">
        <is>
          <t xml:space="preserve">
</t>
        </is>
      </c>
      <c r="Q284" s="259">
        <f>IF(AND(Table15[[#This Row],[Column1]]&lt;&gt;"",ISNUMBER(DATEVALUE(Table15[[#This Row],[Column1]]))),TODAY()-DATEVALUE(Table15[[#This Row],[Column1]]),"")</f>
        <v/>
      </c>
    </row>
    <row r="285" ht="62.4" customHeight="1" s="287">
      <c r="A285" s="254" t="inlineStr">
        <is>
          <t>Request</t>
        </is>
      </c>
      <c r="B285" s="255" t="inlineStr"/>
      <c r="C285" s="256" t="inlineStr">
        <is>
          <t>1/1/2025</t>
        </is>
      </c>
      <c r="D285" s="255" t="inlineStr">
        <is>
          <t>7920V/210R-B965</t>
        </is>
      </c>
      <c r="E285" s="255">
        <f>_xlfn.XLOOKUP(D285, [1]Collection!B:B, [1]Collection!C:C)</f>
        <v/>
      </c>
      <c r="F285" s="255">
        <f>_xlfn.XLOOKUP(D285, [1]Collection!B:B, [1]Collection!D:D)</f>
        <v/>
      </c>
      <c r="G285" s="255" t="inlineStr">
        <is>
          <t>Phone sales Middle East</t>
        </is>
      </c>
      <c r="H285" s="257" t="inlineStr">
        <is>
          <t>103671316</t>
        </is>
      </c>
      <c r="I285" s="257" t="n"/>
      <c r="J285" s="261" t="n"/>
      <c r="K285" s="257" t="n"/>
      <c r="L285" s="257" t="n"/>
      <c r="M285" s="257" t="n"/>
      <c r="N285" s="255" t="inlineStr">
        <is>
          <t>Prospect</t>
        </is>
      </c>
      <c r="O285" s="255" t="inlineStr">
        <is>
          <t>SHARIF Maaz</t>
        </is>
      </c>
      <c r="P285" s="262" t="inlineStr">
        <is>
          <t xml:space="preserve">The client is interested in the timepeice but still thinking of his budget 
</t>
        </is>
      </c>
      <c r="Q285" s="259">
        <f>IF(AND(Table15[[#This Row],[Column1]]&lt;&gt;"",ISNUMBER(DATEVALUE(Table15[[#This Row],[Column1]]))),TODAY()-DATEVALUE(Table15[[#This Row],[Column1]]),"")</f>
        <v/>
      </c>
    </row>
    <row r="286" ht="93.59999999999999" customHeight="1" s="287">
      <c r="A286" s="254" t="inlineStr">
        <is>
          <t>Request</t>
        </is>
      </c>
      <c r="B286" s="255" t="inlineStr"/>
      <c r="C286" s="256" t="inlineStr">
        <is>
          <t>1/1/2025</t>
        </is>
      </c>
      <c r="D286" s="255" t="inlineStr">
        <is>
          <t>4000V/210A-B911</t>
        </is>
      </c>
      <c r="E286" s="255">
        <f>_xlfn.XLOOKUP(D286, [1]Collection!B:B, [1]Collection!C:C)</f>
        <v/>
      </c>
      <c r="F286" s="255">
        <f>_xlfn.XLOOKUP(D286, [1]Collection!B:B, [1]Collection!D:D)</f>
        <v/>
      </c>
      <c r="G286" s="255" t="inlineStr">
        <is>
          <t>Phone sales Middle East</t>
        </is>
      </c>
      <c r="H286" s="257" t="inlineStr">
        <is>
          <t>103591723</t>
        </is>
      </c>
      <c r="I286" s="257" t="n"/>
      <c r="J286" s="261" t="n"/>
      <c r="K286" s="257" t="n"/>
      <c r="L286" s="257" t="n"/>
      <c r="M286" s="257" t="n"/>
      <c r="N286" s="255" t="inlineStr">
        <is>
          <t>Prospect</t>
        </is>
      </c>
      <c r="O286" s="255" t="inlineStr">
        <is>
          <t>SHARIF Maaz</t>
        </is>
      </c>
      <c r="P286" s="262" t="inlineStr">
        <is>
          <t xml:space="preserve">Watch collector: 3 Rolexes, 2 JLC, 1 AP (Royal Oak Offshore Diver), 1 IWC, 1 Chopard, 1 Ulysse Nardin, 2 Nomos. 
</t>
        </is>
      </c>
      <c r="Q286" s="259">
        <f>IF(AND(Table15[[#This Row],[Column1]]&lt;&gt;"",ISNUMBER(DATEVALUE(Table15[[#This Row],[Column1]]))),TODAY()-DATEVALUE(Table15[[#This Row],[Column1]]),"")</f>
        <v/>
      </c>
    </row>
    <row r="287">
      <c r="A287" s="263" t="inlineStr">
        <is>
          <t>Request</t>
        </is>
      </c>
      <c r="B287" s="264" t="inlineStr"/>
      <c r="C287" s="256" t="inlineStr">
        <is>
          <t>1/1/2024</t>
        </is>
      </c>
      <c r="D287" s="264" t="inlineStr">
        <is>
          <t>4600E/000A-B487</t>
        </is>
      </c>
      <c r="E287" s="264">
        <f>_xlfn.XLOOKUP(D287, [1]Collection!B:B, [1]Collection!C:C)</f>
        <v/>
      </c>
      <c r="F287" s="264">
        <f>_xlfn.XLOOKUP(D287, [1]Collection!B:B, [1]Collection!D:D)</f>
        <v/>
      </c>
      <c r="G287" s="264" t="inlineStr">
        <is>
          <t>Phone sales Middle East</t>
        </is>
      </c>
      <c r="H287" s="265" t="inlineStr">
        <is>
          <t>94291400</t>
        </is>
      </c>
      <c r="I287" s="265" t="n"/>
      <c r="J287" s="266" t="n"/>
      <c r="K287" s="265" t="n"/>
      <c r="L287" s="265" t="n"/>
      <c r="M287" s="265" t="n"/>
      <c r="N287" s="264" t="inlineStr">
        <is>
          <t>Prospect</t>
        </is>
      </c>
      <c r="O287" s="264" t="inlineStr">
        <is>
          <t>SHARIF Maaz</t>
        </is>
      </c>
      <c r="P287" s="267" t="inlineStr"/>
      <c r="Q287" s="259">
        <f>IF(AND(Table15[[#This Row],[Column1]]&lt;&gt;"",ISNUMBER(DATEVALUE(Table15[[#This Row],[Column1]]))),TODAY()-DATEVALUE(Table15[[#This Row],[Column1]]),"")</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N258"/>
  <sheetViews>
    <sheetView topLeftCell="A232" workbookViewId="0">
      <selection activeCell="N2" sqref="A1:N258"/>
    </sheetView>
  </sheetViews>
  <sheetFormatPr baseColWidth="8" defaultRowHeight="14.4"/>
  <cols>
    <col width="8" customWidth="1" style="287" min="1" max="1"/>
    <col width="12" customWidth="1" style="287" min="2" max="2"/>
    <col width="15" customWidth="1" style="287" min="3" max="3"/>
    <col width="12" customWidth="1" style="287" min="4" max="4"/>
    <col width="10" customWidth="1" style="287" min="5" max="5"/>
    <col width="15.44140625" bestFit="1" customWidth="1" style="287" min="6" max="6"/>
    <col width="12" customWidth="1" style="287" min="7" max="7"/>
    <col width="8" customWidth="1" style="287" min="8" max="8"/>
    <col width="10" customWidth="1" style="287" min="9" max="9"/>
    <col width="15" customWidth="1" style="287" min="10" max="10"/>
    <col width="12" customWidth="1" style="287" min="11" max="11"/>
    <col width="30" customWidth="1" style="287" min="12" max="12"/>
    <col width="24" bestFit="1" customWidth="1" style="287" min="13" max="13"/>
    <col width="15.6640625" bestFit="1" customWidth="1" style="287" min="14" max="14"/>
  </cols>
  <sheetData>
    <row r="1" ht="15.6" customHeight="1" s="287">
      <c r="A1" s="229" t="inlineStr">
        <is>
          <t>Priority Rank</t>
        </is>
      </c>
      <c r="B1" s="229" t="inlineStr">
        <is>
          <t>Client ID</t>
        </is>
      </c>
      <c r="C1" s="229" t="inlineStr">
        <is>
          <t>Reference</t>
        </is>
      </c>
      <c r="D1" s="229" t="inlineStr">
        <is>
          <t>Collection</t>
        </is>
      </c>
      <c r="E1" s="229" t="inlineStr">
        <is>
          <t>Status</t>
        </is>
      </c>
      <c r="F1" s="229" t="inlineStr">
        <is>
          <t>Client Segment</t>
        </is>
      </c>
      <c r="G1" s="229" t="inlineStr">
        <is>
          <t>Request Date</t>
        </is>
      </c>
      <c r="H1" s="229" t="inlineStr">
        <is>
          <t>Days Since</t>
        </is>
      </c>
      <c r="I1" s="229" t="inlineStr">
        <is>
          <t>Priority Score</t>
        </is>
      </c>
      <c r="J1" s="229" t="inlineStr">
        <is>
          <t>Availability Status</t>
        </is>
      </c>
      <c r="K1" s="229" t="inlineStr">
        <is>
          <t>ETA</t>
        </is>
      </c>
      <c r="L1" s="229" t="inlineStr">
        <is>
          <t>Comments</t>
        </is>
      </c>
      <c r="M1" s="229" t="inlineStr">
        <is>
          <t>Next Action</t>
        </is>
      </c>
      <c r="N1" s="229" t="inlineStr">
        <is>
          <t>Follow-Up Date</t>
        </is>
      </c>
    </row>
    <row r="2">
      <c r="A2" s="271" t="n">
        <v>1</v>
      </c>
      <c r="B2" s="271" t="n">
        <v>104075516</v>
      </c>
      <c r="C2" s="271" t="inlineStr">
        <is>
          <t>4200H/222A-B934</t>
        </is>
      </c>
      <c r="D2" s="271" t="inlineStr">
        <is>
          <t>Patrimony</t>
        </is>
      </c>
      <c r="E2" s="271" t="inlineStr">
        <is>
          <t>Request</t>
        </is>
      </c>
      <c r="F2" s="271" t="inlineStr">
        <is>
          <t>Client</t>
        </is>
      </c>
      <c r="G2" s="271" t="inlineStr">
        <is>
          <t>11/3/2025</t>
        </is>
      </c>
      <c r="H2" s="271" t="n">
        <v>89</v>
      </c>
      <c r="I2" s="271" t="n">
        <v>115</v>
      </c>
      <c r="J2" s="271" t="inlineStr">
        <is>
          <t>TBD</t>
        </is>
      </c>
      <c r="K2" s="271" t="inlineStr">
        <is>
          <t>TBD</t>
        </is>
      </c>
      <c r="L2" s="271" t="inlineStr">
        <is>
          <t>interested in the 222\n</t>
        </is>
      </c>
      <c r="M2" s="271" t="inlineStr">
        <is>
          <t>Initial contact within 24h</t>
        </is>
      </c>
      <c r="N2" s="271" t="inlineStr">
        <is>
          <t>2025-08-07</t>
        </is>
      </c>
    </row>
    <row r="3">
      <c r="A3" s="271" t="n">
        <v>2</v>
      </c>
      <c r="B3" s="271" t="n">
        <v>105117467</v>
      </c>
      <c r="C3" s="271" t="inlineStr">
        <is>
          <t>4200H/222A-B934</t>
        </is>
      </c>
      <c r="D3" s="271" t="inlineStr">
        <is>
          <t>Patrimony</t>
        </is>
      </c>
      <c r="E3" s="271" t="inlineStr">
        <is>
          <t>Request</t>
        </is>
      </c>
      <c r="F3" s="271" t="inlineStr">
        <is>
          <t>Prospect</t>
        </is>
      </c>
      <c r="G3" s="271" t="inlineStr">
        <is>
          <t>8/4/2025</t>
        </is>
      </c>
      <c r="H3" s="271" t="n">
        <v>2</v>
      </c>
      <c r="I3" s="271" t="n">
        <v>105</v>
      </c>
      <c r="J3" s="271" t="inlineStr">
        <is>
          <t>TBD</t>
        </is>
      </c>
      <c r="K3" s="271" t="inlineStr">
        <is>
          <t>TBD</t>
        </is>
      </c>
      <c r="L3" s="271" t="inlineStr">
        <is>
          <t>222 KSA client - P\n</t>
        </is>
      </c>
      <c r="M3" s="271" t="inlineStr">
        <is>
          <t>Follow up on availability</t>
        </is>
      </c>
      <c r="N3" s="271" t="inlineStr">
        <is>
          <t>2025-08-06</t>
        </is>
      </c>
    </row>
    <row r="4">
      <c r="A4" s="271" t="n">
        <v>3</v>
      </c>
      <c r="B4" s="271" t="n">
        <v>98635975</v>
      </c>
      <c r="C4" s="271" t="inlineStr">
        <is>
          <t>7920V/210A-B334</t>
        </is>
      </c>
      <c r="D4" s="271" t="inlineStr">
        <is>
          <t>Other</t>
        </is>
      </c>
      <c r="E4" s="271" t="inlineStr">
        <is>
          <t>Request</t>
        </is>
      </c>
      <c r="F4" s="271" t="inlineStr">
        <is>
          <t>VVIC</t>
        </is>
      </c>
      <c r="G4" s="271" t="inlineStr">
        <is>
          <t>5/11/2024</t>
        </is>
      </c>
      <c r="H4" s="271" t="n">
        <v>100</v>
      </c>
      <c r="I4" s="271" t="n">
        <v>105</v>
      </c>
      <c r="J4" s="271" t="inlineStr">
        <is>
          <t>TBD</t>
        </is>
      </c>
      <c r="K4" s="271" t="inlineStr">
        <is>
          <t>TBD</t>
        </is>
      </c>
      <c r="L4" s="271" t="inlineStr">
        <is>
          <t>My client Al Owis recently reached out to express his satisfaction with the service he received previously. He inquired about the dual time and mentioned that he would like to purchase it as a gift for his uncle, His Excellency Abdul Rahman Al Owais.\n</t>
        </is>
      </c>
      <c r="M4" s="271" t="inlineStr">
        <is>
          <t>Urgent follow-up required</t>
        </is>
      </c>
      <c r="N4" s="271" t="inlineStr">
        <is>
          <t>2025-08-06</t>
        </is>
      </c>
    </row>
    <row r="5">
      <c r="A5" s="271" t="n">
        <v>4</v>
      </c>
      <c r="B5" s="271" t="n">
        <v>105371442</v>
      </c>
      <c r="C5" s="271" t="inlineStr">
        <is>
          <t>7920V/210R-B965</t>
        </is>
      </c>
      <c r="D5" s="271" t="inlineStr">
        <is>
          <t>Other</t>
        </is>
      </c>
      <c r="E5" s="271" t="inlineStr">
        <is>
          <t>Request</t>
        </is>
      </c>
      <c r="F5" s="271" t="inlineStr">
        <is>
          <t>Prospect</t>
        </is>
      </c>
      <c r="G5" s="271" t="inlineStr">
        <is>
          <t>12/4/2025</t>
        </is>
      </c>
      <c r="H5" s="271" t="n">
        <v>100</v>
      </c>
      <c r="I5" s="271" t="n">
        <v>105</v>
      </c>
      <c r="J5" s="271" t="inlineStr">
        <is>
          <t>TBD</t>
        </is>
      </c>
      <c r="K5" s="271" t="inlineStr">
        <is>
          <t>TBD</t>
        </is>
      </c>
      <c r="L5" s="271" t="inlineStr">
        <is>
          <t>the client owns : Rolex Submariner 126613LB - Rolex Datejust 41 - Rolex Submariner Date 41mm **Target budget ~185,000 AE**  \n</t>
        </is>
      </c>
      <c r="M5" s="271" t="inlineStr">
        <is>
          <t>Initial contact within 24h</t>
        </is>
      </c>
      <c r="N5" s="271" t="inlineStr">
        <is>
          <t>2025-08-07</t>
        </is>
      </c>
    </row>
    <row r="6">
      <c r="A6" s="271" t="n">
        <v>5</v>
      </c>
      <c r="B6" s="271" t="n">
        <v>104506669</v>
      </c>
      <c r="C6" s="271" t="inlineStr">
        <is>
          <t>4200H/222A-B934</t>
        </is>
      </c>
      <c r="D6" s="271" t="inlineStr">
        <is>
          <t>Patrimony</t>
        </is>
      </c>
      <c r="E6" s="271" t="inlineStr">
        <is>
          <t>Request</t>
        </is>
      </c>
      <c r="F6" s="271" t="inlineStr">
        <is>
          <t>Prospect</t>
        </is>
      </c>
      <c r="G6" s="271" t="inlineStr">
        <is>
          <t>8/3/2025</t>
        </is>
      </c>
      <c r="H6" s="271" t="n">
        <v>3</v>
      </c>
      <c r="I6" s="271" t="n">
        <v>105</v>
      </c>
      <c r="J6" s="271" t="inlineStr">
        <is>
          <t>TBD</t>
        </is>
      </c>
      <c r="K6" s="271" t="inlineStr">
        <is>
          <t>TBD</t>
        </is>
      </c>
      <c r="L6" s="271" t="inlineStr">
        <is>
          <t>222\n</t>
        </is>
      </c>
      <c r="M6" s="271" t="inlineStr">
        <is>
          <t>Follow up on availability</t>
        </is>
      </c>
      <c r="N6" s="271" t="inlineStr">
        <is>
          <t>2025-08-06</t>
        </is>
      </c>
    </row>
    <row r="7">
      <c r="A7" s="271" t="n">
        <v>6</v>
      </c>
      <c r="B7" s="271" t="n">
        <v>105118480</v>
      </c>
      <c r="C7" s="271" t="inlineStr">
        <is>
          <t>7920V/210R-B965</t>
        </is>
      </c>
      <c r="D7" s="271" t="inlineStr">
        <is>
          <t>Other</t>
        </is>
      </c>
      <c r="E7" s="271" t="inlineStr">
        <is>
          <t>Request</t>
        </is>
      </c>
      <c r="F7" s="271" t="inlineStr">
        <is>
          <t>Prospect</t>
        </is>
      </c>
      <c r="G7" s="271" t="inlineStr">
        <is>
          <t>8/3/2025</t>
        </is>
      </c>
      <c r="H7" s="271" t="n">
        <v>3</v>
      </c>
      <c r="I7" s="271" t="n">
        <v>105</v>
      </c>
      <c r="J7" s="271" t="inlineStr">
        <is>
          <t>TBD</t>
        </is>
      </c>
      <c r="K7" s="271" t="inlineStr">
        <is>
          <t>TBD</t>
        </is>
      </c>
      <c r="L7" s="271" t="inlineStr">
        <is>
          <t>Dual time green \n</t>
        </is>
      </c>
      <c r="M7" s="271" t="inlineStr">
        <is>
          <t>Follow up on availability</t>
        </is>
      </c>
      <c r="N7" s="271" t="inlineStr">
        <is>
          <t>2025-08-06</t>
        </is>
      </c>
    </row>
    <row r="8">
      <c r="A8" s="271" t="n">
        <v>7</v>
      </c>
      <c r="B8" s="271" t="n">
        <v>104509438</v>
      </c>
      <c r="C8" s="271" t="inlineStr">
        <is>
          <t>6000T/000R-B346</t>
        </is>
      </c>
      <c r="D8" s="271" t="inlineStr">
        <is>
          <t>Other</t>
        </is>
      </c>
      <c r="E8" s="271" t="inlineStr">
        <is>
          <t>Request</t>
        </is>
      </c>
      <c r="F8" s="271" t="inlineStr">
        <is>
          <t>Prospect</t>
        </is>
      </c>
      <c r="G8" s="271" t="inlineStr">
        <is>
          <t>8/3/2025</t>
        </is>
      </c>
      <c r="H8" s="271" t="n">
        <v>3</v>
      </c>
      <c r="I8" s="271" t="n">
        <v>105</v>
      </c>
      <c r="J8" s="271" t="inlineStr">
        <is>
          <t>TBD</t>
        </is>
      </c>
      <c r="K8" s="271" t="inlineStr">
        <is>
          <t>TBD</t>
        </is>
      </c>
      <c r="L8" s="271" t="inlineStr">
        <is>
          <t>\n</t>
        </is>
      </c>
      <c r="M8" s="271" t="inlineStr">
        <is>
          <t>Follow up on availability</t>
        </is>
      </c>
      <c r="N8" s="271" t="inlineStr">
        <is>
          <t>2025-08-06</t>
        </is>
      </c>
    </row>
    <row r="9">
      <c r="A9" s="271" t="n">
        <v>8</v>
      </c>
      <c r="B9" s="271" t="n">
        <v>101467308</v>
      </c>
      <c r="C9" s="271" t="inlineStr">
        <is>
          <t>7920V/210A-B334</t>
        </is>
      </c>
      <c r="D9" s="271" t="inlineStr">
        <is>
          <t>Other</t>
        </is>
      </c>
      <c r="E9" s="271" t="inlineStr">
        <is>
          <t>Request</t>
        </is>
      </c>
      <c r="F9" s="271" t="inlineStr">
        <is>
          <t>Prospect</t>
        </is>
      </c>
      <c r="G9" s="271" t="inlineStr">
        <is>
          <t>8/4/2025</t>
        </is>
      </c>
      <c r="H9" s="271" t="n">
        <v>2</v>
      </c>
      <c r="I9" s="271" t="n">
        <v>105</v>
      </c>
      <c r="J9" s="271" t="inlineStr">
        <is>
          <t>TBD</t>
        </is>
      </c>
      <c r="K9" s="271" t="inlineStr">
        <is>
          <t>TBD</t>
        </is>
      </c>
      <c r="L9" s="271" t="inlineStr">
        <is>
          <t>the dual  time , \n</t>
        </is>
      </c>
      <c r="M9" s="271" t="inlineStr">
        <is>
          <t>Follow up on availability</t>
        </is>
      </c>
      <c r="N9" s="271" t="inlineStr">
        <is>
          <t>2025-08-06</t>
        </is>
      </c>
    </row>
    <row r="10">
      <c r="A10" s="271" t="n">
        <v>9</v>
      </c>
      <c r="B10" s="271" t="n">
        <v>105116801</v>
      </c>
      <c r="C10" s="271" t="inlineStr">
        <is>
          <t>7920V/210A-B334</t>
        </is>
      </c>
      <c r="D10" s="271" t="inlineStr">
        <is>
          <t>Other</t>
        </is>
      </c>
      <c r="E10" s="271" t="inlineStr">
        <is>
          <t>Request</t>
        </is>
      </c>
      <c r="F10" s="271" t="inlineStr">
        <is>
          <t>Prospect</t>
        </is>
      </c>
      <c r="G10" s="271" t="inlineStr">
        <is>
          <t>8/4/2025</t>
        </is>
      </c>
      <c r="H10" s="271" t="n">
        <v>2</v>
      </c>
      <c r="I10" s="271" t="n">
        <v>105</v>
      </c>
      <c r="J10" s="271" t="inlineStr">
        <is>
          <t>TBD</t>
        </is>
      </c>
      <c r="K10" s="271" t="inlineStr">
        <is>
          <t>TBD</t>
        </is>
      </c>
      <c r="L10" s="271" t="inlineStr">
        <is>
          <t>dual time ksa \n</t>
        </is>
      </c>
      <c r="M10" s="271" t="inlineStr">
        <is>
          <t>Follow up on availability</t>
        </is>
      </c>
      <c r="N10" s="271" t="inlineStr">
        <is>
          <t>2025-08-06</t>
        </is>
      </c>
    </row>
    <row r="11">
      <c r="A11" s="271" t="n">
        <v>10</v>
      </c>
      <c r="B11" s="271" t="n">
        <v>94298107</v>
      </c>
      <c r="C11" s="271" t="inlineStr">
        <is>
          <t>4520V/210A-B128</t>
        </is>
      </c>
      <c r="D11" s="271" t="inlineStr">
        <is>
          <t>Overseas</t>
        </is>
      </c>
      <c r="E11" s="271" t="inlineStr">
        <is>
          <t>Request</t>
        </is>
      </c>
      <c r="F11" s="271" t="inlineStr">
        <is>
          <t>Prospect</t>
        </is>
      </c>
      <c r="G11" s="271" t="inlineStr">
        <is>
          <t>12/7/2025</t>
        </is>
      </c>
      <c r="H11" s="271" t="n">
        <v>100</v>
      </c>
      <c r="I11" s="271" t="n">
        <v>105</v>
      </c>
      <c r="J11" s="271" t="inlineStr">
        <is>
          <t>TBD</t>
        </is>
      </c>
      <c r="K11" s="271" t="inlineStr">
        <is>
          <t>TBD</t>
        </is>
      </c>
      <c r="L11" s="271" t="inlineStr">
        <is>
          <t>A friend of mine introduced me to Mr. Nader (Collecter)\n</t>
        </is>
      </c>
      <c r="M11" s="271" t="inlineStr">
        <is>
          <t>Initial contact within 24h</t>
        </is>
      </c>
      <c r="N11" s="271" t="inlineStr">
        <is>
          <t>2025-08-07</t>
        </is>
      </c>
    </row>
    <row r="12">
      <c r="A12" s="271" t="n">
        <v>11</v>
      </c>
      <c r="B12" s="271" t="n">
        <v>98199321</v>
      </c>
      <c r="C12" s="271" t="inlineStr">
        <is>
          <t>4200H/222A-B934</t>
        </is>
      </c>
      <c r="D12" s="271" t="inlineStr">
        <is>
          <t>Patrimony</t>
        </is>
      </c>
      <c r="E12" s="271" t="inlineStr">
        <is>
          <t>Request</t>
        </is>
      </c>
      <c r="F12" s="271" t="inlineStr">
        <is>
          <t>VVIC</t>
        </is>
      </c>
      <c r="G12" s="271" t="inlineStr">
        <is>
          <t>16/1/2025</t>
        </is>
      </c>
      <c r="H12" s="271" t="n"/>
      <c r="I12" s="271" t="n">
        <v>105</v>
      </c>
      <c r="J12" s="271" t="inlineStr">
        <is>
          <t>TBD</t>
        </is>
      </c>
      <c r="K12" s="271" t="inlineStr">
        <is>
          <t>TBD</t>
        </is>
      </c>
      <c r="L12" s="271" t="inlineStr">
        <is>
          <t>the client already purchased the b128 \n</t>
        </is>
      </c>
      <c r="M12" s="271" t="inlineStr">
        <is>
          <t>Urgent follow-up required</t>
        </is>
      </c>
      <c r="N12" s="271" t="inlineStr">
        <is>
          <t>2025-08-06</t>
        </is>
      </c>
    </row>
    <row r="13">
      <c r="A13" s="271" t="n">
        <v>12</v>
      </c>
      <c r="B13" s="271" t="n">
        <v>103576190</v>
      </c>
      <c r="C13" s="271" t="inlineStr">
        <is>
          <t>7920V/210A-B334</t>
        </is>
      </c>
      <c r="D13" s="271" t="inlineStr">
        <is>
          <t>Other</t>
        </is>
      </c>
      <c r="E13" s="271" t="inlineStr">
        <is>
          <t>Request</t>
        </is>
      </c>
      <c r="F13" s="271" t="inlineStr">
        <is>
          <t>Prospect</t>
        </is>
      </c>
      <c r="G13" s="271" t="inlineStr">
        <is>
          <t>11/1/2025</t>
        </is>
      </c>
      <c r="H13" s="271" t="n">
        <v>87</v>
      </c>
      <c r="I13" s="271" t="n">
        <v>105</v>
      </c>
      <c r="J13" s="271" t="inlineStr">
        <is>
          <t>TBD</t>
        </is>
      </c>
      <c r="K13" s="271" t="inlineStr">
        <is>
          <t>TBD</t>
        </is>
      </c>
      <c r="L13" s="271" t="inlineStr">
        <is>
          <t>The client showed interest in the Dual Time and he will be visiting Geneva from 5 of Feb until the 7th Feb 2025 \n</t>
        </is>
      </c>
      <c r="M13" s="271" t="inlineStr">
        <is>
          <t>Initial contact within 24h</t>
        </is>
      </c>
      <c r="N13" s="271" t="inlineStr">
        <is>
          <t>2025-08-07</t>
        </is>
      </c>
    </row>
    <row r="14">
      <c r="A14" s="271" t="n">
        <v>13</v>
      </c>
      <c r="B14" s="271" t="n">
        <v>103437674</v>
      </c>
      <c r="C14" s="271" t="inlineStr">
        <is>
          <t>4600E/000A-B442</t>
        </is>
      </c>
      <c r="D14" s="271" t="inlineStr">
        <is>
          <t>Other</t>
        </is>
      </c>
      <c r="E14" s="271" t="inlineStr">
        <is>
          <t>Request</t>
        </is>
      </c>
      <c r="F14" s="271" t="inlineStr">
        <is>
          <t>Prospect</t>
        </is>
      </c>
      <c r="G14" s="271" t="inlineStr">
        <is>
          <t>10/1/2025</t>
        </is>
      </c>
      <c r="H14" s="271" t="n">
        <v>56</v>
      </c>
      <c r="I14" s="271" t="n">
        <v>105</v>
      </c>
      <c r="J14" s="271" t="inlineStr">
        <is>
          <t>TBD</t>
        </is>
      </c>
      <c r="K14" s="271" t="inlineStr">
        <is>
          <t>TBD</t>
        </is>
      </c>
      <c r="L14" s="271" t="inlineStr">
        <is>
          <t>The client stated that he will go and try it \n</t>
        </is>
      </c>
      <c r="M14" s="271" t="inlineStr">
        <is>
          <t>Initial contact within 24h</t>
        </is>
      </c>
      <c r="N14" s="271" t="inlineStr">
        <is>
          <t>2025-08-07</t>
        </is>
      </c>
    </row>
    <row r="15">
      <c r="A15" s="271" t="n">
        <v>14</v>
      </c>
      <c r="B15" s="271" t="n">
        <v>106737636</v>
      </c>
      <c r="C15" s="271" t="inlineStr">
        <is>
          <t>81558/J00R-9600</t>
        </is>
      </c>
      <c r="D15" s="271" t="inlineStr">
        <is>
          <t>Other</t>
        </is>
      </c>
      <c r="E15" s="271" t="inlineStr">
        <is>
          <t>Request</t>
        </is>
      </c>
      <c r="F15" s="271" t="inlineStr">
        <is>
          <t>Prospect</t>
        </is>
      </c>
      <c r="G15" s="271" t="inlineStr">
        <is>
          <t>12/6/2025</t>
        </is>
      </c>
      <c r="H15" s="271" t="n">
        <v>100</v>
      </c>
      <c r="I15" s="271" t="n">
        <v>105</v>
      </c>
      <c r="J15" s="271" t="inlineStr">
        <is>
          <t>TBD</t>
        </is>
      </c>
      <c r="K15" s="271" t="inlineStr">
        <is>
          <t>TBD</t>
        </is>
      </c>
      <c r="L15" s="271" t="inlineStr">
        <is>
          <t>This person working for the family which is considered among the country’s top five richest families. They are interested in purchasing the Vacheron Constantin Solaria.\n</t>
        </is>
      </c>
      <c r="M15" s="271" t="inlineStr">
        <is>
          <t>Initial contact within 24h</t>
        </is>
      </c>
      <c r="N15" s="271" t="inlineStr">
        <is>
          <t>2025-08-07</t>
        </is>
      </c>
    </row>
    <row r="16">
      <c r="A16" s="271" t="n">
        <v>15</v>
      </c>
      <c r="B16" s="271" t="n">
        <v>100481133</v>
      </c>
      <c r="C16" s="271" t="inlineStr">
        <is>
          <t>4200H/222A-B934</t>
        </is>
      </c>
      <c r="D16" s="271" t="inlineStr">
        <is>
          <t>Patrimony</t>
        </is>
      </c>
      <c r="E16" s="271" t="inlineStr">
        <is>
          <t>Request</t>
        </is>
      </c>
      <c r="F16" s="271" t="inlineStr">
        <is>
          <t>VIC</t>
        </is>
      </c>
      <c r="G16" s="271" t="inlineStr">
        <is>
          <t>17/1/2025</t>
        </is>
      </c>
      <c r="H16" s="271" t="n"/>
      <c r="I16" s="271" t="n">
        <v>95</v>
      </c>
      <c r="J16" s="271" t="inlineStr">
        <is>
          <t>TBD</t>
        </is>
      </c>
      <c r="K16" s="271" t="inlineStr">
        <is>
          <t>TBD</t>
        </is>
      </c>
      <c r="L16" s="271" t="inlineStr">
        <is>
          <t>\n</t>
        </is>
      </c>
      <c r="M16" s="271" t="inlineStr">
        <is>
          <t>Urgent follow-up required</t>
        </is>
      </c>
      <c r="N16" s="271" t="inlineStr">
        <is>
          <t>2025-08-06</t>
        </is>
      </c>
    </row>
    <row r="17">
      <c r="A17" s="271" t="n">
        <v>16</v>
      </c>
      <c r="B17" s="271" t="n">
        <v>92397711</v>
      </c>
      <c r="C17" s="271" t="inlineStr">
        <is>
          <t>4200H/222A-B934</t>
        </is>
      </c>
      <c r="D17" s="271" t="inlineStr">
        <is>
          <t>Patrimony</t>
        </is>
      </c>
      <c r="E17" s="271" t="inlineStr">
        <is>
          <t>Request</t>
        </is>
      </c>
      <c r="F17" s="271" t="inlineStr">
        <is>
          <t>VIC</t>
        </is>
      </c>
      <c r="G17" s="271" t="inlineStr">
        <is>
          <t>16/1/2025</t>
        </is>
      </c>
      <c r="H17" s="271" t="n"/>
      <c r="I17" s="271" t="n">
        <v>95</v>
      </c>
      <c r="J17" s="271" t="inlineStr">
        <is>
          <t>TBD</t>
        </is>
      </c>
      <c r="K17" s="271" t="inlineStr">
        <is>
          <t>TBD</t>
        </is>
      </c>
      <c r="L17" s="271" t="inlineStr">
        <is>
          <t>\n</t>
        </is>
      </c>
      <c r="M17" s="271" t="inlineStr">
        <is>
          <t>Urgent follow-up required</t>
        </is>
      </c>
      <c r="N17" s="271" t="inlineStr">
        <is>
          <t>2025-08-06</t>
        </is>
      </c>
    </row>
    <row r="18">
      <c r="A18" s="271" t="n">
        <v>17</v>
      </c>
      <c r="B18" s="271" t="n">
        <v>103531883</v>
      </c>
      <c r="C18" s="271" t="inlineStr">
        <is>
          <t>82035/000P-H063</t>
        </is>
      </c>
      <c r="D18" s="271" t="inlineStr">
        <is>
          <t>Other</t>
        </is>
      </c>
      <c r="E18" s="271" t="inlineStr">
        <is>
          <t>Request</t>
        </is>
      </c>
      <c r="F18" s="271" t="inlineStr">
        <is>
          <t>Client</t>
        </is>
      </c>
      <c r="G18" s="271" t="inlineStr">
        <is>
          <t>21/1/2025</t>
        </is>
      </c>
      <c r="H18" s="271" t="n"/>
      <c r="I18" s="271" t="n">
        <v>85</v>
      </c>
      <c r="J18" s="271" t="inlineStr">
        <is>
          <t>TBD</t>
        </is>
      </c>
      <c r="K18" s="271" t="inlineStr">
        <is>
          <t>TBD</t>
        </is>
      </c>
      <c r="L18" s="271" t="inlineStr">
        <is>
          <t>the client is intrested in this timepeice and aiming as well for the 222\n</t>
        </is>
      </c>
      <c r="M18" s="271" t="inlineStr">
        <is>
          <t>Urgent follow-up required</t>
        </is>
      </c>
      <c r="N18" s="271" t="inlineStr">
        <is>
          <t>2025-08-06</t>
        </is>
      </c>
    </row>
    <row r="19">
      <c r="A19" s="271" t="n">
        <v>18</v>
      </c>
      <c r="B19" s="271" t="n">
        <v>1150674</v>
      </c>
      <c r="C19" s="271" t="inlineStr">
        <is>
          <t>4520V/210A-B128</t>
        </is>
      </c>
      <c r="D19" s="271" t="inlineStr">
        <is>
          <t>Overseas</t>
        </is>
      </c>
      <c r="E19" s="271" t="inlineStr">
        <is>
          <t>Request</t>
        </is>
      </c>
      <c r="F19" s="271" t="inlineStr">
        <is>
          <t>Client</t>
        </is>
      </c>
      <c r="G19" s="271" t="inlineStr">
        <is>
          <t>8/10/2023</t>
        </is>
      </c>
      <c r="H19" s="271" t="n">
        <v>100</v>
      </c>
      <c r="I19" s="271" t="n">
        <v>85</v>
      </c>
      <c r="J19" s="271" t="inlineStr">
        <is>
          <t>TBD</t>
        </is>
      </c>
      <c r="K19" s="271" t="inlineStr">
        <is>
          <t>TBD</t>
        </is>
      </c>
      <c r="L19" s="271" t="n"/>
      <c r="M19" s="271" t="inlineStr">
        <is>
          <t>Urgent follow-up required</t>
        </is>
      </c>
      <c r="N19" s="271" t="inlineStr">
        <is>
          <t>2025-08-06</t>
        </is>
      </c>
    </row>
    <row r="20">
      <c r="A20" s="271" t="n">
        <v>19</v>
      </c>
      <c r="B20" s="271" t="n">
        <v>93231984</v>
      </c>
      <c r="C20" s="271" t="inlineStr">
        <is>
          <t>4200H/222A-B934</t>
        </is>
      </c>
      <c r="D20" s="271" t="inlineStr">
        <is>
          <t>Patrimony</t>
        </is>
      </c>
      <c r="E20" s="271" t="inlineStr">
        <is>
          <t>Request</t>
        </is>
      </c>
      <c r="F20" s="271" t="inlineStr">
        <is>
          <t>Client</t>
        </is>
      </c>
      <c r="G20" s="271" t="inlineStr">
        <is>
          <t>29/3/2025</t>
        </is>
      </c>
      <c r="H20" s="271" t="n"/>
      <c r="I20" s="271" t="n">
        <v>85</v>
      </c>
      <c r="J20" s="271" t="inlineStr">
        <is>
          <t>TBD</t>
        </is>
      </c>
      <c r="K20" s="271" t="inlineStr">
        <is>
          <t>TBD</t>
        </is>
      </c>
      <c r="L20" s="271" t="inlineStr">
        <is>
          <t>the 222\n</t>
        </is>
      </c>
      <c r="M20" s="271" t="inlineStr">
        <is>
          <t>Urgent follow-up required</t>
        </is>
      </c>
      <c r="N20" s="271" t="inlineStr">
        <is>
          <t>2025-08-06</t>
        </is>
      </c>
    </row>
    <row r="21">
      <c r="A21" s="271" t="n">
        <v>20</v>
      </c>
      <c r="B21" s="271" t="n">
        <v>92428108</v>
      </c>
      <c r="C21" s="271" t="inlineStr">
        <is>
          <t>4200H/222A-B934</t>
        </is>
      </c>
      <c r="D21" s="271" t="inlineStr">
        <is>
          <t>Patrimony</t>
        </is>
      </c>
      <c r="E21" s="271" t="inlineStr">
        <is>
          <t>Request</t>
        </is>
      </c>
      <c r="F21" s="271" t="inlineStr">
        <is>
          <t>Client</t>
        </is>
      </c>
      <c r="G21" s="271" t="inlineStr">
        <is>
          <t>18/1/2025</t>
        </is>
      </c>
      <c r="H21" s="271" t="n"/>
      <c r="I21" s="271" t="n">
        <v>85</v>
      </c>
      <c r="J21" s="271" t="inlineStr">
        <is>
          <t>TBD</t>
        </is>
      </c>
      <c r="K21" s="271" t="inlineStr">
        <is>
          <t>TBD</t>
        </is>
      </c>
      <c r="L21" s="271" t="n"/>
      <c r="M21" s="271" t="inlineStr">
        <is>
          <t>Urgent follow-up required</t>
        </is>
      </c>
      <c r="N21" s="271" t="inlineStr">
        <is>
          <t>2025-08-06</t>
        </is>
      </c>
    </row>
    <row r="22">
      <c r="A22" s="271" t="n">
        <v>21</v>
      </c>
      <c r="B22" s="271" t="n">
        <v>104849248</v>
      </c>
      <c r="C22" s="271" t="inlineStr">
        <is>
          <t>7920V/210A-B334</t>
        </is>
      </c>
      <c r="D22" s="271" t="inlineStr">
        <is>
          <t>Other</t>
        </is>
      </c>
      <c r="E22" s="271" t="inlineStr">
        <is>
          <t>Request</t>
        </is>
      </c>
      <c r="F22" s="271" t="inlineStr">
        <is>
          <t>Client</t>
        </is>
      </c>
      <c r="G22" s="271" t="inlineStr">
        <is>
          <t>25/3/2025</t>
        </is>
      </c>
      <c r="H22" s="271" t="n"/>
      <c r="I22" s="271" t="n">
        <v>85</v>
      </c>
      <c r="J22" s="271" t="inlineStr">
        <is>
          <t>TBD</t>
        </is>
      </c>
      <c r="K22" s="271" t="inlineStr">
        <is>
          <t>TBD</t>
        </is>
      </c>
      <c r="L22" s="271" t="inlineStr">
        <is>
          <t>the client is coming next week. already own the  \\n Overseas chronograph  VMX55AV148\n</t>
        </is>
      </c>
      <c r="M22" s="271" t="inlineStr">
        <is>
          <t>Urgent follow-up required</t>
        </is>
      </c>
      <c r="N22" s="271" t="inlineStr">
        <is>
          <t>2025-08-06</t>
        </is>
      </c>
    </row>
    <row r="23">
      <c r="A23" s="272" t="n">
        <v>22</v>
      </c>
      <c r="B23" s="272" t="n">
        <v>101770162</v>
      </c>
      <c r="C23" s="272" t="inlineStr">
        <is>
          <t>4000V/210A-B911</t>
        </is>
      </c>
      <c r="D23" s="272" t="inlineStr">
        <is>
          <t>Overseas</t>
        </is>
      </c>
      <c r="E23" s="272" t="inlineStr">
        <is>
          <t>Request</t>
        </is>
      </c>
      <c r="F23" s="272" t="inlineStr">
        <is>
          <t>Prospect</t>
        </is>
      </c>
      <c r="G23" s="272" t="inlineStr">
        <is>
          <t>2/10/2024</t>
        </is>
      </c>
      <c r="H23" s="272" t="n">
        <v>100</v>
      </c>
      <c r="I23" s="272" t="n">
        <v>75</v>
      </c>
      <c r="J23" s="272" t="inlineStr">
        <is>
          <t>TBD</t>
        </is>
      </c>
      <c r="K23" s="272" t="inlineStr">
        <is>
          <t>TBD</t>
        </is>
      </c>
      <c r="L23" s="272" t="inlineStr">
        <is>
          <t>- No gold, prefers stainless steel.\n- Moon phase complication holds personal significance.\n- Interested in watches that symbolize achievement and uniqueness.\n- Likes the blue dial for its versatility under different light conditions.\n\n\n</t>
        </is>
      </c>
      <c r="M23" s="272" t="inlineStr">
        <is>
          <t>Urgent follow-up required</t>
        </is>
      </c>
      <c r="N23" s="272" t="inlineStr">
        <is>
          <t>2025-08-06</t>
        </is>
      </c>
    </row>
    <row r="24">
      <c r="A24" s="272" t="n">
        <v>23</v>
      </c>
      <c r="B24" s="272" t="n">
        <v>0</v>
      </c>
      <c r="C24" s="272" t="inlineStr">
        <is>
          <t>4520V/210A-B128</t>
        </is>
      </c>
      <c r="D24" s="272" t="inlineStr">
        <is>
          <t>Overseas</t>
        </is>
      </c>
      <c r="E24" s="272" t="inlineStr">
        <is>
          <t>Request</t>
        </is>
      </c>
      <c r="F24" s="272" t="inlineStr">
        <is>
          <t>Prospect</t>
        </is>
      </c>
      <c r="G24" s="272" t="inlineStr">
        <is>
          <t>26/10/2024</t>
        </is>
      </c>
      <c r="H24" s="272" t="n"/>
      <c r="I24" s="272" t="n">
        <v>75</v>
      </c>
      <c r="J24" s="272" t="inlineStr">
        <is>
          <t>TBD</t>
        </is>
      </c>
      <c r="K24" s="272" t="inlineStr">
        <is>
          <t>TBD</t>
        </is>
      </c>
      <c r="L24" s="272" t="inlineStr">
        <is>
          <t>The clinet is a high profile., unfortunately SF didnt create id yet. the client will be going to KSA on Monday morning \n</t>
        </is>
      </c>
      <c r="M24" s="272" t="inlineStr">
        <is>
          <t>Urgent follow-up required</t>
        </is>
      </c>
      <c r="N24" s="272" t="inlineStr">
        <is>
          <t>2025-08-06</t>
        </is>
      </c>
    </row>
    <row r="25">
      <c r="A25" s="272" t="n">
        <v>24</v>
      </c>
      <c r="B25" s="272" t="n">
        <v>98711501</v>
      </c>
      <c r="C25" s="272" t="inlineStr">
        <is>
          <t>7920V/210A-B334</t>
        </is>
      </c>
      <c r="D25" s="272" t="inlineStr">
        <is>
          <t>Other</t>
        </is>
      </c>
      <c r="E25" s="272" t="inlineStr">
        <is>
          <t>Request</t>
        </is>
      </c>
      <c r="F25" s="272" t="inlineStr">
        <is>
          <t>Prospect</t>
        </is>
      </c>
      <c r="G25" s="272" t="inlineStr">
        <is>
          <t>20/10/2024</t>
        </is>
      </c>
      <c r="H25" s="272" t="n"/>
      <c r="I25" s="272" t="n">
        <v>75</v>
      </c>
      <c r="J25" s="272" t="inlineStr">
        <is>
          <t>TBD</t>
        </is>
      </c>
      <c r="K25" s="272" t="inlineStr">
        <is>
          <t>TBD</t>
        </is>
      </c>
      <c r="L25" s="272" t="inlineStr">
        <is>
          <t>VVIC | The Mr. Ali showed his interest in the  timepeice and would like to meet and would like to purchase the watch \n</t>
        </is>
      </c>
      <c r="M25" s="272" t="inlineStr">
        <is>
          <t>Urgent follow-up required</t>
        </is>
      </c>
      <c r="N25" s="272" t="inlineStr">
        <is>
          <t>2025-08-06</t>
        </is>
      </c>
    </row>
    <row r="26">
      <c r="A26" s="272" t="n">
        <v>25</v>
      </c>
      <c r="B26" s="272" t="n">
        <v>101680942</v>
      </c>
      <c r="C26" s="272" t="inlineStr">
        <is>
          <t>1225V/200A-B590</t>
        </is>
      </c>
      <c r="D26" s="272" t="inlineStr">
        <is>
          <t>Other</t>
        </is>
      </c>
      <c r="E26" s="272" t="inlineStr">
        <is>
          <t>Request</t>
        </is>
      </c>
      <c r="F26" s="272" t="inlineStr">
        <is>
          <t>Prospect</t>
        </is>
      </c>
      <c r="G26" s="272" t="inlineStr">
        <is>
          <t>24/9/2024</t>
        </is>
      </c>
      <c r="H26" s="272" t="n"/>
      <c r="I26" s="272" t="n">
        <v>75</v>
      </c>
      <c r="J26" s="272" t="inlineStr">
        <is>
          <t>TBD</t>
        </is>
      </c>
      <c r="K26" s="272" t="inlineStr">
        <is>
          <t>TBD</t>
        </is>
      </c>
      <c r="L26" s="272" t="inlineStr">
        <is>
          <t>The client is willing to pay via a payment link for the Overseas Quartz | X12AC590. This purchase is intended as a marriage gift for his wife, which he plans to present to her during their wedding in December.\n</t>
        </is>
      </c>
      <c r="M26" s="272" t="inlineStr">
        <is>
          <t>Urgent follow-up required</t>
        </is>
      </c>
      <c r="N26" s="272" t="inlineStr">
        <is>
          <t>2025-08-06</t>
        </is>
      </c>
    </row>
    <row r="27">
      <c r="A27" s="272" t="n">
        <v>26</v>
      </c>
      <c r="B27" s="272" t="n">
        <v>102113813</v>
      </c>
      <c r="C27" s="272" t="inlineStr">
        <is>
          <t>4520V/210A-B128</t>
        </is>
      </c>
      <c r="D27" s="272" t="inlineStr">
        <is>
          <t>Overseas</t>
        </is>
      </c>
      <c r="E27" s="272" t="inlineStr">
        <is>
          <t>Request</t>
        </is>
      </c>
      <c r="F27" s="272" t="inlineStr">
        <is>
          <t>Prospect</t>
        </is>
      </c>
      <c r="G27" s="272" t="inlineStr">
        <is>
          <t>25/10/2024</t>
        </is>
      </c>
      <c r="H27" s="272" t="n"/>
      <c r="I27" s="272" t="n">
        <v>75</v>
      </c>
      <c r="J27" s="272" t="inlineStr">
        <is>
          <t>TBD</t>
        </is>
      </c>
      <c r="K27" s="272" t="inlineStr">
        <is>
          <t>TBD</t>
        </is>
      </c>
      <c r="L27" s="272" t="inlineStr">
        <is>
          <t>The client is interested in the blue simple day overseas and would like to come to the boutique to try it. \n</t>
        </is>
      </c>
      <c r="M27" s="272" t="inlineStr">
        <is>
          <t>Urgent follow-up required</t>
        </is>
      </c>
      <c r="N27" s="272" t="inlineStr">
        <is>
          <t>2025-08-06</t>
        </is>
      </c>
    </row>
    <row r="28">
      <c r="A28" s="272" t="n">
        <v>27</v>
      </c>
      <c r="B28" s="272" t="n">
        <v>101467478</v>
      </c>
      <c r="C28" s="272" t="inlineStr">
        <is>
          <t>7920V/210A-B334</t>
        </is>
      </c>
      <c r="D28" s="272" t="inlineStr">
        <is>
          <t>Other</t>
        </is>
      </c>
      <c r="E28" s="272" t="inlineStr">
        <is>
          <t>Request</t>
        </is>
      </c>
      <c r="F28" s="272" t="inlineStr">
        <is>
          <t>Prospect</t>
        </is>
      </c>
      <c r="G28" s="272" t="inlineStr">
        <is>
          <t>24/9/2024</t>
        </is>
      </c>
      <c r="H28" s="272" t="n"/>
      <c r="I28" s="272" t="n">
        <v>75</v>
      </c>
      <c r="J28" s="272" t="inlineStr">
        <is>
          <t>TBD</t>
        </is>
      </c>
      <c r="K28" s="272" t="inlineStr">
        <is>
          <t>TBD</t>
        </is>
      </c>
      <c r="L28" s="272" t="inlineStr">
        <is>
          <t>The client would like to proceed with the Overseas. He mentioned that either he or a family member will be coming to the UAE, and he will confirm the details.\n</t>
        </is>
      </c>
      <c r="M28" s="272" t="inlineStr">
        <is>
          <t>Urgent follow-up required</t>
        </is>
      </c>
      <c r="N28" s="272" t="inlineStr">
        <is>
          <t>2025-08-06</t>
        </is>
      </c>
    </row>
    <row r="29">
      <c r="A29" s="272" t="n">
        <v>28</v>
      </c>
      <c r="B29" s="272" t="n">
        <v>103645785</v>
      </c>
      <c r="C29" s="272" t="inlineStr">
        <is>
          <t>4200H/222A-B934</t>
        </is>
      </c>
      <c r="D29" s="272" t="inlineStr">
        <is>
          <t>Patrimony</t>
        </is>
      </c>
      <c r="E29" s="272" t="inlineStr">
        <is>
          <t>Request</t>
        </is>
      </c>
      <c r="F29" s="272" t="inlineStr">
        <is>
          <t>Prospect</t>
        </is>
      </c>
      <c r="G29" s="272" t="inlineStr">
        <is>
          <t>29/3/2025</t>
        </is>
      </c>
      <c r="H29" s="272" t="n"/>
      <c r="I29" s="272" t="n">
        <v>75</v>
      </c>
      <c r="J29" s="272" t="inlineStr">
        <is>
          <t>TBD</t>
        </is>
      </c>
      <c r="K29" s="272" t="inlineStr">
        <is>
          <t>TBD</t>
        </is>
      </c>
      <c r="L29" s="272" t="inlineStr">
        <is>
          <t>222 \n</t>
        </is>
      </c>
      <c r="M29" s="272" t="inlineStr">
        <is>
          <t>Urgent follow-up required</t>
        </is>
      </c>
      <c r="N29" s="272" t="inlineStr">
        <is>
          <t>2025-08-06</t>
        </is>
      </c>
    </row>
    <row r="30">
      <c r="A30" s="272" t="n">
        <v>29</v>
      </c>
      <c r="B30" s="272" t="n">
        <v>106736682</v>
      </c>
      <c r="C30" s="272" t="inlineStr">
        <is>
          <t>5520V/210A-B148</t>
        </is>
      </c>
      <c r="D30" s="272" t="inlineStr">
        <is>
          <t>Overseas</t>
        </is>
      </c>
      <c r="E30" s="272" t="inlineStr">
        <is>
          <t>Request</t>
        </is>
      </c>
      <c r="F30" s="272" t="inlineStr">
        <is>
          <t>Prospect</t>
        </is>
      </c>
      <c r="G30" s="272" t="inlineStr">
        <is>
          <t>1/4/2025</t>
        </is>
      </c>
      <c r="H30" s="272" t="n">
        <v>100</v>
      </c>
      <c r="I30" s="272" t="n">
        <v>75</v>
      </c>
      <c r="J30" s="272" t="inlineStr">
        <is>
          <t>TBD</t>
        </is>
      </c>
      <c r="K30" s="272" t="inlineStr">
        <is>
          <t>TBD</t>
        </is>
      </c>
      <c r="L30" s="272" t="inlineStr">
        <is>
          <t>Blue chronograph \n</t>
        </is>
      </c>
      <c r="M30" s="272" t="inlineStr">
        <is>
          <t>Urgent follow-up required</t>
        </is>
      </c>
      <c r="N30" s="272" t="inlineStr">
        <is>
          <t>2025-08-06</t>
        </is>
      </c>
    </row>
    <row r="31">
      <c r="A31" s="272" t="n">
        <v>30</v>
      </c>
      <c r="B31" s="272" t="n">
        <v>103814709</v>
      </c>
      <c r="C31" s="272" t="inlineStr">
        <is>
          <t>4020T/000P-H038</t>
        </is>
      </c>
      <c r="D31" s="272" t="inlineStr">
        <is>
          <t>Other</t>
        </is>
      </c>
      <c r="E31" s="272" t="inlineStr">
        <is>
          <t>Request</t>
        </is>
      </c>
      <c r="F31" s="272" t="inlineStr">
        <is>
          <t>Prospect</t>
        </is>
      </c>
      <c r="G31" s="272" t="inlineStr">
        <is>
          <t>1/4/2025</t>
        </is>
      </c>
      <c r="H31" s="272" t="n">
        <v>100</v>
      </c>
      <c r="I31" s="272" t="n">
        <v>75</v>
      </c>
      <c r="J31" s="272" t="inlineStr">
        <is>
          <t>TBD</t>
        </is>
      </c>
      <c r="K31" s="272" t="inlineStr">
        <is>
          <t>TBD</t>
        </is>
      </c>
      <c r="L31" s="272" t="inlineStr">
        <is>
          <t>\n</t>
        </is>
      </c>
      <c r="M31" s="272" t="inlineStr">
        <is>
          <t>Urgent follow-up required</t>
        </is>
      </c>
      <c r="N31" s="272" t="inlineStr">
        <is>
          <t>2025-08-06</t>
        </is>
      </c>
    </row>
    <row r="32">
      <c r="A32" s="272" t="n">
        <v>31</v>
      </c>
      <c r="B32" s="272" t="n">
        <v>105485963</v>
      </c>
      <c r="C32" s="272" t="inlineStr">
        <is>
          <t>4600E/000A-B487</t>
        </is>
      </c>
      <c r="D32" s="272" t="inlineStr">
        <is>
          <t>Other</t>
        </is>
      </c>
      <c r="E32" s="272" t="inlineStr">
        <is>
          <t>Request</t>
        </is>
      </c>
      <c r="F32" s="272" t="inlineStr">
        <is>
          <t>Prospect</t>
        </is>
      </c>
      <c r="G32" s="272" t="inlineStr">
        <is>
          <t>2/4/2025</t>
        </is>
      </c>
      <c r="H32" s="272" t="n">
        <v>100</v>
      </c>
      <c r="I32" s="272" t="n">
        <v>75</v>
      </c>
      <c r="J32" s="272" t="inlineStr">
        <is>
          <t>TBD</t>
        </is>
      </c>
      <c r="K32" s="272" t="inlineStr">
        <is>
          <t>TBD</t>
        </is>
      </c>
      <c r="L32" s="272" t="n"/>
      <c r="M32" s="272" t="inlineStr">
        <is>
          <t>Urgent follow-up required</t>
        </is>
      </c>
      <c r="N32" s="272" t="inlineStr">
        <is>
          <t>2025-08-06</t>
        </is>
      </c>
    </row>
    <row r="33">
      <c r="A33" s="272" t="n">
        <v>32</v>
      </c>
      <c r="B33" s="272" t="n">
        <v>102176002</v>
      </c>
      <c r="C33" s="272" t="inlineStr">
        <is>
          <t>4520V/210A-B128</t>
        </is>
      </c>
      <c r="D33" s="272" t="inlineStr">
        <is>
          <t>Overseas</t>
        </is>
      </c>
      <c r="E33" s="272" t="inlineStr">
        <is>
          <t>Request</t>
        </is>
      </c>
      <c r="F33" s="272" t="inlineStr">
        <is>
          <t>Prospect</t>
        </is>
      </c>
      <c r="G33" s="272" t="inlineStr">
        <is>
          <t>30/10/2024</t>
        </is>
      </c>
      <c r="H33" s="272" t="n"/>
      <c r="I33" s="272" t="n">
        <v>75</v>
      </c>
      <c r="J33" s="272" t="inlineStr">
        <is>
          <t>TBD</t>
        </is>
      </c>
      <c r="K33" s="272" t="inlineStr">
        <is>
          <t>TBD</t>
        </is>
      </c>
      <c r="L33" s="272" t="n"/>
      <c r="M33" s="272" t="inlineStr">
        <is>
          <t>Urgent follow-up required</t>
        </is>
      </c>
      <c r="N33" s="272" t="inlineStr">
        <is>
          <t>2025-08-06</t>
        </is>
      </c>
    </row>
    <row r="34">
      <c r="A34" s="272" t="n">
        <v>33</v>
      </c>
      <c r="B34" s="272" t="n">
        <v>102220776</v>
      </c>
      <c r="C34" s="272" t="inlineStr">
        <is>
          <t>7920V/210A-B334</t>
        </is>
      </c>
      <c r="D34" s="272" t="inlineStr">
        <is>
          <t>Other</t>
        </is>
      </c>
      <c r="E34" s="272" t="inlineStr">
        <is>
          <t>Request</t>
        </is>
      </c>
      <c r="F34" s="272" t="inlineStr">
        <is>
          <t>Prospect</t>
        </is>
      </c>
      <c r="G34" s="272" t="inlineStr">
        <is>
          <t>2/11/2024</t>
        </is>
      </c>
      <c r="H34" s="272" t="n">
        <v>100</v>
      </c>
      <c r="I34" s="272" t="n">
        <v>75</v>
      </c>
      <c r="J34" s="272" t="inlineStr">
        <is>
          <t>TBD</t>
        </is>
      </c>
      <c r="K34" s="272" t="inlineStr">
        <is>
          <t>TBD</t>
        </is>
      </c>
      <c r="L34" s="272" t="inlineStr">
        <is>
          <t>The client is intrested in the OVERSEAS DUAL TIME \\n \n</t>
        </is>
      </c>
      <c r="M34" s="272" t="inlineStr">
        <is>
          <t>Urgent follow-up required</t>
        </is>
      </c>
      <c r="N34" s="272" t="inlineStr">
        <is>
          <t>2025-08-06</t>
        </is>
      </c>
    </row>
    <row r="35">
      <c r="A35" s="272" t="n">
        <v>34</v>
      </c>
      <c r="B35" s="272" t="n">
        <v>102232596</v>
      </c>
      <c r="C35" s="272" t="inlineStr">
        <is>
          <t>4520V/210A-B128</t>
        </is>
      </c>
      <c r="D35" s="272" t="inlineStr">
        <is>
          <t>Overseas</t>
        </is>
      </c>
      <c r="E35" s="272" t="inlineStr">
        <is>
          <t>Request</t>
        </is>
      </c>
      <c r="F35" s="272" t="inlineStr">
        <is>
          <t>Prospect</t>
        </is>
      </c>
      <c r="G35" s="272" t="inlineStr">
        <is>
          <t>2/11/2024</t>
        </is>
      </c>
      <c r="H35" s="272" t="n">
        <v>100</v>
      </c>
      <c r="I35" s="272" t="n">
        <v>75</v>
      </c>
      <c r="J35" s="272" t="inlineStr">
        <is>
          <t>TBD</t>
        </is>
      </c>
      <c r="K35" s="272" t="inlineStr">
        <is>
          <t>TBD</t>
        </is>
      </c>
      <c r="L35" s="272" t="inlineStr">
        <is>
          <t>VVIP Client - Mr. Abdulaziz  is very interested in the timepeice \n</t>
        </is>
      </c>
      <c r="M35" s="272" t="inlineStr">
        <is>
          <t>Urgent follow-up required</t>
        </is>
      </c>
      <c r="N35" s="272" t="inlineStr">
        <is>
          <t>2025-08-06</t>
        </is>
      </c>
    </row>
    <row r="36">
      <c r="A36" s="272" t="n">
        <v>35</v>
      </c>
      <c r="B36" s="272" t="n">
        <v>98711501</v>
      </c>
      <c r="C36" s="272" t="inlineStr">
        <is>
          <t>4520V/210A-B483</t>
        </is>
      </c>
      <c r="D36" s="272" t="inlineStr">
        <is>
          <t>Overseas</t>
        </is>
      </c>
      <c r="E36" s="272" t="inlineStr">
        <is>
          <t>Request</t>
        </is>
      </c>
      <c r="F36" s="272" t="inlineStr">
        <is>
          <t>Prospect</t>
        </is>
      </c>
      <c r="G36" s="272" t="inlineStr">
        <is>
          <t>5/11/2024</t>
        </is>
      </c>
      <c r="H36" s="272" t="n">
        <v>100</v>
      </c>
      <c r="I36" s="272" t="n">
        <v>75</v>
      </c>
      <c r="J36" s="272" t="inlineStr">
        <is>
          <t>TBD</t>
        </is>
      </c>
      <c r="K36" s="272" t="inlineStr">
        <is>
          <t>TBD</t>
        </is>
      </c>
      <c r="L36" s="272" t="inlineStr">
        <is>
          <t>The client is Al Firdan family memebers   interested in the black and blue dual time \n</t>
        </is>
      </c>
      <c r="M36" s="272" t="inlineStr">
        <is>
          <t>Urgent follow-up required</t>
        </is>
      </c>
      <c r="N36" s="272" t="inlineStr">
        <is>
          <t>2025-08-06</t>
        </is>
      </c>
    </row>
    <row r="37">
      <c r="A37" s="272" t="n">
        <v>36</v>
      </c>
      <c r="B37" s="272" t="n">
        <v>98182455</v>
      </c>
      <c r="C37" s="272" t="inlineStr">
        <is>
          <t>5520V/210R-B966</t>
        </is>
      </c>
      <c r="D37" s="272" t="inlineStr">
        <is>
          <t>Overseas</t>
        </is>
      </c>
      <c r="E37" s="272" t="inlineStr">
        <is>
          <t>Request</t>
        </is>
      </c>
      <c r="F37" s="272" t="inlineStr">
        <is>
          <t>Prospect</t>
        </is>
      </c>
      <c r="G37" s="272" t="inlineStr">
        <is>
          <t>8/11/2024</t>
        </is>
      </c>
      <c r="H37" s="272" t="n">
        <v>100</v>
      </c>
      <c r="I37" s="272" t="n">
        <v>75</v>
      </c>
      <c r="J37" s="272" t="inlineStr">
        <is>
          <t>TBD</t>
        </is>
      </c>
      <c r="K37" s="272" t="inlineStr">
        <is>
          <t>TBD</t>
        </is>
      </c>
      <c r="L37" s="272" t="inlineStr">
        <is>
          <t>\n</t>
        </is>
      </c>
      <c r="M37" s="272" t="inlineStr">
        <is>
          <t>Urgent follow-up required</t>
        </is>
      </c>
      <c r="N37" s="272" t="inlineStr">
        <is>
          <t>2025-08-06</t>
        </is>
      </c>
    </row>
    <row r="38">
      <c r="A38" s="272" t="n">
        <v>37</v>
      </c>
      <c r="B38" s="272" t="n">
        <v>102395824</v>
      </c>
      <c r="C38" s="272" t="inlineStr">
        <is>
          <t>4520V/210A-B128</t>
        </is>
      </c>
      <c r="D38" s="272" t="inlineStr">
        <is>
          <t>Overseas</t>
        </is>
      </c>
      <c r="E38" s="272" t="inlineStr">
        <is>
          <t>Request</t>
        </is>
      </c>
      <c r="F38" s="272" t="inlineStr">
        <is>
          <t>Prospect</t>
        </is>
      </c>
      <c r="G38" s="272" t="inlineStr">
        <is>
          <t>13/11/2024</t>
        </is>
      </c>
      <c r="H38" s="272" t="n"/>
      <c r="I38" s="272" t="n">
        <v>75</v>
      </c>
      <c r="J38" s="272" t="inlineStr">
        <is>
          <t>TBD</t>
        </is>
      </c>
      <c r="K38" s="272" t="inlineStr">
        <is>
          <t>TBD</t>
        </is>
      </c>
      <c r="L38" s="272" t="inlineStr">
        <is>
          <t>The customer appreciates the simplicity and elegance of the model, as well as the collapsible strap, which aligns with his lifestyle.\n\nThe customer has tried on the model in-store and confirmed his intent to purchase it as soon as it becomes available.\n\n\n</t>
        </is>
      </c>
      <c r="M38" s="272" t="inlineStr">
        <is>
          <t>Urgent follow-up required</t>
        </is>
      </c>
      <c r="N38" s="272" t="inlineStr">
        <is>
          <t>2025-08-06</t>
        </is>
      </c>
    </row>
    <row r="39">
      <c r="A39" s="272" t="n">
        <v>38</v>
      </c>
      <c r="B39" s="272" t="n">
        <v>0</v>
      </c>
      <c r="C39" s="272" t="inlineStr">
        <is>
          <t>4520V/210A-B128</t>
        </is>
      </c>
      <c r="D39" s="272" t="inlineStr">
        <is>
          <t>Overseas</t>
        </is>
      </c>
      <c r="E39" s="272" t="inlineStr">
        <is>
          <t>Request</t>
        </is>
      </c>
      <c r="F39" s="272" t="inlineStr">
        <is>
          <t>Prospect</t>
        </is>
      </c>
      <c r="G39" s="272" t="inlineStr">
        <is>
          <t>19/10/2024</t>
        </is>
      </c>
      <c r="H39" s="272" t="n"/>
      <c r="I39" s="272" t="n">
        <v>75</v>
      </c>
      <c r="J39" s="272" t="inlineStr">
        <is>
          <t>TBD</t>
        </is>
      </c>
      <c r="K39" s="272" t="inlineStr">
        <is>
          <t>TBD</t>
        </is>
      </c>
      <c r="L39" s="272" t="inlineStr">
        <is>
          <t>The client is interested in the blue dial the ID still not appearing will update it accordingly \n</t>
        </is>
      </c>
      <c r="M39" s="272" t="inlineStr">
        <is>
          <t>Urgent follow-up required</t>
        </is>
      </c>
      <c r="N39" s="272" t="inlineStr">
        <is>
          <t>2025-08-06</t>
        </is>
      </c>
    </row>
    <row r="40">
      <c r="A40" s="272" t="n">
        <v>39</v>
      </c>
      <c r="B40" s="272" t="n">
        <v>104939061</v>
      </c>
      <c r="C40" s="272" t="inlineStr">
        <is>
          <t>4200H/222J-B935</t>
        </is>
      </c>
      <c r="D40" s="272" t="inlineStr">
        <is>
          <t>Patrimony</t>
        </is>
      </c>
      <c r="E40" s="272" t="inlineStr">
        <is>
          <t>Request</t>
        </is>
      </c>
      <c r="F40" s="272" t="inlineStr">
        <is>
          <t>Prospect</t>
        </is>
      </c>
      <c r="G40" s="272" t="inlineStr">
        <is>
          <t>3/4/2025</t>
        </is>
      </c>
      <c r="H40" s="272" t="n">
        <v>100</v>
      </c>
      <c r="I40" s="272" t="n">
        <v>75</v>
      </c>
      <c r="J40" s="272" t="inlineStr">
        <is>
          <t>TBD</t>
        </is>
      </c>
      <c r="K40" s="272" t="inlineStr">
        <is>
          <t>TBD</t>
        </is>
      </c>
      <c r="L40" s="272" t="inlineStr">
        <is>
          <t>222\n</t>
        </is>
      </c>
      <c r="M40" s="272" t="inlineStr">
        <is>
          <t>Urgent follow-up required</t>
        </is>
      </c>
      <c r="N40" s="272" t="inlineStr">
        <is>
          <t>2025-08-06</t>
        </is>
      </c>
    </row>
    <row r="41">
      <c r="A41" s="272" t="n">
        <v>40</v>
      </c>
      <c r="B41" s="272" t="n">
        <v>105413736</v>
      </c>
      <c r="C41" s="272" t="inlineStr">
        <is>
          <t>4200H/222A-B934</t>
        </is>
      </c>
      <c r="D41" s="272" t="inlineStr">
        <is>
          <t>Patrimony</t>
        </is>
      </c>
      <c r="E41" s="272" t="inlineStr">
        <is>
          <t>Request</t>
        </is>
      </c>
      <c r="F41" s="272" t="inlineStr">
        <is>
          <t>Prospect</t>
        </is>
      </c>
      <c r="G41" s="272" t="inlineStr">
        <is>
          <t>5/4/2025</t>
        </is>
      </c>
      <c r="H41" s="272" t="n">
        <v>94</v>
      </c>
      <c r="I41" s="272" t="n">
        <v>75</v>
      </c>
      <c r="J41" s="272" t="inlineStr">
        <is>
          <t>TBD</t>
        </is>
      </c>
      <c r="K41" s="272" t="inlineStr">
        <is>
          <t>TBD</t>
        </is>
      </c>
      <c r="L41" s="272" t="inlineStr">
        <is>
          <t>222\n</t>
        </is>
      </c>
      <c r="M41" s="272" t="inlineStr">
        <is>
          <t>Urgent follow-up required</t>
        </is>
      </c>
      <c r="N41" s="272" t="inlineStr">
        <is>
          <t>2025-08-06</t>
        </is>
      </c>
    </row>
    <row r="42">
      <c r="A42" s="272" t="n">
        <v>41</v>
      </c>
      <c r="B42" s="272" t="n">
        <v>103831079</v>
      </c>
      <c r="C42" s="272" t="inlineStr">
        <is>
          <t>7920V/210A-B334</t>
        </is>
      </c>
      <c r="D42" s="272" t="inlineStr">
        <is>
          <t>Other</t>
        </is>
      </c>
      <c r="E42" s="272" t="inlineStr">
        <is>
          <t>Request</t>
        </is>
      </c>
      <c r="F42" s="272" t="inlineStr">
        <is>
          <t>Prospect</t>
        </is>
      </c>
      <c r="G42" s="272" t="inlineStr">
        <is>
          <t>29/3/2025</t>
        </is>
      </c>
      <c r="H42" s="272" t="n"/>
      <c r="I42" s="272" t="n">
        <v>75</v>
      </c>
      <c r="J42" s="272" t="inlineStr">
        <is>
          <t>TBD</t>
        </is>
      </c>
      <c r="K42" s="272" t="inlineStr">
        <is>
          <t>TBD</t>
        </is>
      </c>
      <c r="L42" s="272" t="inlineStr">
        <is>
          <t>the client is interested in the Overseas blue dial and paid deposit \n</t>
        </is>
      </c>
      <c r="M42" s="272" t="inlineStr">
        <is>
          <t>Urgent follow-up required</t>
        </is>
      </c>
      <c r="N42" s="272" t="inlineStr">
        <is>
          <t>2025-08-06</t>
        </is>
      </c>
    </row>
    <row r="43">
      <c r="A43" s="272" t="n">
        <v>42</v>
      </c>
      <c r="B43" s="272" t="n">
        <v>105366966</v>
      </c>
      <c r="C43" s="272" t="inlineStr">
        <is>
          <t>4200H/222A-B934</t>
        </is>
      </c>
      <c r="D43" s="272" t="inlineStr">
        <is>
          <t>Patrimony</t>
        </is>
      </c>
      <c r="E43" s="272" t="inlineStr">
        <is>
          <t>Request</t>
        </is>
      </c>
      <c r="F43" s="272" t="inlineStr">
        <is>
          <t>Prospect</t>
        </is>
      </c>
      <c r="G43" s="272" t="inlineStr">
        <is>
          <t>29/3/2025</t>
        </is>
      </c>
      <c r="H43" s="272" t="n"/>
      <c r="I43" s="272" t="n">
        <v>75</v>
      </c>
      <c r="J43" s="272" t="inlineStr">
        <is>
          <t>TBD</t>
        </is>
      </c>
      <c r="K43" s="272" t="inlineStr">
        <is>
          <t>TBD</t>
        </is>
      </c>
      <c r="L43" s="272" t="inlineStr">
        <is>
          <t>222\n</t>
        </is>
      </c>
      <c r="M43" s="272" t="inlineStr">
        <is>
          <t>Urgent follow-up required</t>
        </is>
      </c>
      <c r="N43" s="272" t="inlineStr">
        <is>
          <t>2025-08-06</t>
        </is>
      </c>
    </row>
    <row r="44">
      <c r="A44" s="272" t="n">
        <v>43</v>
      </c>
      <c r="B44" s="272" t="n">
        <v>101921704</v>
      </c>
      <c r="C44" s="272" t="inlineStr">
        <is>
          <t>4520V/210A-B483</t>
        </is>
      </c>
      <c r="D44" s="272" t="inlineStr">
        <is>
          <t>Overseas</t>
        </is>
      </c>
      <c r="E44" s="272" t="inlineStr">
        <is>
          <t>Request</t>
        </is>
      </c>
      <c r="F44" s="272" t="inlineStr">
        <is>
          <t>Prospect</t>
        </is>
      </c>
      <c r="G44" s="272" t="inlineStr">
        <is>
          <t>29/3/2025</t>
        </is>
      </c>
      <c r="H44" s="272" t="n"/>
      <c r="I44" s="272" t="n">
        <v>75</v>
      </c>
      <c r="J44" s="272" t="inlineStr">
        <is>
          <t>TBD</t>
        </is>
      </c>
      <c r="K44" s="272" t="inlineStr">
        <is>
          <t>TBD</t>
        </is>
      </c>
      <c r="L44" s="272" t="inlineStr">
        <is>
          <t>OS black dial : 4520V/210A-B483\n</t>
        </is>
      </c>
      <c r="M44" s="272" t="inlineStr">
        <is>
          <t>Urgent follow-up required</t>
        </is>
      </c>
      <c r="N44" s="272" t="inlineStr">
        <is>
          <t>2025-08-06</t>
        </is>
      </c>
    </row>
    <row r="45">
      <c r="A45" s="272" t="n">
        <v>44</v>
      </c>
      <c r="B45" s="272" t="n">
        <v>105248739</v>
      </c>
      <c r="C45" s="272" t="inlineStr">
        <is>
          <t>4300V/220G-B945</t>
        </is>
      </c>
      <c r="D45" s="272" t="inlineStr">
        <is>
          <t>Other</t>
        </is>
      </c>
      <c r="E45" s="272" t="inlineStr">
        <is>
          <t>Request</t>
        </is>
      </c>
      <c r="F45" s="272" t="inlineStr">
        <is>
          <t>Prospect</t>
        </is>
      </c>
      <c r="G45" s="272" t="inlineStr">
        <is>
          <t>16/4/2025</t>
        </is>
      </c>
      <c r="H45" s="272" t="n"/>
      <c r="I45" s="272" t="n">
        <v>75</v>
      </c>
      <c r="J45" s="272" t="inlineStr">
        <is>
          <t>TBD</t>
        </is>
      </c>
      <c r="K45" s="272" t="inlineStr">
        <is>
          <t>TBD</t>
        </is>
      </c>
      <c r="L45" s="272" t="inlineStr">
        <is>
          <t>client showed interest \n</t>
        </is>
      </c>
      <c r="M45" s="272" t="inlineStr">
        <is>
          <t>Urgent follow-up required</t>
        </is>
      </c>
      <c r="N45" s="272" t="inlineStr">
        <is>
          <t>2025-08-06</t>
        </is>
      </c>
    </row>
    <row r="46">
      <c r="A46" s="272" t="n">
        <v>45</v>
      </c>
      <c r="B46" s="272" t="n">
        <v>105370532</v>
      </c>
      <c r="C46" s="272" t="inlineStr">
        <is>
          <t>4010T/000G-B740</t>
        </is>
      </c>
      <c r="D46" s="272" t="inlineStr">
        <is>
          <t>Other</t>
        </is>
      </c>
      <c r="E46" s="272" t="inlineStr">
        <is>
          <t>Request</t>
        </is>
      </c>
      <c r="F46" s="272" t="inlineStr">
        <is>
          <t>Prospect</t>
        </is>
      </c>
      <c r="G46" s="272" t="inlineStr">
        <is>
          <t>16/4/2025</t>
        </is>
      </c>
      <c r="H46" s="272" t="n"/>
      <c r="I46" s="272" t="n">
        <v>75</v>
      </c>
      <c r="J46" s="272" t="inlineStr">
        <is>
          <t>TBD</t>
        </is>
      </c>
      <c r="K46" s="272" t="inlineStr">
        <is>
          <t>TBD</t>
        </is>
      </c>
      <c r="L46" s="272" t="inlineStr">
        <is>
          <t>**Managing Director**\n\n- **Companies:**\n- **Blue Star Tiles** (real estate/construction) fiftysix black dial \n\n\n</t>
        </is>
      </c>
      <c r="M46" s="272" t="inlineStr">
        <is>
          <t>Urgent follow-up required</t>
        </is>
      </c>
      <c r="N46" s="272" t="inlineStr">
        <is>
          <t>2025-08-06</t>
        </is>
      </c>
    </row>
    <row r="47">
      <c r="A47" s="272" t="n">
        <v>46</v>
      </c>
      <c r="B47" s="272" t="n">
        <v>105366145</v>
      </c>
      <c r="C47" s="272" t="inlineStr">
        <is>
          <t>4000V/210A-B911</t>
        </is>
      </c>
      <c r="D47" s="272" t="inlineStr">
        <is>
          <t>Overseas</t>
        </is>
      </c>
      <c r="E47" s="272" t="inlineStr">
        <is>
          <t>Cancelled</t>
        </is>
      </c>
      <c r="F47" s="272" t="inlineStr">
        <is>
          <t>Prospect</t>
        </is>
      </c>
      <c r="G47" s="272" t="inlineStr">
        <is>
          <t>12/4/2025</t>
        </is>
      </c>
      <c r="H47" s="272" t="n">
        <v>100</v>
      </c>
      <c r="I47" s="272" t="n">
        <v>75</v>
      </c>
      <c r="J47" s="272" t="inlineStr">
        <is>
          <t>TBD</t>
        </is>
      </c>
      <c r="K47" s="272" t="inlineStr">
        <is>
          <t>TBD</t>
        </is>
      </c>
      <c r="L47" s="272" t="n"/>
      <c r="M47" s="272" t="inlineStr">
        <is>
          <t>Review status</t>
        </is>
      </c>
      <c r="N47" s="272" t="inlineStr">
        <is>
          <t>2025-08-20</t>
        </is>
      </c>
    </row>
    <row r="48">
      <c r="A48" s="272" t="n">
        <v>47</v>
      </c>
      <c r="B48" s="272" t="n">
        <v>103744604</v>
      </c>
      <c r="C48" s="272" t="inlineStr">
        <is>
          <t>7920V/210A-B334</t>
        </is>
      </c>
      <c r="D48" s="272" t="inlineStr">
        <is>
          <t>Other</t>
        </is>
      </c>
      <c r="E48" s="272" t="inlineStr">
        <is>
          <t>Request</t>
        </is>
      </c>
      <c r="F48" s="272" t="inlineStr">
        <is>
          <t>Prospect</t>
        </is>
      </c>
      <c r="G48" s="272" t="inlineStr">
        <is>
          <t>13/5/2025</t>
        </is>
      </c>
      <c r="H48" s="272" t="n"/>
      <c r="I48" s="272" t="n">
        <v>75</v>
      </c>
      <c r="J48" s="272" t="inlineStr">
        <is>
          <t>TBD</t>
        </is>
      </c>
      <c r="K48" s="272" t="inlineStr">
        <is>
          <t>TBD</t>
        </is>
      </c>
      <c r="L48" s="272" t="inlineStr">
        <is>
          <t>the client is intrested in the Dual time \n</t>
        </is>
      </c>
      <c r="M48" s="272" t="inlineStr">
        <is>
          <t>Urgent follow-up required</t>
        </is>
      </c>
      <c r="N48" s="272" t="inlineStr">
        <is>
          <t>2025-08-06</t>
        </is>
      </c>
    </row>
    <row r="49">
      <c r="A49" s="272" t="n">
        <v>48</v>
      </c>
      <c r="B49" s="272" t="n">
        <v>101467308</v>
      </c>
      <c r="C49" s="272" t="inlineStr">
        <is>
          <t>4520V/210A-B483</t>
        </is>
      </c>
      <c r="D49" s="272" t="inlineStr">
        <is>
          <t>Overseas</t>
        </is>
      </c>
      <c r="E49" s="272" t="inlineStr">
        <is>
          <t>Request</t>
        </is>
      </c>
      <c r="F49" s="272" t="inlineStr">
        <is>
          <t>Prospect</t>
        </is>
      </c>
      <c r="G49" s="272" t="inlineStr">
        <is>
          <t>6/5/2025</t>
        </is>
      </c>
      <c r="H49" s="272" t="n">
        <v>62</v>
      </c>
      <c r="I49" s="272" t="n">
        <v>75</v>
      </c>
      <c r="J49" s="272" t="inlineStr">
        <is>
          <t>TBD</t>
        </is>
      </c>
      <c r="K49" s="272" t="inlineStr">
        <is>
          <t>TBD</t>
        </is>
      </c>
      <c r="L49" s="272" t="n"/>
      <c r="M49" s="272" t="inlineStr">
        <is>
          <t>Urgent follow-up required</t>
        </is>
      </c>
      <c r="N49" s="272" t="inlineStr">
        <is>
          <t>2025-08-06</t>
        </is>
      </c>
    </row>
    <row r="50">
      <c r="A50" s="272" t="n">
        <v>49</v>
      </c>
      <c r="B50" s="272" t="n">
        <v>105366966</v>
      </c>
      <c r="C50" s="272" t="inlineStr">
        <is>
          <t>4000V/210A-B911</t>
        </is>
      </c>
      <c r="D50" s="272" t="inlineStr">
        <is>
          <t>Overseas</t>
        </is>
      </c>
      <c r="E50" s="272" t="inlineStr">
        <is>
          <t>Request</t>
        </is>
      </c>
      <c r="F50" s="272" t="inlineStr">
        <is>
          <t>Prospect</t>
        </is>
      </c>
      <c r="G50" s="272" t="inlineStr">
        <is>
          <t>29/4/2025</t>
        </is>
      </c>
      <c r="H50" s="272" t="n"/>
      <c r="I50" s="272" t="n">
        <v>75</v>
      </c>
      <c r="J50" s="272" t="inlineStr">
        <is>
          <t>TBD</t>
        </is>
      </c>
      <c r="K50" s="272" t="inlineStr">
        <is>
          <t>TBD</t>
        </is>
      </c>
      <c r="L50" s="272" t="inlineStr">
        <is>
          <t>Moonphase and 222\n</t>
        </is>
      </c>
      <c r="M50" s="272" t="inlineStr">
        <is>
          <t>Urgent follow-up required</t>
        </is>
      </c>
      <c r="N50" s="272" t="inlineStr">
        <is>
          <t>2025-08-06</t>
        </is>
      </c>
    </row>
    <row r="51">
      <c r="A51" s="272" t="n">
        <v>50</v>
      </c>
      <c r="B51" s="272" t="n">
        <v>105306744</v>
      </c>
      <c r="C51" s="272" t="inlineStr">
        <is>
          <t>4000V/210A-B911</t>
        </is>
      </c>
      <c r="D51" s="272" t="inlineStr">
        <is>
          <t>Overseas</t>
        </is>
      </c>
      <c r="E51" s="272" t="inlineStr">
        <is>
          <t>Request</t>
        </is>
      </c>
      <c r="F51" s="272" t="inlineStr">
        <is>
          <t>Prospect</t>
        </is>
      </c>
      <c r="G51" s="272" t="inlineStr">
        <is>
          <t>19/4/2025</t>
        </is>
      </c>
      <c r="H51" s="272" t="n"/>
      <c r="I51" s="272" t="n">
        <v>75</v>
      </c>
      <c r="J51" s="272" t="inlineStr">
        <is>
          <t>TBD</t>
        </is>
      </c>
      <c r="K51" s="272" t="inlineStr">
        <is>
          <t>TBD</t>
        </is>
      </c>
      <c r="L51" s="272" t="inlineStr">
        <is>
          <t>UAE - Collector AP, RM\n</t>
        </is>
      </c>
      <c r="M51" s="272" t="inlineStr">
        <is>
          <t>Urgent follow-up required</t>
        </is>
      </c>
      <c r="N51" s="272" t="inlineStr">
        <is>
          <t>2025-08-06</t>
        </is>
      </c>
    </row>
    <row r="52">
      <c r="A52" s="272" t="n">
        <v>51</v>
      </c>
      <c r="B52" s="272" t="n">
        <v>105210142</v>
      </c>
      <c r="C52" s="272" t="inlineStr">
        <is>
          <t>82035/000G-B735</t>
        </is>
      </c>
      <c r="D52" s="272" t="inlineStr">
        <is>
          <t>Other</t>
        </is>
      </c>
      <c r="E52" s="272" t="inlineStr">
        <is>
          <t>Request</t>
        </is>
      </c>
      <c r="F52" s="272" t="inlineStr">
        <is>
          <t>Prospect</t>
        </is>
      </c>
      <c r="G52" s="272" t="inlineStr">
        <is>
          <t>1/3/2025</t>
        </is>
      </c>
      <c r="H52" s="272" t="n">
        <v>100</v>
      </c>
      <c r="I52" s="272" t="n">
        <v>75</v>
      </c>
      <c r="J52" s="272" t="inlineStr">
        <is>
          <t>TBD</t>
        </is>
      </c>
      <c r="K52" s="272" t="inlineStr">
        <is>
          <t>TBD</t>
        </is>
      </c>
      <c r="L52" s="272" t="inlineStr">
        <is>
          <t>The client showed interest in the 1921\n</t>
        </is>
      </c>
      <c r="M52" s="272" t="inlineStr">
        <is>
          <t>Urgent follow-up required</t>
        </is>
      </c>
      <c r="N52" s="272" t="inlineStr">
        <is>
          <t>2025-08-06</t>
        </is>
      </c>
    </row>
    <row r="53">
      <c r="A53" s="272" t="n">
        <v>52</v>
      </c>
      <c r="B53" s="272" t="n">
        <v>103621137</v>
      </c>
      <c r="C53" s="272" t="inlineStr">
        <is>
          <t>4200H/222A-B934</t>
        </is>
      </c>
      <c r="D53" s="272" t="inlineStr">
        <is>
          <t>Patrimony</t>
        </is>
      </c>
      <c r="E53" s="272" t="inlineStr">
        <is>
          <t>Request</t>
        </is>
      </c>
      <c r="F53" s="272" t="inlineStr">
        <is>
          <t>Prospect</t>
        </is>
      </c>
      <c r="G53" s="272" t="inlineStr">
        <is>
          <t>28/2/2025</t>
        </is>
      </c>
      <c r="H53" s="272" t="n"/>
      <c r="I53" s="272" t="n">
        <v>75</v>
      </c>
      <c r="J53" s="272" t="inlineStr">
        <is>
          <t>TBD</t>
        </is>
      </c>
      <c r="K53" s="272" t="inlineStr">
        <is>
          <t>TBD</t>
        </is>
      </c>
      <c r="L53" s="272" t="inlineStr">
        <is>
          <t>222\n</t>
        </is>
      </c>
      <c r="M53" s="272" t="inlineStr">
        <is>
          <t>Urgent follow-up required</t>
        </is>
      </c>
      <c r="N53" s="272" t="inlineStr">
        <is>
          <t>2025-08-06</t>
        </is>
      </c>
    </row>
    <row r="54">
      <c r="A54" s="272" t="n">
        <v>53</v>
      </c>
      <c r="B54" s="272" t="n">
        <v>98609197</v>
      </c>
      <c r="C54" s="272" t="inlineStr">
        <is>
          <t>82035/000P-H063</t>
        </is>
      </c>
      <c r="D54" s="272" t="inlineStr">
        <is>
          <t>Other</t>
        </is>
      </c>
      <c r="E54" s="272" t="inlineStr">
        <is>
          <t>Request</t>
        </is>
      </c>
      <c r="F54" s="272" t="inlineStr">
        <is>
          <t>Prospect</t>
        </is>
      </c>
      <c r="G54" s="272" t="inlineStr">
        <is>
          <t>28/2/2025</t>
        </is>
      </c>
      <c r="H54" s="272" t="n"/>
      <c r="I54" s="272" t="n">
        <v>75</v>
      </c>
      <c r="J54" s="272" t="inlineStr">
        <is>
          <t>TBD</t>
        </is>
      </c>
      <c r="K54" s="272" t="inlineStr">
        <is>
          <t>TBD</t>
        </is>
      </c>
      <c r="L54" s="272" t="n"/>
      <c r="M54" s="272" t="inlineStr">
        <is>
          <t>Urgent follow-up required</t>
        </is>
      </c>
      <c r="N54" s="272" t="inlineStr">
        <is>
          <t>2025-08-06</t>
        </is>
      </c>
    </row>
    <row r="55">
      <c r="A55" s="272" t="n">
        <v>54</v>
      </c>
      <c r="B55" s="272" t="n">
        <v>105007242</v>
      </c>
      <c r="C55" s="272" t="inlineStr">
        <is>
          <t>4200H/222A-B934</t>
        </is>
      </c>
      <c r="D55" s="272" t="inlineStr">
        <is>
          <t>Patrimony</t>
        </is>
      </c>
      <c r="E55" s="272" t="inlineStr">
        <is>
          <t>Request</t>
        </is>
      </c>
      <c r="F55" s="272" t="inlineStr">
        <is>
          <t>Prospect</t>
        </is>
      </c>
      <c r="G55" s="272" t="inlineStr">
        <is>
          <t>3/4/2025</t>
        </is>
      </c>
      <c r="H55" s="272" t="n">
        <v>100</v>
      </c>
      <c r="I55" s="272" t="n">
        <v>75</v>
      </c>
      <c r="J55" s="272" t="inlineStr">
        <is>
          <t>TBD</t>
        </is>
      </c>
      <c r="K55" s="272" t="inlineStr">
        <is>
          <t>TBD</t>
        </is>
      </c>
      <c r="L55" s="272" t="inlineStr">
        <is>
          <t>[Obaid Mubarak Al muhairi](mailto:Obaidmuhairi@gmail.com) | a collector \n</t>
        </is>
      </c>
      <c r="M55" s="272" t="inlineStr">
        <is>
          <t>Urgent follow-up required</t>
        </is>
      </c>
      <c r="N55" s="272" t="inlineStr">
        <is>
          <t>2025-08-06</t>
        </is>
      </c>
    </row>
    <row r="56">
      <c r="A56" s="272" t="n">
        <v>55</v>
      </c>
      <c r="B56" s="272" t="n">
        <v>105306744</v>
      </c>
      <c r="C56" s="272" t="inlineStr">
        <is>
          <t>4520V/210A-B128</t>
        </is>
      </c>
      <c r="D56" s="272" t="inlineStr">
        <is>
          <t>Overseas</t>
        </is>
      </c>
      <c r="E56" s="272" t="inlineStr">
        <is>
          <t>Request</t>
        </is>
      </c>
      <c r="F56" s="272" t="inlineStr">
        <is>
          <t>Prospect</t>
        </is>
      </c>
      <c r="G56" s="272" t="inlineStr">
        <is>
          <t>19/4/2025</t>
        </is>
      </c>
      <c r="H56" s="272" t="n"/>
      <c r="I56" s="272" t="n">
        <v>75</v>
      </c>
      <c r="J56" s="272" t="inlineStr">
        <is>
          <t>TBD</t>
        </is>
      </c>
      <c r="K56" s="272" t="inlineStr">
        <is>
          <t>TBD</t>
        </is>
      </c>
      <c r="L56" s="272" t="n"/>
      <c r="M56" s="272" t="inlineStr">
        <is>
          <t>Urgent follow-up required</t>
        </is>
      </c>
      <c r="N56" s="272" t="inlineStr">
        <is>
          <t>2025-08-06</t>
        </is>
      </c>
    </row>
    <row r="57">
      <c r="A57" s="272" t="n">
        <v>56</v>
      </c>
      <c r="B57" s="272" t="n">
        <v>105306744</v>
      </c>
      <c r="C57" s="272" t="inlineStr">
        <is>
          <t>4200H/222A-B934</t>
        </is>
      </c>
      <c r="D57" s="272" t="inlineStr">
        <is>
          <t>Patrimony</t>
        </is>
      </c>
      <c r="E57" s="272" t="inlineStr">
        <is>
          <t>Request</t>
        </is>
      </c>
      <c r="F57" s="272" t="inlineStr">
        <is>
          <t>Prospect</t>
        </is>
      </c>
      <c r="G57" s="272" t="inlineStr">
        <is>
          <t>19/4/2025</t>
        </is>
      </c>
      <c r="H57" s="272" t="n"/>
      <c r="I57" s="272" t="n">
        <v>75</v>
      </c>
      <c r="J57" s="272" t="inlineStr">
        <is>
          <t>TBD</t>
        </is>
      </c>
      <c r="K57" s="272" t="inlineStr">
        <is>
          <t>TBD</t>
        </is>
      </c>
      <c r="L57" s="272" t="n"/>
      <c r="M57" s="272" t="inlineStr">
        <is>
          <t>Urgent follow-up required</t>
        </is>
      </c>
      <c r="N57" s="272" t="inlineStr">
        <is>
          <t>2025-08-06</t>
        </is>
      </c>
    </row>
    <row r="58">
      <c r="A58" s="272" t="n">
        <v>57</v>
      </c>
      <c r="B58" s="272" t="n">
        <v>105306744</v>
      </c>
      <c r="C58" s="272" t="inlineStr">
        <is>
          <t>82035/000P-H063</t>
        </is>
      </c>
      <c r="D58" s="272" t="inlineStr">
        <is>
          <t>Other</t>
        </is>
      </c>
      <c r="E58" s="272" t="inlineStr">
        <is>
          <t>Request</t>
        </is>
      </c>
      <c r="F58" s="272" t="inlineStr">
        <is>
          <t>Prospect</t>
        </is>
      </c>
      <c r="G58" s="272" t="inlineStr">
        <is>
          <t>19/4/2025</t>
        </is>
      </c>
      <c r="H58" s="272" t="n"/>
      <c r="I58" s="272" t="n">
        <v>75</v>
      </c>
      <c r="J58" s="272" t="inlineStr">
        <is>
          <t>TBD</t>
        </is>
      </c>
      <c r="K58" s="272" t="inlineStr">
        <is>
          <t>TBD</t>
        </is>
      </c>
      <c r="L58" s="272" t="n"/>
      <c r="M58" s="272" t="inlineStr">
        <is>
          <t>Urgent follow-up required</t>
        </is>
      </c>
      <c r="N58" s="272" t="inlineStr">
        <is>
          <t>2025-08-06</t>
        </is>
      </c>
    </row>
    <row r="59">
      <c r="A59" s="272" t="n">
        <v>58</v>
      </c>
      <c r="B59" s="272" t="n">
        <v>105234569</v>
      </c>
      <c r="C59" s="272" t="inlineStr">
        <is>
          <t>4200H/222A-B934</t>
        </is>
      </c>
      <c r="D59" s="272" t="inlineStr">
        <is>
          <t>Patrimony</t>
        </is>
      </c>
      <c r="E59" s="272" t="inlineStr">
        <is>
          <t>Request</t>
        </is>
      </c>
      <c r="F59" s="272" t="inlineStr">
        <is>
          <t>Prospect</t>
        </is>
      </c>
      <c r="G59" s="272" t="inlineStr">
        <is>
          <t>17/4/2025</t>
        </is>
      </c>
      <c r="H59" s="272" t="n"/>
      <c r="I59" s="272" t="n">
        <v>75</v>
      </c>
      <c r="J59" s="272" t="inlineStr">
        <is>
          <t>TBD</t>
        </is>
      </c>
      <c r="K59" s="272" t="inlineStr">
        <is>
          <t>TBD</t>
        </is>
      </c>
      <c r="L59" s="272" t="inlineStr">
        <is>
          <t>KSA 222\n</t>
        </is>
      </c>
      <c r="M59" s="272" t="inlineStr">
        <is>
          <t>Urgent follow-up required</t>
        </is>
      </c>
      <c r="N59" s="272" t="inlineStr">
        <is>
          <t>2025-08-06</t>
        </is>
      </c>
    </row>
    <row r="60">
      <c r="A60" s="272" t="n">
        <v>59</v>
      </c>
      <c r="B60" s="272" t="n">
        <v>101467308</v>
      </c>
      <c r="C60" s="272" t="inlineStr">
        <is>
          <t>7920V/210A-B334</t>
        </is>
      </c>
      <c r="D60" s="272" t="inlineStr">
        <is>
          <t>Other</t>
        </is>
      </c>
      <c r="E60" s="272" t="inlineStr">
        <is>
          <t>Request</t>
        </is>
      </c>
      <c r="F60" s="272" t="inlineStr">
        <is>
          <t>Prospect</t>
        </is>
      </c>
      <c r="G60" s="272" t="inlineStr">
        <is>
          <t>6/4/2025</t>
        </is>
      </c>
      <c r="H60" s="272" t="n">
        <v>63</v>
      </c>
      <c r="I60" s="272" t="n">
        <v>75</v>
      </c>
      <c r="J60" s="272" t="inlineStr">
        <is>
          <t>TBD</t>
        </is>
      </c>
      <c r="K60" s="272" t="inlineStr">
        <is>
          <t>TBD</t>
        </is>
      </c>
      <c r="L60" s="272" t="inlineStr">
        <is>
          <t>very interested in the dual time and Chronograph \n</t>
        </is>
      </c>
      <c r="M60" s="272" t="inlineStr">
        <is>
          <t>Urgent follow-up required</t>
        </is>
      </c>
      <c r="N60" s="272" t="inlineStr">
        <is>
          <t>2025-08-06</t>
        </is>
      </c>
    </row>
    <row r="61">
      <c r="A61" s="272" t="n">
        <v>60</v>
      </c>
      <c r="B61" s="272" t="n">
        <v>103673092</v>
      </c>
      <c r="C61" s="272" t="inlineStr">
        <is>
          <t>4520V/210A-B128</t>
        </is>
      </c>
      <c r="D61" s="272" t="inlineStr">
        <is>
          <t>Overseas</t>
        </is>
      </c>
      <c r="E61" s="272" t="inlineStr">
        <is>
          <t>Request</t>
        </is>
      </c>
      <c r="F61" s="272" t="inlineStr">
        <is>
          <t>Prospect</t>
        </is>
      </c>
      <c r="G61" s="272" t="inlineStr">
        <is>
          <t>1/3/2025</t>
        </is>
      </c>
      <c r="H61" s="272" t="n">
        <v>100</v>
      </c>
      <c r="I61" s="272" t="n">
        <v>75</v>
      </c>
      <c r="J61" s="272" t="inlineStr">
        <is>
          <t>TBD</t>
        </is>
      </c>
      <c r="K61" s="272" t="inlineStr">
        <is>
          <t>TBD</t>
        </is>
      </c>
      <c r="L61" s="272" t="inlineStr">
        <is>
          <t>the client main aim is the 222 and the 128 \n</t>
        </is>
      </c>
      <c r="M61" s="272" t="inlineStr">
        <is>
          <t>Urgent follow-up required</t>
        </is>
      </c>
      <c r="N61" s="272" t="inlineStr">
        <is>
          <t>2025-08-06</t>
        </is>
      </c>
    </row>
    <row r="62">
      <c r="A62" s="272" t="n">
        <v>61</v>
      </c>
      <c r="B62" s="272" t="n">
        <v>104509438</v>
      </c>
      <c r="C62" s="272" t="inlineStr">
        <is>
          <t>6010T/000R-B638</t>
        </is>
      </c>
      <c r="D62" s="272" t="inlineStr">
        <is>
          <t>Other</t>
        </is>
      </c>
      <c r="E62" s="272" t="inlineStr">
        <is>
          <t>Request</t>
        </is>
      </c>
      <c r="F62" s="272" t="inlineStr">
        <is>
          <t>Prospect</t>
        </is>
      </c>
      <c r="G62" s="272" t="inlineStr">
        <is>
          <t>1/3/2025</t>
        </is>
      </c>
      <c r="H62" s="272" t="n">
        <v>100</v>
      </c>
      <c r="I62" s="272" t="n">
        <v>75</v>
      </c>
      <c r="J62" s="272" t="inlineStr">
        <is>
          <t>TBD</t>
        </is>
      </c>
      <c r="K62" s="272" t="inlineStr">
        <is>
          <t>TBD</t>
        </is>
      </c>
      <c r="L62" s="272" t="inlineStr">
        <is>
          <t>The client specializes in auto tuning, automatic watches, and exclusive key fobs. His uncle has a strong interest in Traditionnelle and Overseas collections, particularly the tourbillon editions\n</t>
        </is>
      </c>
      <c r="M62" s="272" t="inlineStr">
        <is>
          <t>Urgent follow-up required</t>
        </is>
      </c>
      <c r="N62" s="272" t="inlineStr">
        <is>
          <t>2025-08-06</t>
        </is>
      </c>
    </row>
    <row r="63">
      <c r="A63" s="272" t="n">
        <v>62</v>
      </c>
      <c r="B63" s="272" t="n">
        <v>104457807</v>
      </c>
      <c r="C63" s="272" t="inlineStr">
        <is>
          <t>4200H/222A-B934</t>
        </is>
      </c>
      <c r="D63" s="272" t="inlineStr">
        <is>
          <t>Patrimony</t>
        </is>
      </c>
      <c r="E63" s="272" t="inlineStr">
        <is>
          <t>Request</t>
        </is>
      </c>
      <c r="F63" s="272" t="inlineStr">
        <is>
          <t>Prospect</t>
        </is>
      </c>
      <c r="G63" s="272" t="inlineStr">
        <is>
          <t>1/3/2025</t>
        </is>
      </c>
      <c r="H63" s="272" t="n">
        <v>100</v>
      </c>
      <c r="I63" s="272" t="n">
        <v>75</v>
      </c>
      <c r="J63" s="272" t="inlineStr">
        <is>
          <t>TBD</t>
        </is>
      </c>
      <c r="K63" s="272" t="inlineStr">
        <is>
          <t>TBD</t>
        </is>
      </c>
      <c r="L63" s="272" t="inlineStr">
        <is>
          <t>the client is interested \n</t>
        </is>
      </c>
      <c r="M63" s="272" t="inlineStr">
        <is>
          <t>Urgent follow-up required</t>
        </is>
      </c>
      <c r="N63" s="272" t="inlineStr">
        <is>
          <t>2025-08-06</t>
        </is>
      </c>
    </row>
    <row r="64">
      <c r="A64" s="272" t="n">
        <v>63</v>
      </c>
      <c r="B64" s="272" t="n">
        <v>98874827</v>
      </c>
      <c r="C64" s="272" t="inlineStr">
        <is>
          <t>4200H/222J-B935</t>
        </is>
      </c>
      <c r="D64" s="272" t="inlineStr">
        <is>
          <t>Patrimony</t>
        </is>
      </c>
      <c r="E64" s="272" t="inlineStr">
        <is>
          <t>Request</t>
        </is>
      </c>
      <c r="F64" s="272" t="inlineStr">
        <is>
          <t>Prospect</t>
        </is>
      </c>
      <c r="G64" s="272" t="inlineStr">
        <is>
          <t>1/3/2025</t>
        </is>
      </c>
      <c r="H64" s="272" t="n">
        <v>100</v>
      </c>
      <c r="I64" s="272" t="n">
        <v>75</v>
      </c>
      <c r="J64" s="272" t="inlineStr">
        <is>
          <t>TBD</t>
        </is>
      </c>
      <c r="K64" s="272" t="inlineStr">
        <is>
          <t>TBD</t>
        </is>
      </c>
      <c r="L64" s="272" t="inlineStr">
        <is>
          <t>the client intrested in the 222\n</t>
        </is>
      </c>
      <c r="M64" s="272" t="inlineStr">
        <is>
          <t>Urgent follow-up required</t>
        </is>
      </c>
      <c r="N64" s="272" t="inlineStr">
        <is>
          <t>2025-08-06</t>
        </is>
      </c>
    </row>
    <row r="65">
      <c r="A65" s="272" t="n">
        <v>64</v>
      </c>
      <c r="B65" s="272" t="n">
        <v>104397738</v>
      </c>
      <c r="C65" s="272" t="inlineStr">
        <is>
          <t>4200H/222A-B934</t>
        </is>
      </c>
      <c r="D65" s="272" t="inlineStr">
        <is>
          <t>Patrimony</t>
        </is>
      </c>
      <c r="E65" s="272" t="inlineStr">
        <is>
          <t>Request</t>
        </is>
      </c>
      <c r="F65" s="272" t="inlineStr">
        <is>
          <t>Prospect</t>
        </is>
      </c>
      <c r="G65" s="272" t="inlineStr">
        <is>
          <t>1/3/2025</t>
        </is>
      </c>
      <c r="H65" s="272" t="n">
        <v>100</v>
      </c>
      <c r="I65" s="272" t="n">
        <v>75</v>
      </c>
      <c r="J65" s="272" t="inlineStr">
        <is>
          <t>TBD</t>
        </is>
      </c>
      <c r="K65" s="272" t="inlineStr">
        <is>
          <t>TBD</t>
        </is>
      </c>
      <c r="L65" s="272" t="inlineStr">
        <is>
          <t>interested in the 222 and dual time \n</t>
        </is>
      </c>
      <c r="M65" s="272" t="inlineStr">
        <is>
          <t>Urgent follow-up required</t>
        </is>
      </c>
      <c r="N65" s="272" t="inlineStr">
        <is>
          <t>2025-08-06</t>
        </is>
      </c>
    </row>
    <row r="66">
      <c r="A66" s="272" t="n">
        <v>65</v>
      </c>
      <c r="B66" s="272" t="n">
        <v>98609197</v>
      </c>
      <c r="C66" s="272" t="inlineStr">
        <is>
          <t>4200H/222A-B934</t>
        </is>
      </c>
      <c r="D66" s="272" t="inlineStr">
        <is>
          <t>Patrimony</t>
        </is>
      </c>
      <c r="E66" s="272" t="inlineStr">
        <is>
          <t>Request</t>
        </is>
      </c>
      <c r="F66" s="272" t="inlineStr">
        <is>
          <t>Prospect</t>
        </is>
      </c>
      <c r="G66" s="272" t="inlineStr">
        <is>
          <t>28/2/2025</t>
        </is>
      </c>
      <c r="H66" s="272" t="n"/>
      <c r="I66" s="272" t="n">
        <v>75</v>
      </c>
      <c r="J66" s="272" t="inlineStr">
        <is>
          <t>TBD</t>
        </is>
      </c>
      <c r="K66" s="272" t="inlineStr">
        <is>
          <t>TBD</t>
        </is>
      </c>
      <c r="L66" s="272" t="inlineStr">
        <is>
          <t>222\n</t>
        </is>
      </c>
      <c r="M66" s="272" t="inlineStr">
        <is>
          <t>Urgent follow-up required</t>
        </is>
      </c>
      <c r="N66" s="272" t="inlineStr">
        <is>
          <t>2025-08-06</t>
        </is>
      </c>
    </row>
    <row r="67">
      <c r="A67" s="272" t="n">
        <v>66</v>
      </c>
      <c r="B67" s="272" t="n">
        <v>104507397</v>
      </c>
      <c r="C67" s="272" t="inlineStr">
        <is>
          <t>4200H/222A-B934</t>
        </is>
      </c>
      <c r="D67" s="272" t="inlineStr">
        <is>
          <t>Patrimony</t>
        </is>
      </c>
      <c r="E67" s="272" t="inlineStr">
        <is>
          <t>Request</t>
        </is>
      </c>
      <c r="F67" s="272" t="inlineStr">
        <is>
          <t>Prospect</t>
        </is>
      </c>
      <c r="G67" s="272" t="inlineStr">
        <is>
          <t>1/3/2025</t>
        </is>
      </c>
      <c r="H67" s="272" t="n">
        <v>100</v>
      </c>
      <c r="I67" s="272" t="n">
        <v>75</v>
      </c>
      <c r="J67" s="272" t="inlineStr">
        <is>
          <t>TBD</t>
        </is>
      </c>
      <c r="K67" s="272" t="inlineStr">
        <is>
          <t>TBD</t>
        </is>
      </c>
      <c r="L67" s="272" t="inlineStr">
        <is>
          <t>\n</t>
        </is>
      </c>
      <c r="M67" s="272" t="inlineStr">
        <is>
          <t>Urgent follow-up required</t>
        </is>
      </c>
      <c r="N67" s="272" t="inlineStr">
        <is>
          <t>2025-08-06</t>
        </is>
      </c>
    </row>
    <row r="68">
      <c r="A68" s="272" t="n">
        <v>67</v>
      </c>
      <c r="B68" s="272" t="n">
        <v>102140303</v>
      </c>
      <c r="C68" s="272" t="inlineStr">
        <is>
          <t>5520V/210A-B148</t>
        </is>
      </c>
      <c r="D68" s="272" t="inlineStr">
        <is>
          <t>Overseas</t>
        </is>
      </c>
      <c r="E68" s="272" t="inlineStr">
        <is>
          <t>Request</t>
        </is>
      </c>
      <c r="F68" s="272" t="inlineStr">
        <is>
          <t>Prospect</t>
        </is>
      </c>
      <c r="G68" s="272" t="inlineStr">
        <is>
          <t>1/3/2025</t>
        </is>
      </c>
      <c r="H68" s="272" t="n">
        <v>100</v>
      </c>
      <c r="I68" s="272" t="n">
        <v>75</v>
      </c>
      <c r="J68" s="272" t="inlineStr">
        <is>
          <t>TBD</t>
        </is>
      </c>
      <c r="K68" s="272" t="inlineStr">
        <is>
          <t>TBD</t>
        </is>
      </c>
      <c r="L68" s="272" t="inlineStr">
        <is>
          <t>The client is interested in the Overseas chronograph\n blue\n</t>
        </is>
      </c>
      <c r="M68" s="272" t="inlineStr">
        <is>
          <t>Urgent follow-up required</t>
        </is>
      </c>
      <c r="N68" s="272" t="inlineStr">
        <is>
          <t>2025-08-06</t>
        </is>
      </c>
    </row>
    <row r="69">
      <c r="A69" s="272" t="n">
        <v>68</v>
      </c>
      <c r="B69" s="272" t="n">
        <v>104909110</v>
      </c>
      <c r="C69" s="272" t="inlineStr">
        <is>
          <t>4200H/222A-B934</t>
        </is>
      </c>
      <c r="D69" s="272" t="inlineStr">
        <is>
          <t>Patrimony</t>
        </is>
      </c>
      <c r="E69" s="272" t="inlineStr">
        <is>
          <t>Request</t>
        </is>
      </c>
      <c r="F69" s="272" t="inlineStr">
        <is>
          <t>Prospect</t>
        </is>
      </c>
      <c r="G69" s="272" t="inlineStr">
        <is>
          <t>7/3/2025</t>
        </is>
      </c>
      <c r="H69" s="272" t="n">
        <v>34</v>
      </c>
      <c r="I69" s="272" t="n">
        <v>75</v>
      </c>
      <c r="J69" s="272" t="inlineStr">
        <is>
          <t>TBD</t>
        </is>
      </c>
      <c r="K69" s="272" t="inlineStr">
        <is>
          <t>TBD</t>
        </is>
      </c>
      <c r="L69" s="272" t="inlineStr">
        <is>
          <t>222\n</t>
        </is>
      </c>
      <c r="M69" s="272" t="inlineStr">
        <is>
          <t>Urgent follow-up required</t>
        </is>
      </c>
      <c r="N69" s="272" t="inlineStr">
        <is>
          <t>2025-08-06</t>
        </is>
      </c>
    </row>
    <row r="70">
      <c r="A70" s="272" t="n">
        <v>69</v>
      </c>
      <c r="B70" s="272" t="n">
        <v>104457258</v>
      </c>
      <c r="C70" s="272" t="inlineStr">
        <is>
          <t>4200H/222A-B934</t>
        </is>
      </c>
      <c r="D70" s="272" t="inlineStr">
        <is>
          <t>Patrimony</t>
        </is>
      </c>
      <c r="E70" s="272" t="inlineStr">
        <is>
          <t>Request</t>
        </is>
      </c>
      <c r="F70" s="272" t="inlineStr">
        <is>
          <t>Prospect</t>
        </is>
      </c>
      <c r="G70" s="272" t="inlineStr">
        <is>
          <t>5/3/2025</t>
        </is>
      </c>
      <c r="H70" s="272" t="n">
        <v>95</v>
      </c>
      <c r="I70" s="272" t="n">
        <v>75</v>
      </c>
      <c r="J70" s="272" t="inlineStr">
        <is>
          <t>TBD</t>
        </is>
      </c>
      <c r="K70" s="272" t="inlineStr">
        <is>
          <t>TBD</t>
        </is>
      </c>
      <c r="L70" s="272" t="inlineStr">
        <is>
          <t>222\n</t>
        </is>
      </c>
      <c r="M70" s="272" t="inlineStr">
        <is>
          <t>Urgent follow-up required</t>
        </is>
      </c>
      <c r="N70" s="272" t="inlineStr">
        <is>
          <t>2025-08-06</t>
        </is>
      </c>
    </row>
    <row r="71">
      <c r="A71" s="272" t="n">
        <v>70</v>
      </c>
      <c r="B71" s="272" t="n">
        <v>104459323</v>
      </c>
      <c r="C71" s="272" t="inlineStr">
        <is>
          <t>7920V/210A-B546</t>
        </is>
      </c>
      <c r="D71" s="272" t="inlineStr">
        <is>
          <t>Other</t>
        </is>
      </c>
      <c r="E71" s="272" t="inlineStr">
        <is>
          <t>Request</t>
        </is>
      </c>
      <c r="F71" s="272" t="inlineStr">
        <is>
          <t>Prospect</t>
        </is>
      </c>
      <c r="G71" s="272" t="inlineStr">
        <is>
          <t>4/3/2025</t>
        </is>
      </c>
      <c r="H71" s="272" t="n">
        <v>100</v>
      </c>
      <c r="I71" s="272" t="n">
        <v>75</v>
      </c>
      <c r="J71" s="272" t="inlineStr">
        <is>
          <t>TBD</t>
        </is>
      </c>
      <c r="K71" s="272" t="inlineStr">
        <is>
          <t>TBD</t>
        </is>
      </c>
      <c r="L71" s="272" t="inlineStr">
        <is>
          <t>the client is interested in the dual and Chronograph black dial \n</t>
        </is>
      </c>
      <c r="M71" s="272" t="inlineStr">
        <is>
          <t>Urgent follow-up required</t>
        </is>
      </c>
      <c r="N71" s="272" t="inlineStr">
        <is>
          <t>2025-08-06</t>
        </is>
      </c>
    </row>
    <row r="72">
      <c r="A72" s="272" t="n">
        <v>71</v>
      </c>
      <c r="B72" s="272" t="n">
        <v>104482467</v>
      </c>
      <c r="C72" s="272" t="inlineStr">
        <is>
          <t>4200H/222A-B934</t>
        </is>
      </c>
      <c r="D72" s="272" t="inlineStr">
        <is>
          <t>Patrimony</t>
        </is>
      </c>
      <c r="E72" s="272" t="inlineStr">
        <is>
          <t>Request</t>
        </is>
      </c>
      <c r="F72" s="272" t="inlineStr">
        <is>
          <t>Prospect</t>
        </is>
      </c>
      <c r="G72" s="272" t="inlineStr">
        <is>
          <t>5/3/2025</t>
        </is>
      </c>
      <c r="H72" s="272" t="n">
        <v>95</v>
      </c>
      <c r="I72" s="272" t="n">
        <v>75</v>
      </c>
      <c r="J72" s="272" t="inlineStr">
        <is>
          <t>TBD</t>
        </is>
      </c>
      <c r="K72" s="272" t="inlineStr">
        <is>
          <t>TBD</t>
        </is>
      </c>
      <c r="L72" s="272" t="inlineStr">
        <is>
          <t>222\n</t>
        </is>
      </c>
      <c r="M72" s="272" t="inlineStr">
        <is>
          <t>Urgent follow-up required</t>
        </is>
      </c>
      <c r="N72" s="272" t="inlineStr">
        <is>
          <t>2025-08-06</t>
        </is>
      </c>
    </row>
    <row r="73">
      <c r="A73" s="272" t="n">
        <v>72</v>
      </c>
      <c r="B73" s="272" t="n">
        <v>105370532</v>
      </c>
      <c r="C73" s="272" t="inlineStr">
        <is>
          <t>4600E/000R-H101</t>
        </is>
      </c>
      <c r="D73" s="272" t="inlineStr">
        <is>
          <t>Other</t>
        </is>
      </c>
      <c r="E73" s="272" t="inlineStr">
        <is>
          <t>Request</t>
        </is>
      </c>
      <c r="F73" s="272" t="inlineStr">
        <is>
          <t>Prospect</t>
        </is>
      </c>
      <c r="G73" s="272" t="inlineStr">
        <is>
          <t>29/3/2025</t>
        </is>
      </c>
      <c r="H73" s="272" t="n"/>
      <c r="I73" s="272" t="n">
        <v>75</v>
      </c>
      <c r="J73" s="272" t="inlineStr">
        <is>
          <t>TBD</t>
        </is>
      </c>
      <c r="K73" s="272" t="inlineStr">
        <is>
          <t>TBD</t>
        </is>
      </c>
      <c r="L73" s="272" t="inlineStr">
        <is>
          <t>Fiftysix self-winding\n</t>
        </is>
      </c>
      <c r="M73" s="272" t="inlineStr">
        <is>
          <t>Urgent follow-up required</t>
        </is>
      </c>
      <c r="N73" s="272" t="inlineStr">
        <is>
          <t>2025-08-06</t>
        </is>
      </c>
    </row>
    <row r="74">
      <c r="A74" s="272" t="n">
        <v>73</v>
      </c>
      <c r="B74" s="272" t="n">
        <v>104908886</v>
      </c>
      <c r="C74" s="272" t="inlineStr">
        <is>
          <t>4200H/222A-B934</t>
        </is>
      </c>
      <c r="D74" s="272" t="inlineStr">
        <is>
          <t>Patrimony</t>
        </is>
      </c>
      <c r="E74" s="272" t="inlineStr">
        <is>
          <t>Request</t>
        </is>
      </c>
      <c r="F74" s="272" t="inlineStr">
        <is>
          <t>Prospect</t>
        </is>
      </c>
      <c r="G74" s="272" t="inlineStr">
        <is>
          <t>27/3/2025</t>
        </is>
      </c>
      <c r="H74" s="272" t="n"/>
      <c r="I74" s="272" t="n">
        <v>75</v>
      </c>
      <c r="J74" s="272" t="inlineStr">
        <is>
          <t>TBD</t>
        </is>
      </c>
      <c r="K74" s="272" t="inlineStr">
        <is>
          <t>TBD</t>
        </is>
      </c>
      <c r="L74" s="272" t="inlineStr">
        <is>
          <t>222\n</t>
        </is>
      </c>
      <c r="M74" s="272" t="inlineStr">
        <is>
          <t>Urgent follow-up required</t>
        </is>
      </c>
      <c r="N74" s="272" t="inlineStr">
        <is>
          <t>2025-08-06</t>
        </is>
      </c>
    </row>
    <row r="75">
      <c r="A75" s="272" t="n">
        <v>74</v>
      </c>
      <c r="B75" s="272" t="n">
        <v>103831079</v>
      </c>
      <c r="C75" s="272" t="inlineStr">
        <is>
          <t>4200H/222A-B934</t>
        </is>
      </c>
      <c r="D75" s="272" t="inlineStr">
        <is>
          <t>Patrimony</t>
        </is>
      </c>
      <c r="E75" s="272" t="inlineStr">
        <is>
          <t>Request</t>
        </is>
      </c>
      <c r="F75" s="272" t="inlineStr">
        <is>
          <t>Prospect</t>
        </is>
      </c>
      <c r="G75" s="272" t="inlineStr">
        <is>
          <t>7/3/2025</t>
        </is>
      </c>
      <c r="H75" s="272" t="n">
        <v>34</v>
      </c>
      <c r="I75" s="272" t="n">
        <v>75</v>
      </c>
      <c r="J75" s="272" t="inlineStr">
        <is>
          <t>TBD</t>
        </is>
      </c>
      <c r="K75" s="272" t="inlineStr">
        <is>
          <t>TBD</t>
        </is>
      </c>
      <c r="L75" s="272" t="inlineStr">
        <is>
          <t>222 \n</t>
        </is>
      </c>
      <c r="M75" s="272" t="inlineStr">
        <is>
          <t>Urgent follow-up required</t>
        </is>
      </c>
      <c r="N75" s="272" t="inlineStr">
        <is>
          <t>2025-08-06</t>
        </is>
      </c>
    </row>
    <row r="76">
      <c r="A76" s="272" t="n">
        <v>75</v>
      </c>
      <c r="B76" s="272" t="n">
        <v>104726140</v>
      </c>
      <c r="C76" s="272" t="inlineStr">
        <is>
          <t>5520V/210A-B148</t>
        </is>
      </c>
      <c r="D76" s="272" t="inlineStr">
        <is>
          <t>Overseas</t>
        </is>
      </c>
      <c r="E76" s="272" t="inlineStr">
        <is>
          <t>Request</t>
        </is>
      </c>
      <c r="F76" s="272" t="inlineStr">
        <is>
          <t>Prospect</t>
        </is>
      </c>
      <c r="G76" s="272" t="inlineStr">
        <is>
          <t>1/3/2025</t>
        </is>
      </c>
      <c r="H76" s="272" t="n">
        <v>100</v>
      </c>
      <c r="I76" s="272" t="n">
        <v>75</v>
      </c>
      <c r="J76" s="272" t="inlineStr">
        <is>
          <t>TBD</t>
        </is>
      </c>
      <c r="K76" s="272" t="inlineStr">
        <is>
          <t>TBD</t>
        </is>
      </c>
      <c r="L76" s="272" t="inlineStr">
        <is>
          <t>\n</t>
        </is>
      </c>
      <c r="M76" s="272" t="inlineStr">
        <is>
          <t>Urgent follow-up required</t>
        </is>
      </c>
      <c r="N76" s="272" t="inlineStr">
        <is>
          <t>2025-08-06</t>
        </is>
      </c>
    </row>
    <row r="77">
      <c r="A77" s="272" t="n">
        <v>76</v>
      </c>
      <c r="B77" s="272" t="n">
        <v>104564947</v>
      </c>
      <c r="C77" s="272" t="inlineStr">
        <is>
          <t>4200H/222A-B934</t>
        </is>
      </c>
      <c r="D77" s="272" t="inlineStr">
        <is>
          <t>Patrimony</t>
        </is>
      </c>
      <c r="E77" s="272" t="inlineStr">
        <is>
          <t>Request</t>
        </is>
      </c>
      <c r="F77" s="272" t="inlineStr">
        <is>
          <t>Prospect</t>
        </is>
      </c>
      <c r="G77" s="272" t="inlineStr">
        <is>
          <t>25/3/2025</t>
        </is>
      </c>
      <c r="H77" s="272" t="n"/>
      <c r="I77" s="272" t="n">
        <v>75</v>
      </c>
      <c r="J77" s="272" t="inlineStr">
        <is>
          <t>TBD</t>
        </is>
      </c>
      <c r="K77" s="272" t="inlineStr">
        <is>
          <t>TBD</t>
        </is>
      </c>
      <c r="L77" s="272" t="inlineStr">
        <is>
          <t>222\n</t>
        </is>
      </c>
      <c r="M77" s="272" t="inlineStr">
        <is>
          <t>Urgent follow-up required</t>
        </is>
      </c>
      <c r="N77" s="272" t="inlineStr">
        <is>
          <t>2025-08-06</t>
        </is>
      </c>
    </row>
    <row r="78">
      <c r="A78" s="272" t="n">
        <v>77</v>
      </c>
      <c r="B78" s="272" t="n">
        <v>93232291</v>
      </c>
      <c r="C78" s="272" t="inlineStr">
        <is>
          <t>4200H/222A-B934</t>
        </is>
      </c>
      <c r="D78" s="272" t="inlineStr">
        <is>
          <t>Patrimony</t>
        </is>
      </c>
      <c r="E78" s="272" t="inlineStr">
        <is>
          <t>Request</t>
        </is>
      </c>
      <c r="F78" s="272" t="inlineStr">
        <is>
          <t>Prospect</t>
        </is>
      </c>
      <c r="G78" s="272" t="inlineStr">
        <is>
          <t>25/3/2025</t>
        </is>
      </c>
      <c r="H78" s="272" t="n"/>
      <c r="I78" s="272" t="n">
        <v>75</v>
      </c>
      <c r="J78" s="272" t="inlineStr">
        <is>
          <t>TBD</t>
        </is>
      </c>
      <c r="K78" s="272" t="inlineStr">
        <is>
          <t>TBD</t>
        </is>
      </c>
      <c r="L78" s="272" t="inlineStr">
        <is>
          <t>4200H/222A-B934 222\n</t>
        </is>
      </c>
      <c r="M78" s="272" t="inlineStr">
        <is>
          <t>Urgent follow-up required</t>
        </is>
      </c>
      <c r="N78" s="272" t="inlineStr">
        <is>
          <t>2025-08-06</t>
        </is>
      </c>
    </row>
    <row r="79">
      <c r="A79" s="272" t="n">
        <v>78</v>
      </c>
      <c r="B79" s="272" t="n">
        <v>104576008</v>
      </c>
      <c r="C79" s="272" t="inlineStr">
        <is>
          <t>4200H/222A-B934</t>
        </is>
      </c>
      <c r="D79" s="272" t="inlineStr">
        <is>
          <t>Patrimony</t>
        </is>
      </c>
      <c r="E79" s="272" t="inlineStr">
        <is>
          <t>Request</t>
        </is>
      </c>
      <c r="F79" s="272" t="inlineStr">
        <is>
          <t>Prospect</t>
        </is>
      </c>
      <c r="G79" s="272" t="inlineStr">
        <is>
          <t>13/3/2025</t>
        </is>
      </c>
      <c r="H79" s="272" t="n"/>
      <c r="I79" s="272" t="n">
        <v>75</v>
      </c>
      <c r="J79" s="272" t="inlineStr">
        <is>
          <t>TBD</t>
        </is>
      </c>
      <c r="K79" s="272" t="inlineStr">
        <is>
          <t>TBD</t>
        </is>
      </c>
      <c r="L79" s="272" t="inlineStr">
        <is>
          <t>222\n</t>
        </is>
      </c>
      <c r="M79" s="272" t="inlineStr">
        <is>
          <t>Urgent follow-up required</t>
        </is>
      </c>
      <c r="N79" s="272" t="inlineStr">
        <is>
          <t>2025-08-06</t>
        </is>
      </c>
    </row>
    <row r="80">
      <c r="A80" s="272" t="n">
        <v>79</v>
      </c>
      <c r="B80" s="272" t="n">
        <v>104609280</v>
      </c>
      <c r="C80" s="272" t="inlineStr">
        <is>
          <t>4520V/210A-B128</t>
        </is>
      </c>
      <c r="D80" s="272" t="inlineStr">
        <is>
          <t>Overseas</t>
        </is>
      </c>
      <c r="E80" s="272" t="inlineStr">
        <is>
          <t>Request</t>
        </is>
      </c>
      <c r="F80" s="272" t="inlineStr">
        <is>
          <t>Prospect</t>
        </is>
      </c>
      <c r="G80" s="272" t="inlineStr">
        <is>
          <t>15/3/2025</t>
        </is>
      </c>
      <c r="H80" s="272" t="n"/>
      <c r="I80" s="272" t="n">
        <v>75</v>
      </c>
      <c r="J80" s="272" t="inlineStr">
        <is>
          <t>TBD</t>
        </is>
      </c>
      <c r="K80" s="272" t="inlineStr">
        <is>
          <t>TBD</t>
        </is>
      </c>
      <c r="L80" s="272" t="inlineStr">
        <is>
          <t>b128 no history \n</t>
        </is>
      </c>
      <c r="M80" s="272" t="inlineStr">
        <is>
          <t>Urgent follow-up required</t>
        </is>
      </c>
      <c r="N80" s="272" t="inlineStr">
        <is>
          <t>2025-08-06</t>
        </is>
      </c>
    </row>
    <row r="81">
      <c r="A81" s="272" t="n">
        <v>80</v>
      </c>
      <c r="B81" s="272" t="n">
        <v>103775089</v>
      </c>
      <c r="C81" s="272" t="inlineStr">
        <is>
          <t>4200H/222A-B934</t>
        </is>
      </c>
      <c r="D81" s="272" t="inlineStr">
        <is>
          <t>Patrimony</t>
        </is>
      </c>
      <c r="E81" s="272" t="inlineStr">
        <is>
          <t>Request</t>
        </is>
      </c>
      <c r="F81" s="272" t="inlineStr">
        <is>
          <t>Prospect</t>
        </is>
      </c>
      <c r="G81" s="272" t="inlineStr">
        <is>
          <t>25/1/2025</t>
        </is>
      </c>
      <c r="H81" s="272" t="n"/>
      <c r="I81" s="272" t="n">
        <v>75</v>
      </c>
      <c r="J81" s="272" t="inlineStr">
        <is>
          <t>TBD</t>
        </is>
      </c>
      <c r="K81" s="272" t="inlineStr">
        <is>
          <t>TBD</t>
        </is>
      </c>
      <c r="L81" s="272" t="n"/>
      <c r="M81" s="272" t="inlineStr">
        <is>
          <t>Urgent follow-up required</t>
        </is>
      </c>
      <c r="N81" s="272" t="inlineStr">
        <is>
          <t>2025-08-06</t>
        </is>
      </c>
    </row>
    <row r="82">
      <c r="A82" s="272" t="n">
        <v>81</v>
      </c>
      <c r="B82" s="272" t="n">
        <v>103744983</v>
      </c>
      <c r="C82" s="272" t="inlineStr">
        <is>
          <t>7920V/210A-B334</t>
        </is>
      </c>
      <c r="D82" s="272" t="inlineStr">
        <is>
          <t>Other</t>
        </is>
      </c>
      <c r="E82" s="272" t="inlineStr">
        <is>
          <t>Request</t>
        </is>
      </c>
      <c r="F82" s="272" t="inlineStr">
        <is>
          <t>Prospect</t>
        </is>
      </c>
      <c r="G82" s="272" t="inlineStr">
        <is>
          <t>24/1/2025</t>
        </is>
      </c>
      <c r="H82" s="272" t="n"/>
      <c r="I82" s="272" t="n">
        <v>75</v>
      </c>
      <c r="J82" s="272" t="inlineStr">
        <is>
          <t>TBD</t>
        </is>
      </c>
      <c r="K82" s="272" t="inlineStr">
        <is>
          <t>TBD</t>
        </is>
      </c>
      <c r="L82" s="272" t="n"/>
      <c r="M82" s="272" t="inlineStr">
        <is>
          <t>Urgent follow-up required</t>
        </is>
      </c>
      <c r="N82" s="272" t="inlineStr">
        <is>
          <t>2025-08-06</t>
        </is>
      </c>
    </row>
    <row r="83">
      <c r="A83" s="272" t="n">
        <v>82</v>
      </c>
      <c r="B83" s="272" t="n">
        <v>103729472</v>
      </c>
      <c r="C83" s="272" t="inlineStr">
        <is>
          <t>4200H/222J-B935</t>
        </is>
      </c>
      <c r="D83" s="272" t="inlineStr">
        <is>
          <t>Patrimony</t>
        </is>
      </c>
      <c r="E83" s="272" t="inlineStr">
        <is>
          <t>Request</t>
        </is>
      </c>
      <c r="F83" s="272" t="inlineStr">
        <is>
          <t>Prospect</t>
        </is>
      </c>
      <c r="G83" s="272" t="inlineStr">
        <is>
          <t>22/1/2025</t>
        </is>
      </c>
      <c r="H83" s="272" t="n"/>
      <c r="I83" s="272" t="n">
        <v>75</v>
      </c>
      <c r="J83" s="272" t="inlineStr">
        <is>
          <t>TBD</t>
        </is>
      </c>
      <c r="K83" s="272" t="inlineStr">
        <is>
          <t>TBD</t>
        </is>
      </c>
      <c r="L83" s="272" t="inlineStr">
        <is>
          <t>The client was referred by my client and he's interested in the Gold 222\n</t>
        </is>
      </c>
      <c r="M83" s="272" t="inlineStr">
        <is>
          <t>Urgent follow-up required</t>
        </is>
      </c>
      <c r="N83" s="272" t="inlineStr">
        <is>
          <t>2025-08-06</t>
        </is>
      </c>
    </row>
    <row r="84">
      <c r="A84" s="272" t="n">
        <v>83</v>
      </c>
      <c r="B84" s="272" t="n">
        <v>92408008</v>
      </c>
      <c r="C84" s="272" t="inlineStr">
        <is>
          <t>4200H/222A-B934</t>
        </is>
      </c>
      <c r="D84" s="272" t="inlineStr">
        <is>
          <t>Patrimony</t>
        </is>
      </c>
      <c r="E84" s="272" t="inlineStr">
        <is>
          <t>Request</t>
        </is>
      </c>
      <c r="F84" s="272" t="inlineStr">
        <is>
          <t>Prospect</t>
        </is>
      </c>
      <c r="G84" s="272" t="inlineStr">
        <is>
          <t>20/1/2025</t>
        </is>
      </c>
      <c r="H84" s="272" t="n"/>
      <c r="I84" s="272" t="n">
        <v>75</v>
      </c>
      <c r="J84" s="272" t="inlineStr">
        <is>
          <t>TBD</t>
        </is>
      </c>
      <c r="K84" s="272" t="inlineStr">
        <is>
          <t>TBD</t>
        </is>
      </c>
      <c r="L84" s="272" t="n"/>
      <c r="M84" s="272" t="inlineStr">
        <is>
          <t>Urgent follow-up required</t>
        </is>
      </c>
      <c r="N84" s="272" t="inlineStr">
        <is>
          <t>2025-08-06</t>
        </is>
      </c>
    </row>
    <row r="85">
      <c r="A85" s="272" t="n">
        <v>84</v>
      </c>
      <c r="B85" s="272" t="n">
        <v>100995935</v>
      </c>
      <c r="C85" s="272" t="inlineStr">
        <is>
          <t>4520V/210R-B705</t>
        </is>
      </c>
      <c r="D85" s="272" t="inlineStr">
        <is>
          <t>Overseas</t>
        </is>
      </c>
      <c r="E85" s="272" t="inlineStr">
        <is>
          <t>Request</t>
        </is>
      </c>
      <c r="F85" s="272" t="inlineStr">
        <is>
          <t>Prospect</t>
        </is>
      </c>
      <c r="G85" s="272" t="inlineStr">
        <is>
          <t>10/9/2024</t>
        </is>
      </c>
      <c r="H85" s="272" t="n">
        <v>100</v>
      </c>
      <c r="I85" s="272" t="n">
        <v>75</v>
      </c>
      <c r="J85" s="272" t="inlineStr">
        <is>
          <t>TBD</t>
        </is>
      </c>
      <c r="K85" s="272" t="inlineStr">
        <is>
          <t>TBD</t>
        </is>
      </c>
      <c r="L85" s="272" t="inlineStr">
        <is>
          <t>The client purchased the  Fiftysix self-winding and  now planing for the oversease blue dail \n</t>
        </is>
      </c>
      <c r="M85" s="272" t="inlineStr">
        <is>
          <t>Urgent follow-up required</t>
        </is>
      </c>
      <c r="N85" s="272" t="inlineStr">
        <is>
          <t>2025-08-06</t>
        </is>
      </c>
    </row>
    <row r="86">
      <c r="A86" s="272" t="n">
        <v>85</v>
      </c>
      <c r="B86" s="272" t="n">
        <v>100995935</v>
      </c>
      <c r="C86" s="272" t="inlineStr">
        <is>
          <t>4520V/210A-B128</t>
        </is>
      </c>
      <c r="D86" s="272" t="inlineStr">
        <is>
          <t>Overseas</t>
        </is>
      </c>
      <c r="E86" s="272" t="inlineStr">
        <is>
          <t>Request</t>
        </is>
      </c>
      <c r="F86" s="272" t="inlineStr">
        <is>
          <t>Prospect</t>
        </is>
      </c>
      <c r="G86" s="272" t="inlineStr">
        <is>
          <t>10/9/2024</t>
        </is>
      </c>
      <c r="H86" s="272" t="n">
        <v>100</v>
      </c>
      <c r="I86" s="272" t="n">
        <v>75</v>
      </c>
      <c r="J86" s="272" t="inlineStr">
        <is>
          <t>TBD</t>
        </is>
      </c>
      <c r="K86" s="272" t="inlineStr">
        <is>
          <t>TBD</t>
        </is>
      </c>
      <c r="L86" s="272" t="inlineStr">
        <is>
          <t>The client is interested in purchasing the Overseas Blue Dial.\n</t>
        </is>
      </c>
      <c r="M86" s="272" t="inlineStr">
        <is>
          <t>Urgent follow-up required</t>
        </is>
      </c>
      <c r="N86" s="272" t="inlineStr">
        <is>
          <t>2025-08-06</t>
        </is>
      </c>
    </row>
    <row r="87">
      <c r="A87" s="272" t="n">
        <v>86</v>
      </c>
      <c r="B87" s="272" t="n">
        <v>101413931</v>
      </c>
      <c r="C87" s="272" t="inlineStr">
        <is>
          <t>4520V/210A-B128</t>
        </is>
      </c>
      <c r="D87" s="272" t="inlineStr">
        <is>
          <t>Overseas</t>
        </is>
      </c>
      <c r="E87" s="272" t="inlineStr">
        <is>
          <t>Request</t>
        </is>
      </c>
      <c r="F87" s="272" t="inlineStr">
        <is>
          <t>Prospect</t>
        </is>
      </c>
      <c r="G87" s="272" t="inlineStr">
        <is>
          <t>10/9/2024</t>
        </is>
      </c>
      <c r="H87" s="272" t="n">
        <v>100</v>
      </c>
      <c r="I87" s="272" t="n">
        <v>75</v>
      </c>
      <c r="J87" s="272" t="inlineStr">
        <is>
          <t>TBD</t>
        </is>
      </c>
      <c r="K87" s="272" t="inlineStr">
        <is>
          <t>TBD</t>
        </is>
      </c>
      <c r="L87" s="272" t="inlineStr">
        <is>
          <t>The client is intrested in the overseas \n</t>
        </is>
      </c>
      <c r="M87" s="272" t="inlineStr">
        <is>
          <t>Urgent follow-up required</t>
        </is>
      </c>
      <c r="N87" s="272" t="inlineStr">
        <is>
          <t>2025-08-06</t>
        </is>
      </c>
    </row>
    <row r="88">
      <c r="A88" s="272" t="n">
        <v>87</v>
      </c>
      <c r="B88" s="272" t="n">
        <v>101413931</v>
      </c>
      <c r="C88" s="272" t="inlineStr">
        <is>
          <t>4600E/110A-B487</t>
        </is>
      </c>
      <c r="D88" s="272" t="inlineStr">
        <is>
          <t>Other</t>
        </is>
      </c>
      <c r="E88" s="272" t="inlineStr">
        <is>
          <t>Request</t>
        </is>
      </c>
      <c r="F88" s="272" t="inlineStr">
        <is>
          <t>Prospect</t>
        </is>
      </c>
      <c r="G88" s="272" t="inlineStr">
        <is>
          <t>10/9/2024</t>
        </is>
      </c>
      <c r="H88" s="272" t="n">
        <v>100</v>
      </c>
      <c r="I88" s="272" t="n">
        <v>75</v>
      </c>
      <c r="J88" s="272" t="inlineStr">
        <is>
          <t>TBD</t>
        </is>
      </c>
      <c r="K88" s="272" t="inlineStr">
        <is>
          <t>TBD</t>
        </is>
      </c>
      <c r="L88" s="272" t="inlineStr">
        <is>
          <t>the client is interested in both the oversease and fiftysix \n</t>
        </is>
      </c>
      <c r="M88" s="272" t="inlineStr">
        <is>
          <t>Urgent follow-up required</t>
        </is>
      </c>
      <c r="N88" s="272" t="inlineStr">
        <is>
          <t>2025-08-06</t>
        </is>
      </c>
    </row>
    <row r="89">
      <c r="A89" s="272" t="n">
        <v>88</v>
      </c>
      <c r="B89" s="272" t="n">
        <v>101413931</v>
      </c>
      <c r="C89" s="272" t="inlineStr">
        <is>
          <t>4520V/210A-B483</t>
        </is>
      </c>
      <c r="D89" s="272" t="inlineStr">
        <is>
          <t>Overseas</t>
        </is>
      </c>
      <c r="E89" s="272" t="inlineStr">
        <is>
          <t>Request</t>
        </is>
      </c>
      <c r="F89" s="272" t="inlineStr">
        <is>
          <t>Prospect</t>
        </is>
      </c>
      <c r="G89" s="272" t="inlineStr">
        <is>
          <t>10/9/2024</t>
        </is>
      </c>
      <c r="H89" s="272" t="n">
        <v>100</v>
      </c>
      <c r="I89" s="272" t="n">
        <v>75</v>
      </c>
      <c r="J89" s="272" t="inlineStr">
        <is>
          <t>TBD</t>
        </is>
      </c>
      <c r="K89" s="272" t="inlineStr">
        <is>
          <t>TBD</t>
        </is>
      </c>
      <c r="L89" s="272" t="inlineStr">
        <is>
          <t>the client would like to purchase both fiftysix and oversease black dial \n</t>
        </is>
      </c>
      <c r="M89" s="272" t="inlineStr">
        <is>
          <t>Urgent follow-up required</t>
        </is>
      </c>
      <c r="N89" s="272" t="inlineStr">
        <is>
          <t>2025-08-06</t>
        </is>
      </c>
    </row>
    <row r="90">
      <c r="A90" s="272" t="n">
        <v>89</v>
      </c>
      <c r="B90" s="272" t="n">
        <v>101413931</v>
      </c>
      <c r="C90" s="272" t="inlineStr">
        <is>
          <t>4520V/210A-B483</t>
        </is>
      </c>
      <c r="D90" s="272" t="inlineStr">
        <is>
          <t>Overseas</t>
        </is>
      </c>
      <c r="E90" s="272" t="inlineStr">
        <is>
          <t>Request</t>
        </is>
      </c>
      <c r="F90" s="272" t="inlineStr">
        <is>
          <t>Prospect</t>
        </is>
      </c>
      <c r="G90" s="272" t="inlineStr">
        <is>
          <t>10/9/2024</t>
        </is>
      </c>
      <c r="H90" s="272" t="n">
        <v>100</v>
      </c>
      <c r="I90" s="272" t="n">
        <v>75</v>
      </c>
      <c r="J90" s="272" t="inlineStr">
        <is>
          <t>TBD</t>
        </is>
      </c>
      <c r="K90" s="272" t="inlineStr">
        <is>
          <t>TBD</t>
        </is>
      </c>
      <c r="L90" s="272" t="inlineStr">
        <is>
          <t>the client would like to purchase the oversease black dial \n</t>
        </is>
      </c>
      <c r="M90" s="272" t="inlineStr">
        <is>
          <t>Urgent follow-up required</t>
        </is>
      </c>
      <c r="N90" s="272" t="inlineStr">
        <is>
          <t>2025-08-06</t>
        </is>
      </c>
    </row>
    <row r="91">
      <c r="A91" s="272" t="n">
        <v>90</v>
      </c>
      <c r="B91" s="272" t="n">
        <v>102003092</v>
      </c>
      <c r="C91" s="272" t="inlineStr">
        <is>
          <t>4000V/210A-B911</t>
        </is>
      </c>
      <c r="D91" s="272" t="inlineStr">
        <is>
          <t>Overseas</t>
        </is>
      </c>
      <c r="E91" s="272" t="inlineStr">
        <is>
          <t>Request</t>
        </is>
      </c>
      <c r="F91" s="272" t="inlineStr">
        <is>
          <t>Prospect</t>
        </is>
      </c>
      <c r="G91" s="272" t="inlineStr">
        <is>
          <t>16/10/2024</t>
        </is>
      </c>
      <c r="H91" s="272" t="n"/>
      <c r="I91" s="272" t="n">
        <v>75</v>
      </c>
      <c r="J91" s="272" t="inlineStr">
        <is>
          <t>TBD</t>
        </is>
      </c>
      <c r="K91" s="272" t="inlineStr">
        <is>
          <t>TBD</t>
        </is>
      </c>
      <c r="L91" s="272" t="inlineStr">
        <is>
          <t>The client is open for the Overseas moon phase retrograde date\n\nAs per the client hes going in a trip therefore , will love to purchase it from UAE \n</t>
        </is>
      </c>
      <c r="M91" s="272" t="inlineStr">
        <is>
          <t>Urgent follow-up required</t>
        </is>
      </c>
      <c r="N91" s="272" t="inlineStr">
        <is>
          <t>2025-08-06</t>
        </is>
      </c>
    </row>
    <row r="92">
      <c r="A92" s="272" t="n">
        <v>91</v>
      </c>
      <c r="B92" s="272" t="n">
        <v>101522662</v>
      </c>
      <c r="C92" s="272" t="inlineStr">
        <is>
          <t>4520V/210A-B128</t>
        </is>
      </c>
      <c r="D92" s="272" t="inlineStr">
        <is>
          <t>Overseas</t>
        </is>
      </c>
      <c r="E92" s="272" t="inlineStr">
        <is>
          <t>Request</t>
        </is>
      </c>
      <c r="F92" s="272" t="inlineStr">
        <is>
          <t>Prospect</t>
        </is>
      </c>
      <c r="G92" s="272" t="inlineStr">
        <is>
          <t>17/9/2024</t>
        </is>
      </c>
      <c r="H92" s="272" t="n"/>
      <c r="I92" s="272" t="n">
        <v>75</v>
      </c>
      <c r="J92" s="272" t="inlineStr">
        <is>
          <t>TBD</t>
        </is>
      </c>
      <c r="K92" s="272" t="inlineStr">
        <is>
          <t>TBD</t>
        </is>
      </c>
      <c r="L92" s="272" t="inlineStr">
        <is>
          <t>The client showed interest  in the oversease blue dial , \n</t>
        </is>
      </c>
      <c r="M92" s="272" t="inlineStr">
        <is>
          <t>Urgent follow-up required</t>
        </is>
      </c>
      <c r="N92" s="272" t="inlineStr">
        <is>
          <t>2025-08-06</t>
        </is>
      </c>
    </row>
    <row r="93">
      <c r="A93" s="272" t="n">
        <v>92</v>
      </c>
      <c r="B93" s="272" t="n">
        <v>103848588</v>
      </c>
      <c r="C93" s="272" t="inlineStr">
        <is>
          <t>7920V/210A-B546</t>
        </is>
      </c>
      <c r="D93" s="272" t="inlineStr">
        <is>
          <t>Other</t>
        </is>
      </c>
      <c r="E93" s="272" t="inlineStr">
        <is>
          <t>Request</t>
        </is>
      </c>
      <c r="F93" s="272" t="inlineStr">
        <is>
          <t>Prospect</t>
        </is>
      </c>
      <c r="G93" s="272" t="inlineStr">
        <is>
          <t>29/1/2025</t>
        </is>
      </c>
      <c r="H93" s="272" t="n"/>
      <c r="I93" s="272" t="n">
        <v>75</v>
      </c>
      <c r="J93" s="272" t="inlineStr">
        <is>
          <t>TBD</t>
        </is>
      </c>
      <c r="K93" s="272" t="inlineStr">
        <is>
          <t>TBD</t>
        </is>
      </c>
      <c r="L93" s="272" t="inlineStr">
        <is>
          <t>the client mentions his availability for appointments at the Dubai Mall boutique on the evening of February 9, the morning of February 11, and February 13, if the watch is available.\n</t>
        </is>
      </c>
      <c r="M93" s="272" t="inlineStr">
        <is>
          <t>Urgent follow-up required</t>
        </is>
      </c>
      <c r="N93" s="272" t="inlineStr">
        <is>
          <t>2025-08-06</t>
        </is>
      </c>
    </row>
    <row r="94">
      <c r="A94" s="272" t="n">
        <v>93</v>
      </c>
      <c r="B94" s="272" t="n">
        <v>103848588</v>
      </c>
      <c r="C94" s="272" t="inlineStr">
        <is>
          <t>7920V/210A-B334</t>
        </is>
      </c>
      <c r="D94" s="272" t="inlineStr">
        <is>
          <t>Other</t>
        </is>
      </c>
      <c r="E94" s="272" t="inlineStr">
        <is>
          <t>Request</t>
        </is>
      </c>
      <c r="F94" s="272" t="inlineStr">
        <is>
          <t>Prospect</t>
        </is>
      </c>
      <c r="G94" s="272" t="inlineStr">
        <is>
          <t>29/1/2025</t>
        </is>
      </c>
      <c r="H94" s="272" t="n"/>
      <c r="I94" s="272" t="n">
        <v>75</v>
      </c>
      <c r="J94" s="272" t="inlineStr">
        <is>
          <t>TBD</t>
        </is>
      </c>
      <c r="K94" s="272" t="inlineStr">
        <is>
          <t>TBD</t>
        </is>
      </c>
      <c r="L94" s="272" t="inlineStr">
        <is>
          <t>The client is very intrested in blue and black dual time , aslo he his availability for appointments at the Dubai Mall boutique on the evening of **February 9**, the m**orning of February 11,** **and February 13**, if the watch is available to purchase\n</t>
        </is>
      </c>
      <c r="M94" s="272" t="inlineStr">
        <is>
          <t>Urgent follow-up required</t>
        </is>
      </c>
      <c r="N94" s="272" t="inlineStr">
        <is>
          <t>2025-08-06</t>
        </is>
      </c>
    </row>
    <row r="95">
      <c r="A95" s="272" t="n">
        <v>94</v>
      </c>
      <c r="B95" s="272" t="n">
        <v>103845937</v>
      </c>
      <c r="C95" s="272" t="inlineStr">
        <is>
          <t>4300V/220G-B946</t>
        </is>
      </c>
      <c r="D95" s="272" t="inlineStr">
        <is>
          <t>Other</t>
        </is>
      </c>
      <c r="E95" s="272" t="inlineStr">
        <is>
          <t>Request</t>
        </is>
      </c>
      <c r="F95" s="272" t="inlineStr">
        <is>
          <t>Prospect</t>
        </is>
      </c>
      <c r="G95" s="272" t="inlineStr">
        <is>
          <t>29/1/2025</t>
        </is>
      </c>
      <c r="H95" s="272" t="n"/>
      <c r="I95" s="272" t="n">
        <v>75</v>
      </c>
      <c r="J95" s="272" t="inlineStr">
        <is>
          <t>TBD</t>
        </is>
      </c>
      <c r="K95" s="272" t="inlineStr">
        <is>
          <t>TBD</t>
        </is>
      </c>
      <c r="L95" s="272" t="inlineStr">
        <is>
          <t>the client is interested Overseas perpetual calendar\n</t>
        </is>
      </c>
      <c r="M95" s="272" t="inlineStr">
        <is>
          <t>Urgent follow-up required</t>
        </is>
      </c>
      <c r="N95" s="272" t="inlineStr">
        <is>
          <t>2025-08-06</t>
        </is>
      </c>
    </row>
    <row r="96">
      <c r="A96" s="272" t="n">
        <v>95</v>
      </c>
      <c r="B96" s="272" t="n">
        <v>103831073</v>
      </c>
      <c r="C96" s="272" t="inlineStr">
        <is>
          <t>4200H/222A-B934</t>
        </is>
      </c>
      <c r="D96" s="272" t="inlineStr">
        <is>
          <t>Patrimony</t>
        </is>
      </c>
      <c r="E96" s="272" t="inlineStr">
        <is>
          <t>Request</t>
        </is>
      </c>
      <c r="F96" s="272" t="inlineStr">
        <is>
          <t>Prospect</t>
        </is>
      </c>
      <c r="G96" s="272" t="inlineStr">
        <is>
          <t>30/1/2025</t>
        </is>
      </c>
      <c r="H96" s="272" t="n"/>
      <c r="I96" s="272" t="n">
        <v>75</v>
      </c>
      <c r="J96" s="272" t="inlineStr">
        <is>
          <t>TBD</t>
        </is>
      </c>
      <c r="K96" s="272" t="inlineStr">
        <is>
          <t>TBD</t>
        </is>
      </c>
      <c r="L96" s="272" t="n"/>
      <c r="M96" s="272" t="inlineStr">
        <is>
          <t>Urgent follow-up required</t>
        </is>
      </c>
      <c r="N96" s="272" t="inlineStr">
        <is>
          <t>2025-08-06</t>
        </is>
      </c>
    </row>
    <row r="97">
      <c r="A97" s="272" t="n">
        <v>96</v>
      </c>
      <c r="B97" s="272" t="n">
        <v>104495233</v>
      </c>
      <c r="C97" s="272" t="inlineStr">
        <is>
          <t>4200H/222A-B934</t>
        </is>
      </c>
      <c r="D97" s="272" t="inlineStr">
        <is>
          <t>Patrimony</t>
        </is>
      </c>
      <c r="E97" s="272" t="inlineStr">
        <is>
          <t>Request</t>
        </is>
      </c>
      <c r="F97" s="272" t="inlineStr">
        <is>
          <t>Prospect</t>
        </is>
      </c>
      <c r="G97" s="272" t="inlineStr">
        <is>
          <t>1/2/2025</t>
        </is>
      </c>
      <c r="H97" s="272" t="n">
        <v>100</v>
      </c>
      <c r="I97" s="272" t="n">
        <v>75</v>
      </c>
      <c r="J97" s="272" t="inlineStr">
        <is>
          <t>TBD</t>
        </is>
      </c>
      <c r="K97" s="272" t="inlineStr">
        <is>
          <t>TBD</t>
        </is>
      </c>
      <c r="L97" s="272" t="inlineStr">
        <is>
          <t>\n</t>
        </is>
      </c>
      <c r="M97" s="272" t="inlineStr">
        <is>
          <t>Urgent follow-up required</t>
        </is>
      </c>
      <c r="N97" s="272" t="inlineStr">
        <is>
          <t>2025-08-06</t>
        </is>
      </c>
    </row>
    <row r="98">
      <c r="A98" s="272" t="n">
        <v>97</v>
      </c>
      <c r="B98" s="272" t="n">
        <v>98874827</v>
      </c>
      <c r="C98" s="272" t="inlineStr">
        <is>
          <t>4200H/222A-B934</t>
        </is>
      </c>
      <c r="D98" s="272" t="inlineStr">
        <is>
          <t>Patrimony</t>
        </is>
      </c>
      <c r="E98" s="272" t="inlineStr">
        <is>
          <t>Request</t>
        </is>
      </c>
      <c r="F98" s="272" t="inlineStr">
        <is>
          <t>Prospect</t>
        </is>
      </c>
      <c r="G98" s="272" t="inlineStr">
        <is>
          <t>18/1/2025</t>
        </is>
      </c>
      <c r="H98" s="272" t="n"/>
      <c r="I98" s="272" t="n">
        <v>75</v>
      </c>
      <c r="J98" s="272" t="inlineStr">
        <is>
          <t>TBD</t>
        </is>
      </c>
      <c r="K98" s="272" t="inlineStr">
        <is>
          <t>TBD</t>
        </is>
      </c>
      <c r="L98" s="272" t="n"/>
      <c r="M98" s="272" t="inlineStr">
        <is>
          <t>Urgent follow-up required</t>
        </is>
      </c>
      <c r="N98" s="272" t="inlineStr">
        <is>
          <t>2025-08-06</t>
        </is>
      </c>
    </row>
    <row r="99">
      <c r="A99" s="272" t="n">
        <v>98</v>
      </c>
      <c r="B99" s="272" t="n">
        <v>103742903</v>
      </c>
      <c r="C99" s="272" t="inlineStr">
        <is>
          <t>4200H/222A-B934</t>
        </is>
      </c>
      <c r="D99" s="272" t="inlineStr">
        <is>
          <t>Patrimony</t>
        </is>
      </c>
      <c r="E99" s="272" t="inlineStr">
        <is>
          <t>Request</t>
        </is>
      </c>
      <c r="F99" s="272" t="inlineStr">
        <is>
          <t>Prospect</t>
        </is>
      </c>
      <c r="G99" s="272" t="inlineStr">
        <is>
          <t>20/1/2025</t>
        </is>
      </c>
      <c r="H99" s="272" t="n"/>
      <c r="I99" s="272" t="n">
        <v>75</v>
      </c>
      <c r="J99" s="272" t="inlineStr">
        <is>
          <t>TBD</t>
        </is>
      </c>
      <c r="K99" s="272" t="inlineStr">
        <is>
          <t>TBD</t>
        </is>
      </c>
      <c r="L99" s="272" t="inlineStr">
        <is>
          <t>Very interested client \n</t>
        </is>
      </c>
      <c r="M99" s="272" t="inlineStr">
        <is>
          <t>Urgent follow-up required</t>
        </is>
      </c>
      <c r="N99" s="272" t="inlineStr">
        <is>
          <t>2025-08-06</t>
        </is>
      </c>
    </row>
    <row r="100">
      <c r="A100" s="272" t="n">
        <v>99</v>
      </c>
      <c r="B100" s="272" t="n">
        <v>103713756</v>
      </c>
      <c r="C100" s="272" t="inlineStr">
        <is>
          <t>4200H/222A-B934</t>
        </is>
      </c>
      <c r="D100" s="272" t="inlineStr">
        <is>
          <t>Patrimony</t>
        </is>
      </c>
      <c r="E100" s="272" t="inlineStr">
        <is>
          <t>Request</t>
        </is>
      </c>
      <c r="F100" s="272" t="inlineStr">
        <is>
          <t>Prospect</t>
        </is>
      </c>
      <c r="G100" s="272" t="inlineStr">
        <is>
          <t>20/1/2025</t>
        </is>
      </c>
      <c r="H100" s="272" t="n"/>
      <c r="I100" s="272" t="n">
        <v>75</v>
      </c>
      <c r="J100" s="272" t="inlineStr">
        <is>
          <t>TBD</t>
        </is>
      </c>
      <c r="K100" s="272" t="inlineStr">
        <is>
          <t>TBD</t>
        </is>
      </c>
      <c r="L100" s="272" t="n"/>
      <c r="M100" s="272" t="inlineStr">
        <is>
          <t>Urgent follow-up required</t>
        </is>
      </c>
      <c r="N100" s="272" t="inlineStr">
        <is>
          <t>2025-08-06</t>
        </is>
      </c>
    </row>
    <row r="101">
      <c r="A101" s="272" t="n">
        <v>100</v>
      </c>
      <c r="B101" s="272" t="n">
        <v>103677618</v>
      </c>
      <c r="C101" s="272" t="inlineStr">
        <is>
          <t>4000U/000P-H003</t>
        </is>
      </c>
      <c r="D101" s="272" t="inlineStr">
        <is>
          <t>Other</t>
        </is>
      </c>
      <c r="E101" s="272" t="inlineStr">
        <is>
          <t>Request</t>
        </is>
      </c>
      <c r="F101" s="272" t="inlineStr">
        <is>
          <t>Prospect</t>
        </is>
      </c>
      <c r="G101" s="272" t="inlineStr">
        <is>
          <t>4/2/2025</t>
        </is>
      </c>
      <c r="H101" s="272" t="n">
        <v>100</v>
      </c>
      <c r="I101" s="272" t="n">
        <v>75</v>
      </c>
      <c r="J101" s="272" t="inlineStr">
        <is>
          <t>TBD</t>
        </is>
      </c>
      <c r="K101" s="272" t="inlineStr">
        <is>
          <t>TBD</t>
        </is>
      </c>
      <c r="L101" s="272" t="inlineStr">
        <is>
          <t>The client interested in the 222 gold and steel as well the Patrimony and Historiques \n</t>
        </is>
      </c>
      <c r="M101" s="272" t="inlineStr">
        <is>
          <t>Urgent follow-up required</t>
        </is>
      </c>
      <c r="N101" s="272" t="inlineStr">
        <is>
          <t>2025-08-06</t>
        </is>
      </c>
    </row>
    <row r="102">
      <c r="A102" s="272" t="n">
        <v>101</v>
      </c>
      <c r="B102" s="272" t="n">
        <v>103677618</v>
      </c>
      <c r="C102" s="272" t="inlineStr">
        <is>
          <t>4200H/222A-B934</t>
        </is>
      </c>
      <c r="D102" s="272" t="inlineStr">
        <is>
          <t>Patrimony</t>
        </is>
      </c>
      <c r="E102" s="272" t="inlineStr">
        <is>
          <t>Request</t>
        </is>
      </c>
      <c r="F102" s="272" t="inlineStr">
        <is>
          <t>Prospect</t>
        </is>
      </c>
      <c r="G102" s="272" t="inlineStr">
        <is>
          <t>4/2/2025</t>
        </is>
      </c>
      <c r="H102" s="272" t="n">
        <v>100</v>
      </c>
      <c r="I102" s="272" t="n">
        <v>75</v>
      </c>
      <c r="J102" s="272" t="inlineStr">
        <is>
          <t>TBD</t>
        </is>
      </c>
      <c r="K102" s="272" t="inlineStr">
        <is>
          <t>TBD</t>
        </is>
      </c>
      <c r="L102" s="272" t="inlineStr">
        <is>
          <t>Clinet is intrested in the 222 \n</t>
        </is>
      </c>
      <c r="M102" s="272" t="inlineStr">
        <is>
          <t>Urgent follow-up required</t>
        </is>
      </c>
      <c r="N102" s="272" t="inlineStr">
        <is>
          <t>2025-08-06</t>
        </is>
      </c>
    </row>
    <row r="103">
      <c r="A103" s="272" t="n">
        <v>102</v>
      </c>
      <c r="B103" s="272" t="n">
        <v>103658184</v>
      </c>
      <c r="C103" s="272" t="inlineStr">
        <is>
          <t>4000V/210A-B911</t>
        </is>
      </c>
      <c r="D103" s="272" t="inlineStr">
        <is>
          <t>Overseas</t>
        </is>
      </c>
      <c r="E103" s="272" t="inlineStr">
        <is>
          <t>Request</t>
        </is>
      </c>
      <c r="F103" s="272" t="inlineStr">
        <is>
          <t>Prospect</t>
        </is>
      </c>
      <c r="G103" s="272" t="inlineStr">
        <is>
          <t>4/2/2025</t>
        </is>
      </c>
      <c r="H103" s="272" t="n">
        <v>100</v>
      </c>
      <c r="I103" s="272" t="n">
        <v>75</v>
      </c>
      <c r="J103" s="272" t="inlineStr">
        <is>
          <t>TBD</t>
        </is>
      </c>
      <c r="K103" s="272" t="inlineStr">
        <is>
          <t>TBD</t>
        </is>
      </c>
      <c r="L103" s="272" t="inlineStr">
        <is>
          <t>the client want to purchase this timepeice , to gift it to his father \n</t>
        </is>
      </c>
      <c r="M103" s="272" t="inlineStr">
        <is>
          <t>Urgent follow-up required</t>
        </is>
      </c>
      <c r="N103" s="272" t="inlineStr">
        <is>
          <t>2025-08-06</t>
        </is>
      </c>
    </row>
    <row r="104">
      <c r="A104" s="272" t="n">
        <v>103</v>
      </c>
      <c r="B104" s="272" t="n">
        <v>104908886</v>
      </c>
      <c r="C104" s="272" t="inlineStr">
        <is>
          <t>4200H/222A-B934</t>
        </is>
      </c>
      <c r="D104" s="272" t="inlineStr">
        <is>
          <t>Patrimony</t>
        </is>
      </c>
      <c r="E104" s="272" t="inlineStr">
        <is>
          <t>Request</t>
        </is>
      </c>
      <c r="F104" s="272" t="inlineStr">
        <is>
          <t>Prospect</t>
        </is>
      </c>
      <c r="G104" s="272" t="inlineStr">
        <is>
          <t>27/2/2025</t>
        </is>
      </c>
      <c r="H104" s="272" t="n"/>
      <c r="I104" s="272" t="n">
        <v>75</v>
      </c>
      <c r="J104" s="272" t="inlineStr">
        <is>
          <t>TBD</t>
        </is>
      </c>
      <c r="K104" s="272" t="inlineStr">
        <is>
          <t>TBD</t>
        </is>
      </c>
      <c r="L104" s="272" t="inlineStr">
        <is>
          <t>222\n</t>
        </is>
      </c>
      <c r="M104" s="272" t="inlineStr">
        <is>
          <t>Urgent follow-up required</t>
        </is>
      </c>
      <c r="N104" s="272" t="inlineStr">
        <is>
          <t>2025-08-06</t>
        </is>
      </c>
    </row>
    <row r="105">
      <c r="A105" s="272" t="n">
        <v>104</v>
      </c>
      <c r="B105" s="272" t="n">
        <v>103848588</v>
      </c>
      <c r="C105" s="272" t="inlineStr">
        <is>
          <t>4200H/222A-B934</t>
        </is>
      </c>
      <c r="D105" s="272" t="inlineStr">
        <is>
          <t>Patrimony</t>
        </is>
      </c>
      <c r="E105" s="272" t="inlineStr">
        <is>
          <t>Request</t>
        </is>
      </c>
      <c r="F105" s="272" t="inlineStr">
        <is>
          <t>Prospect</t>
        </is>
      </c>
      <c r="G105" s="272" t="inlineStr">
        <is>
          <t>29/1/2025</t>
        </is>
      </c>
      <c r="H105" s="272" t="n"/>
      <c r="I105" s="272" t="n">
        <v>75</v>
      </c>
      <c r="J105" s="272" t="inlineStr">
        <is>
          <t>TBD</t>
        </is>
      </c>
      <c r="K105" s="272" t="inlineStr">
        <is>
          <t>TBD</t>
        </is>
      </c>
      <c r="L105" s="272" t="n"/>
      <c r="M105" s="272" t="inlineStr">
        <is>
          <t>Urgent follow-up required</t>
        </is>
      </c>
      <c r="N105" s="272" t="inlineStr">
        <is>
          <t>2025-08-06</t>
        </is>
      </c>
    </row>
    <row r="106">
      <c r="A106" s="272" t="n">
        <v>105</v>
      </c>
      <c r="B106" s="272" t="n">
        <v>103670555</v>
      </c>
      <c r="C106" s="272" t="inlineStr">
        <is>
          <t>4200H/222A-B934</t>
        </is>
      </c>
      <c r="D106" s="272" t="inlineStr">
        <is>
          <t>Patrimony</t>
        </is>
      </c>
      <c r="E106" s="272" t="inlineStr">
        <is>
          <t>Request</t>
        </is>
      </c>
      <c r="F106" s="272" t="inlineStr">
        <is>
          <t>Prospect</t>
        </is>
      </c>
      <c r="G106" s="272" t="inlineStr">
        <is>
          <t>27/1/2025</t>
        </is>
      </c>
      <c r="H106" s="272" t="n"/>
      <c r="I106" s="272" t="n">
        <v>75</v>
      </c>
      <c r="J106" s="272" t="inlineStr">
        <is>
          <t>TBD</t>
        </is>
      </c>
      <c r="K106" s="272" t="inlineStr">
        <is>
          <t>TBD</t>
        </is>
      </c>
      <c r="L106" s="272" t="n"/>
      <c r="M106" s="272" t="inlineStr">
        <is>
          <t>Urgent follow-up required</t>
        </is>
      </c>
      <c r="N106" s="272" t="inlineStr">
        <is>
          <t>2025-08-06</t>
        </is>
      </c>
    </row>
    <row r="107">
      <c r="A107" s="272" t="n">
        <v>106</v>
      </c>
      <c r="B107" s="272" t="n">
        <v>103834361</v>
      </c>
      <c r="C107" s="272" t="inlineStr">
        <is>
          <t>4200H/222A-B934</t>
        </is>
      </c>
      <c r="D107" s="272" t="inlineStr">
        <is>
          <t>Patrimony</t>
        </is>
      </c>
      <c r="E107" s="272" t="inlineStr">
        <is>
          <t>Request</t>
        </is>
      </c>
      <c r="F107" s="272" t="inlineStr">
        <is>
          <t>Prospect</t>
        </is>
      </c>
      <c r="G107" s="272" t="inlineStr">
        <is>
          <t>27/1/2025</t>
        </is>
      </c>
      <c r="H107" s="272" t="n"/>
      <c r="I107" s="272" t="n">
        <v>75</v>
      </c>
      <c r="J107" s="272" t="inlineStr">
        <is>
          <t>TBD</t>
        </is>
      </c>
      <c r="K107" s="272" t="inlineStr">
        <is>
          <t>TBD</t>
        </is>
      </c>
      <c r="L107" s="272" t="n"/>
      <c r="M107" s="272" t="inlineStr">
        <is>
          <t>Urgent follow-up required</t>
        </is>
      </c>
      <c r="N107" s="272" t="inlineStr">
        <is>
          <t>2025-08-06</t>
        </is>
      </c>
    </row>
    <row r="108">
      <c r="A108" s="272" t="n">
        <v>107</v>
      </c>
      <c r="B108" s="272" t="n">
        <v>104459131</v>
      </c>
      <c r="C108" s="272" t="inlineStr">
        <is>
          <t>5520V/210R-B966</t>
        </is>
      </c>
      <c r="D108" s="272" t="inlineStr">
        <is>
          <t>Overseas</t>
        </is>
      </c>
      <c r="E108" s="272" t="inlineStr">
        <is>
          <t>Request</t>
        </is>
      </c>
      <c r="F108" s="272" t="inlineStr">
        <is>
          <t>Prospect</t>
        </is>
      </c>
      <c r="G108" s="272" t="inlineStr">
        <is>
          <t>19/2/2025</t>
        </is>
      </c>
      <c r="H108" s="272" t="n"/>
      <c r="I108" s="272" t="n">
        <v>75</v>
      </c>
      <c r="J108" s="272" t="inlineStr">
        <is>
          <t>TBD</t>
        </is>
      </c>
      <c r="K108" s="272" t="inlineStr">
        <is>
          <t>TBD</t>
        </is>
      </c>
      <c r="L108" s="272" t="inlineStr">
        <is>
          <t>the client would like to reserve  Overseas chronograph\n</t>
        </is>
      </c>
      <c r="M108" s="272" t="inlineStr">
        <is>
          <t>Urgent follow-up required</t>
        </is>
      </c>
      <c r="N108" s="272" t="inlineStr">
        <is>
          <t>2025-08-06</t>
        </is>
      </c>
    </row>
    <row r="109">
      <c r="A109" s="272" t="n">
        <v>108</v>
      </c>
      <c r="B109" s="272" t="n">
        <v>103591723</v>
      </c>
      <c r="C109" s="272" t="inlineStr">
        <is>
          <t>4200H/222A-B934</t>
        </is>
      </c>
      <c r="D109" s="272" t="inlineStr">
        <is>
          <t>Patrimony</t>
        </is>
      </c>
      <c r="E109" s="272" t="inlineStr">
        <is>
          <t>Request</t>
        </is>
      </c>
      <c r="F109" s="272" t="inlineStr">
        <is>
          <t>Prospect</t>
        </is>
      </c>
      <c r="G109" s="272" t="inlineStr">
        <is>
          <t>15/1/2025</t>
        </is>
      </c>
      <c r="H109" s="272" t="n"/>
      <c r="I109" s="272" t="n">
        <v>75</v>
      </c>
      <c r="J109" s="272" t="inlineStr">
        <is>
          <t>TBD</t>
        </is>
      </c>
      <c r="K109" s="272" t="inlineStr">
        <is>
          <t>TBD</t>
        </is>
      </c>
      <c r="L109" s="272" t="n"/>
      <c r="M109" s="272" t="inlineStr">
        <is>
          <t>Urgent follow-up required</t>
        </is>
      </c>
      <c r="N109" s="272" t="inlineStr">
        <is>
          <t>2025-08-06</t>
        </is>
      </c>
    </row>
    <row r="110">
      <c r="A110" s="272" t="n">
        <v>109</v>
      </c>
      <c r="B110" s="272" t="n">
        <v>92401316</v>
      </c>
      <c r="C110" s="272" t="inlineStr">
        <is>
          <t>4200H/222A-B934</t>
        </is>
      </c>
      <c r="D110" s="272" t="inlineStr">
        <is>
          <t>Patrimony</t>
        </is>
      </c>
      <c r="E110" s="272" t="inlineStr">
        <is>
          <t>Request</t>
        </is>
      </c>
      <c r="F110" s="272" t="inlineStr">
        <is>
          <t>Prospect</t>
        </is>
      </c>
      <c r="G110" s="272" t="inlineStr">
        <is>
          <t>15/1/2025</t>
        </is>
      </c>
      <c r="H110" s="272" t="n"/>
      <c r="I110" s="272" t="n">
        <v>75</v>
      </c>
      <c r="J110" s="272" t="inlineStr">
        <is>
          <t>TBD</t>
        </is>
      </c>
      <c r="K110" s="272" t="inlineStr">
        <is>
          <t>TBD</t>
        </is>
      </c>
      <c r="L110" s="272" t="n"/>
      <c r="M110" s="272" t="inlineStr">
        <is>
          <t>Urgent follow-up required</t>
        </is>
      </c>
      <c r="N110" s="272" t="inlineStr">
        <is>
          <t>2025-08-06</t>
        </is>
      </c>
    </row>
    <row r="111">
      <c r="A111" s="272" t="n">
        <v>110</v>
      </c>
      <c r="B111" s="272" t="n">
        <v>103617256</v>
      </c>
      <c r="C111" s="272" t="inlineStr">
        <is>
          <t>4200H/222A-B934</t>
        </is>
      </c>
      <c r="D111" s="272" t="inlineStr">
        <is>
          <t>Patrimony</t>
        </is>
      </c>
      <c r="E111" s="272" t="inlineStr">
        <is>
          <t>Request</t>
        </is>
      </c>
      <c r="F111" s="272" t="inlineStr">
        <is>
          <t>Prospect</t>
        </is>
      </c>
      <c r="G111" s="272" t="inlineStr">
        <is>
          <t>15/1/2025</t>
        </is>
      </c>
      <c r="H111" s="272" t="n"/>
      <c r="I111" s="272" t="n">
        <v>75</v>
      </c>
      <c r="J111" s="272" t="inlineStr">
        <is>
          <t>TBD</t>
        </is>
      </c>
      <c r="K111" s="272" t="inlineStr">
        <is>
          <t>TBD</t>
        </is>
      </c>
      <c r="L111" s="272" t="n"/>
      <c r="M111" s="272" t="inlineStr">
        <is>
          <t>Urgent follow-up required</t>
        </is>
      </c>
      <c r="N111" s="272" t="inlineStr">
        <is>
          <t>2025-08-06</t>
        </is>
      </c>
    </row>
    <row r="112">
      <c r="A112" s="272" t="n">
        <v>111</v>
      </c>
      <c r="B112" s="272" t="n">
        <v>103616653</v>
      </c>
      <c r="C112" s="272" t="inlineStr">
        <is>
          <t>4200H/222A-B934</t>
        </is>
      </c>
      <c r="D112" s="272" t="inlineStr">
        <is>
          <t>Patrimony</t>
        </is>
      </c>
      <c r="E112" s="272" t="inlineStr">
        <is>
          <t>Request</t>
        </is>
      </c>
      <c r="F112" s="272" t="inlineStr">
        <is>
          <t>Prospect</t>
        </is>
      </c>
      <c r="G112" s="272" t="inlineStr">
        <is>
          <t>15/1/2025</t>
        </is>
      </c>
      <c r="H112" s="272" t="n"/>
      <c r="I112" s="272" t="n">
        <v>75</v>
      </c>
      <c r="J112" s="272" t="inlineStr">
        <is>
          <t>TBD</t>
        </is>
      </c>
      <c r="K112" s="272" t="inlineStr">
        <is>
          <t>TBD</t>
        </is>
      </c>
      <c r="L112" s="272" t="n"/>
      <c r="M112" s="272" t="inlineStr">
        <is>
          <t>Urgent follow-up required</t>
        </is>
      </c>
      <c r="N112" s="272" t="inlineStr">
        <is>
          <t>2025-08-06</t>
        </is>
      </c>
    </row>
    <row r="113">
      <c r="A113" s="272" t="n">
        <v>112</v>
      </c>
      <c r="B113" s="272" t="n">
        <v>103620663</v>
      </c>
      <c r="C113" s="272" t="inlineStr">
        <is>
          <t>4200H/222A-B934</t>
        </is>
      </c>
      <c r="D113" s="272" t="inlineStr">
        <is>
          <t>Patrimony</t>
        </is>
      </c>
      <c r="E113" s="272" t="inlineStr">
        <is>
          <t>Request</t>
        </is>
      </c>
      <c r="F113" s="272" t="inlineStr">
        <is>
          <t>Prospect</t>
        </is>
      </c>
      <c r="G113" s="272" t="inlineStr">
        <is>
          <t>15/1/2025</t>
        </is>
      </c>
      <c r="H113" s="272" t="n"/>
      <c r="I113" s="272" t="n">
        <v>75</v>
      </c>
      <c r="J113" s="272" t="inlineStr">
        <is>
          <t>TBD</t>
        </is>
      </c>
      <c r="K113" s="272" t="inlineStr">
        <is>
          <t>TBD</t>
        </is>
      </c>
      <c r="L113" s="272" t="n"/>
      <c r="M113" s="272" t="inlineStr">
        <is>
          <t>Urgent follow-up required</t>
        </is>
      </c>
      <c r="N113" s="272" t="inlineStr">
        <is>
          <t>2025-08-06</t>
        </is>
      </c>
    </row>
    <row r="114">
      <c r="A114" s="272" t="n">
        <v>113</v>
      </c>
      <c r="B114" s="272" t="n">
        <v>101346110</v>
      </c>
      <c r="C114" s="272" t="inlineStr">
        <is>
          <t>4200H/222A-B934</t>
        </is>
      </c>
      <c r="D114" s="272" t="inlineStr">
        <is>
          <t>Patrimony</t>
        </is>
      </c>
      <c r="E114" s="272" t="inlineStr">
        <is>
          <t>Request</t>
        </is>
      </c>
      <c r="F114" s="272" t="inlineStr">
        <is>
          <t>Prospect</t>
        </is>
      </c>
      <c r="G114" s="272" t="inlineStr">
        <is>
          <t>16/1/2025</t>
        </is>
      </c>
      <c r="H114" s="272" t="n"/>
      <c r="I114" s="272" t="n">
        <v>75</v>
      </c>
      <c r="J114" s="272" t="inlineStr">
        <is>
          <t>TBD</t>
        </is>
      </c>
      <c r="K114" s="272" t="inlineStr">
        <is>
          <t>TBD</t>
        </is>
      </c>
      <c r="L114" s="272" t="n"/>
      <c r="M114" s="272" t="inlineStr">
        <is>
          <t>Urgent follow-up required</t>
        </is>
      </c>
      <c r="N114" s="272" t="inlineStr">
        <is>
          <t>2025-08-06</t>
        </is>
      </c>
    </row>
    <row r="115">
      <c r="A115" s="272" t="n">
        <v>114</v>
      </c>
      <c r="B115" s="272" t="n">
        <v>103656728</v>
      </c>
      <c r="C115" s="272" t="inlineStr">
        <is>
          <t>4200H/222A-B934</t>
        </is>
      </c>
      <c r="D115" s="272" t="inlineStr">
        <is>
          <t>Patrimony</t>
        </is>
      </c>
      <c r="E115" s="272" t="inlineStr">
        <is>
          <t>Request</t>
        </is>
      </c>
      <c r="F115" s="272" t="inlineStr">
        <is>
          <t>Prospect</t>
        </is>
      </c>
      <c r="G115" s="272" t="inlineStr">
        <is>
          <t>16/1/2025</t>
        </is>
      </c>
      <c r="H115" s="272" t="n"/>
      <c r="I115" s="272" t="n">
        <v>75</v>
      </c>
      <c r="J115" s="272" t="inlineStr">
        <is>
          <t>TBD</t>
        </is>
      </c>
      <c r="K115" s="272" t="inlineStr">
        <is>
          <t>TBD</t>
        </is>
      </c>
      <c r="L115" s="272" t="n"/>
      <c r="M115" s="272" t="inlineStr">
        <is>
          <t>Urgent follow-up required</t>
        </is>
      </c>
      <c r="N115" s="272" t="inlineStr">
        <is>
          <t>2025-08-06</t>
        </is>
      </c>
    </row>
    <row r="116">
      <c r="A116" s="272" t="n">
        <v>115</v>
      </c>
      <c r="B116" s="272" t="n">
        <v>92403591</v>
      </c>
      <c r="C116" s="272" t="inlineStr">
        <is>
          <t>4200H/222A-B934</t>
        </is>
      </c>
      <c r="D116" s="272" t="inlineStr">
        <is>
          <t>Patrimony</t>
        </is>
      </c>
      <c r="E116" s="272" t="inlineStr">
        <is>
          <t>Request</t>
        </is>
      </c>
      <c r="F116" s="272" t="inlineStr">
        <is>
          <t>Prospect</t>
        </is>
      </c>
      <c r="G116" s="272" t="inlineStr">
        <is>
          <t>16/1/2025</t>
        </is>
      </c>
      <c r="H116" s="272" t="n"/>
      <c r="I116" s="272" t="n">
        <v>75</v>
      </c>
      <c r="J116" s="272" t="inlineStr">
        <is>
          <t>TBD</t>
        </is>
      </c>
      <c r="K116" s="272" t="inlineStr">
        <is>
          <t>TBD</t>
        </is>
      </c>
      <c r="L116" s="272" t="n"/>
      <c r="M116" s="272" t="inlineStr">
        <is>
          <t>Urgent follow-up required</t>
        </is>
      </c>
      <c r="N116" s="272" t="inlineStr">
        <is>
          <t>2025-08-06</t>
        </is>
      </c>
    </row>
    <row r="117">
      <c r="A117" s="272" t="n">
        <v>116</v>
      </c>
      <c r="B117" s="272" t="n">
        <v>92400865</v>
      </c>
      <c r="C117" s="272" t="inlineStr">
        <is>
          <t>4200H/222A-B934</t>
        </is>
      </c>
      <c r="D117" s="272" t="inlineStr">
        <is>
          <t>Patrimony</t>
        </is>
      </c>
      <c r="E117" s="272" t="inlineStr">
        <is>
          <t>Request</t>
        </is>
      </c>
      <c r="F117" s="272" t="inlineStr">
        <is>
          <t>Prospect</t>
        </is>
      </c>
      <c r="G117" s="272" t="inlineStr">
        <is>
          <t>16/1/2025</t>
        </is>
      </c>
      <c r="H117" s="272" t="n"/>
      <c r="I117" s="272" t="n">
        <v>75</v>
      </c>
      <c r="J117" s="272" t="inlineStr">
        <is>
          <t>TBD</t>
        </is>
      </c>
      <c r="K117" s="272" t="inlineStr">
        <is>
          <t>TBD</t>
        </is>
      </c>
      <c r="L117" s="272" t="n"/>
      <c r="M117" s="272" t="inlineStr">
        <is>
          <t>Urgent follow-up required</t>
        </is>
      </c>
      <c r="N117" s="272" t="inlineStr">
        <is>
          <t>2025-08-06</t>
        </is>
      </c>
    </row>
    <row r="118">
      <c r="A118" s="272" t="n">
        <v>117</v>
      </c>
      <c r="B118" s="272" t="n">
        <v>103616594</v>
      </c>
      <c r="C118" s="272" t="inlineStr">
        <is>
          <t>4200H/222A-B934</t>
        </is>
      </c>
      <c r="D118" s="272" t="inlineStr">
        <is>
          <t>Patrimony</t>
        </is>
      </c>
      <c r="E118" s="272" t="inlineStr">
        <is>
          <t>Request</t>
        </is>
      </c>
      <c r="F118" s="272" t="inlineStr">
        <is>
          <t>Prospect</t>
        </is>
      </c>
      <c r="G118" s="272" t="inlineStr">
        <is>
          <t>15/1/2025</t>
        </is>
      </c>
      <c r="H118" s="272" t="n"/>
      <c r="I118" s="272" t="n">
        <v>75</v>
      </c>
      <c r="J118" s="272" t="inlineStr">
        <is>
          <t>TBD</t>
        </is>
      </c>
      <c r="K118" s="272" t="inlineStr">
        <is>
          <t>TBD</t>
        </is>
      </c>
      <c r="L118" s="272" t="inlineStr">
        <is>
          <t>the client is intrested in the Timepeice \n</t>
        </is>
      </c>
      <c r="M118" s="272" t="inlineStr">
        <is>
          <t>Urgent follow-up required</t>
        </is>
      </c>
      <c r="N118" s="272" t="inlineStr">
        <is>
          <t>2025-08-06</t>
        </is>
      </c>
    </row>
    <row r="119">
      <c r="A119" s="272" t="n">
        <v>118</v>
      </c>
      <c r="B119" s="272" t="n">
        <v>103610315</v>
      </c>
      <c r="C119" s="272" t="inlineStr">
        <is>
          <t>4200H/222A-B934</t>
        </is>
      </c>
      <c r="D119" s="272" t="inlineStr">
        <is>
          <t>Patrimony</t>
        </is>
      </c>
      <c r="E119" s="272" t="inlineStr">
        <is>
          <t>Request</t>
        </is>
      </c>
      <c r="F119" s="272" t="inlineStr">
        <is>
          <t>Prospect</t>
        </is>
      </c>
      <c r="G119" s="272" t="inlineStr">
        <is>
          <t>15/1/2025</t>
        </is>
      </c>
      <c r="H119" s="272" t="n"/>
      <c r="I119" s="272" t="n">
        <v>75</v>
      </c>
      <c r="J119" s="272" t="inlineStr">
        <is>
          <t>TBD</t>
        </is>
      </c>
      <c r="K119" s="272" t="inlineStr">
        <is>
          <t>TBD</t>
        </is>
      </c>
      <c r="L119" s="272" t="inlineStr">
        <is>
          <t>The client is interested in the 222\n</t>
        </is>
      </c>
      <c r="M119" s="272" t="inlineStr">
        <is>
          <t>Urgent follow-up required</t>
        </is>
      </c>
      <c r="N119" s="272" t="inlineStr">
        <is>
          <t>2025-08-06</t>
        </is>
      </c>
    </row>
    <row r="120">
      <c r="A120" s="272" t="n">
        <v>119</v>
      </c>
      <c r="B120" s="272" t="n">
        <v>93832355</v>
      </c>
      <c r="C120" s="272" t="inlineStr">
        <is>
          <t>4200H/222A-B934</t>
        </is>
      </c>
      <c r="D120" s="272" t="inlineStr">
        <is>
          <t>Patrimony</t>
        </is>
      </c>
      <c r="E120" s="272" t="inlineStr">
        <is>
          <t>Request</t>
        </is>
      </c>
      <c r="F120" s="272" t="inlineStr">
        <is>
          <t>Prospect</t>
        </is>
      </c>
      <c r="G120" s="272" t="inlineStr">
        <is>
          <t>15/1/2025</t>
        </is>
      </c>
      <c r="H120" s="272" t="n"/>
      <c r="I120" s="272" t="n">
        <v>75</v>
      </c>
      <c r="J120" s="272" t="inlineStr">
        <is>
          <t>TBD</t>
        </is>
      </c>
      <c r="K120" s="272" t="inlineStr">
        <is>
          <t>TBD</t>
        </is>
      </c>
      <c r="L120" s="272" t="n"/>
      <c r="M120" s="272" t="inlineStr">
        <is>
          <t>Urgent follow-up required</t>
        </is>
      </c>
      <c r="N120" s="272" t="inlineStr">
        <is>
          <t>2025-08-06</t>
        </is>
      </c>
    </row>
    <row r="121">
      <c r="A121" s="272" t="n">
        <v>120</v>
      </c>
      <c r="B121" s="272" t="n">
        <v>104495233</v>
      </c>
      <c r="C121" s="272" t="inlineStr">
        <is>
          <t>5520V/210A-B148</t>
        </is>
      </c>
      <c r="D121" s="272" t="inlineStr">
        <is>
          <t>Overseas</t>
        </is>
      </c>
      <c r="E121" s="272" t="inlineStr">
        <is>
          <t>Request</t>
        </is>
      </c>
      <c r="F121" s="272" t="inlineStr">
        <is>
          <t>Prospect</t>
        </is>
      </c>
      <c r="G121" s="272" t="inlineStr">
        <is>
          <t>15/2/2025</t>
        </is>
      </c>
      <c r="H121" s="272" t="n"/>
      <c r="I121" s="272" t="n">
        <v>75</v>
      </c>
      <c r="J121" s="272" t="inlineStr">
        <is>
          <t>TBD</t>
        </is>
      </c>
      <c r="K121" s="272" t="inlineStr">
        <is>
          <t>TBD</t>
        </is>
      </c>
      <c r="L121" s="272" t="inlineStr">
        <is>
          <t>the client is very interested in the Overseas chronograph\n\nand willing to secure it via payment link \n</t>
        </is>
      </c>
      <c r="M121" s="272" t="inlineStr">
        <is>
          <t>Urgent follow-up required</t>
        </is>
      </c>
      <c r="N121" s="272" t="inlineStr">
        <is>
          <t>2025-08-06</t>
        </is>
      </c>
    </row>
    <row r="122">
      <c r="A122" s="272" t="n">
        <v>121</v>
      </c>
      <c r="B122" s="272" t="n">
        <v>107552378</v>
      </c>
      <c r="C122" s="272" t="inlineStr">
        <is>
          <t>5520V/210R-B966</t>
        </is>
      </c>
      <c r="D122" s="272" t="inlineStr">
        <is>
          <t>Overseas</t>
        </is>
      </c>
      <c r="E122" s="272" t="inlineStr">
        <is>
          <t>Request</t>
        </is>
      </c>
      <c r="F122" s="272" t="inlineStr">
        <is>
          <t>Prospect</t>
        </is>
      </c>
      <c r="G122" s="272" t="inlineStr">
        <is>
          <t>14/2/2025</t>
        </is>
      </c>
      <c r="H122" s="272" t="n"/>
      <c r="I122" s="272" t="n">
        <v>75</v>
      </c>
      <c r="J122" s="272" t="inlineStr">
        <is>
          <t>TBD</t>
        </is>
      </c>
      <c r="K122" s="272" t="inlineStr">
        <is>
          <t>TBD</t>
        </is>
      </c>
      <c r="L122" s="272" t="inlineStr">
        <is>
          <t>\n</t>
        </is>
      </c>
      <c r="M122" s="272" t="inlineStr">
        <is>
          <t>Urgent follow-up required</t>
        </is>
      </c>
      <c r="N122" s="272" t="inlineStr">
        <is>
          <t>2025-08-06</t>
        </is>
      </c>
    </row>
    <row r="123">
      <c r="A123" s="272" t="n">
        <v>122</v>
      </c>
      <c r="B123" s="272" t="n">
        <v>103471315</v>
      </c>
      <c r="C123" s="272" t="inlineStr">
        <is>
          <t>5520V/210A-B148</t>
        </is>
      </c>
      <c r="D123" s="272" t="inlineStr">
        <is>
          <t>Overseas</t>
        </is>
      </c>
      <c r="E123" s="272" t="inlineStr">
        <is>
          <t>Request</t>
        </is>
      </c>
      <c r="F123" s="272" t="inlineStr">
        <is>
          <t>Prospect</t>
        </is>
      </c>
      <c r="G123" s="272" t="inlineStr">
        <is>
          <t>7/2/2025</t>
        </is>
      </c>
      <c r="H123" s="272" t="n">
        <v>35</v>
      </c>
      <c r="I123" s="272" t="n">
        <v>75</v>
      </c>
      <c r="J123" s="272" t="inlineStr">
        <is>
          <t>TBD</t>
        </is>
      </c>
      <c r="K123" s="272" t="inlineStr">
        <is>
          <t>TBD</t>
        </is>
      </c>
      <c r="L123" s="272" t="n"/>
      <c r="M123" s="272" t="inlineStr">
        <is>
          <t>Urgent follow-up required</t>
        </is>
      </c>
      <c r="N123" s="272" t="inlineStr">
        <is>
          <t>2025-08-06</t>
        </is>
      </c>
    </row>
    <row r="124">
      <c r="A124" s="272" t="n">
        <v>123</v>
      </c>
      <c r="B124" s="272" t="n">
        <v>104459131</v>
      </c>
      <c r="C124" s="272" t="inlineStr">
        <is>
          <t>5520V/210R-B966</t>
        </is>
      </c>
      <c r="D124" s="272" t="inlineStr">
        <is>
          <t>Overseas</t>
        </is>
      </c>
      <c r="E124" s="272" t="inlineStr">
        <is>
          <t>Request</t>
        </is>
      </c>
      <c r="F124" s="272" t="inlineStr">
        <is>
          <t>Prospect</t>
        </is>
      </c>
      <c r="G124" s="272" t="inlineStr">
        <is>
          <t>5/2/2025</t>
        </is>
      </c>
      <c r="H124" s="272" t="n">
        <v>96</v>
      </c>
      <c r="I124" s="272" t="n">
        <v>75</v>
      </c>
      <c r="J124" s="272" t="inlineStr">
        <is>
          <t>TBD</t>
        </is>
      </c>
      <c r="K124" s="272" t="inlineStr">
        <is>
          <t>TBD</t>
        </is>
      </c>
      <c r="L124" s="272" t="inlineStr">
        <is>
          <t>\n</t>
        </is>
      </c>
      <c r="M124" s="272" t="inlineStr">
        <is>
          <t>Urgent follow-up required</t>
        </is>
      </c>
      <c r="N124" s="272" t="inlineStr">
        <is>
          <t>2025-08-06</t>
        </is>
      </c>
    </row>
    <row r="125">
      <c r="A125" s="272" t="n">
        <v>124</v>
      </c>
      <c r="B125" s="272" t="n">
        <v>92404856</v>
      </c>
      <c r="C125" s="272" t="inlineStr">
        <is>
          <t>4200H/222A-B934</t>
        </is>
      </c>
      <c r="D125" s="272" t="inlineStr">
        <is>
          <t>Patrimony</t>
        </is>
      </c>
      <c r="E125" s="272" t="inlineStr">
        <is>
          <t>Request</t>
        </is>
      </c>
      <c r="F125" s="272" t="inlineStr">
        <is>
          <t>Prospect</t>
        </is>
      </c>
      <c r="G125" s="272" t="inlineStr">
        <is>
          <t>17/1/2025</t>
        </is>
      </c>
      <c r="H125" s="272" t="n"/>
      <c r="I125" s="272" t="n">
        <v>75</v>
      </c>
      <c r="J125" s="272" t="inlineStr">
        <is>
          <t>TBD</t>
        </is>
      </c>
      <c r="K125" s="272" t="inlineStr">
        <is>
          <t>TBD</t>
        </is>
      </c>
      <c r="L125" s="272" t="n"/>
      <c r="M125" s="272" t="inlineStr">
        <is>
          <t>Urgent follow-up required</t>
        </is>
      </c>
      <c r="N125" s="272" t="inlineStr">
        <is>
          <t>2025-08-06</t>
        </is>
      </c>
    </row>
    <row r="126">
      <c r="A126" s="272" t="n">
        <v>125</v>
      </c>
      <c r="B126" s="272" t="n">
        <v>103616253</v>
      </c>
      <c r="C126" s="272" t="inlineStr">
        <is>
          <t>4200H/222A-B934</t>
        </is>
      </c>
      <c r="D126" s="272" t="inlineStr">
        <is>
          <t>Patrimony</t>
        </is>
      </c>
      <c r="E126" s="272" t="inlineStr">
        <is>
          <t>Request</t>
        </is>
      </c>
      <c r="F126" s="272" t="inlineStr">
        <is>
          <t>Prospect</t>
        </is>
      </c>
      <c r="G126" s="272" t="inlineStr">
        <is>
          <t>17/1/2025</t>
        </is>
      </c>
      <c r="H126" s="272" t="n"/>
      <c r="I126" s="272" t="n">
        <v>75</v>
      </c>
      <c r="J126" s="272" t="inlineStr">
        <is>
          <t>TBD</t>
        </is>
      </c>
      <c r="K126" s="272" t="inlineStr">
        <is>
          <t>TBD</t>
        </is>
      </c>
      <c r="L126" s="272" t="n"/>
      <c r="M126" s="272" t="inlineStr">
        <is>
          <t>Urgent follow-up required</t>
        </is>
      </c>
      <c r="N126" s="272" t="inlineStr">
        <is>
          <t>2025-08-06</t>
        </is>
      </c>
    </row>
    <row r="127">
      <c r="A127" s="272" t="n">
        <v>126</v>
      </c>
      <c r="B127" s="272" t="n">
        <v>103673291</v>
      </c>
      <c r="C127" s="272" t="inlineStr">
        <is>
          <t>4200H/222A-B934</t>
        </is>
      </c>
      <c r="D127" s="272" t="inlineStr">
        <is>
          <t>Patrimony</t>
        </is>
      </c>
      <c r="E127" s="272" t="inlineStr">
        <is>
          <t>Request</t>
        </is>
      </c>
      <c r="F127" s="272" t="inlineStr">
        <is>
          <t>Prospect</t>
        </is>
      </c>
      <c r="G127" s="272" t="inlineStr">
        <is>
          <t>18/1/2025</t>
        </is>
      </c>
      <c r="H127" s="272" t="n"/>
      <c r="I127" s="272" t="n">
        <v>75</v>
      </c>
      <c r="J127" s="272" t="inlineStr">
        <is>
          <t>TBD</t>
        </is>
      </c>
      <c r="K127" s="272" t="inlineStr">
        <is>
          <t>TBD</t>
        </is>
      </c>
      <c r="L127" s="272" t="n"/>
      <c r="M127" s="272" t="inlineStr">
        <is>
          <t>Urgent follow-up required</t>
        </is>
      </c>
      <c r="N127" s="272" t="inlineStr">
        <is>
          <t>2025-08-06</t>
        </is>
      </c>
    </row>
    <row r="128">
      <c r="A128" s="272" t="n">
        <v>127</v>
      </c>
      <c r="B128" s="272" t="n">
        <v>98742444</v>
      </c>
      <c r="C128" s="272" t="inlineStr">
        <is>
          <t>4200H/222A-B934</t>
        </is>
      </c>
      <c r="D128" s="272" t="inlineStr">
        <is>
          <t>Patrimony</t>
        </is>
      </c>
      <c r="E128" s="272" t="inlineStr">
        <is>
          <t>Request</t>
        </is>
      </c>
      <c r="F128" s="272" t="inlineStr">
        <is>
          <t>Prospect</t>
        </is>
      </c>
      <c r="G128" s="272" t="inlineStr">
        <is>
          <t>15/1/2025</t>
        </is>
      </c>
      <c r="H128" s="272" t="n"/>
      <c r="I128" s="272" t="n">
        <v>75</v>
      </c>
      <c r="J128" s="272" t="inlineStr">
        <is>
          <t>TBD</t>
        </is>
      </c>
      <c r="K128" s="272" t="inlineStr">
        <is>
          <t>TBD</t>
        </is>
      </c>
      <c r="L128" s="272" t="n"/>
      <c r="M128" s="272" t="inlineStr">
        <is>
          <t>Urgent follow-up required</t>
        </is>
      </c>
      <c r="N128" s="272" t="inlineStr">
        <is>
          <t>2025-08-06</t>
        </is>
      </c>
    </row>
    <row r="129">
      <c r="A129" s="272" t="n">
        <v>128</v>
      </c>
      <c r="B129" s="272" t="n">
        <v>103642113</v>
      </c>
      <c r="C129" s="272" t="inlineStr">
        <is>
          <t>4200H/222A-B934</t>
        </is>
      </c>
      <c r="D129" s="272" t="inlineStr">
        <is>
          <t>Patrimony</t>
        </is>
      </c>
      <c r="E129" s="272" t="inlineStr">
        <is>
          <t>Request</t>
        </is>
      </c>
      <c r="F129" s="272" t="inlineStr">
        <is>
          <t>Prospect</t>
        </is>
      </c>
      <c r="G129" s="272" t="inlineStr">
        <is>
          <t>16/1/2025</t>
        </is>
      </c>
      <c r="H129" s="272" t="n"/>
      <c r="I129" s="272" t="n">
        <v>75</v>
      </c>
      <c r="J129" s="272" t="inlineStr">
        <is>
          <t>TBD</t>
        </is>
      </c>
      <c r="K129" s="272" t="inlineStr">
        <is>
          <t>TBD</t>
        </is>
      </c>
      <c r="L129" s="272" t="inlineStr">
        <is>
          <t>the client is very interested \n</t>
        </is>
      </c>
      <c r="M129" s="272" t="inlineStr">
        <is>
          <t>Urgent follow-up required</t>
        </is>
      </c>
      <c r="N129" s="272" t="inlineStr">
        <is>
          <t>2025-08-06</t>
        </is>
      </c>
    </row>
    <row r="130">
      <c r="A130" s="272" t="n">
        <v>129</v>
      </c>
      <c r="B130" s="272" t="n">
        <v>103658184</v>
      </c>
      <c r="C130" s="272" t="inlineStr">
        <is>
          <t>4200H/222A-B934</t>
        </is>
      </c>
      <c r="D130" s="272" t="inlineStr">
        <is>
          <t>Patrimony</t>
        </is>
      </c>
      <c r="E130" s="272" t="inlineStr">
        <is>
          <t>Request</t>
        </is>
      </c>
      <c r="F130" s="272" t="inlineStr">
        <is>
          <t>Prospect</t>
        </is>
      </c>
      <c r="G130" s="272" t="inlineStr">
        <is>
          <t>17/1/2025</t>
        </is>
      </c>
      <c r="H130" s="272" t="n"/>
      <c r="I130" s="272" t="n">
        <v>75</v>
      </c>
      <c r="J130" s="272" t="inlineStr">
        <is>
          <t>TBD</t>
        </is>
      </c>
      <c r="K130" s="272" t="inlineStr">
        <is>
          <t>TBD</t>
        </is>
      </c>
      <c r="L130" s="272" t="n"/>
      <c r="M130" s="272" t="inlineStr">
        <is>
          <t>Urgent follow-up required</t>
        </is>
      </c>
      <c r="N130" s="272" t="inlineStr">
        <is>
          <t>2025-08-06</t>
        </is>
      </c>
    </row>
    <row r="131">
      <c r="A131" s="272" t="n">
        <v>130</v>
      </c>
      <c r="B131" s="272" t="n">
        <v>92408008</v>
      </c>
      <c r="C131" s="272" t="inlineStr">
        <is>
          <t>4200H/222A-B934</t>
        </is>
      </c>
      <c r="D131" s="272" t="inlineStr">
        <is>
          <t>Patrimony</t>
        </is>
      </c>
      <c r="E131" s="272" t="inlineStr">
        <is>
          <t>Request</t>
        </is>
      </c>
      <c r="F131" s="272" t="inlineStr">
        <is>
          <t>Prospect</t>
        </is>
      </c>
      <c r="G131" s="272" t="inlineStr">
        <is>
          <t>18/1/2025</t>
        </is>
      </c>
      <c r="H131" s="272" t="n"/>
      <c r="I131" s="272" t="n">
        <v>75</v>
      </c>
      <c r="J131" s="272" t="inlineStr">
        <is>
          <t>TBD</t>
        </is>
      </c>
      <c r="K131" s="272" t="inlineStr">
        <is>
          <t>TBD</t>
        </is>
      </c>
      <c r="L131" s="272" t="n"/>
      <c r="M131" s="272" t="inlineStr">
        <is>
          <t>Urgent follow-up required</t>
        </is>
      </c>
      <c r="N131" s="272" t="inlineStr">
        <is>
          <t>2025-08-06</t>
        </is>
      </c>
    </row>
    <row r="132">
      <c r="A132" s="272" t="n">
        <v>131</v>
      </c>
      <c r="B132" s="272" t="n">
        <v>103675481</v>
      </c>
      <c r="C132" s="272" t="inlineStr">
        <is>
          <t>4200H/222A-B934</t>
        </is>
      </c>
      <c r="D132" s="272" t="inlineStr">
        <is>
          <t>Patrimony</t>
        </is>
      </c>
      <c r="E132" s="272" t="inlineStr">
        <is>
          <t>Request</t>
        </is>
      </c>
      <c r="F132" s="272" t="inlineStr">
        <is>
          <t>Prospect</t>
        </is>
      </c>
      <c r="G132" s="272" t="inlineStr">
        <is>
          <t>18/1/2025</t>
        </is>
      </c>
      <c r="H132" s="272" t="n"/>
      <c r="I132" s="272" t="n">
        <v>75</v>
      </c>
      <c r="J132" s="272" t="inlineStr">
        <is>
          <t>TBD</t>
        </is>
      </c>
      <c r="K132" s="272" t="inlineStr">
        <is>
          <t>TBD</t>
        </is>
      </c>
      <c r="L132" s="272" t="inlineStr">
        <is>
          <t>Leo Dogan\n</t>
        </is>
      </c>
      <c r="M132" s="272" t="inlineStr">
        <is>
          <t>Urgent follow-up required</t>
        </is>
      </c>
      <c r="N132" s="272" t="inlineStr">
        <is>
          <t>2025-08-06</t>
        </is>
      </c>
    </row>
    <row r="133">
      <c r="A133" s="272" t="n">
        <v>132</v>
      </c>
      <c r="B133" s="272" t="n">
        <v>92403555</v>
      </c>
      <c r="C133" s="272" t="inlineStr">
        <is>
          <t>4200H/222A-B934</t>
        </is>
      </c>
      <c r="D133" s="272" t="inlineStr">
        <is>
          <t>Patrimony</t>
        </is>
      </c>
      <c r="E133" s="272" t="inlineStr">
        <is>
          <t>Request</t>
        </is>
      </c>
      <c r="F133" s="272" t="inlineStr">
        <is>
          <t>Prospect</t>
        </is>
      </c>
      <c r="G133" s="272" t="inlineStr">
        <is>
          <t>18/1/2025</t>
        </is>
      </c>
      <c r="H133" s="272" t="n"/>
      <c r="I133" s="272" t="n">
        <v>75</v>
      </c>
      <c r="J133" s="272" t="inlineStr">
        <is>
          <t>TBD</t>
        </is>
      </c>
      <c r="K133" s="272" t="inlineStr">
        <is>
          <t>TBD</t>
        </is>
      </c>
      <c r="L133" s="272" t="n"/>
      <c r="M133" s="272" t="inlineStr">
        <is>
          <t>Urgent follow-up required</t>
        </is>
      </c>
      <c r="N133" s="272" t="inlineStr">
        <is>
          <t>2025-08-06</t>
        </is>
      </c>
    </row>
    <row r="134">
      <c r="A134" s="272" t="n">
        <v>133</v>
      </c>
      <c r="B134" s="272" t="n">
        <v>103673092</v>
      </c>
      <c r="C134" s="272" t="inlineStr">
        <is>
          <t>4200H/222A-B934</t>
        </is>
      </c>
      <c r="D134" s="272" t="inlineStr">
        <is>
          <t>Patrimony</t>
        </is>
      </c>
      <c r="E134" s="272" t="inlineStr">
        <is>
          <t>Request</t>
        </is>
      </c>
      <c r="F134" s="272" t="inlineStr">
        <is>
          <t>Prospect</t>
        </is>
      </c>
      <c r="G134" s="272" t="inlineStr">
        <is>
          <t>18/1/2025</t>
        </is>
      </c>
      <c r="H134" s="272" t="n"/>
      <c r="I134" s="272" t="n">
        <v>75</v>
      </c>
      <c r="J134" s="272" t="inlineStr">
        <is>
          <t>TBD</t>
        </is>
      </c>
      <c r="K134" s="272" t="inlineStr">
        <is>
          <t>TBD</t>
        </is>
      </c>
      <c r="L134" s="272" t="n"/>
      <c r="M134" s="272" t="inlineStr">
        <is>
          <t>Urgent follow-up required</t>
        </is>
      </c>
      <c r="N134" s="272" t="inlineStr">
        <is>
          <t>2025-08-06</t>
        </is>
      </c>
    </row>
    <row r="135">
      <c r="A135" s="272" t="n">
        <v>134</v>
      </c>
      <c r="B135" s="272" t="n">
        <v>98874827</v>
      </c>
      <c r="C135" s="272" t="inlineStr">
        <is>
          <t>4200H/222A-B934</t>
        </is>
      </c>
      <c r="D135" s="272" t="inlineStr">
        <is>
          <t>Patrimony</t>
        </is>
      </c>
      <c r="E135" s="272" t="inlineStr">
        <is>
          <t>Request</t>
        </is>
      </c>
      <c r="F135" s="272" t="inlineStr">
        <is>
          <t>Prospect</t>
        </is>
      </c>
      <c r="G135" s="272" t="inlineStr">
        <is>
          <t>18/1/2025</t>
        </is>
      </c>
      <c r="H135" s="272" t="n"/>
      <c r="I135" s="272" t="n">
        <v>75</v>
      </c>
      <c r="J135" s="272" t="inlineStr">
        <is>
          <t>TBD</t>
        </is>
      </c>
      <c r="K135" s="272" t="inlineStr">
        <is>
          <t>TBD</t>
        </is>
      </c>
      <c r="L135" s="272" t="n"/>
      <c r="M135" s="272" t="inlineStr">
        <is>
          <t>Urgent follow-up required</t>
        </is>
      </c>
      <c r="N135" s="272" t="inlineStr">
        <is>
          <t>2025-08-06</t>
        </is>
      </c>
    </row>
    <row r="136">
      <c r="A136" s="272" t="n">
        <v>135</v>
      </c>
      <c r="B136" s="272" t="n">
        <v>103671613</v>
      </c>
      <c r="C136" s="272" t="inlineStr">
        <is>
          <t>4200H/222A-B934</t>
        </is>
      </c>
      <c r="D136" s="272" t="inlineStr">
        <is>
          <t>Patrimony</t>
        </is>
      </c>
      <c r="E136" s="272" t="inlineStr">
        <is>
          <t>Request</t>
        </is>
      </c>
      <c r="F136" s="272" t="inlineStr">
        <is>
          <t>Prospect</t>
        </is>
      </c>
      <c r="G136" s="272" t="inlineStr">
        <is>
          <t>18/1/2025</t>
        </is>
      </c>
      <c r="H136" s="272" t="n"/>
      <c r="I136" s="272" t="n">
        <v>75</v>
      </c>
      <c r="J136" s="272" t="inlineStr">
        <is>
          <t>TBD</t>
        </is>
      </c>
      <c r="K136" s="272" t="inlineStr">
        <is>
          <t>TBD</t>
        </is>
      </c>
      <c r="L136" s="272" t="n"/>
      <c r="M136" s="272" t="inlineStr">
        <is>
          <t>Urgent follow-up required</t>
        </is>
      </c>
      <c r="N136" s="272" t="inlineStr">
        <is>
          <t>2025-08-06</t>
        </is>
      </c>
    </row>
    <row r="137">
      <c r="A137" s="272" t="n">
        <v>136</v>
      </c>
      <c r="B137" s="272" t="n">
        <v>92406996</v>
      </c>
      <c r="C137" s="272" t="inlineStr">
        <is>
          <t>4200H/222A-B934</t>
        </is>
      </c>
      <c r="D137" s="272" t="inlineStr">
        <is>
          <t>Patrimony</t>
        </is>
      </c>
      <c r="E137" s="272" t="inlineStr">
        <is>
          <t>Request</t>
        </is>
      </c>
      <c r="F137" s="272" t="inlineStr">
        <is>
          <t>Prospect</t>
        </is>
      </c>
      <c r="G137" s="272" t="inlineStr">
        <is>
          <t>18/1/2025</t>
        </is>
      </c>
      <c r="H137" s="272" t="n"/>
      <c r="I137" s="272" t="n">
        <v>75</v>
      </c>
      <c r="J137" s="272" t="inlineStr">
        <is>
          <t>TBD</t>
        </is>
      </c>
      <c r="K137" s="272" t="inlineStr">
        <is>
          <t>TBD</t>
        </is>
      </c>
      <c r="L137" s="272" t="n"/>
      <c r="M137" s="272" t="inlineStr">
        <is>
          <t>Urgent follow-up required</t>
        </is>
      </c>
      <c r="N137" s="272" t="inlineStr">
        <is>
          <t>2025-08-06</t>
        </is>
      </c>
    </row>
    <row r="138">
      <c r="A138" s="272" t="n">
        <v>137</v>
      </c>
      <c r="B138" s="272" t="n">
        <v>104993022</v>
      </c>
      <c r="C138" s="272" t="inlineStr">
        <is>
          <t>7920V/210A-B546</t>
        </is>
      </c>
      <c r="D138" s="272" t="inlineStr">
        <is>
          <t>Other</t>
        </is>
      </c>
      <c r="E138" s="272" t="inlineStr">
        <is>
          <t>Request</t>
        </is>
      </c>
      <c r="F138" s="272" t="inlineStr">
        <is>
          <t>Prospect</t>
        </is>
      </c>
      <c r="G138" s="272" t="inlineStr">
        <is>
          <t>5/12/2024</t>
        </is>
      </c>
      <c r="H138" s="272" t="n">
        <v>100</v>
      </c>
      <c r="I138" s="272" t="n">
        <v>75</v>
      </c>
      <c r="J138" s="272" t="inlineStr">
        <is>
          <t>TBD</t>
        </is>
      </c>
      <c r="K138" s="272" t="inlineStr">
        <is>
          <t>TBD</t>
        </is>
      </c>
      <c r="L138" s="272" t="inlineStr">
        <is>
          <t>interested in the black oversease \n</t>
        </is>
      </c>
      <c r="M138" s="272" t="inlineStr">
        <is>
          <t>Urgent follow-up required</t>
        </is>
      </c>
      <c r="N138" s="272" t="inlineStr">
        <is>
          <t>2025-08-06</t>
        </is>
      </c>
    </row>
    <row r="139">
      <c r="A139" s="272" t="n">
        <v>138</v>
      </c>
      <c r="B139" s="272" t="n">
        <v>102637104</v>
      </c>
      <c r="C139" s="272" t="inlineStr">
        <is>
          <t>4520V/210A-B128</t>
        </is>
      </c>
      <c r="D139" s="272" t="inlineStr">
        <is>
          <t>Overseas</t>
        </is>
      </c>
      <c r="E139" s="272" t="inlineStr">
        <is>
          <t>Request</t>
        </is>
      </c>
      <c r="F139" s="272" t="inlineStr">
        <is>
          <t>Prospect</t>
        </is>
      </c>
      <c r="G139" s="272" t="inlineStr">
        <is>
          <t>4/12/2024</t>
        </is>
      </c>
      <c r="H139" s="272" t="n">
        <v>100</v>
      </c>
      <c r="I139" s="272" t="n">
        <v>75</v>
      </c>
      <c r="J139" s="272" t="inlineStr">
        <is>
          <t>TBD</t>
        </is>
      </c>
      <c r="K139" s="272" t="inlineStr">
        <is>
          <t>TBD</t>
        </is>
      </c>
      <c r="L139" s="272" t="inlineStr">
        <is>
          <t>The client is based in India , and willing to come to the UAE for 128 \n</t>
        </is>
      </c>
      <c r="M139" s="272" t="inlineStr">
        <is>
          <t>Urgent follow-up required</t>
        </is>
      </c>
      <c r="N139" s="272" t="inlineStr">
        <is>
          <t>2025-08-06</t>
        </is>
      </c>
    </row>
    <row r="140">
      <c r="A140" s="272" t="n">
        <v>139</v>
      </c>
      <c r="B140" s="272" t="n">
        <v>102502922</v>
      </c>
      <c r="C140" s="272" t="inlineStr">
        <is>
          <t>1225V/200A-B590</t>
        </is>
      </c>
      <c r="D140" s="272" t="inlineStr">
        <is>
          <t>Other</t>
        </is>
      </c>
      <c r="E140" s="272" t="inlineStr">
        <is>
          <t>Request</t>
        </is>
      </c>
      <c r="F140" s="272" t="inlineStr">
        <is>
          <t>Prospect</t>
        </is>
      </c>
      <c r="G140" s="272" t="inlineStr">
        <is>
          <t>20/11/2024</t>
        </is>
      </c>
      <c r="H140" s="272" t="n"/>
      <c r="I140" s="272" t="n">
        <v>75</v>
      </c>
      <c r="J140" s="272" t="inlineStr">
        <is>
          <t>TBD</t>
        </is>
      </c>
      <c r="K140" s="272" t="inlineStr">
        <is>
          <t>TBD</t>
        </is>
      </c>
      <c r="L140" s="272" t="inlineStr">
        <is>
          <t>the client would like to purchases the Overseasquartz\n\n1225V/200A-B590 33 mm Steel \n</t>
        </is>
      </c>
      <c r="M140" s="272" t="inlineStr">
        <is>
          <t>Urgent follow-up required</t>
        </is>
      </c>
      <c r="N140" s="272" t="inlineStr">
        <is>
          <t>2025-08-06</t>
        </is>
      </c>
    </row>
    <row r="141">
      <c r="A141" s="272" t="n">
        <v>140</v>
      </c>
      <c r="B141" s="272" t="n">
        <v>101472623</v>
      </c>
      <c r="C141" s="272" t="inlineStr">
        <is>
          <t>7920V/210A-B334</t>
        </is>
      </c>
      <c r="D141" s="272" t="inlineStr">
        <is>
          <t>Other</t>
        </is>
      </c>
      <c r="E141" s="272" t="inlineStr">
        <is>
          <t>Request</t>
        </is>
      </c>
      <c r="F141" s="272" t="inlineStr">
        <is>
          <t>Prospect</t>
        </is>
      </c>
      <c r="G141" s="272" t="inlineStr">
        <is>
          <t>20/11/2024</t>
        </is>
      </c>
      <c r="H141" s="272" t="n"/>
      <c r="I141" s="272" t="n">
        <v>75</v>
      </c>
      <c r="J141" s="272" t="inlineStr">
        <is>
          <t>TBD</t>
        </is>
      </c>
      <c r="K141" s="272" t="inlineStr">
        <is>
          <t>TBD</t>
        </is>
      </c>
      <c r="L141" s="272" t="inlineStr">
        <is>
          <t>**Overseas Dual Time**: Mr. Nassef has expressed a preference for this model due to its suitability to his wrist size (41 mm).\n</t>
        </is>
      </c>
      <c r="M141" s="272" t="inlineStr">
        <is>
          <t>Urgent follow-up required</t>
        </is>
      </c>
      <c r="N141" s="272" t="inlineStr">
        <is>
          <t>2025-08-06</t>
        </is>
      </c>
    </row>
    <row r="142">
      <c r="A142" s="272" t="n">
        <v>141</v>
      </c>
      <c r="B142" s="272" t="n">
        <v>102505094</v>
      </c>
      <c r="C142" s="272" t="inlineStr">
        <is>
          <t>7920V/210A-B334</t>
        </is>
      </c>
      <c r="D142" s="272" t="inlineStr">
        <is>
          <t>Other</t>
        </is>
      </c>
      <c r="E142" s="272" t="inlineStr">
        <is>
          <t>Request</t>
        </is>
      </c>
      <c r="F142" s="272" t="inlineStr">
        <is>
          <t>Prospect</t>
        </is>
      </c>
      <c r="G142" s="272" t="inlineStr">
        <is>
          <t>20/11/2024</t>
        </is>
      </c>
      <c r="H142" s="272" t="n"/>
      <c r="I142" s="272" t="n">
        <v>75</v>
      </c>
      <c r="J142" s="272" t="inlineStr">
        <is>
          <t>TBD</t>
        </is>
      </c>
      <c r="K142" s="272" t="inlineStr">
        <is>
          <t>TBD</t>
        </is>
      </c>
      <c r="L142" s="272" t="inlineStr">
        <is>
          <t>The client wants to own his first VC and add it to his collection which inclouds , Rolexes, AP’s and Pateks’\n</t>
        </is>
      </c>
      <c r="M142" s="272" t="inlineStr">
        <is>
          <t>Urgent follow-up required</t>
        </is>
      </c>
      <c r="N142" s="272" t="inlineStr">
        <is>
          <t>2025-08-06</t>
        </is>
      </c>
    </row>
    <row r="143">
      <c r="A143" s="272" t="n">
        <v>142</v>
      </c>
      <c r="B143" s="272" t="n">
        <v>102424724</v>
      </c>
      <c r="C143" s="272" t="inlineStr">
        <is>
          <t>4600V/200A-B980</t>
        </is>
      </c>
      <c r="D143" s="272" t="inlineStr">
        <is>
          <t>Other</t>
        </is>
      </c>
      <c r="E143" s="272" t="inlineStr">
        <is>
          <t>Request</t>
        </is>
      </c>
      <c r="F143" s="272" t="inlineStr">
        <is>
          <t>Prospect</t>
        </is>
      </c>
      <c r="G143" s="272" t="inlineStr">
        <is>
          <t>15/11/2024</t>
        </is>
      </c>
      <c r="H143" s="272" t="n"/>
      <c r="I143" s="272" t="n">
        <v>75</v>
      </c>
      <c r="J143" s="272" t="inlineStr">
        <is>
          <t>TBD</t>
        </is>
      </c>
      <c r="K143" s="272" t="inlineStr">
        <is>
          <t>TBD</t>
        </is>
      </c>
      <c r="L143" s="272" t="inlineStr">
        <is>
          <t>The client would like to purchase the oversease for his wife as  Christmas gift\n</t>
        </is>
      </c>
      <c r="M143" s="272" t="inlineStr">
        <is>
          <t>Urgent follow-up required</t>
        </is>
      </c>
      <c r="N143" s="272" t="inlineStr">
        <is>
          <t>2025-08-06</t>
        </is>
      </c>
    </row>
    <row r="144">
      <c r="A144" s="272" t="n">
        <v>143</v>
      </c>
      <c r="B144" s="272" t="n">
        <v>98700258</v>
      </c>
      <c r="C144" s="272" t="inlineStr">
        <is>
          <t>4520V/210A-B128</t>
        </is>
      </c>
      <c r="D144" s="272" t="inlineStr">
        <is>
          <t>Overseas</t>
        </is>
      </c>
      <c r="E144" s="272" t="inlineStr">
        <is>
          <t>Request</t>
        </is>
      </c>
      <c r="F144" s="272" t="inlineStr">
        <is>
          <t>Prospect</t>
        </is>
      </c>
      <c r="G144" s="272" t="inlineStr">
        <is>
          <t>14/11/2024</t>
        </is>
      </c>
      <c r="H144" s="272" t="n"/>
      <c r="I144" s="272" t="n">
        <v>75</v>
      </c>
      <c r="J144" s="272" t="inlineStr">
        <is>
          <t>TBD</t>
        </is>
      </c>
      <c r="K144" s="272" t="inlineStr">
        <is>
          <t>TBD</t>
        </is>
      </c>
      <c r="L144" s="272" t="inlineStr">
        <is>
          <t>The client would like to purchases the overseas blue simple \n</t>
        </is>
      </c>
      <c r="M144" s="272" t="inlineStr">
        <is>
          <t>Urgent follow-up required</t>
        </is>
      </c>
      <c r="N144" s="272" t="inlineStr">
        <is>
          <t>2025-08-06</t>
        </is>
      </c>
    </row>
    <row r="145">
      <c r="A145" s="272" t="n">
        <v>144</v>
      </c>
      <c r="B145" s="272" t="n">
        <v>98700258</v>
      </c>
      <c r="C145" s="272" t="inlineStr">
        <is>
          <t>6000V/110A-B544</t>
        </is>
      </c>
      <c r="D145" s="272" t="inlineStr">
        <is>
          <t>Other</t>
        </is>
      </c>
      <c r="E145" s="272" t="inlineStr">
        <is>
          <t>Request</t>
        </is>
      </c>
      <c r="F145" s="272" t="inlineStr">
        <is>
          <t>Prospect</t>
        </is>
      </c>
      <c r="G145" s="272" t="inlineStr">
        <is>
          <t>14/11/2024</t>
        </is>
      </c>
      <c r="H145" s="272" t="n"/>
      <c r="I145" s="272" t="n">
        <v>75</v>
      </c>
      <c r="J145" s="272" t="inlineStr">
        <is>
          <t>TBD</t>
        </is>
      </c>
      <c r="K145" s="272" t="inlineStr">
        <is>
          <t>TBD</t>
        </is>
      </c>
      <c r="L145" s="272" t="inlineStr">
        <is>
          <t>The client would like to purchase the overseas and stated that , he considers him self a Vacheron Constantin ambassador \n</t>
        </is>
      </c>
      <c r="M145" s="272" t="inlineStr">
        <is>
          <t>Urgent follow-up required</t>
        </is>
      </c>
      <c r="N145" s="272" t="inlineStr">
        <is>
          <t>2025-08-06</t>
        </is>
      </c>
    </row>
    <row r="146">
      <c r="A146" s="272" t="n">
        <v>145</v>
      </c>
      <c r="B146" s="272" t="n">
        <v>103671316</v>
      </c>
      <c r="C146" s="272" t="inlineStr">
        <is>
          <t>7920V/210R-B965</t>
        </is>
      </c>
      <c r="D146" s="272" t="inlineStr">
        <is>
          <t>Other</t>
        </is>
      </c>
      <c r="E146" s="272" t="inlineStr">
        <is>
          <t>Request</t>
        </is>
      </c>
      <c r="F146" s="272" t="inlineStr">
        <is>
          <t>Prospect</t>
        </is>
      </c>
      <c r="G146" s="272" t="inlineStr">
        <is>
          <t>1/1/2025</t>
        </is>
      </c>
      <c r="H146" s="272" t="n">
        <v>100</v>
      </c>
      <c r="I146" s="272" t="n">
        <v>75</v>
      </c>
      <c r="J146" s="272" t="inlineStr">
        <is>
          <t>TBD</t>
        </is>
      </c>
      <c r="K146" s="272" t="inlineStr">
        <is>
          <t>TBD</t>
        </is>
      </c>
      <c r="L146" s="272" t="inlineStr">
        <is>
          <t>The client is interested in the timepeice but still thinking of his budget \n</t>
        </is>
      </c>
      <c r="M146" s="272" t="inlineStr">
        <is>
          <t>Urgent follow-up required</t>
        </is>
      </c>
      <c r="N146" s="272" t="inlineStr">
        <is>
          <t>2025-08-06</t>
        </is>
      </c>
    </row>
    <row r="147">
      <c r="A147" s="272" t="n">
        <v>146</v>
      </c>
      <c r="B147" s="272" t="n">
        <v>103591723</v>
      </c>
      <c r="C147" s="272" t="inlineStr">
        <is>
          <t>4000V/210A-B911</t>
        </is>
      </c>
      <c r="D147" s="272" t="inlineStr">
        <is>
          <t>Overseas</t>
        </is>
      </c>
      <c r="E147" s="272" t="inlineStr">
        <is>
          <t>Request</t>
        </is>
      </c>
      <c r="F147" s="272" t="inlineStr">
        <is>
          <t>Prospect</t>
        </is>
      </c>
      <c r="G147" s="272" t="inlineStr">
        <is>
          <t>1/1/2025</t>
        </is>
      </c>
      <c r="H147" s="272" t="n">
        <v>100</v>
      </c>
      <c r="I147" s="272" t="n">
        <v>75</v>
      </c>
      <c r="J147" s="272" t="inlineStr">
        <is>
          <t>TBD</t>
        </is>
      </c>
      <c r="K147" s="272" t="inlineStr">
        <is>
          <t>TBD</t>
        </is>
      </c>
      <c r="L147" s="272" t="inlineStr">
        <is>
          <t>Watch collector: 3 Rolexes, 2 JLC, 1 AP (Royal Oak Offshore Diver), 1 IWC, 1 Chopard, 1 Ulysse Nardin, 2 Nomos. \n</t>
        </is>
      </c>
      <c r="M147" s="272" t="inlineStr">
        <is>
          <t>Urgent follow-up required</t>
        </is>
      </c>
      <c r="N147" s="272" t="inlineStr">
        <is>
          <t>2025-08-06</t>
        </is>
      </c>
    </row>
    <row r="148">
      <c r="A148" s="272" t="n">
        <v>147</v>
      </c>
      <c r="B148" s="272" t="n">
        <v>102505094</v>
      </c>
      <c r="C148" s="272" t="inlineStr">
        <is>
          <t>5520V/210A-B148</t>
        </is>
      </c>
      <c r="D148" s="272" t="inlineStr">
        <is>
          <t>Overseas</t>
        </is>
      </c>
      <c r="E148" s="272" t="inlineStr">
        <is>
          <t>Request</t>
        </is>
      </c>
      <c r="F148" s="272" t="inlineStr">
        <is>
          <t>Prospect</t>
        </is>
      </c>
      <c r="G148" s="272" t="inlineStr">
        <is>
          <t>25/12/2024</t>
        </is>
      </c>
      <c r="H148" s="272" t="n"/>
      <c r="I148" s="272" t="n">
        <v>75</v>
      </c>
      <c r="J148" s="272" t="inlineStr">
        <is>
          <t>TBD</t>
        </is>
      </c>
      <c r="K148" s="272" t="inlineStr">
        <is>
          <t>TBD</t>
        </is>
      </c>
      <c r="L148" s="272" t="inlineStr">
        <is>
          <t>The client wants to purchase the Overseas chronograph 5520V/210A-B148\n\nand has another request for the black one. He wants to try the blue one now and complete the payment\n\n\n</t>
        </is>
      </c>
      <c r="M148" s="272" t="inlineStr">
        <is>
          <t>Urgent follow-up required</t>
        </is>
      </c>
      <c r="N148" s="272" t="inlineStr">
        <is>
          <t>2025-08-06</t>
        </is>
      </c>
    </row>
    <row r="149">
      <c r="A149" s="272" t="n">
        <v>148</v>
      </c>
      <c r="B149" s="272" t="n">
        <v>102928395</v>
      </c>
      <c r="C149" s="272" t="inlineStr">
        <is>
          <t>7920V/210A-B334</t>
        </is>
      </c>
      <c r="D149" s="272" t="inlineStr">
        <is>
          <t>Other</t>
        </is>
      </c>
      <c r="E149" s="272" t="inlineStr">
        <is>
          <t>Request</t>
        </is>
      </c>
      <c r="F149" s="272" t="inlineStr">
        <is>
          <t>Prospect</t>
        </is>
      </c>
      <c r="G149" s="272" t="inlineStr">
        <is>
          <t>21/12/2024</t>
        </is>
      </c>
      <c r="H149" s="272" t="n"/>
      <c r="I149" s="272" t="n">
        <v>75</v>
      </c>
      <c r="J149" s="272" t="inlineStr">
        <is>
          <t>TBD</t>
        </is>
      </c>
      <c r="K149" s="272" t="inlineStr">
        <is>
          <t>TBD</t>
        </is>
      </c>
      <c r="L149" s="272" t="inlineStr">
        <is>
          <t>The client is watch collecter \n</t>
        </is>
      </c>
      <c r="M149" s="272" t="inlineStr">
        <is>
          <t>Urgent follow-up required</t>
        </is>
      </c>
      <c r="N149" s="272" t="inlineStr">
        <is>
          <t>2025-08-06</t>
        </is>
      </c>
    </row>
    <row r="150">
      <c r="A150" s="272" t="n">
        <v>149</v>
      </c>
      <c r="B150" s="272" t="n">
        <v>102505094</v>
      </c>
      <c r="C150" s="272" t="inlineStr">
        <is>
          <t>5520V/210A-B481</t>
        </is>
      </c>
      <c r="D150" s="272" t="inlineStr">
        <is>
          <t>Overseas</t>
        </is>
      </c>
      <c r="E150" s="272" t="inlineStr">
        <is>
          <t>Request</t>
        </is>
      </c>
      <c r="F150" s="272" t="inlineStr">
        <is>
          <t>Prospect</t>
        </is>
      </c>
      <c r="G150" s="272" t="inlineStr">
        <is>
          <t>19/12/2024</t>
        </is>
      </c>
      <c r="H150" s="272" t="n"/>
      <c r="I150" s="272" t="n">
        <v>75</v>
      </c>
      <c r="J150" s="272" t="inlineStr">
        <is>
          <t>TBD</t>
        </is>
      </c>
      <c r="K150" s="272" t="inlineStr">
        <is>
          <t>TBD</t>
        </is>
      </c>
      <c r="L150" s="272" t="inlineStr">
        <is>
          <t>The client would like to be listed for the chronograph\n</t>
        </is>
      </c>
      <c r="M150" s="272" t="inlineStr">
        <is>
          <t>Urgent follow-up required</t>
        </is>
      </c>
      <c r="N150" s="272" t="inlineStr">
        <is>
          <t>2025-08-06</t>
        </is>
      </c>
    </row>
    <row r="151">
      <c r="A151" s="272" t="n">
        <v>150</v>
      </c>
      <c r="B151" s="272" t="n">
        <v>102928395</v>
      </c>
      <c r="C151" s="272" t="inlineStr">
        <is>
          <t>7920V/210A-B546</t>
        </is>
      </c>
      <c r="D151" s="272" t="inlineStr">
        <is>
          <t>Other</t>
        </is>
      </c>
      <c r="E151" s="272" t="inlineStr">
        <is>
          <t>Request</t>
        </is>
      </c>
      <c r="F151" s="272" t="inlineStr">
        <is>
          <t>Prospect</t>
        </is>
      </c>
      <c r="G151" s="272" t="inlineStr">
        <is>
          <t>19/12/2024</t>
        </is>
      </c>
      <c r="H151" s="272" t="n"/>
      <c r="I151" s="272" t="n">
        <v>75</v>
      </c>
      <c r="J151" s="272" t="inlineStr">
        <is>
          <t>TBD</t>
        </is>
      </c>
      <c r="K151" s="272" t="inlineStr">
        <is>
          <t>TBD</t>
        </is>
      </c>
      <c r="L151" s="272" t="inlineStr">
        <is>
          <t>The client is a collecter with big interest  on the overseas collection \n</t>
        </is>
      </c>
      <c r="M151" s="272" t="inlineStr">
        <is>
          <t>Urgent follow-up required</t>
        </is>
      </c>
      <c r="N151" s="272" t="inlineStr">
        <is>
          <t>2025-08-06</t>
        </is>
      </c>
    </row>
    <row r="152">
      <c r="A152" s="272" t="n">
        <v>151</v>
      </c>
      <c r="B152" s="272" t="n">
        <v>103058741</v>
      </c>
      <c r="C152" s="272" t="inlineStr">
        <is>
          <t>4300V/220G-B946</t>
        </is>
      </c>
      <c r="D152" s="272" t="inlineStr">
        <is>
          <t>Other</t>
        </is>
      </c>
      <c r="E152" s="272" t="inlineStr">
        <is>
          <t>Request</t>
        </is>
      </c>
      <c r="F152" s="272" t="inlineStr">
        <is>
          <t>Prospect</t>
        </is>
      </c>
      <c r="G152" s="272" t="inlineStr">
        <is>
          <t>17/12/2024</t>
        </is>
      </c>
      <c r="H152" s="272" t="n"/>
      <c r="I152" s="272" t="n">
        <v>75</v>
      </c>
      <c r="J152" s="272" t="inlineStr">
        <is>
          <t>TBD</t>
        </is>
      </c>
      <c r="K152" s="272" t="inlineStr">
        <is>
          <t>TBD</t>
        </is>
      </c>
      <c r="L152" s="272" t="inlineStr">
        <is>
          <t>The client is of exceptional stature, with deep-rooted connections to family-operated holding companies and a distinguished legacy in multi-generational wealth management, reflecting both influence and enduring financial sophistication. \n</t>
        </is>
      </c>
      <c r="M152" s="272" t="inlineStr">
        <is>
          <t>Urgent follow-up required</t>
        </is>
      </c>
      <c r="N152" s="272" t="inlineStr">
        <is>
          <t>2025-08-06</t>
        </is>
      </c>
    </row>
    <row r="153">
      <c r="A153" s="272" t="n">
        <v>152</v>
      </c>
      <c r="B153" s="272" t="n">
        <v>103831073</v>
      </c>
      <c r="C153" s="272" t="inlineStr">
        <is>
          <t>4200H/222A-B934</t>
        </is>
      </c>
      <c r="D153" s="272" t="inlineStr">
        <is>
          <t>Patrimony</t>
        </is>
      </c>
      <c r="E153" s="272" t="inlineStr">
        <is>
          <t>Request</t>
        </is>
      </c>
      <c r="F153" s="272" t="inlineStr">
        <is>
          <t>Prospect</t>
        </is>
      </c>
      <c r="G153" s="272" t="inlineStr">
        <is>
          <t>20/2/2025</t>
        </is>
      </c>
      <c r="H153" s="272" t="n"/>
      <c r="I153" s="272" t="n">
        <v>75</v>
      </c>
      <c r="J153" s="272" t="inlineStr">
        <is>
          <t>TBD</t>
        </is>
      </c>
      <c r="K153" s="272" t="inlineStr">
        <is>
          <t>TBD</t>
        </is>
      </c>
      <c r="L153" s="272" t="inlineStr">
        <is>
          <t>interested in the 222\n</t>
        </is>
      </c>
      <c r="M153" s="272" t="inlineStr">
        <is>
          <t>Urgent follow-up required</t>
        </is>
      </c>
      <c r="N153" s="272" t="inlineStr">
        <is>
          <t>2025-08-06</t>
        </is>
      </c>
    </row>
    <row r="154">
      <c r="A154" s="272" t="n">
        <v>153</v>
      </c>
      <c r="B154" s="272" t="n">
        <v>92408025</v>
      </c>
      <c r="C154" s="272" t="inlineStr">
        <is>
          <t>4200H/222A-B934</t>
        </is>
      </c>
      <c r="D154" s="272" t="inlineStr">
        <is>
          <t>Patrimony</t>
        </is>
      </c>
      <c r="E154" s="272" t="inlineStr">
        <is>
          <t>Request</t>
        </is>
      </c>
      <c r="F154" s="272" t="inlineStr">
        <is>
          <t>Prospect</t>
        </is>
      </c>
      <c r="G154" s="272" t="inlineStr">
        <is>
          <t>15/1/2025</t>
        </is>
      </c>
      <c r="H154" s="272" t="n"/>
      <c r="I154" s="272" t="n">
        <v>75</v>
      </c>
      <c r="J154" s="272" t="inlineStr">
        <is>
          <t>TBD</t>
        </is>
      </c>
      <c r="K154" s="272" t="inlineStr">
        <is>
          <t>TBD</t>
        </is>
      </c>
      <c r="L154" s="272" t="n"/>
      <c r="M154" s="272" t="inlineStr">
        <is>
          <t>Urgent follow-up required</t>
        </is>
      </c>
      <c r="N154" s="272" t="inlineStr">
        <is>
          <t>2025-08-06</t>
        </is>
      </c>
    </row>
    <row r="155">
      <c r="A155" s="272" t="n">
        <v>154</v>
      </c>
      <c r="B155" s="272" t="n">
        <v>103616558</v>
      </c>
      <c r="C155" s="272" t="inlineStr">
        <is>
          <t>4200H/222A-B934</t>
        </is>
      </c>
      <c r="D155" s="272" t="inlineStr">
        <is>
          <t>Patrimony</t>
        </is>
      </c>
      <c r="E155" s="272" t="inlineStr">
        <is>
          <t>Request</t>
        </is>
      </c>
      <c r="F155" s="272" t="inlineStr">
        <is>
          <t>Prospect</t>
        </is>
      </c>
      <c r="G155" s="272" t="inlineStr">
        <is>
          <t>15/1/2025</t>
        </is>
      </c>
      <c r="H155" s="272" t="n"/>
      <c r="I155" s="272" t="n">
        <v>75</v>
      </c>
      <c r="J155" s="272" t="inlineStr">
        <is>
          <t>TBD</t>
        </is>
      </c>
      <c r="K155" s="272" t="inlineStr">
        <is>
          <t>TBD</t>
        </is>
      </c>
      <c r="L155" s="272" t="n"/>
      <c r="M155" s="272" t="inlineStr">
        <is>
          <t>Urgent follow-up required</t>
        </is>
      </c>
      <c r="N155" s="272" t="inlineStr">
        <is>
          <t>2025-08-06</t>
        </is>
      </c>
    </row>
    <row r="156">
      <c r="A156" s="272" t="n">
        <v>155</v>
      </c>
      <c r="B156" s="272" t="n">
        <v>92397362</v>
      </c>
      <c r="C156" s="272" t="inlineStr">
        <is>
          <t>4200H/222A-B934</t>
        </is>
      </c>
      <c r="D156" s="272" t="inlineStr">
        <is>
          <t>Patrimony</t>
        </is>
      </c>
      <c r="E156" s="272" t="inlineStr">
        <is>
          <t>Request</t>
        </is>
      </c>
      <c r="F156" s="272" t="inlineStr">
        <is>
          <t>Prospect</t>
        </is>
      </c>
      <c r="G156" s="272" t="inlineStr">
        <is>
          <t>15/1/2025</t>
        </is>
      </c>
      <c r="H156" s="272" t="n"/>
      <c r="I156" s="272" t="n">
        <v>75</v>
      </c>
      <c r="J156" s="272" t="inlineStr">
        <is>
          <t>TBD</t>
        </is>
      </c>
      <c r="K156" s="272" t="inlineStr">
        <is>
          <t>TBD</t>
        </is>
      </c>
      <c r="L156" s="272" t="n"/>
      <c r="M156" s="272" t="inlineStr">
        <is>
          <t>Urgent follow-up required</t>
        </is>
      </c>
      <c r="N156" s="272" t="inlineStr">
        <is>
          <t>2025-08-06</t>
        </is>
      </c>
    </row>
    <row r="157">
      <c r="A157" s="272" t="n">
        <v>156</v>
      </c>
      <c r="B157" s="272" t="n">
        <v>103617256</v>
      </c>
      <c r="C157" s="272" t="inlineStr">
        <is>
          <t>4200H/222A-B934</t>
        </is>
      </c>
      <c r="D157" s="272" t="inlineStr">
        <is>
          <t>Patrimony</t>
        </is>
      </c>
      <c r="E157" s="272" t="inlineStr">
        <is>
          <t>Request</t>
        </is>
      </c>
      <c r="F157" s="272" t="inlineStr">
        <is>
          <t>Prospect</t>
        </is>
      </c>
      <c r="G157" s="272" t="inlineStr">
        <is>
          <t>14/1/2025</t>
        </is>
      </c>
      <c r="H157" s="272" t="n"/>
      <c r="I157" s="272" t="n">
        <v>75</v>
      </c>
      <c r="J157" s="272" t="inlineStr">
        <is>
          <t>TBD</t>
        </is>
      </c>
      <c r="K157" s="272" t="inlineStr">
        <is>
          <t>TBD</t>
        </is>
      </c>
      <c r="L157" s="272" t="n"/>
      <c r="M157" s="272" t="inlineStr">
        <is>
          <t>Urgent follow-up required</t>
        </is>
      </c>
      <c r="N157" s="272" t="inlineStr">
        <is>
          <t>2025-08-06</t>
        </is>
      </c>
    </row>
    <row r="158">
      <c r="A158" s="272" t="n">
        <v>157</v>
      </c>
      <c r="B158" s="272" t="n">
        <v>93912121</v>
      </c>
      <c r="C158" s="272" t="inlineStr">
        <is>
          <t>4200H/222A-B934</t>
        </is>
      </c>
      <c r="D158" s="272" t="inlineStr">
        <is>
          <t>Patrimony</t>
        </is>
      </c>
      <c r="E158" s="272" t="inlineStr">
        <is>
          <t>Request</t>
        </is>
      </c>
      <c r="F158" s="272" t="inlineStr">
        <is>
          <t>Prospect</t>
        </is>
      </c>
      <c r="G158" s="272" t="inlineStr">
        <is>
          <t>14/1/2025</t>
        </is>
      </c>
      <c r="H158" s="272" t="n"/>
      <c r="I158" s="272" t="n">
        <v>75</v>
      </c>
      <c r="J158" s="272" t="inlineStr">
        <is>
          <t>TBD</t>
        </is>
      </c>
      <c r="K158" s="272" t="inlineStr">
        <is>
          <t>TBD</t>
        </is>
      </c>
      <c r="L158" s="272" t="n"/>
      <c r="M158" s="272" t="inlineStr">
        <is>
          <t>Urgent follow-up required</t>
        </is>
      </c>
      <c r="N158" s="272" t="inlineStr">
        <is>
          <t>2025-08-06</t>
        </is>
      </c>
    </row>
    <row r="159">
      <c r="A159" s="272" t="n">
        <v>158</v>
      </c>
      <c r="B159" s="272" t="n">
        <v>103631902</v>
      </c>
      <c r="C159" s="272" t="inlineStr">
        <is>
          <t>4200H/222A-B934</t>
        </is>
      </c>
      <c r="D159" s="272" t="inlineStr">
        <is>
          <t>Patrimony</t>
        </is>
      </c>
      <c r="E159" s="272" t="inlineStr">
        <is>
          <t>Request</t>
        </is>
      </c>
      <c r="F159" s="272" t="inlineStr">
        <is>
          <t>Prospect</t>
        </is>
      </c>
      <c r="G159" s="272" t="inlineStr">
        <is>
          <t>14/1/2025</t>
        </is>
      </c>
      <c r="H159" s="272" t="n"/>
      <c r="I159" s="272" t="n">
        <v>75</v>
      </c>
      <c r="J159" s="272" t="inlineStr">
        <is>
          <t>TBD</t>
        </is>
      </c>
      <c r="K159" s="272" t="inlineStr">
        <is>
          <t>TBD</t>
        </is>
      </c>
      <c r="L159" s="272" t="n"/>
      <c r="M159" s="272" t="inlineStr">
        <is>
          <t>Urgent follow-up required</t>
        </is>
      </c>
      <c r="N159" s="272" t="inlineStr">
        <is>
          <t>2025-08-06</t>
        </is>
      </c>
    </row>
    <row r="160">
      <c r="A160" s="272" t="n">
        <v>159</v>
      </c>
      <c r="B160" s="272" t="n">
        <v>103620484</v>
      </c>
      <c r="C160" s="272" t="inlineStr">
        <is>
          <t>4200H/222A-B934</t>
        </is>
      </c>
      <c r="D160" s="272" t="inlineStr">
        <is>
          <t>Patrimony</t>
        </is>
      </c>
      <c r="E160" s="272" t="inlineStr">
        <is>
          <t>Request</t>
        </is>
      </c>
      <c r="F160" s="272" t="inlineStr">
        <is>
          <t>Prospect</t>
        </is>
      </c>
      <c r="G160" s="272" t="inlineStr">
        <is>
          <t>14/1/2025</t>
        </is>
      </c>
      <c r="H160" s="272" t="n"/>
      <c r="I160" s="272" t="n">
        <v>75</v>
      </c>
      <c r="J160" s="272" t="inlineStr">
        <is>
          <t>TBD</t>
        </is>
      </c>
      <c r="K160" s="272" t="inlineStr">
        <is>
          <t>TBD</t>
        </is>
      </c>
      <c r="L160" s="272" t="n"/>
      <c r="M160" s="272" t="inlineStr">
        <is>
          <t>Urgent follow-up required</t>
        </is>
      </c>
      <c r="N160" s="272" t="inlineStr">
        <is>
          <t>2025-08-06</t>
        </is>
      </c>
    </row>
    <row r="161">
      <c r="A161" s="272" t="n">
        <v>160</v>
      </c>
      <c r="B161" s="272" t="n">
        <v>103621182</v>
      </c>
      <c r="C161" s="272" t="inlineStr">
        <is>
          <t>4200H/222A-B934</t>
        </is>
      </c>
      <c r="D161" s="272" t="inlineStr">
        <is>
          <t>Patrimony</t>
        </is>
      </c>
      <c r="E161" s="272" t="inlineStr">
        <is>
          <t>Request</t>
        </is>
      </c>
      <c r="F161" s="272" t="inlineStr">
        <is>
          <t>Prospect</t>
        </is>
      </c>
      <c r="G161" s="272" t="inlineStr">
        <is>
          <t>15/1/2025</t>
        </is>
      </c>
      <c r="H161" s="272" t="n"/>
      <c r="I161" s="272" t="n">
        <v>75</v>
      </c>
      <c r="J161" s="272" t="inlineStr">
        <is>
          <t>TBD</t>
        </is>
      </c>
      <c r="K161" s="272" t="inlineStr">
        <is>
          <t>TBD</t>
        </is>
      </c>
      <c r="L161" s="272" t="n"/>
      <c r="M161" s="272" t="inlineStr">
        <is>
          <t>Urgent follow-up required</t>
        </is>
      </c>
      <c r="N161" s="272" t="inlineStr">
        <is>
          <t>2025-08-06</t>
        </is>
      </c>
    </row>
    <row r="162">
      <c r="A162" s="272" t="n">
        <v>161</v>
      </c>
      <c r="B162" s="272" t="n">
        <v>103620632</v>
      </c>
      <c r="C162" s="272" t="inlineStr">
        <is>
          <t>4200H/222A-B934</t>
        </is>
      </c>
      <c r="D162" s="272" t="inlineStr">
        <is>
          <t>Patrimony</t>
        </is>
      </c>
      <c r="E162" s="272" t="inlineStr">
        <is>
          <t>Request</t>
        </is>
      </c>
      <c r="F162" s="272" t="inlineStr">
        <is>
          <t>Prospect</t>
        </is>
      </c>
      <c r="G162" s="272" t="inlineStr">
        <is>
          <t>15/1/2025</t>
        </is>
      </c>
      <c r="H162" s="272" t="n"/>
      <c r="I162" s="272" t="n">
        <v>75</v>
      </c>
      <c r="J162" s="272" t="inlineStr">
        <is>
          <t>TBD</t>
        </is>
      </c>
      <c r="K162" s="272" t="inlineStr">
        <is>
          <t>TBD</t>
        </is>
      </c>
      <c r="L162" s="272" t="n"/>
      <c r="M162" s="272" t="inlineStr">
        <is>
          <t>Urgent follow-up required</t>
        </is>
      </c>
      <c r="N162" s="272" t="inlineStr">
        <is>
          <t>2025-08-06</t>
        </is>
      </c>
    </row>
    <row r="163">
      <c r="A163" s="272" t="n">
        <v>162</v>
      </c>
      <c r="B163" s="272" t="n">
        <v>103634777</v>
      </c>
      <c r="C163" s="272" t="inlineStr">
        <is>
          <t>4200H/222A-B934</t>
        </is>
      </c>
      <c r="D163" s="272" t="inlineStr">
        <is>
          <t>Patrimony</t>
        </is>
      </c>
      <c r="E163" s="272" t="inlineStr">
        <is>
          <t>Request</t>
        </is>
      </c>
      <c r="F163" s="272" t="inlineStr">
        <is>
          <t>Prospect</t>
        </is>
      </c>
      <c r="G163" s="272" t="inlineStr">
        <is>
          <t>14/1/2025</t>
        </is>
      </c>
      <c r="H163" s="272" t="n"/>
      <c r="I163" s="272" t="n">
        <v>75</v>
      </c>
      <c r="J163" s="272" t="inlineStr">
        <is>
          <t>TBD</t>
        </is>
      </c>
      <c r="K163" s="272" t="inlineStr">
        <is>
          <t>TBD</t>
        </is>
      </c>
      <c r="L163" s="272" t="n"/>
      <c r="M163" s="272" t="inlineStr">
        <is>
          <t>Urgent follow-up required</t>
        </is>
      </c>
      <c r="N163" s="272" t="inlineStr">
        <is>
          <t>2025-08-06</t>
        </is>
      </c>
    </row>
    <row r="164">
      <c r="A164" s="272" t="n">
        <v>163</v>
      </c>
      <c r="B164" s="272" t="n">
        <v>103437674</v>
      </c>
      <c r="C164" s="272" t="inlineStr">
        <is>
          <t>7920V/210A-B334</t>
        </is>
      </c>
      <c r="D164" s="272" t="inlineStr">
        <is>
          <t>Other</t>
        </is>
      </c>
      <c r="E164" s="272" t="inlineStr">
        <is>
          <t>Request</t>
        </is>
      </c>
      <c r="F164" s="272" t="inlineStr">
        <is>
          <t>Prospect</t>
        </is>
      </c>
      <c r="G164" s="272" t="inlineStr">
        <is>
          <t>2/1/2025</t>
        </is>
      </c>
      <c r="H164" s="272" t="n">
        <v>100</v>
      </c>
      <c r="I164" s="272" t="n">
        <v>75</v>
      </c>
      <c r="J164" s="272" t="inlineStr">
        <is>
          <t>TBD</t>
        </is>
      </c>
      <c r="K164" s="272" t="inlineStr">
        <is>
          <t>TBD</t>
        </is>
      </c>
      <c r="L164" s="272" t="inlineStr">
        <is>
          <t>as per the client expressing interest in two models:\n\n- **Overseas Dual Time (Steel)**\n- **1921 (40mm and 36mm)**\n\nMr. Khan described his existing collection, which includes:\n\n- **Omega**\n- **Panerai**\n- **Vintage Raymond Weil**\n\n\n</t>
        </is>
      </c>
      <c r="M164" s="272" t="inlineStr">
        <is>
          <t>Urgent follow-up required</t>
        </is>
      </c>
      <c r="N164" s="272" t="inlineStr">
        <is>
          <t>2025-08-06</t>
        </is>
      </c>
    </row>
    <row r="165">
      <c r="A165" s="272" t="n">
        <v>164</v>
      </c>
      <c r="B165" s="272" t="n">
        <v>103437674</v>
      </c>
      <c r="C165" s="272" t="inlineStr">
        <is>
          <t>4200H/222A-B934</t>
        </is>
      </c>
      <c r="D165" s="272" t="inlineStr">
        <is>
          <t>Patrimony</t>
        </is>
      </c>
      <c r="E165" s="272" t="inlineStr">
        <is>
          <t>Request</t>
        </is>
      </c>
      <c r="F165" s="272" t="inlineStr">
        <is>
          <t>Prospect</t>
        </is>
      </c>
      <c r="G165" s="272" t="inlineStr">
        <is>
          <t>14/1/2025</t>
        </is>
      </c>
      <c r="H165" s="272" t="n"/>
      <c r="I165" s="272" t="n">
        <v>75</v>
      </c>
      <c r="J165" s="272" t="inlineStr">
        <is>
          <t>TBD</t>
        </is>
      </c>
      <c r="K165" s="272" t="inlineStr">
        <is>
          <t>TBD</t>
        </is>
      </c>
      <c r="L165" s="272" t="inlineStr">
        <is>
          <t>The client is already interested in the 222 and willing to pay in advance \n</t>
        </is>
      </c>
      <c r="M165" s="272" t="inlineStr">
        <is>
          <t>Urgent follow-up required</t>
        </is>
      </c>
      <c r="N165" s="272" t="inlineStr">
        <is>
          <t>2025-08-06</t>
        </is>
      </c>
    </row>
    <row r="166">
      <c r="A166" s="272" t="n">
        <v>165</v>
      </c>
      <c r="B166" s="272" t="n">
        <v>103531883</v>
      </c>
      <c r="C166" s="272" t="inlineStr">
        <is>
          <t>4200H/222A-B934</t>
        </is>
      </c>
      <c r="D166" s="272" t="inlineStr">
        <is>
          <t>Patrimony</t>
        </is>
      </c>
      <c r="E166" s="272" t="inlineStr">
        <is>
          <t>Request</t>
        </is>
      </c>
      <c r="F166" s="272" t="inlineStr">
        <is>
          <t>Prospect</t>
        </is>
      </c>
      <c r="G166" s="272" t="inlineStr">
        <is>
          <t>14/1/2025</t>
        </is>
      </c>
      <c r="H166" s="272" t="n"/>
      <c r="I166" s="272" t="n">
        <v>75</v>
      </c>
      <c r="J166" s="272" t="inlineStr">
        <is>
          <t>TBD</t>
        </is>
      </c>
      <c r="K166" s="272" t="inlineStr">
        <is>
          <t>TBD</t>
        </is>
      </c>
      <c r="L166" s="272" t="inlineStr">
        <is>
          <t>the client is very intrested \n</t>
        </is>
      </c>
      <c r="M166" s="272" t="inlineStr">
        <is>
          <t>Urgent follow-up required</t>
        </is>
      </c>
      <c r="N166" s="272" t="inlineStr">
        <is>
          <t>2025-08-06</t>
        </is>
      </c>
    </row>
    <row r="167">
      <c r="A167" s="272" t="n">
        <v>166</v>
      </c>
      <c r="B167" s="272" t="n">
        <v>103531883</v>
      </c>
      <c r="C167" s="272" t="inlineStr">
        <is>
          <t>4200H/222A-B934</t>
        </is>
      </c>
      <c r="D167" s="272" t="inlineStr">
        <is>
          <t>Patrimony</t>
        </is>
      </c>
      <c r="E167" s="272" t="inlineStr">
        <is>
          <t>Request</t>
        </is>
      </c>
      <c r="F167" s="272" t="inlineStr">
        <is>
          <t>Prospect</t>
        </is>
      </c>
      <c r="G167" s="272" t="inlineStr">
        <is>
          <t>14/1/2025</t>
        </is>
      </c>
      <c r="H167" s="272" t="n"/>
      <c r="I167" s="272" t="n">
        <v>75</v>
      </c>
      <c r="J167" s="272" t="inlineStr">
        <is>
          <t>TBD</t>
        </is>
      </c>
      <c r="K167" s="272" t="inlineStr">
        <is>
          <t>TBD</t>
        </is>
      </c>
      <c r="L167" s="272" t="inlineStr">
        <is>
          <t>Cllient is very interested \n</t>
        </is>
      </c>
      <c r="M167" s="272" t="inlineStr">
        <is>
          <t>Urgent follow-up required</t>
        </is>
      </c>
      <c r="N167" s="272" t="inlineStr">
        <is>
          <t>2025-08-06</t>
        </is>
      </c>
    </row>
    <row r="168">
      <c r="A168" s="272" t="n">
        <v>167</v>
      </c>
      <c r="B168" s="272" t="n">
        <v>92406536</v>
      </c>
      <c r="C168" s="272" t="inlineStr">
        <is>
          <t>4200H/222A-B934</t>
        </is>
      </c>
      <c r="D168" s="272" t="inlineStr">
        <is>
          <t>Patrimony</t>
        </is>
      </c>
      <c r="E168" s="272" t="inlineStr">
        <is>
          <t>Request</t>
        </is>
      </c>
      <c r="F168" s="272" t="inlineStr">
        <is>
          <t>Prospect</t>
        </is>
      </c>
      <c r="G168" s="272" t="inlineStr">
        <is>
          <t>14/1/2025</t>
        </is>
      </c>
      <c r="H168" s="272" t="n"/>
      <c r="I168" s="272" t="n">
        <v>75</v>
      </c>
      <c r="J168" s="272" t="inlineStr">
        <is>
          <t>TBD</t>
        </is>
      </c>
      <c r="K168" s="272" t="inlineStr">
        <is>
          <t>TBD</t>
        </is>
      </c>
      <c r="L168" s="272" t="n"/>
      <c r="M168" s="272" t="inlineStr">
        <is>
          <t>Urgent follow-up required</t>
        </is>
      </c>
      <c r="N168" s="272" t="inlineStr">
        <is>
          <t>2025-08-06</t>
        </is>
      </c>
    </row>
    <row r="169">
      <c r="A169" s="272" t="n">
        <v>168</v>
      </c>
      <c r="B169" s="272" t="n">
        <v>97266884</v>
      </c>
      <c r="C169" s="272" t="inlineStr">
        <is>
          <t>4000E/000A-B548</t>
        </is>
      </c>
      <c r="D169" s="272" t="inlineStr">
        <is>
          <t>Other</t>
        </is>
      </c>
      <c r="E169" s="272" t="inlineStr">
        <is>
          <t>Request</t>
        </is>
      </c>
      <c r="F169" s="272" t="inlineStr">
        <is>
          <t>Prospect</t>
        </is>
      </c>
      <c r="G169" s="272" t="inlineStr">
        <is>
          <t>19/1/2024</t>
        </is>
      </c>
      <c r="H169" s="272" t="n"/>
      <c r="I169" s="272" t="n">
        <v>75</v>
      </c>
      <c r="J169" s="272" t="inlineStr">
        <is>
          <t>TBD</t>
        </is>
      </c>
      <c r="K169" s="272" t="inlineStr">
        <is>
          <t>TBD</t>
        </is>
      </c>
      <c r="L169" s="272" t="inlineStr">
        <is>
          <t>Client’s wedding is in November 2024 and would like to purchase the timepiece and wear it on his day\n</t>
        </is>
      </c>
      <c r="M169" s="272" t="inlineStr">
        <is>
          <t>Urgent follow-up required</t>
        </is>
      </c>
      <c r="N169" s="272" t="inlineStr">
        <is>
          <t>2025-08-06</t>
        </is>
      </c>
    </row>
    <row r="170">
      <c r="A170" s="272" t="n">
        <v>169</v>
      </c>
      <c r="B170" s="272" t="n">
        <v>94291400</v>
      </c>
      <c r="C170" s="272" t="inlineStr">
        <is>
          <t>4600E/000A-B487</t>
        </is>
      </c>
      <c r="D170" s="272" t="inlineStr">
        <is>
          <t>Other</t>
        </is>
      </c>
      <c r="E170" s="272" t="inlineStr">
        <is>
          <t>Request</t>
        </is>
      </c>
      <c r="F170" s="272" t="inlineStr">
        <is>
          <t>Prospect</t>
        </is>
      </c>
      <c r="G170" s="272" t="inlineStr">
        <is>
          <t>1/1/2024</t>
        </is>
      </c>
      <c r="H170" s="272" t="n">
        <v>100</v>
      </c>
      <c r="I170" s="272" t="n">
        <v>75</v>
      </c>
      <c r="J170" s="272" t="inlineStr">
        <is>
          <t>TBD</t>
        </is>
      </c>
      <c r="K170" s="272" t="inlineStr">
        <is>
          <t>TBD</t>
        </is>
      </c>
      <c r="L170" s="272" t="n"/>
      <c r="M170" s="272" t="inlineStr">
        <is>
          <t>Urgent follow-up required</t>
        </is>
      </c>
      <c r="N170" s="272" t="inlineStr">
        <is>
          <t>2025-08-06</t>
        </is>
      </c>
    </row>
    <row r="171">
      <c r="A171" s="272" t="n">
        <v>170</v>
      </c>
      <c r="B171" s="272" t="n">
        <v>92397707</v>
      </c>
      <c r="C171" s="272" t="inlineStr">
        <is>
          <t>4200H/222A-B934</t>
        </is>
      </c>
      <c r="D171" s="272" t="inlineStr">
        <is>
          <t>Patrimony</t>
        </is>
      </c>
      <c r="E171" s="272" t="inlineStr">
        <is>
          <t>Request</t>
        </is>
      </c>
      <c r="F171" s="272" t="inlineStr">
        <is>
          <t>Prospect</t>
        </is>
      </c>
      <c r="G171" s="272" t="inlineStr">
        <is>
          <t>15/1/2025</t>
        </is>
      </c>
      <c r="H171" s="272" t="n"/>
      <c r="I171" s="272" t="n">
        <v>75</v>
      </c>
      <c r="J171" s="272" t="inlineStr">
        <is>
          <t>TBD</t>
        </is>
      </c>
      <c r="K171" s="272" t="inlineStr">
        <is>
          <t>TBD</t>
        </is>
      </c>
      <c r="L171" s="272" t="n"/>
      <c r="M171" s="272" t="inlineStr">
        <is>
          <t>Urgent follow-up required</t>
        </is>
      </c>
      <c r="N171" s="272" t="inlineStr">
        <is>
          <t>2025-08-06</t>
        </is>
      </c>
    </row>
    <row r="172">
      <c r="A172" s="272" t="n">
        <v>171</v>
      </c>
      <c r="B172" s="272" t="n">
        <v>92404856</v>
      </c>
      <c r="C172" s="272" t="inlineStr">
        <is>
          <t>4200H/222A-B934</t>
        </is>
      </c>
      <c r="D172" s="272" t="inlineStr">
        <is>
          <t>Patrimony</t>
        </is>
      </c>
      <c r="E172" s="272" t="inlineStr">
        <is>
          <t>Request</t>
        </is>
      </c>
      <c r="F172" s="272" t="inlineStr">
        <is>
          <t>Prospect</t>
        </is>
      </c>
      <c r="G172" s="272" t="inlineStr">
        <is>
          <t>15/1/2025</t>
        </is>
      </c>
      <c r="H172" s="272" t="n"/>
      <c r="I172" s="272" t="n">
        <v>75</v>
      </c>
      <c r="J172" s="272" t="inlineStr">
        <is>
          <t>TBD</t>
        </is>
      </c>
      <c r="K172" s="272" t="inlineStr">
        <is>
          <t>TBD</t>
        </is>
      </c>
      <c r="L172" s="272" t="n"/>
      <c r="M172" s="272" t="inlineStr">
        <is>
          <t>Urgent follow-up required</t>
        </is>
      </c>
      <c r="N172" s="272" t="inlineStr">
        <is>
          <t>2025-08-06</t>
        </is>
      </c>
    </row>
    <row r="173">
      <c r="A173" s="272" t="n">
        <v>172</v>
      </c>
      <c r="B173" s="272" t="n">
        <v>92407789</v>
      </c>
      <c r="C173" s="272" t="inlineStr">
        <is>
          <t>4520V/210A-B128</t>
        </is>
      </c>
      <c r="D173" s="272" t="inlineStr">
        <is>
          <t>Overseas</t>
        </is>
      </c>
      <c r="E173" s="272" t="inlineStr">
        <is>
          <t>Request</t>
        </is>
      </c>
      <c r="F173" s="272" t="inlineStr">
        <is>
          <t>Prospect</t>
        </is>
      </c>
      <c r="G173" s="272" t="inlineStr">
        <is>
          <t>13/11/2023</t>
        </is>
      </c>
      <c r="H173" s="272" t="n"/>
      <c r="I173" s="272" t="n">
        <v>75</v>
      </c>
      <c r="J173" s="272" t="inlineStr">
        <is>
          <t>TBD</t>
        </is>
      </c>
      <c r="K173" s="272" t="inlineStr">
        <is>
          <t>TBD</t>
        </is>
      </c>
      <c r="L173" s="272" t="n"/>
      <c r="M173" s="272" t="inlineStr">
        <is>
          <t>Urgent follow-up required</t>
        </is>
      </c>
      <c r="N173" s="272" t="inlineStr">
        <is>
          <t>2025-08-06</t>
        </is>
      </c>
    </row>
    <row r="174">
      <c r="A174" s="272" t="n">
        <v>173</v>
      </c>
      <c r="B174" s="272" t="n">
        <v>1301022</v>
      </c>
      <c r="C174" s="272" t="inlineStr">
        <is>
          <t>4520V/210A-B126</t>
        </is>
      </c>
      <c r="D174" s="272" t="inlineStr">
        <is>
          <t>Overseas</t>
        </is>
      </c>
      <c r="E174" s="272" t="inlineStr">
        <is>
          <t>Request</t>
        </is>
      </c>
      <c r="F174" s="272" t="inlineStr">
        <is>
          <t>Prospect</t>
        </is>
      </c>
      <c r="G174" s="272" t="inlineStr">
        <is>
          <t>29/10/2023</t>
        </is>
      </c>
      <c r="H174" s="272" t="n"/>
      <c r="I174" s="272" t="n">
        <v>75</v>
      </c>
      <c r="J174" s="272" t="inlineStr">
        <is>
          <t>TBD</t>
        </is>
      </c>
      <c r="K174" s="272" t="inlineStr">
        <is>
          <t>TBD</t>
        </is>
      </c>
      <c r="L174" s="272" t="n"/>
      <c r="M174" s="272" t="inlineStr">
        <is>
          <t>Urgent follow-up required</t>
        </is>
      </c>
      <c r="N174" s="272" t="inlineStr">
        <is>
          <t>2025-08-06</t>
        </is>
      </c>
    </row>
    <row r="175">
      <c r="A175" s="272" t="n">
        <v>174</v>
      </c>
      <c r="B175" s="272" t="n">
        <v>107634931</v>
      </c>
      <c r="C175" s="272" t="inlineStr">
        <is>
          <t>4000V/210A-B911</t>
        </is>
      </c>
      <c r="D175" s="272" t="inlineStr">
        <is>
          <t>Overseas</t>
        </is>
      </c>
      <c r="E175" s="272" t="inlineStr">
        <is>
          <t>Request</t>
        </is>
      </c>
      <c r="F175" s="272" t="inlineStr">
        <is>
          <t>Prospect</t>
        </is>
      </c>
      <c r="G175" s="272" t="inlineStr">
        <is>
          <t>18/7/2025</t>
        </is>
      </c>
      <c r="H175" s="272" t="n"/>
      <c r="I175" s="272" t="n">
        <v>75</v>
      </c>
      <c r="J175" s="272" t="inlineStr">
        <is>
          <t>TBD</t>
        </is>
      </c>
      <c r="K175" s="272" t="inlineStr">
        <is>
          <t>TBD</t>
        </is>
      </c>
      <c r="L175" s="272" t="inlineStr">
        <is>
          <t>\n</t>
        </is>
      </c>
      <c r="M175" s="272" t="inlineStr">
        <is>
          <t>Urgent follow-up required</t>
        </is>
      </c>
      <c r="N175" s="272" t="inlineStr">
        <is>
          <t>2025-08-06</t>
        </is>
      </c>
    </row>
    <row r="176">
      <c r="A176" s="272" t="n">
        <v>175</v>
      </c>
      <c r="B176" s="272" t="n">
        <v>100737696</v>
      </c>
      <c r="C176" s="272" t="inlineStr">
        <is>
          <t>4520V/210A-B128</t>
        </is>
      </c>
      <c r="D176" s="272" t="inlineStr">
        <is>
          <t>Overseas</t>
        </is>
      </c>
      <c r="E176" s="272" t="inlineStr">
        <is>
          <t>Request</t>
        </is>
      </c>
      <c r="F176" s="272" t="inlineStr">
        <is>
          <t>Prospect</t>
        </is>
      </c>
      <c r="G176" s="272" t="inlineStr">
        <is>
          <t>17/7/2024</t>
        </is>
      </c>
      <c r="H176" s="272" t="n"/>
      <c r="I176" s="272" t="n">
        <v>75</v>
      </c>
      <c r="J176" s="272" t="inlineStr">
        <is>
          <t>TBD</t>
        </is>
      </c>
      <c r="K176" s="272" t="inlineStr">
        <is>
          <t>TBD</t>
        </is>
      </c>
      <c r="L176" s="272" t="inlineStr">
        <is>
          <t>the client is interested in purchasing the **[Overseas self-winding ](https://richemont.lightning.force.com/lightning/r/01t1i000004DWYiAAO/view)**\n</t>
        </is>
      </c>
      <c r="M176" s="272" t="inlineStr">
        <is>
          <t>Urgent follow-up required</t>
        </is>
      </c>
      <c r="N176" s="272" t="inlineStr">
        <is>
          <t>2025-08-06</t>
        </is>
      </c>
    </row>
    <row r="177">
      <c r="A177" s="272" t="n">
        <v>176</v>
      </c>
      <c r="B177" s="272" t="n">
        <v>100599306</v>
      </c>
      <c r="C177" s="272" t="inlineStr">
        <is>
          <t>4520V/210A-B128</t>
        </is>
      </c>
      <c r="D177" s="272" t="inlineStr">
        <is>
          <t>Overseas</t>
        </is>
      </c>
      <c r="E177" s="272" t="inlineStr">
        <is>
          <t>Request</t>
        </is>
      </c>
      <c r="F177" s="272" t="inlineStr">
        <is>
          <t>Prospect</t>
        </is>
      </c>
      <c r="G177" s="272" t="inlineStr">
        <is>
          <t>16/7/2024</t>
        </is>
      </c>
      <c r="H177" s="272" t="n"/>
      <c r="I177" s="272" t="n">
        <v>75</v>
      </c>
      <c r="J177" s="272" t="inlineStr">
        <is>
          <t>TBD</t>
        </is>
      </c>
      <c r="K177" s="272" t="inlineStr">
        <is>
          <t>TBD</t>
        </is>
      </c>
      <c r="L177" s="272" t="inlineStr">
        <is>
          <t>The client wish to be added to the waiting list \n</t>
        </is>
      </c>
      <c r="M177" s="272" t="inlineStr">
        <is>
          <t>Urgent follow-up required</t>
        </is>
      </c>
      <c r="N177" s="272" t="inlineStr">
        <is>
          <t>2025-08-06</t>
        </is>
      </c>
    </row>
    <row r="178">
      <c r="A178" s="272" t="n">
        <v>177</v>
      </c>
      <c r="B178" s="272" t="n">
        <v>100736346</v>
      </c>
      <c r="C178" s="272" t="inlineStr">
        <is>
          <t>5100T/000P-H041</t>
        </is>
      </c>
      <c r="D178" s="272" t="inlineStr">
        <is>
          <t>Other</t>
        </is>
      </c>
      <c r="E178" s="272" t="inlineStr">
        <is>
          <t>Request</t>
        </is>
      </c>
      <c r="F178" s="272" t="inlineStr">
        <is>
          <t>Prospect</t>
        </is>
      </c>
      <c r="G178" s="272" t="inlineStr">
        <is>
          <t>16/7/2024</t>
        </is>
      </c>
      <c r="H178" s="272" t="n"/>
      <c r="I178" s="272" t="n">
        <v>75</v>
      </c>
      <c r="J178" s="272" t="inlineStr">
        <is>
          <t>TBD</t>
        </is>
      </c>
      <c r="K178" s="272" t="inlineStr">
        <is>
          <t>TBD</t>
        </is>
      </c>
      <c r="L178" s="272" t="inlineStr">
        <is>
          <t>The client is interested in Traditionnelle tourbillon chronograph, \n</t>
        </is>
      </c>
      <c r="M178" s="272" t="inlineStr">
        <is>
          <t>Urgent follow-up required</t>
        </is>
      </c>
      <c r="N178" s="272" t="inlineStr">
        <is>
          <t>2025-08-06</t>
        </is>
      </c>
    </row>
    <row r="179">
      <c r="A179" s="272" t="n">
        <v>178</v>
      </c>
      <c r="B179" s="272" t="n">
        <v>100668746</v>
      </c>
      <c r="C179" s="272" t="inlineStr">
        <is>
          <t>7920V/210A-B334</t>
        </is>
      </c>
      <c r="D179" s="272" t="inlineStr">
        <is>
          <t>Other</t>
        </is>
      </c>
      <c r="E179" s="272" t="inlineStr">
        <is>
          <t>Request</t>
        </is>
      </c>
      <c r="F179" s="272" t="inlineStr">
        <is>
          <t>Prospect</t>
        </is>
      </c>
      <c r="G179" s="272" t="inlineStr">
        <is>
          <t>13/7/2024</t>
        </is>
      </c>
      <c r="H179" s="272" t="n"/>
      <c r="I179" s="272" t="n">
        <v>75</v>
      </c>
      <c r="J179" s="272" t="inlineStr">
        <is>
          <t>TBD</t>
        </is>
      </c>
      <c r="K179" s="272" t="inlineStr">
        <is>
          <t>TBD</t>
        </is>
      </c>
      <c r="L179" s="272" t="inlineStr">
        <is>
          <t>The client is interested in the  Overseas dual time “ very interested \n</t>
        </is>
      </c>
      <c r="M179" s="272" t="inlineStr">
        <is>
          <t>Urgent follow-up required</t>
        </is>
      </c>
      <c r="N179" s="272" t="inlineStr">
        <is>
          <t>2025-08-06</t>
        </is>
      </c>
    </row>
    <row r="180">
      <c r="A180" s="272" t="n">
        <v>179</v>
      </c>
      <c r="B180" s="272" t="n">
        <v>100634537</v>
      </c>
      <c r="C180" s="272" t="inlineStr">
        <is>
          <t>7920V/210A-B334</t>
        </is>
      </c>
      <c r="D180" s="272" t="inlineStr">
        <is>
          <t>Other</t>
        </is>
      </c>
      <c r="E180" s="272" t="inlineStr">
        <is>
          <t>Request</t>
        </is>
      </c>
      <c r="F180" s="272" t="inlineStr">
        <is>
          <t>Prospect</t>
        </is>
      </c>
      <c r="G180" s="272" t="inlineStr">
        <is>
          <t>10/7/2024</t>
        </is>
      </c>
      <c r="H180" s="272" t="n">
        <v>100</v>
      </c>
      <c r="I180" s="272" t="n">
        <v>75</v>
      </c>
      <c r="J180" s="272" t="inlineStr">
        <is>
          <t>TBD</t>
        </is>
      </c>
      <c r="K180" s="272" t="inlineStr">
        <is>
          <t>TBD</t>
        </is>
      </c>
      <c r="L180" s="272" t="inlineStr">
        <is>
          <t>Mr. Ahmad, who has previously expressed his interest in the Overseas Dual Time, has been in communication with Yasser. We have committed to contacting Mr. Ahmad once the timepiece becomes available.\n</t>
        </is>
      </c>
      <c r="M180" s="272" t="inlineStr">
        <is>
          <t>Urgent follow-up required</t>
        </is>
      </c>
      <c r="N180" s="272" t="inlineStr">
        <is>
          <t>2025-08-06</t>
        </is>
      </c>
    </row>
    <row r="181">
      <c r="A181" s="272" t="n">
        <v>180</v>
      </c>
      <c r="B181" s="272" t="n">
        <v>92424528</v>
      </c>
      <c r="C181" s="272" t="inlineStr">
        <is>
          <t>4000V/210A-B911</t>
        </is>
      </c>
      <c r="D181" s="272" t="inlineStr">
        <is>
          <t>Overseas</t>
        </is>
      </c>
      <c r="E181" s="272" t="inlineStr">
        <is>
          <t>Request</t>
        </is>
      </c>
      <c r="F181" s="272" t="inlineStr">
        <is>
          <t>Prospect</t>
        </is>
      </c>
      <c r="G181" s="272" t="inlineStr">
        <is>
          <t>7/3/2024</t>
        </is>
      </c>
      <c r="H181" s="272" t="n">
        <v>100</v>
      </c>
      <c r="I181" s="272" t="n">
        <v>75</v>
      </c>
      <c r="J181" s="272" t="inlineStr">
        <is>
          <t>TBD</t>
        </is>
      </c>
      <c r="K181" s="272" t="inlineStr">
        <is>
          <t>TBD</t>
        </is>
      </c>
      <c r="L181" s="272" t="n"/>
      <c r="M181" s="272" t="inlineStr">
        <is>
          <t>Urgent follow-up required</t>
        </is>
      </c>
      <c r="N181" s="272" t="inlineStr">
        <is>
          <t>2025-08-06</t>
        </is>
      </c>
    </row>
    <row r="182">
      <c r="A182" s="272" t="n">
        <v>181</v>
      </c>
      <c r="B182" s="272" t="n">
        <v>98213878</v>
      </c>
      <c r="C182" s="272" t="inlineStr">
        <is>
          <t>4520V/210A-B128</t>
        </is>
      </c>
      <c r="D182" s="272" t="inlineStr">
        <is>
          <t>Overseas</t>
        </is>
      </c>
      <c r="E182" s="272" t="inlineStr">
        <is>
          <t>Request</t>
        </is>
      </c>
      <c r="F182" s="272" t="inlineStr">
        <is>
          <t>Prospect</t>
        </is>
      </c>
      <c r="G182" s="272" t="inlineStr">
        <is>
          <t>25/2/2024</t>
        </is>
      </c>
      <c r="H182" s="272" t="n"/>
      <c r="I182" s="272" t="n">
        <v>75</v>
      </c>
      <c r="J182" s="272" t="inlineStr">
        <is>
          <t>TBD</t>
        </is>
      </c>
      <c r="K182" s="272" t="inlineStr">
        <is>
          <t>TBD</t>
        </is>
      </c>
      <c r="L182" s="272" t="n"/>
      <c r="M182" s="272" t="inlineStr">
        <is>
          <t>Urgent follow-up required</t>
        </is>
      </c>
      <c r="N182" s="272" t="inlineStr">
        <is>
          <t>2025-08-06</t>
        </is>
      </c>
    </row>
    <row r="183">
      <c r="A183" s="272" t="n">
        <v>182</v>
      </c>
      <c r="B183" s="272" t="n">
        <v>97863424</v>
      </c>
      <c r="C183" s="272" t="inlineStr">
        <is>
          <t>4520V/210A-B128</t>
        </is>
      </c>
      <c r="D183" s="272" t="inlineStr">
        <is>
          <t>Overseas</t>
        </is>
      </c>
      <c r="E183" s="272" t="inlineStr">
        <is>
          <t>Request</t>
        </is>
      </c>
      <c r="F183" s="272" t="inlineStr">
        <is>
          <t>Prospect</t>
        </is>
      </c>
      <c r="G183" s="272" t="inlineStr">
        <is>
          <t>14/2/2024</t>
        </is>
      </c>
      <c r="H183" s="272" t="n"/>
      <c r="I183" s="272" t="n">
        <v>75</v>
      </c>
      <c r="J183" s="272" t="inlineStr">
        <is>
          <t>TBD</t>
        </is>
      </c>
      <c r="K183" s="272" t="inlineStr">
        <is>
          <t>TBD</t>
        </is>
      </c>
      <c r="L183" s="272" t="n"/>
      <c r="M183" s="272" t="inlineStr">
        <is>
          <t>Urgent follow-up required</t>
        </is>
      </c>
      <c r="N183" s="272" t="inlineStr">
        <is>
          <t>2025-08-06</t>
        </is>
      </c>
    </row>
    <row r="184">
      <c r="A184" s="272" t="n">
        <v>183</v>
      </c>
      <c r="B184" s="272" t="n">
        <v>101110183</v>
      </c>
      <c r="C184" s="272" t="inlineStr">
        <is>
          <t>5520V/210R-B966</t>
        </is>
      </c>
      <c r="D184" s="272" t="inlineStr">
        <is>
          <t>Overseas</t>
        </is>
      </c>
      <c r="E184" s="272" t="inlineStr">
        <is>
          <t>Request</t>
        </is>
      </c>
      <c r="F184" s="272" t="inlineStr">
        <is>
          <t>Prospect</t>
        </is>
      </c>
      <c r="G184" s="272" t="inlineStr">
        <is>
          <t>15/8/2024</t>
        </is>
      </c>
      <c r="H184" s="272" t="n"/>
      <c r="I184" s="272" t="n">
        <v>75</v>
      </c>
      <c r="J184" s="272" t="inlineStr">
        <is>
          <t>TBD</t>
        </is>
      </c>
      <c r="K184" s="272" t="inlineStr">
        <is>
          <t>TBD</t>
        </is>
      </c>
      <c r="L184" s="272" t="inlineStr">
        <is>
          <t>The client expressed a strong interest in the Overseas chronograph and insisted on being added to the list\n</t>
        </is>
      </c>
      <c r="M184" s="272" t="inlineStr">
        <is>
          <t>Urgent follow-up required</t>
        </is>
      </c>
      <c r="N184" s="272" t="inlineStr">
        <is>
          <t>2025-08-06</t>
        </is>
      </c>
    </row>
    <row r="185">
      <c r="A185" s="272" t="n">
        <v>184</v>
      </c>
      <c r="B185" s="272" t="n">
        <v>101104408</v>
      </c>
      <c r="C185" s="272" t="inlineStr">
        <is>
          <t>5520V/210A-B481</t>
        </is>
      </c>
      <c r="D185" s="272" t="inlineStr">
        <is>
          <t>Overseas</t>
        </is>
      </c>
      <c r="E185" s="272" t="inlineStr">
        <is>
          <t>Request</t>
        </is>
      </c>
      <c r="F185" s="272" t="inlineStr">
        <is>
          <t>Prospect</t>
        </is>
      </c>
      <c r="G185" s="272" t="inlineStr">
        <is>
          <t>14/8/2024</t>
        </is>
      </c>
      <c r="H185" s="272" t="n"/>
      <c r="I185" s="272" t="n">
        <v>75</v>
      </c>
      <c r="J185" s="272" t="inlineStr">
        <is>
          <t>TBD</t>
        </is>
      </c>
      <c r="K185" s="272" t="inlineStr">
        <is>
          <t>TBD</t>
        </is>
      </c>
      <c r="L185" s="272" t="inlineStr">
        <is>
          <t>The client is interested in both the  Overseas chronographand the  Historiques American 1921\n</t>
        </is>
      </c>
      <c r="M185" s="272" t="inlineStr">
        <is>
          <t>Urgent follow-up required</t>
        </is>
      </c>
      <c r="N185" s="272" t="inlineStr">
        <is>
          <t>2025-08-06</t>
        </is>
      </c>
    </row>
    <row r="186">
      <c r="A186" s="272" t="n">
        <v>185</v>
      </c>
      <c r="B186" s="272" t="n">
        <v>101036635</v>
      </c>
      <c r="C186" s="272" t="inlineStr">
        <is>
          <t>7920V/000R-B336</t>
        </is>
      </c>
      <c r="D186" s="272" t="inlineStr">
        <is>
          <t>Other</t>
        </is>
      </c>
      <c r="E186" s="272" t="inlineStr">
        <is>
          <t>Request</t>
        </is>
      </c>
      <c r="F186" s="272" t="inlineStr">
        <is>
          <t>Prospect</t>
        </is>
      </c>
      <c r="G186" s="272" t="inlineStr">
        <is>
          <t>8/8/2024</t>
        </is>
      </c>
      <c r="H186" s="272" t="n">
        <v>100</v>
      </c>
      <c r="I186" s="272" t="n">
        <v>75</v>
      </c>
      <c r="J186" s="272" t="inlineStr">
        <is>
          <t>TBD</t>
        </is>
      </c>
      <c r="K186" s="272" t="inlineStr">
        <is>
          <t>TBD</t>
        </is>
      </c>
      <c r="L186" s="272" t="inlineStr">
        <is>
          <t>The client stated that hes will to come to the boutique to pay the full amount \n</t>
        </is>
      </c>
      <c r="M186" s="272" t="inlineStr">
        <is>
          <t>Urgent follow-up required</t>
        </is>
      </c>
      <c r="N186" s="272" t="inlineStr">
        <is>
          <t>2025-08-06</t>
        </is>
      </c>
    </row>
    <row r="187">
      <c r="A187" s="272" t="n">
        <v>186</v>
      </c>
      <c r="B187" s="272" t="n">
        <v>92398068</v>
      </c>
      <c r="C187" s="272" t="inlineStr">
        <is>
          <t>7920V/210A-B334</t>
        </is>
      </c>
      <c r="D187" s="272" t="inlineStr">
        <is>
          <t>Other</t>
        </is>
      </c>
      <c r="E187" s="272" t="inlineStr">
        <is>
          <t>Request</t>
        </is>
      </c>
      <c r="F187" s="272" t="inlineStr">
        <is>
          <t>Prospect</t>
        </is>
      </c>
      <c r="G187" s="272" t="inlineStr">
        <is>
          <t>15/12/2023</t>
        </is>
      </c>
      <c r="H187" s="272" t="n"/>
      <c r="I187" s="272" t="n">
        <v>75</v>
      </c>
      <c r="J187" s="272" t="inlineStr">
        <is>
          <t>TBD</t>
        </is>
      </c>
      <c r="K187" s="272" t="inlineStr">
        <is>
          <t>TBD</t>
        </is>
      </c>
      <c r="L187" s="272" t="n"/>
      <c r="M187" s="272" t="inlineStr">
        <is>
          <t>Urgent follow-up required</t>
        </is>
      </c>
      <c r="N187" s="272" t="inlineStr">
        <is>
          <t>2025-08-06</t>
        </is>
      </c>
    </row>
    <row r="188">
      <c r="A188" s="272" t="n">
        <v>187</v>
      </c>
      <c r="B188" s="272" t="n">
        <v>93573185</v>
      </c>
      <c r="C188" s="272" t="inlineStr">
        <is>
          <t>4520V/210A-B128</t>
        </is>
      </c>
      <c r="D188" s="272" t="inlineStr">
        <is>
          <t>Overseas</t>
        </is>
      </c>
      <c r="E188" s="272" t="inlineStr">
        <is>
          <t>Request</t>
        </is>
      </c>
      <c r="F188" s="272" t="inlineStr">
        <is>
          <t>Prospect</t>
        </is>
      </c>
      <c r="G188" s="272" t="inlineStr">
        <is>
          <t>21/11/2023</t>
        </is>
      </c>
      <c r="H188" s="272" t="n"/>
      <c r="I188" s="272" t="n">
        <v>75</v>
      </c>
      <c r="J188" s="272" t="inlineStr">
        <is>
          <t>TBD</t>
        </is>
      </c>
      <c r="K188" s="272" t="inlineStr">
        <is>
          <t>TBD</t>
        </is>
      </c>
      <c r="L188" s="272" t="n"/>
      <c r="M188" s="272" t="inlineStr">
        <is>
          <t>Urgent follow-up required</t>
        </is>
      </c>
      <c r="N188" s="272" t="inlineStr">
        <is>
          <t>2025-08-06</t>
        </is>
      </c>
    </row>
    <row r="189">
      <c r="A189" s="272" t="n">
        <v>188</v>
      </c>
      <c r="B189" s="272" t="n">
        <v>100833648</v>
      </c>
      <c r="C189" s="272" t="inlineStr">
        <is>
          <t>4200H/222J-B935</t>
        </is>
      </c>
      <c r="D189" s="272" t="inlineStr">
        <is>
          <t>Patrimony</t>
        </is>
      </c>
      <c r="E189" s="272" t="inlineStr">
        <is>
          <t>Request</t>
        </is>
      </c>
      <c r="F189" s="272" t="inlineStr">
        <is>
          <t>Prospect</t>
        </is>
      </c>
      <c r="G189" s="272" t="inlineStr">
        <is>
          <t>24/7/2024</t>
        </is>
      </c>
      <c r="H189" s="272" t="n"/>
      <c r="I189" s="272" t="n">
        <v>75</v>
      </c>
      <c r="J189" s="272" t="inlineStr">
        <is>
          <t>TBD</t>
        </is>
      </c>
      <c r="K189" s="272" t="inlineStr">
        <is>
          <t>TBD</t>
        </is>
      </c>
      <c r="L189" s="272" t="inlineStr">
        <is>
          <t>The client stated that once we confirm the availability of the watch he will be traveling to UAE to purchase \n</t>
        </is>
      </c>
      <c r="M189" s="272" t="inlineStr">
        <is>
          <t>Urgent follow-up required</t>
        </is>
      </c>
      <c r="N189" s="272" t="inlineStr">
        <is>
          <t>2025-08-06</t>
        </is>
      </c>
    </row>
    <row r="190">
      <c r="A190" s="272" t="n">
        <v>189</v>
      </c>
      <c r="B190" s="272" t="n">
        <v>100830227</v>
      </c>
      <c r="C190" s="272" t="inlineStr">
        <is>
          <t>4600E/000A-B442</t>
        </is>
      </c>
      <c r="D190" s="272" t="inlineStr">
        <is>
          <t>Other</t>
        </is>
      </c>
      <c r="E190" s="272" t="inlineStr">
        <is>
          <t>Request</t>
        </is>
      </c>
      <c r="F190" s="272" t="inlineStr">
        <is>
          <t>Prospect</t>
        </is>
      </c>
      <c r="G190" s="272" t="inlineStr">
        <is>
          <t>24/7/2024</t>
        </is>
      </c>
      <c r="H190" s="272" t="n"/>
      <c r="I190" s="272" t="n">
        <v>75</v>
      </c>
      <c r="J190" s="272" t="inlineStr">
        <is>
          <t>TBD</t>
        </is>
      </c>
      <c r="K190" s="272" t="inlineStr">
        <is>
          <t>TBD</t>
        </is>
      </c>
      <c r="L190" s="272" t="inlineStr">
        <is>
          <t>The client is interested in the fiftysix 600E/000A-B442 as well  Overseas chronograph X55AC481\n</t>
        </is>
      </c>
      <c r="M190" s="272" t="inlineStr">
        <is>
          <t>Urgent follow-up required</t>
        </is>
      </c>
      <c r="N190" s="272" t="inlineStr">
        <is>
          <t>2025-08-06</t>
        </is>
      </c>
    </row>
    <row r="191">
      <c r="A191" s="272" t="n">
        <v>190</v>
      </c>
      <c r="B191" s="272" t="n">
        <v>100793790</v>
      </c>
      <c r="C191" s="272" t="inlineStr">
        <is>
          <t>4520V/210A-B128</t>
        </is>
      </c>
      <c r="D191" s="272" t="inlineStr">
        <is>
          <t>Overseas</t>
        </is>
      </c>
      <c r="E191" s="272" t="inlineStr">
        <is>
          <t>Request</t>
        </is>
      </c>
      <c r="F191" s="272" t="inlineStr">
        <is>
          <t>Prospect</t>
        </is>
      </c>
      <c r="G191" s="272" t="inlineStr">
        <is>
          <t>23/7/2024</t>
        </is>
      </c>
      <c r="H191" s="272" t="n"/>
      <c r="I191" s="272" t="n">
        <v>75</v>
      </c>
      <c r="J191" s="272" t="inlineStr">
        <is>
          <t>TBD</t>
        </is>
      </c>
      <c r="K191" s="272" t="inlineStr">
        <is>
          <t>TBD</t>
        </is>
      </c>
      <c r="L191" s="272" t="inlineStr">
        <is>
          <t>The client is interested in the oversease self winding  living in Dubai \n</t>
        </is>
      </c>
      <c r="M191" s="272" t="inlineStr">
        <is>
          <t>Urgent follow-up required</t>
        </is>
      </c>
      <c r="N191" s="272" t="inlineStr">
        <is>
          <t>2025-08-06</t>
        </is>
      </c>
    </row>
    <row r="192">
      <c r="A192" s="272" t="n">
        <v>191</v>
      </c>
      <c r="B192" s="272" t="n">
        <v>100788006</v>
      </c>
      <c r="C192" s="272" t="inlineStr">
        <is>
          <t>4520V/210A-B128</t>
        </is>
      </c>
      <c r="D192" s="272" t="inlineStr">
        <is>
          <t>Overseas</t>
        </is>
      </c>
      <c r="E192" s="272" t="inlineStr">
        <is>
          <t>Request</t>
        </is>
      </c>
      <c r="F192" s="272" t="inlineStr">
        <is>
          <t>Prospect</t>
        </is>
      </c>
      <c r="G192" s="272" t="inlineStr">
        <is>
          <t>23/7/2024</t>
        </is>
      </c>
      <c r="H192" s="272" t="n"/>
      <c r="I192" s="272" t="n">
        <v>75</v>
      </c>
      <c r="J192" s="272" t="inlineStr">
        <is>
          <t>TBD</t>
        </is>
      </c>
      <c r="K192" s="272" t="inlineStr">
        <is>
          <t>TBD</t>
        </is>
      </c>
      <c r="L192" s="272" t="inlineStr">
        <is>
          <t>The client ins interested in 2 timepeices ( 6000V/110A-B544 \\ 4520V/210A-B128)\n</t>
        </is>
      </c>
      <c r="M192" s="272" t="inlineStr">
        <is>
          <t>Urgent follow-up required</t>
        </is>
      </c>
      <c r="N192" s="272" t="inlineStr">
        <is>
          <t>2025-08-06</t>
        </is>
      </c>
    </row>
    <row r="193">
      <c r="A193" s="272" t="n">
        <v>192</v>
      </c>
      <c r="B193" s="272" t="n">
        <v>101369992</v>
      </c>
      <c r="C193" s="272" t="inlineStr">
        <is>
          <t>4600E/000A-B442</t>
        </is>
      </c>
      <c r="D193" s="272" t="inlineStr">
        <is>
          <t>Other</t>
        </is>
      </c>
      <c r="E193" s="272" t="inlineStr">
        <is>
          <t>Request</t>
        </is>
      </c>
      <c r="F193" s="272" t="inlineStr">
        <is>
          <t>Prospect</t>
        </is>
      </c>
      <c r="G193" s="272" t="inlineStr">
        <is>
          <t>5/9/2024</t>
        </is>
      </c>
      <c r="H193" s="272" t="n">
        <v>100</v>
      </c>
      <c r="I193" s="272" t="n">
        <v>75</v>
      </c>
      <c r="J193" s="272" t="inlineStr">
        <is>
          <t>TBD</t>
        </is>
      </c>
      <c r="K193" s="272" t="inlineStr">
        <is>
          <t>TBD</t>
        </is>
      </c>
      <c r="L193" s="272" t="inlineStr">
        <is>
          <t>The client is intrested in the fiftysix self winding gray\n</t>
        </is>
      </c>
      <c r="M193" s="272" t="inlineStr">
        <is>
          <t>Urgent follow-up required</t>
        </is>
      </c>
      <c r="N193" s="272" t="inlineStr">
        <is>
          <t>2025-08-06</t>
        </is>
      </c>
    </row>
    <row r="194">
      <c r="A194" s="272" t="n">
        <v>193</v>
      </c>
      <c r="B194" s="272" t="n">
        <v>101314200</v>
      </c>
      <c r="C194" s="272" t="inlineStr">
        <is>
          <t>4520V/210A-B483</t>
        </is>
      </c>
      <c r="D194" s="272" t="inlineStr">
        <is>
          <t>Overseas</t>
        </is>
      </c>
      <c r="E194" s="272" t="inlineStr">
        <is>
          <t>Request</t>
        </is>
      </c>
      <c r="F194" s="272" t="inlineStr">
        <is>
          <t>Prospect</t>
        </is>
      </c>
      <c r="G194" s="272" t="inlineStr">
        <is>
          <t>4/9/2024</t>
        </is>
      </c>
      <c r="H194" s="272" t="n">
        <v>100</v>
      </c>
      <c r="I194" s="272" t="n">
        <v>75</v>
      </c>
      <c r="J194" s="272" t="inlineStr">
        <is>
          <t>TBD</t>
        </is>
      </c>
      <c r="K194" s="272" t="inlineStr">
        <is>
          <t>TBD</t>
        </is>
      </c>
      <c r="L194" s="272" t="inlineStr">
        <is>
          <t>The client is interested in the black dial Overseas and has an appointment at Suite 1755.\n</t>
        </is>
      </c>
      <c r="M194" s="272" t="inlineStr">
        <is>
          <t>Urgent follow-up required</t>
        </is>
      </c>
      <c r="N194" s="272" t="inlineStr">
        <is>
          <t>2025-08-06</t>
        </is>
      </c>
    </row>
    <row r="195">
      <c r="A195" s="272" t="n">
        <v>194</v>
      </c>
      <c r="B195" s="272" t="n">
        <v>101467308</v>
      </c>
      <c r="C195" s="272" t="inlineStr">
        <is>
          <t>4520V/210A-B128</t>
        </is>
      </c>
      <c r="D195" s="272" t="inlineStr">
        <is>
          <t>Overseas</t>
        </is>
      </c>
      <c r="E195" s="272" t="inlineStr">
        <is>
          <t>Request</t>
        </is>
      </c>
      <c r="F195" s="272" t="inlineStr">
        <is>
          <t>Prospect</t>
        </is>
      </c>
      <c r="G195" s="272" t="inlineStr">
        <is>
          <t>10/9/2024</t>
        </is>
      </c>
      <c r="H195" s="272" t="n">
        <v>100</v>
      </c>
      <c r="I195" s="272" t="n">
        <v>75</v>
      </c>
      <c r="J195" s="272" t="inlineStr">
        <is>
          <t>TBD</t>
        </is>
      </c>
      <c r="K195" s="272" t="inlineStr">
        <is>
          <t>TBD</t>
        </is>
      </c>
      <c r="L195" s="272" t="inlineStr">
        <is>
          <t>The client shows intreset in the oversease self winding \n</t>
        </is>
      </c>
      <c r="M195" s="272" t="inlineStr">
        <is>
          <t>Urgent follow-up required</t>
        </is>
      </c>
      <c r="N195" s="272" t="inlineStr">
        <is>
          <t>2025-08-06</t>
        </is>
      </c>
    </row>
    <row r="196">
      <c r="A196" s="272" t="n">
        <v>195</v>
      </c>
      <c r="B196" s="272" t="n">
        <v>101467913</v>
      </c>
      <c r="C196" s="272" t="inlineStr">
        <is>
          <t>4600E/000R-H101</t>
        </is>
      </c>
      <c r="D196" s="272" t="inlineStr">
        <is>
          <t>Other</t>
        </is>
      </c>
      <c r="E196" s="272" t="inlineStr">
        <is>
          <t>Request</t>
        </is>
      </c>
      <c r="F196" s="272" t="inlineStr">
        <is>
          <t>Prospect</t>
        </is>
      </c>
      <c r="G196" s="272" t="inlineStr">
        <is>
          <t>10/9/2024</t>
        </is>
      </c>
      <c r="H196" s="272" t="n">
        <v>100</v>
      </c>
      <c r="I196" s="272" t="n">
        <v>75</v>
      </c>
      <c r="J196" s="272" t="inlineStr">
        <is>
          <t>TBD</t>
        </is>
      </c>
      <c r="K196" s="272" t="inlineStr">
        <is>
          <t>TBD</t>
        </is>
      </c>
      <c r="L196" s="272" t="inlineStr">
        <is>
          <t>The client is interested in the fiftysix  black dial \n</t>
        </is>
      </c>
      <c r="M196" s="272" t="inlineStr">
        <is>
          <t>Urgent follow-up required</t>
        </is>
      </c>
      <c r="N196" s="272" t="inlineStr">
        <is>
          <t>2025-08-06</t>
        </is>
      </c>
    </row>
    <row r="197">
      <c r="A197" s="272" t="n">
        <v>196</v>
      </c>
      <c r="B197" s="272" t="n">
        <v>101145972</v>
      </c>
      <c r="C197" s="272" t="inlineStr">
        <is>
          <t>4520V/210A-B128</t>
        </is>
      </c>
      <c r="D197" s="272" t="inlineStr">
        <is>
          <t>Overseas</t>
        </is>
      </c>
      <c r="E197" s="272" t="inlineStr">
        <is>
          <t>Request</t>
        </is>
      </c>
      <c r="F197" s="272" t="inlineStr">
        <is>
          <t>Prospect</t>
        </is>
      </c>
      <c r="G197" s="272" t="inlineStr">
        <is>
          <t>22/8/2024</t>
        </is>
      </c>
      <c r="H197" s="272" t="n"/>
      <c r="I197" s="272" t="n">
        <v>75</v>
      </c>
      <c r="J197" s="272" t="inlineStr">
        <is>
          <t>TBD</t>
        </is>
      </c>
      <c r="K197" s="272" t="inlineStr">
        <is>
          <t>TBD</t>
        </is>
      </c>
      <c r="L197" s="272" t="inlineStr">
        <is>
          <t>The client is very interested in the overseas self winding and will love to purchase it upon availability \n</t>
        </is>
      </c>
      <c r="M197" s="272" t="inlineStr">
        <is>
          <t>Urgent follow-up required</t>
        </is>
      </c>
      <c r="N197" s="272" t="inlineStr">
        <is>
          <t>2025-08-06</t>
        </is>
      </c>
    </row>
    <row r="198">
      <c r="A198" s="272" t="n">
        <v>197</v>
      </c>
      <c r="B198" s="272" t="n">
        <v>106323455</v>
      </c>
      <c r="C198" s="272" t="inlineStr">
        <is>
          <t>6000V/210T-B935</t>
        </is>
      </c>
      <c r="D198" s="272" t="inlineStr">
        <is>
          <t>Other</t>
        </is>
      </c>
      <c r="E198" s="272" t="inlineStr">
        <is>
          <t>Request</t>
        </is>
      </c>
      <c r="F198" s="272" t="inlineStr">
        <is>
          <t>Prospect</t>
        </is>
      </c>
      <c r="G198" s="272" t="inlineStr">
        <is>
          <t>29/5/2025</t>
        </is>
      </c>
      <c r="H198" s="272" t="n"/>
      <c r="I198" s="272" t="n">
        <v>75</v>
      </c>
      <c r="J198" s="272" t="inlineStr">
        <is>
          <t>TBD</t>
        </is>
      </c>
      <c r="K198" s="272" t="inlineStr">
        <is>
          <t>TBD</t>
        </is>
      </c>
      <c r="L198" s="272" t="inlineStr">
        <is>
          <t>\n</t>
        </is>
      </c>
      <c r="M198" s="272" t="inlineStr">
        <is>
          <t>Urgent follow-up required</t>
        </is>
      </c>
      <c r="N198" s="272" t="inlineStr">
        <is>
          <t>2025-08-06</t>
        </is>
      </c>
    </row>
    <row r="199">
      <c r="A199" s="272" t="n">
        <v>198</v>
      </c>
      <c r="B199" s="272" t="n">
        <v>106145560</v>
      </c>
      <c r="C199" s="272" t="inlineStr">
        <is>
          <t>4200H/222A-B934</t>
        </is>
      </c>
      <c r="D199" s="272" t="inlineStr">
        <is>
          <t>Patrimony</t>
        </is>
      </c>
      <c r="E199" s="272" t="inlineStr">
        <is>
          <t>Request</t>
        </is>
      </c>
      <c r="F199" s="272" t="inlineStr">
        <is>
          <t>Prospect</t>
        </is>
      </c>
      <c r="G199" s="272" t="inlineStr">
        <is>
          <t>23/5/2025</t>
        </is>
      </c>
      <c r="H199" s="272" t="n"/>
      <c r="I199" s="272" t="n">
        <v>75</v>
      </c>
      <c r="J199" s="272" t="inlineStr">
        <is>
          <t>TBD</t>
        </is>
      </c>
      <c r="K199" s="272" t="inlineStr">
        <is>
          <t>TBD</t>
        </is>
      </c>
      <c r="L199" s="272" t="inlineStr">
        <is>
          <t>\n</t>
        </is>
      </c>
      <c r="M199" s="272" t="inlineStr">
        <is>
          <t>Urgent follow-up required</t>
        </is>
      </c>
      <c r="N199" s="272" t="inlineStr">
        <is>
          <t>2025-08-06</t>
        </is>
      </c>
    </row>
    <row r="200">
      <c r="A200" s="272" t="n">
        <v>199</v>
      </c>
      <c r="B200" s="272" t="n">
        <v>106153944</v>
      </c>
      <c r="C200" s="272" t="inlineStr">
        <is>
          <t>4520V/210A-B128</t>
        </is>
      </c>
      <c r="D200" s="272" t="inlineStr">
        <is>
          <t>Overseas</t>
        </is>
      </c>
      <c r="E200" s="272" t="inlineStr">
        <is>
          <t>Request</t>
        </is>
      </c>
      <c r="F200" s="272" t="inlineStr">
        <is>
          <t>Prospect</t>
        </is>
      </c>
      <c r="G200" s="272" t="inlineStr">
        <is>
          <t>23/5/2025</t>
        </is>
      </c>
      <c r="H200" s="272" t="n"/>
      <c r="I200" s="272" t="n">
        <v>75</v>
      </c>
      <c r="J200" s="272" t="inlineStr">
        <is>
          <t>TBD</t>
        </is>
      </c>
      <c r="K200" s="272" t="inlineStr">
        <is>
          <t>TBD</t>
        </is>
      </c>
      <c r="L200" s="272" t="inlineStr">
        <is>
          <t>\n</t>
        </is>
      </c>
      <c r="M200" s="272" t="inlineStr">
        <is>
          <t>Urgent follow-up required</t>
        </is>
      </c>
      <c r="N200" s="272" t="inlineStr">
        <is>
          <t>2025-08-06</t>
        </is>
      </c>
    </row>
    <row r="201">
      <c r="A201" s="272" t="n">
        <v>200</v>
      </c>
      <c r="B201" s="272" t="n">
        <v>106138266</v>
      </c>
      <c r="C201" s="272" t="inlineStr">
        <is>
          <t>4000E/000A-B548</t>
        </is>
      </c>
      <c r="D201" s="272" t="inlineStr">
        <is>
          <t>Other</t>
        </is>
      </c>
      <c r="E201" s="272" t="inlineStr">
        <is>
          <t>Request</t>
        </is>
      </c>
      <c r="F201" s="272" t="inlineStr">
        <is>
          <t>Prospect</t>
        </is>
      </c>
      <c r="G201" s="272" t="inlineStr">
        <is>
          <t>21/5/2025</t>
        </is>
      </c>
      <c r="H201" s="272" t="n"/>
      <c r="I201" s="272" t="n">
        <v>75</v>
      </c>
      <c r="J201" s="272" t="inlineStr">
        <is>
          <t>TBD</t>
        </is>
      </c>
      <c r="K201" s="272" t="inlineStr">
        <is>
          <t>TBD</t>
        </is>
      </c>
      <c r="L201" s="272" t="inlineStr">
        <is>
          <t>The client is interested  in the Fiftysix complete calendar\n 40 mm\n</t>
        </is>
      </c>
      <c r="M201" s="272" t="inlineStr">
        <is>
          <t>Urgent follow-up required</t>
        </is>
      </c>
      <c r="N201" s="272" t="inlineStr">
        <is>
          <t>2025-08-06</t>
        </is>
      </c>
    </row>
    <row r="202">
      <c r="A202" s="272" t="n">
        <v>201</v>
      </c>
      <c r="B202" s="272" t="n">
        <v>104715298</v>
      </c>
      <c r="C202" s="272" t="inlineStr">
        <is>
          <t>7920V/210A-B334</t>
        </is>
      </c>
      <c r="D202" s="272" t="inlineStr">
        <is>
          <t>Other</t>
        </is>
      </c>
      <c r="E202" s="272" t="inlineStr">
        <is>
          <t>Request</t>
        </is>
      </c>
      <c r="F202" s="272" t="inlineStr">
        <is>
          <t>Prospect</t>
        </is>
      </c>
      <c r="G202" s="272" t="inlineStr">
        <is>
          <t>17/5/2025</t>
        </is>
      </c>
      <c r="H202" s="272" t="n"/>
      <c r="I202" s="272" t="n">
        <v>75</v>
      </c>
      <c r="J202" s="272" t="inlineStr">
        <is>
          <t>TBD</t>
        </is>
      </c>
      <c r="K202" s="272" t="inlineStr">
        <is>
          <t>TBD</t>
        </is>
      </c>
      <c r="L202" s="272" t="inlineStr">
        <is>
          <t>Dual time and the Quartz \n</t>
        </is>
      </c>
      <c r="M202" s="272" t="inlineStr">
        <is>
          <t>Urgent follow-up required</t>
        </is>
      </c>
      <c r="N202" s="272" t="inlineStr">
        <is>
          <t>2025-08-06</t>
        </is>
      </c>
    </row>
    <row r="203">
      <c r="A203" s="272" t="n">
        <v>202</v>
      </c>
      <c r="B203" s="272" t="n">
        <v>101314200</v>
      </c>
      <c r="C203" s="272" t="inlineStr">
        <is>
          <t>4600E/000R-H101</t>
        </is>
      </c>
      <c r="D203" s="272" t="inlineStr">
        <is>
          <t>Other</t>
        </is>
      </c>
      <c r="E203" s="272" t="inlineStr">
        <is>
          <t>Request</t>
        </is>
      </c>
      <c r="F203" s="272" t="inlineStr">
        <is>
          <t>Prospect</t>
        </is>
      </c>
      <c r="G203" s="272" t="inlineStr">
        <is>
          <t>4/9/2024</t>
        </is>
      </c>
      <c r="H203" s="272" t="n">
        <v>100</v>
      </c>
      <c r="I203" s="272" t="n">
        <v>75</v>
      </c>
      <c r="J203" s="272" t="inlineStr">
        <is>
          <t>TBD</t>
        </is>
      </c>
      <c r="K203" s="272" t="inlineStr">
        <is>
          <t>TBD</t>
        </is>
      </c>
      <c r="L203" s="272" t="inlineStr">
        <is>
          <t>The client wanted to Purchase  either the oversease 4520V/210A-B483 or the fifitysix , with Mohammed support she made a full payment  4600E/000R-H101\n</t>
        </is>
      </c>
      <c r="M203" s="272" t="inlineStr">
        <is>
          <t>Urgent follow-up required</t>
        </is>
      </c>
      <c r="N203" s="272" t="inlineStr">
        <is>
          <t>2025-08-06</t>
        </is>
      </c>
    </row>
    <row r="204">
      <c r="A204" s="272" t="n">
        <v>203</v>
      </c>
      <c r="B204" s="272" t="n">
        <v>101314200</v>
      </c>
      <c r="C204" s="272" t="inlineStr">
        <is>
          <t>4520V/210A-B483</t>
        </is>
      </c>
      <c r="D204" s="272" t="inlineStr">
        <is>
          <t>Overseas</t>
        </is>
      </c>
      <c r="E204" s="272" t="inlineStr">
        <is>
          <t>Request</t>
        </is>
      </c>
      <c r="F204" s="272" t="inlineStr">
        <is>
          <t>Prospect</t>
        </is>
      </c>
      <c r="G204" s="272" t="inlineStr">
        <is>
          <t>30/8/2024</t>
        </is>
      </c>
      <c r="H204" s="272" t="n"/>
      <c r="I204" s="272" t="n">
        <v>75</v>
      </c>
      <c r="J204" s="272" t="inlineStr">
        <is>
          <t>TBD</t>
        </is>
      </c>
      <c r="K204" s="272" t="inlineStr">
        <is>
          <t>TBD</t>
        </is>
      </c>
      <c r="L204" s="272" t="inlineStr">
        <is>
          <t>The client would like to purchase Overseas self-winding black Dial\n</t>
        </is>
      </c>
      <c r="M204" s="272" t="inlineStr">
        <is>
          <t>Urgent follow-up required</t>
        </is>
      </c>
      <c r="N204" s="272" t="inlineStr">
        <is>
          <t>2025-08-06</t>
        </is>
      </c>
    </row>
    <row r="205">
      <c r="A205" s="272" t="n">
        <v>204</v>
      </c>
      <c r="B205" s="272" t="n">
        <v>105904737</v>
      </c>
      <c r="C205" s="272" t="inlineStr">
        <is>
          <t>4000E/000A-B439</t>
        </is>
      </c>
      <c r="D205" s="272" t="inlineStr">
        <is>
          <t>Other</t>
        </is>
      </c>
      <c r="E205" s="272" t="inlineStr">
        <is>
          <t>Request</t>
        </is>
      </c>
      <c r="F205" s="272" t="inlineStr">
        <is>
          <t>Prospect</t>
        </is>
      </c>
      <c r="G205" s="272" t="inlineStr">
        <is>
          <t>13/5/2025</t>
        </is>
      </c>
      <c r="H205" s="272" t="n"/>
      <c r="I205" s="272" t="n">
        <v>75</v>
      </c>
      <c r="J205" s="272" t="inlineStr">
        <is>
          <t>TBD</t>
        </is>
      </c>
      <c r="K205" s="272" t="inlineStr">
        <is>
          <t>TBD</t>
        </is>
      </c>
      <c r="L205" s="272" t="inlineStr">
        <is>
          <t>Fiftysix complete calendar\n</t>
        </is>
      </c>
      <c r="M205" s="272" t="inlineStr">
        <is>
          <t>Urgent follow-up required</t>
        </is>
      </c>
      <c r="N205" s="272" t="inlineStr">
        <is>
          <t>2025-08-06</t>
        </is>
      </c>
    </row>
    <row r="206">
      <c r="A206" s="272" t="n">
        <v>205</v>
      </c>
      <c r="B206" s="272" t="n">
        <v>105904737</v>
      </c>
      <c r="C206" s="272" t="inlineStr">
        <is>
          <t>4000V/210A-B911</t>
        </is>
      </c>
      <c r="D206" s="272" t="inlineStr">
        <is>
          <t>Overseas</t>
        </is>
      </c>
      <c r="E206" s="272" t="inlineStr">
        <is>
          <t>Request</t>
        </is>
      </c>
      <c r="F206" s="272" t="inlineStr">
        <is>
          <t>Prospect</t>
        </is>
      </c>
      <c r="G206" s="272" t="inlineStr">
        <is>
          <t>13/5/2025</t>
        </is>
      </c>
      <c r="H206" s="272" t="n"/>
      <c r="I206" s="272" t="n">
        <v>75</v>
      </c>
      <c r="J206" s="272" t="inlineStr">
        <is>
          <t>TBD</t>
        </is>
      </c>
      <c r="K206" s="272" t="inlineStr">
        <is>
          <t>TBD</t>
        </is>
      </c>
      <c r="L206" s="272" t="inlineStr">
        <is>
          <t>The client is intrested in the B911 and the Fiftysix \n</t>
        </is>
      </c>
      <c r="M206" s="272" t="inlineStr">
        <is>
          <t>Urgent follow-up required</t>
        </is>
      </c>
      <c r="N206" s="272" t="inlineStr">
        <is>
          <t>2025-08-06</t>
        </is>
      </c>
    </row>
    <row r="207">
      <c r="A207" s="272" t="n">
        <v>206</v>
      </c>
      <c r="B207" s="272" t="n">
        <v>107159160</v>
      </c>
      <c r="C207" s="272" t="inlineStr">
        <is>
          <t>4200H/222A-B934</t>
        </is>
      </c>
      <c r="D207" s="272" t="inlineStr">
        <is>
          <t>Patrimony</t>
        </is>
      </c>
      <c r="E207" s="272" t="inlineStr">
        <is>
          <t>Request</t>
        </is>
      </c>
      <c r="F207" s="272" t="inlineStr">
        <is>
          <t>Prospect</t>
        </is>
      </c>
      <c r="G207" s="272" t="inlineStr">
        <is>
          <t>1/6/2025</t>
        </is>
      </c>
      <c r="H207" s="272" t="n">
        <v>100</v>
      </c>
      <c r="I207" s="272" t="n">
        <v>75</v>
      </c>
      <c r="J207" s="272" t="inlineStr">
        <is>
          <t>TBD</t>
        </is>
      </c>
      <c r="K207" s="272" t="inlineStr">
        <is>
          <t>TBD</t>
        </is>
      </c>
      <c r="L207" s="272" t="inlineStr">
        <is>
          <t>The client has expressed interest in joining the 222 and brings a strong profile from Siddiqi ( already have in his collection the blue simple date) \n</t>
        </is>
      </c>
      <c r="M207" s="272" t="inlineStr">
        <is>
          <t>Urgent follow-up required</t>
        </is>
      </c>
      <c r="N207" s="272" t="inlineStr">
        <is>
          <t>2025-08-06</t>
        </is>
      </c>
    </row>
    <row r="208">
      <c r="A208" s="272" t="n">
        <v>207</v>
      </c>
      <c r="B208" s="272" t="n">
        <v>107443668</v>
      </c>
      <c r="C208" s="272" t="inlineStr">
        <is>
          <t>4200H/222A-B934</t>
        </is>
      </c>
      <c r="D208" s="272" t="inlineStr">
        <is>
          <t>Patrimony</t>
        </is>
      </c>
      <c r="E208" s="272" t="inlineStr">
        <is>
          <t>Request</t>
        </is>
      </c>
      <c r="F208" s="272" t="inlineStr">
        <is>
          <t>Prospect</t>
        </is>
      </c>
      <c r="G208" s="272" t="inlineStr">
        <is>
          <t>1/6/2025</t>
        </is>
      </c>
      <c r="H208" s="272" t="n">
        <v>100</v>
      </c>
      <c r="I208" s="272" t="n">
        <v>75</v>
      </c>
      <c r="J208" s="272" t="inlineStr">
        <is>
          <t>TBD</t>
        </is>
      </c>
      <c r="K208" s="272" t="inlineStr">
        <is>
          <t>TBD</t>
        </is>
      </c>
      <c r="L208" s="272" t="inlineStr">
        <is>
          <t>Rolex:\n\nFive Daytonas\n\nMultiple GMTs\n\nYacht-Master in titanium (the new model)\n\nAudemars Piguet:\n\nAP Offshore in titanium\n\nHis taste:\n\nFavors sporty, lightweight watches\n\nPrefers pieces that are “not loud, not flashy yet speak volumes”\n\nDrawn to pieces with heritage and unique design stories\n</t>
        </is>
      </c>
      <c r="M208" s="272" t="inlineStr">
        <is>
          <t>Urgent follow-up required</t>
        </is>
      </c>
      <c r="N208" s="272" t="inlineStr">
        <is>
          <t>2025-08-06</t>
        </is>
      </c>
    </row>
    <row r="209">
      <c r="A209" s="272" t="n">
        <v>208</v>
      </c>
      <c r="B209" s="272" t="n">
        <v>106949718</v>
      </c>
      <c r="C209" s="272" t="inlineStr">
        <is>
          <t>4020T/000G-B655</t>
        </is>
      </c>
      <c r="D209" s="272" t="inlineStr">
        <is>
          <t>Other</t>
        </is>
      </c>
      <c r="E209" s="272" t="inlineStr">
        <is>
          <t>Request</t>
        </is>
      </c>
      <c r="F209" s="272" t="inlineStr">
        <is>
          <t>Prospect</t>
        </is>
      </c>
      <c r="G209" s="272" t="inlineStr">
        <is>
          <t>23/6/2025</t>
        </is>
      </c>
      <c r="H209" s="272" t="n"/>
      <c r="I209" s="272" t="n">
        <v>75</v>
      </c>
      <c r="J209" s="272" t="inlineStr">
        <is>
          <t>TBD</t>
        </is>
      </c>
      <c r="K209" s="272" t="inlineStr">
        <is>
          <t>TBD</t>
        </is>
      </c>
      <c r="L209" s="272" t="inlineStr">
        <is>
          <t>Omani collector \n</t>
        </is>
      </c>
      <c r="M209" s="272" t="inlineStr">
        <is>
          <t>Urgent follow-up required</t>
        </is>
      </c>
      <c r="N209" s="272" t="inlineStr">
        <is>
          <t>2025-08-06</t>
        </is>
      </c>
    </row>
    <row r="210">
      <c r="A210" s="272" t="n">
        <v>209</v>
      </c>
      <c r="B210" s="272" t="n">
        <v>106850475</v>
      </c>
      <c r="C210" s="272" t="inlineStr">
        <is>
          <t>4520V/210R-B967</t>
        </is>
      </c>
      <c r="D210" s="272" t="inlineStr">
        <is>
          <t>Overseas</t>
        </is>
      </c>
      <c r="E210" s="272" t="inlineStr">
        <is>
          <t>Request</t>
        </is>
      </c>
      <c r="F210" s="272" t="inlineStr">
        <is>
          <t>Prospect</t>
        </is>
      </c>
      <c r="G210" s="272" t="inlineStr">
        <is>
          <t>18/6/2025</t>
        </is>
      </c>
      <c r="H210" s="272" t="n"/>
      <c r="I210" s="272" t="n">
        <v>75</v>
      </c>
      <c r="J210" s="272" t="inlineStr">
        <is>
          <t>TBD</t>
        </is>
      </c>
      <c r="K210" s="272" t="inlineStr">
        <is>
          <t>TBD</t>
        </is>
      </c>
      <c r="L210" s="272" t="inlineStr">
        <is>
          <t>The client stated that hes purchasing it for his father for his 65 birthday as a gift on the 3rd of july🤞 \n</t>
        </is>
      </c>
      <c r="M210" s="272" t="inlineStr">
        <is>
          <t>Urgent follow-up required</t>
        </is>
      </c>
      <c r="N210" s="272" t="inlineStr">
        <is>
          <t>2025-08-06</t>
        </is>
      </c>
    </row>
    <row r="211">
      <c r="A211" s="272" t="n">
        <v>210</v>
      </c>
      <c r="B211" s="272" t="n">
        <v>107039143</v>
      </c>
      <c r="C211" s="272" t="inlineStr">
        <is>
          <t>4200H/222A-B934</t>
        </is>
      </c>
      <c r="D211" s="272" t="inlineStr">
        <is>
          <t>Patrimony</t>
        </is>
      </c>
      <c r="E211" s="272" t="inlineStr">
        <is>
          <t>Request</t>
        </is>
      </c>
      <c r="F211" s="272" t="inlineStr">
        <is>
          <t>Prospect</t>
        </is>
      </c>
      <c r="G211" s="272" t="inlineStr">
        <is>
          <t>26/6/2025</t>
        </is>
      </c>
      <c r="H211" s="272" t="n"/>
      <c r="I211" s="272" t="n">
        <v>75</v>
      </c>
      <c r="J211" s="272" t="inlineStr">
        <is>
          <t>TBD</t>
        </is>
      </c>
      <c r="K211" s="272" t="inlineStr">
        <is>
          <t>TBD</t>
        </is>
      </c>
      <c r="L211" s="272" t="inlineStr">
        <is>
          <t>Regional Vice President, International\nBombardier Defense\n</t>
        </is>
      </c>
      <c r="M211" s="272" t="inlineStr">
        <is>
          <t>Urgent follow-up required</t>
        </is>
      </c>
      <c r="N211" s="272" t="inlineStr">
        <is>
          <t>2025-08-06</t>
        </is>
      </c>
    </row>
    <row r="212">
      <c r="A212" s="272" t="n">
        <v>211</v>
      </c>
      <c r="B212" s="272" t="n">
        <v>106952946</v>
      </c>
      <c r="C212" s="272" t="inlineStr">
        <is>
          <t>4200H/222A-B934</t>
        </is>
      </c>
      <c r="D212" s="272" t="inlineStr">
        <is>
          <t>Patrimony</t>
        </is>
      </c>
      <c r="E212" s="272" t="inlineStr">
        <is>
          <t>Request</t>
        </is>
      </c>
      <c r="F212" s="272" t="inlineStr">
        <is>
          <t>Prospect</t>
        </is>
      </c>
      <c r="G212" s="272" t="inlineStr">
        <is>
          <t>25/6/2025</t>
        </is>
      </c>
      <c r="H212" s="272" t="n"/>
      <c r="I212" s="272" t="n">
        <v>75</v>
      </c>
      <c r="J212" s="272" t="inlineStr">
        <is>
          <t>TBD</t>
        </is>
      </c>
      <c r="K212" s="272" t="inlineStr">
        <is>
          <t>TBD</t>
        </is>
      </c>
      <c r="L212" s="272" t="inlineStr">
        <is>
          <t>\n</t>
        </is>
      </c>
      <c r="M212" s="272" t="inlineStr">
        <is>
          <t>Urgent follow-up required</t>
        </is>
      </c>
      <c r="N212" s="272" t="inlineStr">
        <is>
          <t>2025-08-06</t>
        </is>
      </c>
    </row>
    <row r="213">
      <c r="A213" s="272" t="n">
        <v>212</v>
      </c>
      <c r="B213" s="272" t="n">
        <v>106806026</v>
      </c>
      <c r="C213" s="272" t="inlineStr">
        <is>
          <t>6000V/210T-H032</t>
        </is>
      </c>
      <c r="D213" s="272" t="inlineStr">
        <is>
          <t>Other</t>
        </is>
      </c>
      <c r="E213" s="272" t="inlineStr">
        <is>
          <t>Request</t>
        </is>
      </c>
      <c r="F213" s="272" t="inlineStr">
        <is>
          <t>Prospect</t>
        </is>
      </c>
      <c r="G213" s="272" t="inlineStr">
        <is>
          <t>17/6/2025</t>
        </is>
      </c>
      <c r="H213" s="272" t="n"/>
      <c r="I213" s="272" t="n">
        <v>75</v>
      </c>
      <c r="J213" s="272" t="inlineStr">
        <is>
          <t>TBD</t>
        </is>
      </c>
      <c r="K213" s="272" t="inlineStr">
        <is>
          <t>TBD</t>
        </is>
      </c>
      <c r="L213" s="272" t="inlineStr">
        <is>
          <t>\n</t>
        </is>
      </c>
      <c r="M213" s="272" t="inlineStr">
        <is>
          <t>Urgent follow-up required</t>
        </is>
      </c>
      <c r="N213" s="272" t="inlineStr">
        <is>
          <t>2025-08-06</t>
        </is>
      </c>
    </row>
    <row r="214">
      <c r="A214" s="272" t="n">
        <v>213</v>
      </c>
      <c r="B214" s="272" t="n">
        <v>106797668</v>
      </c>
      <c r="C214" s="272" t="inlineStr">
        <is>
          <t>82035/000G-B735</t>
        </is>
      </c>
      <c r="D214" s="272" t="inlineStr">
        <is>
          <t>Other</t>
        </is>
      </c>
      <c r="E214" s="272" t="inlineStr">
        <is>
          <t>Request</t>
        </is>
      </c>
      <c r="F214" s="272" t="inlineStr">
        <is>
          <t>Prospect</t>
        </is>
      </c>
      <c r="G214" s="272" t="inlineStr">
        <is>
          <t>17/6/2025</t>
        </is>
      </c>
      <c r="H214" s="272" t="n"/>
      <c r="I214" s="272" t="n">
        <v>75</v>
      </c>
      <c r="J214" s="272" t="inlineStr">
        <is>
          <t>TBD</t>
        </is>
      </c>
      <c r="K214" s="272" t="inlineStr">
        <is>
          <t>TBD</t>
        </is>
      </c>
      <c r="L214" s="272" t="inlineStr">
        <is>
          <t>\n</t>
        </is>
      </c>
      <c r="M214" s="272" t="inlineStr">
        <is>
          <t>Urgent follow-up required</t>
        </is>
      </c>
      <c r="N214" s="272" t="inlineStr">
        <is>
          <t>2025-08-06</t>
        </is>
      </c>
    </row>
    <row r="215">
      <c r="A215" s="272" t="n">
        <v>214</v>
      </c>
      <c r="B215" s="272" t="n">
        <v>92407639</v>
      </c>
      <c r="C215" s="272" t="inlineStr">
        <is>
          <t>4010U/000R-H117</t>
        </is>
      </c>
      <c r="D215" s="272" t="inlineStr">
        <is>
          <t>Patrimony</t>
        </is>
      </c>
      <c r="E215" s="272" t="inlineStr">
        <is>
          <t>Request</t>
        </is>
      </c>
      <c r="F215" s="272" t="inlineStr">
        <is>
          <t>Prospect</t>
        </is>
      </c>
      <c r="G215" s="272" t="inlineStr">
        <is>
          <t>15/7/2025</t>
        </is>
      </c>
      <c r="H215" s="272" t="n"/>
      <c r="I215" s="272" t="n">
        <v>75</v>
      </c>
      <c r="J215" s="272" t="inlineStr">
        <is>
          <t>TBD</t>
        </is>
      </c>
      <c r="K215" s="272" t="inlineStr">
        <is>
          <t>TBD</t>
        </is>
      </c>
      <c r="L215" s="272" t="inlineStr">
        <is>
          <t>\n</t>
        </is>
      </c>
      <c r="M215" s="272" t="inlineStr">
        <is>
          <t>Urgent follow-up required</t>
        </is>
      </c>
      <c r="N215" s="272" t="inlineStr">
        <is>
          <t>2025-08-06</t>
        </is>
      </c>
    </row>
    <row r="216">
      <c r="A216" s="272" t="n">
        <v>215</v>
      </c>
      <c r="B216" s="272" t="n">
        <v>93232124</v>
      </c>
      <c r="C216" s="272" t="inlineStr">
        <is>
          <t>7920V/210A-B334</t>
        </is>
      </c>
      <c r="D216" s="272" t="inlineStr">
        <is>
          <t>Other</t>
        </is>
      </c>
      <c r="E216" s="272" t="inlineStr">
        <is>
          <t>Request</t>
        </is>
      </c>
      <c r="F216" s="272" t="inlineStr">
        <is>
          <t>Prospect</t>
        </is>
      </c>
      <c r="G216" s="272" t="inlineStr">
        <is>
          <t>3/6/2025</t>
        </is>
      </c>
      <c r="H216" s="272" t="n">
        <v>100</v>
      </c>
      <c r="I216" s="272" t="n">
        <v>75</v>
      </c>
      <c r="J216" s="272" t="inlineStr">
        <is>
          <t>TBD</t>
        </is>
      </c>
      <c r="K216" s="272" t="inlineStr">
        <is>
          <t>TBD</t>
        </is>
      </c>
      <c r="L216" s="272" t="inlineStr">
        <is>
          <t>Rolex Submariner Date\nIWC Portugieser Perpetual Calendar\nAudemars Piguet Royal Oak Offshore Chronograph\nPanerai Luminor: \nIWC Portugieser Chronograph\n</t>
        </is>
      </c>
      <c r="M216" s="272" t="inlineStr">
        <is>
          <t>Urgent follow-up required</t>
        </is>
      </c>
      <c r="N216" s="272" t="inlineStr">
        <is>
          <t>2025-08-06</t>
        </is>
      </c>
    </row>
    <row r="217">
      <c r="A217" s="272" t="n">
        <v>216</v>
      </c>
      <c r="B217" s="272" t="n">
        <v>107552378</v>
      </c>
      <c r="C217" s="272" t="inlineStr">
        <is>
          <t>5520V/210R-B966</t>
        </is>
      </c>
      <c r="D217" s="272" t="inlineStr">
        <is>
          <t>Overseas</t>
        </is>
      </c>
      <c r="E217" s="272" t="inlineStr">
        <is>
          <t>Request</t>
        </is>
      </c>
      <c r="F217" s="272" t="inlineStr">
        <is>
          <t>Prospect</t>
        </is>
      </c>
      <c r="G217" s="272" t="inlineStr">
        <is>
          <t>15/7/2025</t>
        </is>
      </c>
      <c r="H217" s="272" t="n"/>
      <c r="I217" s="272" t="n">
        <v>75</v>
      </c>
      <c r="J217" s="272" t="inlineStr">
        <is>
          <t>TBD</t>
        </is>
      </c>
      <c r="K217" s="272" t="inlineStr">
        <is>
          <t>TBD</t>
        </is>
      </c>
      <c r="L217" s="272" t="inlineStr">
        <is>
          <t>\n</t>
        </is>
      </c>
      <c r="M217" s="272" t="inlineStr">
        <is>
          <t>Urgent follow-up required</t>
        </is>
      </c>
      <c r="N217" s="272" t="inlineStr">
        <is>
          <t>2025-08-06</t>
        </is>
      </c>
    </row>
    <row r="218">
      <c r="A218" s="272" t="n">
        <v>217</v>
      </c>
      <c r="B218" s="272" t="n">
        <v>107552378</v>
      </c>
      <c r="C218" s="272" t="inlineStr">
        <is>
          <t>5520V/210R-B966</t>
        </is>
      </c>
      <c r="D218" s="272" t="inlineStr">
        <is>
          <t>Overseas</t>
        </is>
      </c>
      <c r="E218" s="272" t="inlineStr">
        <is>
          <t>Request</t>
        </is>
      </c>
      <c r="F218" s="272" t="inlineStr">
        <is>
          <t>Prospect</t>
        </is>
      </c>
      <c r="G218" s="272" t="inlineStr">
        <is>
          <t>15/7/2025</t>
        </is>
      </c>
      <c r="H218" s="272" t="n"/>
      <c r="I218" s="272" t="n">
        <v>75</v>
      </c>
      <c r="J218" s="272" t="inlineStr">
        <is>
          <t>TBD</t>
        </is>
      </c>
      <c r="K218" s="272" t="inlineStr">
        <is>
          <t>TBD</t>
        </is>
      </c>
      <c r="L218" s="272" t="inlineStr">
        <is>
          <t>\n</t>
        </is>
      </c>
      <c r="M218" s="272" t="inlineStr">
        <is>
          <t>Urgent follow-up required</t>
        </is>
      </c>
      <c r="N218" s="272" t="inlineStr">
        <is>
          <t>2025-08-06</t>
        </is>
      </c>
    </row>
    <row r="219">
      <c r="A219" s="272" t="n">
        <v>218</v>
      </c>
      <c r="B219" s="272" t="n">
        <v>107552378</v>
      </c>
      <c r="C219" s="272" t="inlineStr">
        <is>
          <t>5520V/210R-B966</t>
        </is>
      </c>
      <c r="D219" s="272" t="inlineStr">
        <is>
          <t>Overseas</t>
        </is>
      </c>
      <c r="E219" s="272" t="inlineStr">
        <is>
          <t>Request</t>
        </is>
      </c>
      <c r="F219" s="272" t="inlineStr">
        <is>
          <t>Prospect</t>
        </is>
      </c>
      <c r="G219" s="272" t="inlineStr">
        <is>
          <t>15/7/2025</t>
        </is>
      </c>
      <c r="H219" s="272" t="n"/>
      <c r="I219" s="272" t="n">
        <v>75</v>
      </c>
      <c r="J219" s="272" t="inlineStr">
        <is>
          <t>TBD</t>
        </is>
      </c>
      <c r="K219" s="272" t="inlineStr">
        <is>
          <t>TBD</t>
        </is>
      </c>
      <c r="L219" s="272" t="inlineStr">
        <is>
          <t>\n</t>
        </is>
      </c>
      <c r="M219" s="272" t="inlineStr">
        <is>
          <t>Urgent follow-up required</t>
        </is>
      </c>
      <c r="N219" s="272" t="inlineStr">
        <is>
          <t>2025-08-06</t>
        </is>
      </c>
    </row>
    <row r="220">
      <c r="A220" s="272" t="n">
        <v>219</v>
      </c>
      <c r="B220" s="272" t="n">
        <v>107265277</v>
      </c>
      <c r="C220" s="272" t="inlineStr">
        <is>
          <t>1410U/000G-H017</t>
        </is>
      </c>
      <c r="D220" s="272" t="inlineStr">
        <is>
          <t>Traditionnelle</t>
        </is>
      </c>
      <c r="E220" s="272" t="inlineStr">
        <is>
          <t>Request</t>
        </is>
      </c>
      <c r="F220" s="272" t="inlineStr">
        <is>
          <t>Prospect</t>
        </is>
      </c>
      <c r="G220" s="272" t="inlineStr">
        <is>
          <t>4/7/2025</t>
        </is>
      </c>
      <c r="H220" s="272" t="n">
        <v>100</v>
      </c>
      <c r="I220" s="272" t="n">
        <v>75</v>
      </c>
      <c r="J220" s="272" t="inlineStr">
        <is>
          <t>TBD</t>
        </is>
      </c>
      <c r="K220" s="272" t="inlineStr">
        <is>
          <t>TBD</t>
        </is>
      </c>
      <c r="L220" s="272" t="inlineStr">
        <is>
          <t>\n</t>
        </is>
      </c>
      <c r="M220" s="272" t="inlineStr">
        <is>
          <t>Urgent follow-up required</t>
        </is>
      </c>
      <c r="N220" s="272" t="inlineStr">
        <is>
          <t>2025-08-06</t>
        </is>
      </c>
    </row>
    <row r="221">
      <c r="A221" s="273" t="n">
        <v>220</v>
      </c>
      <c r="B221" s="273" t="n">
        <v>100576190</v>
      </c>
      <c r="C221" s="273" t="inlineStr">
        <is>
          <t>4520V/210A-B128</t>
        </is>
      </c>
      <c r="D221" s="273" t="inlineStr">
        <is>
          <t>Overseas</t>
        </is>
      </c>
      <c r="E221" s="273" t="inlineStr">
        <is>
          <t>Request</t>
        </is>
      </c>
      <c r="F221" s="273" t="n"/>
      <c r="G221" s="273" t="inlineStr">
        <is>
          <t>1/7/2025</t>
        </is>
      </c>
      <c r="H221" s="273" t="n">
        <v>100</v>
      </c>
      <c r="I221" s="273" t="n">
        <v>55</v>
      </c>
      <c r="J221" s="273" t="inlineStr">
        <is>
          <t>TBD</t>
        </is>
      </c>
      <c r="K221" s="273" t="inlineStr">
        <is>
          <t>TBD</t>
        </is>
      </c>
      <c r="L221" s="273" t="inlineStr">
        <is>
          <t>Mr. Siddiqui is a long term client\n</t>
        </is>
      </c>
      <c r="M221" s="273" t="inlineStr">
        <is>
          <t>Urgent follow-up required</t>
        </is>
      </c>
      <c r="N221" s="273" t="inlineStr">
        <is>
          <t>2025-08-06</t>
        </is>
      </c>
    </row>
    <row r="222">
      <c r="A222" s="273" t="n">
        <v>221</v>
      </c>
      <c r="B222" s="273" t="n">
        <v>107207262</v>
      </c>
      <c r="C222" s="273" t="inlineStr">
        <is>
          <t>7920V/210A-B546</t>
        </is>
      </c>
      <c r="D222" s="273" t="inlineStr">
        <is>
          <t>Other</t>
        </is>
      </c>
      <c r="E222" s="273" t="inlineStr">
        <is>
          <t>Request</t>
        </is>
      </c>
      <c r="F222" s="273" t="n"/>
      <c r="G222" s="273" t="inlineStr">
        <is>
          <t>1/7/2025</t>
        </is>
      </c>
      <c r="H222" s="273" t="n">
        <v>100</v>
      </c>
      <c r="I222" s="273" t="n">
        <v>55</v>
      </c>
      <c r="J222" s="273" t="inlineStr">
        <is>
          <t>TBD</t>
        </is>
      </c>
      <c r="K222" s="273" t="inlineStr">
        <is>
          <t>TBD</t>
        </is>
      </c>
      <c r="L222" s="273" t="inlineStr">
        <is>
          <t>\n</t>
        </is>
      </c>
      <c r="M222" s="273" t="inlineStr">
        <is>
          <t>Urgent follow-up required</t>
        </is>
      </c>
      <c r="N222" s="273" t="inlineStr">
        <is>
          <t>2025-08-06</t>
        </is>
      </c>
    </row>
    <row r="223">
      <c r="A223" s="273" t="n">
        <v>222</v>
      </c>
      <c r="B223" s="273" t="n">
        <v>106652874</v>
      </c>
      <c r="C223" s="273" t="inlineStr">
        <is>
          <t>6000V/110A-B544</t>
        </is>
      </c>
      <c r="D223" s="273" t="inlineStr">
        <is>
          <t>Other</t>
        </is>
      </c>
      <c r="E223" s="273" t="inlineStr">
        <is>
          <t>Request</t>
        </is>
      </c>
      <c r="F223" s="273" t="n"/>
      <c r="G223" s="273" t="inlineStr">
        <is>
          <t>1/6/2025</t>
        </is>
      </c>
      <c r="H223" s="273" t="n">
        <v>100</v>
      </c>
      <c r="I223" s="273" t="n">
        <v>55</v>
      </c>
      <c r="J223" s="273" t="inlineStr">
        <is>
          <t>TBD</t>
        </is>
      </c>
      <c r="K223" s="273" t="inlineStr">
        <is>
          <t>TBD</t>
        </is>
      </c>
      <c r="L223" s="273" t="inlineStr">
        <is>
          <t>\n</t>
        </is>
      </c>
      <c r="M223" s="273" t="inlineStr">
        <is>
          <t>Urgent follow-up required</t>
        </is>
      </c>
      <c r="N223" s="273" t="inlineStr">
        <is>
          <t>2025-08-06</t>
        </is>
      </c>
    </row>
    <row r="224">
      <c r="A224" s="273" t="n">
        <v>223</v>
      </c>
      <c r="B224" s="273" t="n">
        <v>106652874</v>
      </c>
      <c r="C224" s="273" t="inlineStr">
        <is>
          <t>4200H/222A-B934</t>
        </is>
      </c>
      <c r="D224" s="273" t="inlineStr">
        <is>
          <t>Patrimony</t>
        </is>
      </c>
      <c r="E224" s="273" t="inlineStr">
        <is>
          <t>Request</t>
        </is>
      </c>
      <c r="F224" s="273" t="n"/>
      <c r="G224" s="273" t="inlineStr">
        <is>
          <t>1/6/2025</t>
        </is>
      </c>
      <c r="H224" s="273" t="n">
        <v>100</v>
      </c>
      <c r="I224" s="273" t="n">
        <v>55</v>
      </c>
      <c r="J224" s="273" t="inlineStr">
        <is>
          <t>TBD</t>
        </is>
      </c>
      <c r="K224" s="273" t="inlineStr">
        <is>
          <t>TBD</t>
        </is>
      </c>
      <c r="L224" s="273" t="inlineStr">
        <is>
          <t>\n</t>
        </is>
      </c>
      <c r="M224" s="273" t="inlineStr">
        <is>
          <t>Urgent follow-up required</t>
        </is>
      </c>
      <c r="N224" s="273" t="inlineStr">
        <is>
          <t>2025-08-06</t>
        </is>
      </c>
    </row>
    <row r="225">
      <c r="A225" s="273" t="n">
        <v>224</v>
      </c>
      <c r="B225" s="273" t="n">
        <v>106652874</v>
      </c>
      <c r="C225" s="273" t="inlineStr">
        <is>
          <t>6000V/210R-B934</t>
        </is>
      </c>
      <c r="D225" s="273" t="inlineStr">
        <is>
          <t>Other</t>
        </is>
      </c>
      <c r="E225" s="273" t="inlineStr">
        <is>
          <t>Request</t>
        </is>
      </c>
      <c r="F225" s="273" t="n"/>
      <c r="G225" s="273" t="inlineStr">
        <is>
          <t>1/6/2025</t>
        </is>
      </c>
      <c r="H225" s="273" t="n">
        <v>100</v>
      </c>
      <c r="I225" s="273" t="n">
        <v>55</v>
      </c>
      <c r="J225" s="273" t="inlineStr">
        <is>
          <t>TBD</t>
        </is>
      </c>
      <c r="K225" s="273" t="inlineStr">
        <is>
          <t>TBD</t>
        </is>
      </c>
      <c r="L225" s="273" t="inlineStr">
        <is>
          <t>\n</t>
        </is>
      </c>
      <c r="M225" s="273" t="inlineStr">
        <is>
          <t>Urgent follow-up required</t>
        </is>
      </c>
      <c r="N225" s="273" t="inlineStr">
        <is>
          <t>2025-08-06</t>
        </is>
      </c>
    </row>
    <row r="226">
      <c r="A226" s="273" t="n">
        <v>225</v>
      </c>
      <c r="B226" s="273" t="n">
        <v>106652874</v>
      </c>
      <c r="C226" s="273" t="inlineStr">
        <is>
          <t>6000V/110A-B544</t>
        </is>
      </c>
      <c r="D226" s="273" t="inlineStr">
        <is>
          <t>Other</t>
        </is>
      </c>
      <c r="E226" s="273" t="inlineStr">
        <is>
          <t>Request</t>
        </is>
      </c>
      <c r="F226" s="273" t="n"/>
      <c r="G226" s="273" t="inlineStr">
        <is>
          <t>1/6/2025</t>
        </is>
      </c>
      <c r="H226" s="273" t="n">
        <v>100</v>
      </c>
      <c r="I226" s="273" t="n">
        <v>55</v>
      </c>
      <c r="J226" s="273" t="inlineStr">
        <is>
          <t>TBD</t>
        </is>
      </c>
      <c r="K226" s="273" t="inlineStr">
        <is>
          <t>TBD</t>
        </is>
      </c>
      <c r="L226" s="273" t="inlineStr">
        <is>
          <t>\n</t>
        </is>
      </c>
      <c r="M226" s="273" t="inlineStr">
        <is>
          <t>Urgent follow-up required</t>
        </is>
      </c>
      <c r="N226" s="273" t="inlineStr">
        <is>
          <t>2025-08-06</t>
        </is>
      </c>
    </row>
    <row r="227">
      <c r="A227" s="273" t="n">
        <v>226</v>
      </c>
      <c r="B227" s="273" t="n">
        <v>106652874</v>
      </c>
      <c r="C227" s="273" t="inlineStr">
        <is>
          <t>6000V/210R-B733</t>
        </is>
      </c>
      <c r="D227" s="273" t="inlineStr">
        <is>
          <t>Other</t>
        </is>
      </c>
      <c r="E227" s="273" t="inlineStr">
        <is>
          <t>Request</t>
        </is>
      </c>
      <c r="F227" s="273" t="n"/>
      <c r="G227" s="273" t="inlineStr">
        <is>
          <t>1/6/2025</t>
        </is>
      </c>
      <c r="H227" s="273" t="n">
        <v>100</v>
      </c>
      <c r="I227" s="273" t="n">
        <v>55</v>
      </c>
      <c r="J227" s="273" t="inlineStr">
        <is>
          <t>TBD</t>
        </is>
      </c>
      <c r="K227" s="273" t="inlineStr">
        <is>
          <t>TBD</t>
        </is>
      </c>
      <c r="L227" s="273" t="inlineStr">
        <is>
          <t>\n</t>
        </is>
      </c>
      <c r="M227" s="273" t="inlineStr">
        <is>
          <t>Urgent follow-up required</t>
        </is>
      </c>
      <c r="N227" s="273" t="inlineStr">
        <is>
          <t>2025-08-06</t>
        </is>
      </c>
    </row>
    <row r="228">
      <c r="A228" s="273" t="n">
        <v>227</v>
      </c>
      <c r="B228" s="273" t="n">
        <v>106652874</v>
      </c>
      <c r="C228" s="273" t="inlineStr">
        <is>
          <t>4200H/222J-B935</t>
        </is>
      </c>
      <c r="D228" s="273" t="inlineStr">
        <is>
          <t>Patrimony</t>
        </is>
      </c>
      <c r="E228" s="273" t="inlineStr">
        <is>
          <t>Request</t>
        </is>
      </c>
      <c r="F228" s="273" t="n"/>
      <c r="G228" s="273" t="inlineStr">
        <is>
          <t>1/6/2025</t>
        </is>
      </c>
      <c r="H228" s="273" t="n">
        <v>100</v>
      </c>
      <c r="I228" s="273" t="n">
        <v>55</v>
      </c>
      <c r="J228" s="273" t="inlineStr">
        <is>
          <t>TBD</t>
        </is>
      </c>
      <c r="K228" s="273" t="inlineStr">
        <is>
          <t>TBD</t>
        </is>
      </c>
      <c r="L228" s="273" t="inlineStr">
        <is>
          <t>\n</t>
        </is>
      </c>
      <c r="M228" s="273" t="inlineStr">
        <is>
          <t>Urgent follow-up required</t>
        </is>
      </c>
      <c r="N228" s="273" t="inlineStr">
        <is>
          <t>2025-08-06</t>
        </is>
      </c>
    </row>
    <row r="229">
      <c r="A229" s="273" t="n">
        <v>228</v>
      </c>
      <c r="B229" s="273" t="n">
        <v>92426913</v>
      </c>
      <c r="C229" s="273" t="inlineStr">
        <is>
          <t>37640/000G-B021</t>
        </is>
      </c>
      <c r="D229" s="273" t="inlineStr">
        <is>
          <t>Other</t>
        </is>
      </c>
      <c r="E229" s="273" t="inlineStr">
        <is>
          <t>Request</t>
        </is>
      </c>
      <c r="F229" s="273" t="n"/>
      <c r="G229" s="273" t="inlineStr">
        <is>
          <t>24/5/2025</t>
        </is>
      </c>
      <c r="H229" s="273" t="n"/>
      <c r="I229" s="273" t="n">
        <v>55</v>
      </c>
      <c r="J229" s="273" t="inlineStr">
        <is>
          <t>TBD</t>
        </is>
      </c>
      <c r="K229" s="273" t="inlineStr">
        <is>
          <t>TBD</t>
        </is>
      </c>
      <c r="L229" s="273" t="inlineStr">
        <is>
          <t>The client requires delivery of the watch within one week.\n</t>
        </is>
      </c>
      <c r="M229" s="273" t="inlineStr">
        <is>
          <t>Urgent follow-up required</t>
        </is>
      </c>
      <c r="N229" s="273" t="inlineStr">
        <is>
          <t>2025-08-06</t>
        </is>
      </c>
    </row>
    <row r="230">
      <c r="A230" s="273" t="n">
        <v>229</v>
      </c>
      <c r="B230" s="273" t="n">
        <v>1291072</v>
      </c>
      <c r="C230" s="273" t="inlineStr">
        <is>
          <t>4200H/222J-B935</t>
        </is>
      </c>
      <c r="D230" s="273" t="inlineStr">
        <is>
          <t>Patrimony</t>
        </is>
      </c>
      <c r="E230" s="273" t="inlineStr">
        <is>
          <t>Sold</t>
        </is>
      </c>
      <c r="F230" s="273" t="inlineStr">
        <is>
          <t>Prospect</t>
        </is>
      </c>
      <c r="G230" s="273" t="inlineStr">
        <is>
          <t>20/10/2023</t>
        </is>
      </c>
      <c r="H230" s="273" t="n"/>
      <c r="I230" s="273" t="n">
        <v>55</v>
      </c>
      <c r="J230" s="273" t="inlineStr">
        <is>
          <t>TBD</t>
        </is>
      </c>
      <c r="K230" s="273" t="inlineStr">
        <is>
          <t>TBD</t>
        </is>
      </c>
      <c r="L230" s="273" t="n"/>
      <c r="M230" s="273" t="inlineStr">
        <is>
          <t>Post-sale follow-up</t>
        </is>
      </c>
      <c r="N230" s="273" t="inlineStr">
        <is>
          <t>2025-08-20</t>
        </is>
      </c>
    </row>
    <row r="231">
      <c r="A231" s="273" t="n">
        <v>230</v>
      </c>
      <c r="B231" s="273" t="n">
        <v>102680410</v>
      </c>
      <c r="C231" s="273" t="inlineStr">
        <is>
          <t>4200H/222A-B934</t>
        </is>
      </c>
      <c r="D231" s="273" t="inlineStr">
        <is>
          <t>Patrimony</t>
        </is>
      </c>
      <c r="E231" s="273" t="inlineStr">
        <is>
          <t>Request</t>
        </is>
      </c>
      <c r="F231" s="273" t="n"/>
      <c r="G231" s="273" t="inlineStr">
        <is>
          <t>27/2/2025</t>
        </is>
      </c>
      <c r="H231" s="273" t="n"/>
      <c r="I231" s="273" t="n">
        <v>55</v>
      </c>
      <c r="J231" s="273" t="inlineStr">
        <is>
          <t>TBD</t>
        </is>
      </c>
      <c r="K231" s="273" t="inlineStr">
        <is>
          <t>TBD</t>
        </is>
      </c>
      <c r="L231" s="273" t="inlineStr">
        <is>
          <t>The client is very interested KW \n</t>
        </is>
      </c>
      <c r="M231" s="273" t="inlineStr">
        <is>
          <t>Urgent follow-up required</t>
        </is>
      </c>
      <c r="N231" s="273" t="inlineStr">
        <is>
          <t>2025-08-06</t>
        </is>
      </c>
    </row>
    <row r="232">
      <c r="A232" s="273" t="n">
        <v>231</v>
      </c>
      <c r="B232" s="273" t="n">
        <v>93852629</v>
      </c>
      <c r="C232" s="273" t="inlineStr">
        <is>
          <t>4000V/210A-B911</t>
        </is>
      </c>
      <c r="D232" s="273" t="inlineStr">
        <is>
          <t>Overseas</t>
        </is>
      </c>
      <c r="E232" s="273" t="inlineStr">
        <is>
          <t>Request</t>
        </is>
      </c>
      <c r="F232" s="273" t="n"/>
      <c r="G232" s="273" t="inlineStr">
        <is>
          <t>2/1/2025</t>
        </is>
      </c>
      <c r="H232" s="273" t="n">
        <v>100</v>
      </c>
      <c r="I232" s="273" t="n">
        <v>55</v>
      </c>
      <c r="J232" s="273" t="inlineStr">
        <is>
          <t>TBD</t>
        </is>
      </c>
      <c r="K232" s="273" t="inlineStr">
        <is>
          <t>TBD</t>
        </is>
      </c>
      <c r="L232" s="273" t="inlineStr">
        <is>
          <t>The client already purchased the dual time black dial and would like to proceed with the moonphase \n</t>
        </is>
      </c>
      <c r="M232" s="273" t="inlineStr">
        <is>
          <t>Urgent follow-up required</t>
        </is>
      </c>
      <c r="N232" s="273" t="inlineStr">
        <is>
          <t>2025-08-06</t>
        </is>
      </c>
    </row>
    <row r="233">
      <c r="A233" s="273" t="n">
        <v>232</v>
      </c>
      <c r="B233" s="273" t="n">
        <v>104255707</v>
      </c>
      <c r="C233" s="273" t="inlineStr">
        <is>
          <t>4200H/222A-B934</t>
        </is>
      </c>
      <c r="D233" s="273" t="inlineStr">
        <is>
          <t>Patrimony</t>
        </is>
      </c>
      <c r="E233" s="273" t="inlineStr">
        <is>
          <t>Request</t>
        </is>
      </c>
      <c r="F233" s="273" t="n"/>
      <c r="G233" s="273" t="inlineStr">
        <is>
          <t>25/2/2025</t>
        </is>
      </c>
      <c r="H233" s="273" t="n"/>
      <c r="I233" s="273" t="n">
        <v>55</v>
      </c>
      <c r="J233" s="273" t="inlineStr">
        <is>
          <t>TBD</t>
        </is>
      </c>
      <c r="K233" s="273" t="inlineStr">
        <is>
          <t>TBD</t>
        </is>
      </c>
      <c r="L233" s="273" t="inlineStr">
        <is>
          <t>222\n</t>
        </is>
      </c>
      <c r="M233" s="273" t="inlineStr">
        <is>
          <t>Urgent follow-up required</t>
        </is>
      </c>
      <c r="N233" s="273" t="inlineStr">
        <is>
          <t>2025-08-06</t>
        </is>
      </c>
    </row>
    <row r="234">
      <c r="A234" s="273" t="n">
        <v>233</v>
      </c>
      <c r="B234" s="273" t="n">
        <v>103847224</v>
      </c>
      <c r="C234" s="273" t="inlineStr">
        <is>
          <t>4200H/222A-B934</t>
        </is>
      </c>
      <c r="D234" s="273" t="inlineStr">
        <is>
          <t>Patrimony</t>
        </is>
      </c>
      <c r="E234" s="273" t="inlineStr">
        <is>
          <t>Request</t>
        </is>
      </c>
      <c r="F234" s="273" t="n"/>
      <c r="G234" s="273" t="inlineStr">
        <is>
          <t>25/2/2025</t>
        </is>
      </c>
      <c r="H234" s="273" t="n"/>
      <c r="I234" s="273" t="n">
        <v>55</v>
      </c>
      <c r="J234" s="273" t="inlineStr">
        <is>
          <t>TBD</t>
        </is>
      </c>
      <c r="K234" s="273" t="inlineStr">
        <is>
          <t>TBD</t>
        </is>
      </c>
      <c r="L234" s="273" t="inlineStr">
        <is>
          <t>222\n</t>
        </is>
      </c>
      <c r="M234" s="273" t="inlineStr">
        <is>
          <t>Urgent follow-up required</t>
        </is>
      </c>
      <c r="N234" s="273" t="inlineStr">
        <is>
          <t>2025-08-06</t>
        </is>
      </c>
    </row>
    <row r="235">
      <c r="A235" s="273" t="n">
        <v>234</v>
      </c>
      <c r="B235" s="273" t="n">
        <v>102905736</v>
      </c>
      <c r="C235" s="273" t="inlineStr">
        <is>
          <t>4200H/222A-B934</t>
        </is>
      </c>
      <c r="D235" s="273" t="inlineStr">
        <is>
          <t>Patrimony</t>
        </is>
      </c>
      <c r="E235" s="273" t="inlineStr">
        <is>
          <t>Request</t>
        </is>
      </c>
      <c r="F235" s="273" t="n"/>
      <c r="G235" s="273" t="inlineStr">
        <is>
          <t>19/2/2025</t>
        </is>
      </c>
      <c r="H235" s="273" t="n"/>
      <c r="I235" s="273" t="n">
        <v>55</v>
      </c>
      <c r="J235" s="273" t="inlineStr">
        <is>
          <t>TBD</t>
        </is>
      </c>
      <c r="K235" s="273" t="inlineStr">
        <is>
          <t>TBD</t>
        </is>
      </c>
      <c r="L235" s="273" t="n"/>
      <c r="M235" s="273" t="inlineStr">
        <is>
          <t>Urgent follow-up required</t>
        </is>
      </c>
      <c r="N235" s="273" t="inlineStr">
        <is>
          <t>2025-08-06</t>
        </is>
      </c>
    </row>
    <row r="236">
      <c r="A236" s="273" t="n">
        <v>235</v>
      </c>
      <c r="B236" s="273" t="n">
        <v>104299847</v>
      </c>
      <c r="C236" s="273" t="inlineStr">
        <is>
          <t>4200H/222A-B934</t>
        </is>
      </c>
      <c r="D236" s="273" t="inlineStr">
        <is>
          <t>Patrimony</t>
        </is>
      </c>
      <c r="E236" s="273" t="inlineStr">
        <is>
          <t>Request</t>
        </is>
      </c>
      <c r="F236" s="273" t="n"/>
      <c r="G236" s="273" t="inlineStr">
        <is>
          <t>28/2/2025</t>
        </is>
      </c>
      <c r="H236" s="273" t="n"/>
      <c r="I236" s="273" t="n">
        <v>55</v>
      </c>
      <c r="J236" s="273" t="inlineStr">
        <is>
          <t>TBD</t>
        </is>
      </c>
      <c r="K236" s="273" t="inlineStr">
        <is>
          <t>TBD</t>
        </is>
      </c>
      <c r="L236" s="273" t="inlineStr">
        <is>
          <t>interested in the 222\n</t>
        </is>
      </c>
      <c r="M236" s="273" t="inlineStr">
        <is>
          <t>Urgent follow-up required</t>
        </is>
      </c>
      <c r="N236" s="273" t="inlineStr">
        <is>
          <t>2025-08-06</t>
        </is>
      </c>
    </row>
    <row r="237">
      <c r="A237" s="273" t="n">
        <v>236</v>
      </c>
      <c r="B237" s="273" t="n">
        <v>104270695</v>
      </c>
      <c r="C237" s="273" t="inlineStr">
        <is>
          <t>4200H/222A-B934</t>
        </is>
      </c>
      <c r="D237" s="273" t="inlineStr">
        <is>
          <t>Patrimony</t>
        </is>
      </c>
      <c r="E237" s="273" t="inlineStr">
        <is>
          <t>Request</t>
        </is>
      </c>
      <c r="F237" s="273" t="n"/>
      <c r="G237" s="273" t="inlineStr">
        <is>
          <t>25/2/2025</t>
        </is>
      </c>
      <c r="H237" s="273" t="n"/>
      <c r="I237" s="273" t="n">
        <v>55</v>
      </c>
      <c r="J237" s="273" t="inlineStr">
        <is>
          <t>TBD</t>
        </is>
      </c>
      <c r="K237" s="273" t="inlineStr">
        <is>
          <t>TBD</t>
        </is>
      </c>
      <c r="L237" s="273" t="inlineStr">
        <is>
          <t>222 gcc \n</t>
        </is>
      </c>
      <c r="M237" s="273" t="inlineStr">
        <is>
          <t>Urgent follow-up required</t>
        </is>
      </c>
      <c r="N237" s="273" t="inlineStr">
        <is>
          <t>2025-08-06</t>
        </is>
      </c>
    </row>
    <row r="238">
      <c r="A238" s="273" t="n">
        <v>237</v>
      </c>
      <c r="B238" s="273" t="n">
        <v>102905736</v>
      </c>
      <c r="C238" s="273" t="inlineStr">
        <is>
          <t>4200H/222A-B934</t>
        </is>
      </c>
      <c r="D238" s="273" t="inlineStr">
        <is>
          <t>Patrimony</t>
        </is>
      </c>
      <c r="E238" s="273" t="inlineStr">
        <is>
          <t>Request</t>
        </is>
      </c>
      <c r="F238" s="273" t="n"/>
      <c r="G238" s="273" t="inlineStr">
        <is>
          <t>25/2/2025</t>
        </is>
      </c>
      <c r="H238" s="273" t="n"/>
      <c r="I238" s="273" t="n">
        <v>55</v>
      </c>
      <c r="J238" s="273" t="inlineStr">
        <is>
          <t>TBD</t>
        </is>
      </c>
      <c r="K238" s="273" t="inlineStr">
        <is>
          <t>TBD</t>
        </is>
      </c>
      <c r="L238" s="273" t="inlineStr">
        <is>
          <t>222\n</t>
        </is>
      </c>
      <c r="M238" s="273" t="inlineStr">
        <is>
          <t>Urgent follow-up required</t>
        </is>
      </c>
      <c r="N238" s="273" t="inlineStr">
        <is>
          <t>2025-08-06</t>
        </is>
      </c>
    </row>
    <row r="239">
      <c r="A239" s="273" t="n">
        <v>238</v>
      </c>
      <c r="B239" s="273" t="n">
        <v>104329408</v>
      </c>
      <c r="C239" s="273" t="inlineStr">
        <is>
          <t>7920V/210A-B334</t>
        </is>
      </c>
      <c r="D239" s="273" t="inlineStr">
        <is>
          <t>Other</t>
        </is>
      </c>
      <c r="E239" s="273" t="inlineStr">
        <is>
          <t>Request</t>
        </is>
      </c>
      <c r="F239" s="273" t="n"/>
      <c r="G239" s="273" t="inlineStr">
        <is>
          <t>27/2/2025</t>
        </is>
      </c>
      <c r="H239" s="273" t="n"/>
      <c r="I239" s="273" t="n">
        <v>55</v>
      </c>
      <c r="J239" s="273" t="inlineStr">
        <is>
          <t>TBD</t>
        </is>
      </c>
      <c r="K239" s="273" t="inlineStr">
        <is>
          <t>TBD</t>
        </is>
      </c>
      <c r="L239" s="273" t="inlineStr">
        <is>
          <t>222 Fam\n</t>
        </is>
      </c>
      <c r="M239" s="273" t="inlineStr">
        <is>
          <t>Urgent follow-up required</t>
        </is>
      </c>
      <c r="N239" s="273" t="inlineStr">
        <is>
          <t>2025-08-06</t>
        </is>
      </c>
    </row>
    <row r="240">
      <c r="A240" s="273" t="n">
        <v>239</v>
      </c>
      <c r="B240" s="273" t="n">
        <v>104375462</v>
      </c>
      <c r="C240" s="273" t="inlineStr">
        <is>
          <t>4200H/222A-B934</t>
        </is>
      </c>
      <c r="D240" s="273" t="inlineStr">
        <is>
          <t>Patrimony</t>
        </is>
      </c>
      <c r="E240" s="273" t="inlineStr">
        <is>
          <t>Request</t>
        </is>
      </c>
      <c r="F240" s="273" t="n"/>
      <c r="G240" s="273" t="inlineStr">
        <is>
          <t>27/2/2025</t>
        </is>
      </c>
      <c r="H240" s="273" t="n"/>
      <c r="I240" s="273" t="n">
        <v>55</v>
      </c>
      <c r="J240" s="273" t="inlineStr">
        <is>
          <t>TBD</t>
        </is>
      </c>
      <c r="K240" s="273" t="inlineStr">
        <is>
          <t>TBD</t>
        </is>
      </c>
      <c r="L240" s="273" t="inlineStr">
        <is>
          <t>222 Blue\n</t>
        </is>
      </c>
      <c r="M240" s="273" t="inlineStr">
        <is>
          <t>Urgent follow-up required</t>
        </is>
      </c>
      <c r="N240" s="273" t="inlineStr">
        <is>
          <t>2025-08-06</t>
        </is>
      </c>
    </row>
    <row r="241">
      <c r="A241" s="273" t="n">
        <v>240</v>
      </c>
      <c r="B241" s="273" t="n">
        <v>106652874</v>
      </c>
      <c r="C241" s="273" t="inlineStr">
        <is>
          <t>4000V/210A-B911</t>
        </is>
      </c>
      <c r="D241" s="273" t="inlineStr">
        <is>
          <t>Overseas</t>
        </is>
      </c>
      <c r="E241" s="273" t="inlineStr">
        <is>
          <t>Sold</t>
        </is>
      </c>
      <c r="F241" s="273" t="inlineStr">
        <is>
          <t>Prospect</t>
        </is>
      </c>
      <c r="G241" s="273" t="inlineStr">
        <is>
          <t>1/5/2025</t>
        </is>
      </c>
      <c r="H241" s="273" t="n">
        <v>100</v>
      </c>
      <c r="I241" s="273" t="n">
        <v>55</v>
      </c>
      <c r="J241" s="273" t="inlineStr">
        <is>
          <t>TBD</t>
        </is>
      </c>
      <c r="K241" s="273" t="inlineStr">
        <is>
          <t>TBD</t>
        </is>
      </c>
      <c r="L241" s="273" t="inlineStr">
        <is>
          <t>the client is  professional investor . Property, stocks etc Planning to set up a small fund here in AD (ADGM)\n</t>
        </is>
      </c>
      <c r="M241" s="273" t="inlineStr">
        <is>
          <t>Post-sale follow-up</t>
        </is>
      </c>
      <c r="N241" s="273" t="inlineStr">
        <is>
          <t>2025-08-20</t>
        </is>
      </c>
    </row>
    <row r="242">
      <c r="A242" s="273" t="n">
        <v>241</v>
      </c>
      <c r="B242" s="273" t="n">
        <v>104326404</v>
      </c>
      <c r="C242" s="273" t="inlineStr">
        <is>
          <t>4200H/222A-B934</t>
        </is>
      </c>
      <c r="D242" s="273" t="inlineStr">
        <is>
          <t>Patrimony</t>
        </is>
      </c>
      <c r="E242" s="273" t="inlineStr">
        <is>
          <t>Request</t>
        </is>
      </c>
      <c r="F242" s="273" t="n"/>
      <c r="G242" s="273" t="inlineStr">
        <is>
          <t>27/2/2025</t>
        </is>
      </c>
      <c r="H242" s="273" t="n"/>
      <c r="I242" s="273" t="n">
        <v>55</v>
      </c>
      <c r="J242" s="273" t="inlineStr">
        <is>
          <t>TBD</t>
        </is>
      </c>
      <c r="K242" s="273" t="inlineStr">
        <is>
          <t>TBD</t>
        </is>
      </c>
      <c r="L242" s="273" t="inlineStr">
        <is>
          <t>The client is always between  Riyadh and Dubai and want the 222\n</t>
        </is>
      </c>
      <c r="M242" s="273" t="inlineStr">
        <is>
          <t>Urgent follow-up required</t>
        </is>
      </c>
      <c r="N242" s="273" t="inlineStr">
        <is>
          <t>2025-08-06</t>
        </is>
      </c>
    </row>
    <row r="243">
      <c r="A243" s="273" t="n">
        <v>242</v>
      </c>
      <c r="B243" s="273" t="n">
        <v>105372157</v>
      </c>
      <c r="C243" s="273" t="inlineStr">
        <is>
          <t>4600E/000R-H101</t>
        </is>
      </c>
      <c r="D243" s="273" t="inlineStr">
        <is>
          <t>Other</t>
        </is>
      </c>
      <c r="E243" s="273" t="inlineStr">
        <is>
          <t>Sold</t>
        </is>
      </c>
      <c r="F243" s="273" t="inlineStr">
        <is>
          <t>Prospect</t>
        </is>
      </c>
      <c r="G243" s="273" t="inlineStr">
        <is>
          <t>3/4/2025</t>
        </is>
      </c>
      <c r="H243" s="273" t="n">
        <v>100</v>
      </c>
      <c r="I243" s="273" t="n">
        <v>55</v>
      </c>
      <c r="J243" s="273" t="inlineStr">
        <is>
          <t>TBD</t>
        </is>
      </c>
      <c r="K243" s="273" t="inlineStr">
        <is>
          <t>TBD</t>
        </is>
      </c>
      <c r="L243" s="273" t="inlineStr">
        <is>
          <t>Fiftysix black dial \n</t>
        </is>
      </c>
      <c r="M243" s="273" t="inlineStr">
        <is>
          <t>Post-sale follow-up</t>
        </is>
      </c>
      <c r="N243" s="273" t="inlineStr">
        <is>
          <t>2025-08-20</t>
        </is>
      </c>
    </row>
    <row r="244">
      <c r="A244" s="273" t="n">
        <v>243</v>
      </c>
      <c r="B244" s="273" t="n">
        <v>101808480</v>
      </c>
      <c r="C244" s="273" t="inlineStr">
        <is>
          <t>7920V/210A-B334</t>
        </is>
      </c>
      <c r="D244" s="273" t="inlineStr">
        <is>
          <t>Other</t>
        </is>
      </c>
      <c r="E244" s="273" t="inlineStr">
        <is>
          <t>Sold</t>
        </is>
      </c>
      <c r="F244" s="273" t="inlineStr">
        <is>
          <t>Prospect</t>
        </is>
      </c>
      <c r="G244" s="273" t="inlineStr">
        <is>
          <t>5/10/2024</t>
        </is>
      </c>
      <c r="H244" s="273" t="n">
        <v>100</v>
      </c>
      <c r="I244" s="273" t="n">
        <v>55</v>
      </c>
      <c r="J244" s="273" t="inlineStr">
        <is>
          <t>TBD</t>
        </is>
      </c>
      <c r="K244" s="273" t="inlineStr">
        <is>
          <t>TBD</t>
        </is>
      </c>
      <c r="L244" s="273" t="inlineStr">
        <is>
          <t>the client stated that  hes interested in the overseas blue dial (dual time or self winding)\n</t>
        </is>
      </c>
      <c r="M244" s="273" t="inlineStr">
        <is>
          <t>Post-sale follow-up</t>
        </is>
      </c>
      <c r="N244" s="273" t="inlineStr">
        <is>
          <t>2025-08-20</t>
        </is>
      </c>
    </row>
    <row r="245">
      <c r="A245" s="273" t="n">
        <v>244</v>
      </c>
      <c r="B245" s="273" t="n">
        <v>105366145</v>
      </c>
      <c r="C245" s="273" t="inlineStr">
        <is>
          <t>7920V/210R-B965</t>
        </is>
      </c>
      <c r="D245" s="273" t="inlineStr">
        <is>
          <t>Other</t>
        </is>
      </c>
      <c r="E245" s="273" t="inlineStr">
        <is>
          <t>Sold</t>
        </is>
      </c>
      <c r="F245" s="273" t="inlineStr">
        <is>
          <t>Prospect</t>
        </is>
      </c>
      <c r="G245" s="273" t="inlineStr">
        <is>
          <t>25/4/2025</t>
        </is>
      </c>
      <c r="H245" s="273" t="n"/>
      <c r="I245" s="273" t="n">
        <v>55</v>
      </c>
      <c r="J245" s="273" t="inlineStr">
        <is>
          <t>TBD</t>
        </is>
      </c>
      <c r="K245" s="273" t="inlineStr">
        <is>
          <t>TBD</t>
        </is>
      </c>
      <c r="L245" s="273" t="inlineStr">
        <is>
          <t>The client is interested in either the bule or green dual time \n</t>
        </is>
      </c>
      <c r="M245" s="273" t="inlineStr">
        <is>
          <t>Post-sale follow-up</t>
        </is>
      </c>
      <c r="N245" s="273" t="inlineStr">
        <is>
          <t>2025-08-20</t>
        </is>
      </c>
    </row>
    <row r="246">
      <c r="A246" s="273" t="n">
        <v>245</v>
      </c>
      <c r="B246" s="273" t="n">
        <v>92406835</v>
      </c>
      <c r="C246" s="273" t="inlineStr">
        <is>
          <t>4200H/222A-B934</t>
        </is>
      </c>
      <c r="D246" s="273" t="inlineStr">
        <is>
          <t>Patrimony</t>
        </is>
      </c>
      <c r="E246" s="273" t="inlineStr">
        <is>
          <t>Request</t>
        </is>
      </c>
      <c r="F246" s="273" t="n"/>
      <c r="G246" s="273" t="inlineStr">
        <is>
          <t>25/4/2025</t>
        </is>
      </c>
      <c r="H246" s="273" t="n"/>
      <c r="I246" s="273" t="n">
        <v>55</v>
      </c>
      <c r="J246" s="273" t="inlineStr">
        <is>
          <t>TBD</t>
        </is>
      </c>
      <c r="K246" s="273" t="inlineStr">
        <is>
          <t>TBD</t>
        </is>
      </c>
      <c r="L246" s="273" t="inlineStr">
        <is>
          <t>\n</t>
        </is>
      </c>
      <c r="M246" s="273" t="inlineStr">
        <is>
          <t>Urgent follow-up required</t>
        </is>
      </c>
      <c r="N246" s="273" t="inlineStr">
        <is>
          <t>2025-08-06</t>
        </is>
      </c>
    </row>
    <row r="247">
      <c r="A247" s="273" t="n">
        <v>246</v>
      </c>
      <c r="B247" s="273" t="n">
        <v>101808480</v>
      </c>
      <c r="C247" s="273" t="inlineStr">
        <is>
          <t>4300V/220G-B946</t>
        </is>
      </c>
      <c r="D247" s="273" t="inlineStr">
        <is>
          <t>Other</t>
        </is>
      </c>
      <c r="E247" s="273" t="inlineStr">
        <is>
          <t>Sold</t>
        </is>
      </c>
      <c r="F247" s="273" t="inlineStr">
        <is>
          <t>Prospect</t>
        </is>
      </c>
      <c r="G247" s="273" t="inlineStr">
        <is>
          <t>9/10/2024</t>
        </is>
      </c>
      <c r="H247" s="273" t="n">
        <v>100</v>
      </c>
      <c r="I247" s="273" t="n">
        <v>55</v>
      </c>
      <c r="J247" s="273" t="inlineStr">
        <is>
          <t>TBD</t>
        </is>
      </c>
      <c r="K247" s="273" t="inlineStr">
        <is>
          <t>TBD</t>
        </is>
      </c>
      <c r="L247" s="273" t="inlineStr">
        <is>
          <t>another intreset for the client. for the self winding \n</t>
        </is>
      </c>
      <c r="M247" s="273" t="inlineStr">
        <is>
          <t>Post-sale follow-up</t>
        </is>
      </c>
      <c r="N247" s="273" t="inlineStr">
        <is>
          <t>2025-08-20</t>
        </is>
      </c>
    </row>
    <row r="248">
      <c r="A248" s="273" t="n">
        <v>247</v>
      </c>
      <c r="B248" s="273" t="n">
        <v>101923321</v>
      </c>
      <c r="C248" s="273" t="inlineStr">
        <is>
          <t>5520V/210R-B966</t>
        </is>
      </c>
      <c r="D248" s="273" t="inlineStr">
        <is>
          <t>Overseas</t>
        </is>
      </c>
      <c r="E248" s="273" t="inlineStr">
        <is>
          <t>Sold</t>
        </is>
      </c>
      <c r="F248" s="273" t="inlineStr">
        <is>
          <t>Prospect</t>
        </is>
      </c>
      <c r="G248" s="273" t="inlineStr">
        <is>
          <t>17/10/2024</t>
        </is>
      </c>
      <c r="H248" s="273" t="n"/>
      <c r="I248" s="273" t="n">
        <v>55</v>
      </c>
      <c r="J248" s="273" t="inlineStr">
        <is>
          <t>TBD</t>
        </is>
      </c>
      <c r="K248" s="273" t="inlineStr">
        <is>
          <t>TBD</t>
        </is>
      </c>
      <c r="L248" s="273" t="inlineStr">
        <is>
          <t>\\\\\nInterested in buying the **Overseas Chronograph** \n\n5520V/210R-B966  as a birthday gift for her husband in November. She’s comparing the 41mm 7920V/210R-B965 | and 42.5mm models, as she’s concerned about the size difference. \n</t>
        </is>
      </c>
      <c r="M248" s="273" t="inlineStr">
        <is>
          <t>Post-sale follow-up</t>
        </is>
      </c>
      <c r="N248" s="273" t="inlineStr">
        <is>
          <t>2025-08-20</t>
        </is>
      </c>
    </row>
    <row r="249">
      <c r="A249" s="273" t="n">
        <v>248</v>
      </c>
      <c r="B249" s="273" t="n">
        <v>101220865</v>
      </c>
      <c r="C249" s="273" t="inlineStr">
        <is>
          <t>1225V/200A-B590</t>
        </is>
      </c>
      <c r="D249" s="273" t="inlineStr">
        <is>
          <t>Other</t>
        </is>
      </c>
      <c r="E249" s="273" t="inlineStr">
        <is>
          <t>Cancelled</t>
        </is>
      </c>
      <c r="F249" s="273" t="inlineStr">
        <is>
          <t>Prospect</t>
        </is>
      </c>
      <c r="G249" s="273" t="inlineStr">
        <is>
          <t>23/8/2024</t>
        </is>
      </c>
      <c r="H249" s="273" t="n"/>
      <c r="I249" s="273" t="n">
        <v>45</v>
      </c>
      <c r="J249" s="273" t="inlineStr">
        <is>
          <t>TBD</t>
        </is>
      </c>
      <c r="K249" s="273" t="inlineStr">
        <is>
          <t>TBD</t>
        </is>
      </c>
      <c r="L249" s="273" t="inlineStr">
        <is>
          <t>The client is very interested in the OVERSEAS STEEL \n</t>
        </is>
      </c>
      <c r="M249" s="273" t="inlineStr">
        <is>
          <t>Review status</t>
        </is>
      </c>
      <c r="N249" s="273" t="inlineStr">
        <is>
          <t>2025-08-20</t>
        </is>
      </c>
    </row>
    <row r="250">
      <c r="A250" s="273" t="n">
        <v>249</v>
      </c>
      <c r="B250" s="273" t="n">
        <v>100788004</v>
      </c>
      <c r="C250" s="273" t="inlineStr">
        <is>
          <t>6000V/110A-B544</t>
        </is>
      </c>
      <c r="D250" s="273" t="inlineStr">
        <is>
          <t>Other</t>
        </is>
      </c>
      <c r="E250" s="273" t="inlineStr">
        <is>
          <t>Cancelled</t>
        </is>
      </c>
      <c r="F250" s="273" t="inlineStr">
        <is>
          <t>Prospect</t>
        </is>
      </c>
      <c r="G250" s="273" t="inlineStr">
        <is>
          <t>20/7/2024</t>
        </is>
      </c>
      <c r="H250" s="273" t="n"/>
      <c r="I250" s="273" t="n">
        <v>45</v>
      </c>
      <c r="J250" s="273" t="inlineStr">
        <is>
          <t>TBD</t>
        </is>
      </c>
      <c r="K250" s="273" t="inlineStr">
        <is>
          <t>TBD</t>
        </is>
      </c>
      <c r="L250" s="273" t="inlineStr">
        <is>
          <t>The client would like to purchase one of the 2 overseas , either [Overseas tourbillon](https://richemont.lightning.force.com/lightning/r/01t1i000003IYweAAG/view) or the Overseas self-winding \n\n\n</t>
        </is>
      </c>
      <c r="M250" s="273" t="inlineStr">
        <is>
          <t>Review status</t>
        </is>
      </c>
      <c r="N250" s="273" t="inlineStr">
        <is>
          <t>2025-08-20</t>
        </is>
      </c>
    </row>
    <row r="251">
      <c r="A251" s="273" t="n">
        <v>250</v>
      </c>
      <c r="B251" s="273" t="n">
        <v>101876625</v>
      </c>
      <c r="C251" s="273" t="inlineStr">
        <is>
          <t>4520V/210A-B128</t>
        </is>
      </c>
      <c r="D251" s="273" t="inlineStr">
        <is>
          <t>Overseas</t>
        </is>
      </c>
      <c r="E251" s="273" t="inlineStr">
        <is>
          <t>Cancelled</t>
        </is>
      </c>
      <c r="F251" s="273" t="inlineStr">
        <is>
          <t>Prospect</t>
        </is>
      </c>
      <c r="G251" s="273" t="inlineStr">
        <is>
          <t>10/10/2024</t>
        </is>
      </c>
      <c r="H251" s="273" t="n">
        <v>100</v>
      </c>
      <c r="I251" s="273" t="n">
        <v>45</v>
      </c>
      <c r="J251" s="273" t="inlineStr">
        <is>
          <t>TBD</t>
        </is>
      </c>
      <c r="K251" s="273" t="inlineStr">
        <is>
          <t>TBD</t>
        </is>
      </c>
      <c r="L251" s="273" t="inlineStr">
        <is>
          <t>the client is intersted in the overseas \n</t>
        </is>
      </c>
      <c r="M251" s="273" t="inlineStr">
        <is>
          <t>Review status</t>
        </is>
      </c>
      <c r="N251" s="273" t="inlineStr">
        <is>
          <t>2025-08-20</t>
        </is>
      </c>
    </row>
    <row r="252">
      <c r="A252" s="273" t="n">
        <v>251</v>
      </c>
      <c r="B252" s="273" t="n">
        <v>102113813</v>
      </c>
      <c r="C252" s="273" t="inlineStr">
        <is>
          <t>6000V/210T-H032</t>
        </is>
      </c>
      <c r="D252" s="273" t="inlineStr">
        <is>
          <t>Other</t>
        </is>
      </c>
      <c r="E252" s="273" t="inlineStr">
        <is>
          <t>Cancelled</t>
        </is>
      </c>
      <c r="F252" s="273" t="inlineStr">
        <is>
          <t>Prospect</t>
        </is>
      </c>
      <c r="G252" s="273" t="inlineStr">
        <is>
          <t>30/10/2024</t>
        </is>
      </c>
      <c r="H252" s="273" t="n"/>
      <c r="I252" s="273" t="n">
        <v>45</v>
      </c>
      <c r="J252" s="273" t="inlineStr">
        <is>
          <t>TBD</t>
        </is>
      </c>
      <c r="K252" s="273" t="inlineStr">
        <is>
          <t>TBD</t>
        </is>
      </c>
      <c r="L252" s="273" t="inlineStr">
        <is>
          <t>the client would like to purchases \n\noverseas tourbillon\n</t>
        </is>
      </c>
      <c r="M252" s="273" t="inlineStr">
        <is>
          <t>Review status</t>
        </is>
      </c>
      <c r="N252" s="273" t="inlineStr">
        <is>
          <t>2025-08-20</t>
        </is>
      </c>
    </row>
    <row r="253">
      <c r="A253" s="273" t="n">
        <v>252</v>
      </c>
      <c r="B253" s="273" t="n">
        <v>102176002</v>
      </c>
      <c r="C253" s="273" t="inlineStr">
        <is>
          <t>4520V/210A-B128</t>
        </is>
      </c>
      <c r="D253" s="273" t="inlineStr">
        <is>
          <t>Overseas</t>
        </is>
      </c>
      <c r="E253" s="273" t="inlineStr">
        <is>
          <t>Cancelled</t>
        </is>
      </c>
      <c r="F253" s="273" t="inlineStr">
        <is>
          <t>Prospect</t>
        </is>
      </c>
      <c r="G253" s="273" t="inlineStr">
        <is>
          <t>31/10/2024</t>
        </is>
      </c>
      <c r="H253" s="273" t="n"/>
      <c r="I253" s="273" t="n">
        <v>45</v>
      </c>
      <c r="J253" s="273" t="inlineStr">
        <is>
          <t>TBD</t>
        </is>
      </c>
      <c r="K253" s="273" t="inlineStr">
        <is>
          <t>TBD</t>
        </is>
      </c>
      <c r="L253" s="273" t="inlineStr">
        <is>
          <t>The client is very interested in the overseas blue bay tower.\n</t>
        </is>
      </c>
      <c r="M253" s="273" t="inlineStr">
        <is>
          <t>Review status</t>
        </is>
      </c>
      <c r="N253" s="273" t="inlineStr">
        <is>
          <t>2025-08-20</t>
        </is>
      </c>
    </row>
    <row r="254">
      <c r="A254" s="273" t="n">
        <v>253</v>
      </c>
      <c r="B254" s="273" t="n">
        <v>101923321</v>
      </c>
      <c r="C254" s="273" t="inlineStr">
        <is>
          <t>7920V/210R-B965</t>
        </is>
      </c>
      <c r="D254" s="273" t="inlineStr">
        <is>
          <t>Other</t>
        </is>
      </c>
      <c r="E254" s="273" t="inlineStr">
        <is>
          <t>Cancelled</t>
        </is>
      </c>
      <c r="F254" s="273" t="inlineStr">
        <is>
          <t>Prospect</t>
        </is>
      </c>
      <c r="G254" s="273" t="inlineStr">
        <is>
          <t>17/10/2024</t>
        </is>
      </c>
      <c r="H254" s="273" t="n"/>
      <c r="I254" s="273" t="n">
        <v>45</v>
      </c>
      <c r="J254" s="273" t="inlineStr">
        <is>
          <t>TBD</t>
        </is>
      </c>
      <c r="K254" s="273" t="inlineStr">
        <is>
          <t>TBD</t>
        </is>
      </c>
      <c r="L254" s="273" t="inlineStr">
        <is>
          <t>The client will be taken either the dual time or the \n\nOverseas chronograph\n</t>
        </is>
      </c>
      <c r="M254" s="273" t="inlineStr">
        <is>
          <t>Review status</t>
        </is>
      </c>
      <c r="N254" s="273" t="inlineStr">
        <is>
          <t>2025-08-20</t>
        </is>
      </c>
    </row>
    <row r="255">
      <c r="A255" s="273" t="n">
        <v>254</v>
      </c>
      <c r="B255" s="273" t="n">
        <v>101808480</v>
      </c>
      <c r="C255" s="273" t="inlineStr">
        <is>
          <t>4520V/210A-B128</t>
        </is>
      </c>
      <c r="D255" s="273" t="inlineStr">
        <is>
          <t>Overseas</t>
        </is>
      </c>
      <c r="E255" s="273" t="inlineStr">
        <is>
          <t>Cancelled</t>
        </is>
      </c>
      <c r="F255" s="273" t="inlineStr">
        <is>
          <t>Prospect</t>
        </is>
      </c>
      <c r="G255" s="273" t="inlineStr">
        <is>
          <t>9/10/2024</t>
        </is>
      </c>
      <c r="H255" s="273" t="n">
        <v>100</v>
      </c>
      <c r="I255" s="273" t="n">
        <v>45</v>
      </c>
      <c r="J255" s="273" t="inlineStr">
        <is>
          <t>TBD</t>
        </is>
      </c>
      <c r="K255" s="273" t="inlineStr">
        <is>
          <t>TBD</t>
        </is>
      </c>
      <c r="L255" s="273" t="inlineStr">
        <is>
          <t>the client is intrested in either the self winding or the daul time \n</t>
        </is>
      </c>
      <c r="M255" s="273" t="inlineStr">
        <is>
          <t>Review status</t>
        </is>
      </c>
      <c r="N255" s="273" t="inlineStr">
        <is>
          <t>2025-08-20</t>
        </is>
      </c>
    </row>
    <row r="256">
      <c r="A256" s="273" t="n">
        <v>255</v>
      </c>
      <c r="B256" s="273" t="n">
        <v>101952731</v>
      </c>
      <c r="C256" s="273" t="inlineStr">
        <is>
          <t>82035/000R-9359</t>
        </is>
      </c>
      <c r="D256" s="273" t="inlineStr">
        <is>
          <t>Other</t>
        </is>
      </c>
      <c r="E256" s="273" t="inlineStr">
        <is>
          <t>Cancelled</t>
        </is>
      </c>
      <c r="F256" s="273" t="inlineStr">
        <is>
          <t>Prospect</t>
        </is>
      </c>
      <c r="G256" s="273" t="inlineStr">
        <is>
          <t>17/10/2024</t>
        </is>
      </c>
      <c r="H256" s="273" t="n"/>
      <c r="I256" s="273" t="n">
        <v>45</v>
      </c>
      <c r="J256" s="273" t="inlineStr">
        <is>
          <t>TBD</t>
        </is>
      </c>
      <c r="K256" s="273" t="inlineStr">
        <is>
          <t>TBD</t>
        </is>
      </c>
      <c r="L256" s="273" t="inlineStr">
        <is>
          <t>Waiting for the client confirmation when he will come to UAE\n</t>
        </is>
      </c>
      <c r="M256" s="273" t="inlineStr">
        <is>
          <t>Review status</t>
        </is>
      </c>
      <c r="N256" s="273" t="inlineStr">
        <is>
          <t>2025-08-20</t>
        </is>
      </c>
    </row>
    <row r="257">
      <c r="A257" s="273" t="n">
        <v>256</v>
      </c>
      <c r="B257" s="273" t="n">
        <v>101876625</v>
      </c>
      <c r="C257" s="273" t="inlineStr">
        <is>
          <t>4520V/210A-B126</t>
        </is>
      </c>
      <c r="D257" s="273" t="inlineStr">
        <is>
          <t>Overseas</t>
        </is>
      </c>
      <c r="E257" s="273" t="inlineStr">
        <is>
          <t>Cancelled</t>
        </is>
      </c>
      <c r="F257" s="273" t="inlineStr">
        <is>
          <t>Prospect</t>
        </is>
      </c>
      <c r="G257" s="273" t="inlineStr">
        <is>
          <t>9/10/2024</t>
        </is>
      </c>
      <c r="H257" s="273" t="n">
        <v>100</v>
      </c>
      <c r="I257" s="273" t="n">
        <v>45</v>
      </c>
      <c r="J257" s="273" t="inlineStr">
        <is>
          <t>TBD</t>
        </is>
      </c>
      <c r="K257" s="273" t="inlineStr">
        <is>
          <t>TBD</t>
        </is>
      </c>
      <c r="L257" s="273" t="n"/>
      <c r="M257" s="273" t="inlineStr">
        <is>
          <t>Review status</t>
        </is>
      </c>
      <c r="N257" s="273" t="inlineStr">
        <is>
          <t>2025-08-20</t>
        </is>
      </c>
    </row>
    <row r="258">
      <c r="A258" s="273" t="n">
        <v>257</v>
      </c>
      <c r="B258" s="273" t="n">
        <v>103645785</v>
      </c>
      <c r="C258" s="273" t="inlineStr">
        <is>
          <t>4115U/000G-B908</t>
        </is>
      </c>
      <c r="D258" s="273" t="inlineStr">
        <is>
          <t>Other</t>
        </is>
      </c>
      <c r="E258" s="273" t="inlineStr">
        <is>
          <t>Sold</t>
        </is>
      </c>
      <c r="F258" s="273" t="n"/>
      <c r="G258" s="273" t="inlineStr">
        <is>
          <t>29/4/2025</t>
        </is>
      </c>
      <c r="H258" s="273" t="n"/>
      <c r="I258" s="273" t="n">
        <v>35</v>
      </c>
      <c r="J258" s="273" t="inlineStr">
        <is>
          <t>TBD</t>
        </is>
      </c>
      <c r="K258" s="273" t="inlineStr">
        <is>
          <t>TBD</t>
        </is>
      </c>
      <c r="L258" s="273" t="inlineStr">
        <is>
          <t>the client already a vc collecter, already self winding 2nd gen, and the dual time black \n</t>
        </is>
      </c>
      <c r="M258" s="273" t="inlineStr">
        <is>
          <t>Post-sale follow-up</t>
        </is>
      </c>
      <c r="N258" s="273" t="inlineStr">
        <is>
          <t>2025-08-20</t>
        </is>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L4"/>
  <sheetViews>
    <sheetView workbookViewId="0">
      <selection activeCell="C2" sqref="C2"/>
    </sheetView>
  </sheetViews>
  <sheetFormatPr baseColWidth="8" defaultRowHeight="14.4"/>
  <cols>
    <col width="10" customWidth="1" style="287" min="1" max="1"/>
    <col width="20" customWidth="1" style="287" min="2" max="2"/>
    <col width="15" customWidth="1" style="287" min="3" max="3"/>
    <col width="20" customWidth="1" style="287" min="4" max="4"/>
    <col width="12" customWidth="1" style="287" min="5" max="6"/>
    <col width="8" customWidth="1" style="287" min="7" max="7"/>
    <col width="12" customWidth="1" style="287" min="8" max="8"/>
    <col width="15" customWidth="1" style="287" min="9" max="9"/>
    <col width="12" customWidth="1" style="287" min="10" max="10"/>
    <col width="20" customWidth="1" style="287" min="11" max="11"/>
    <col width="10" customWidth="1" style="287" min="12" max="12"/>
  </cols>
  <sheetData>
    <row r="1" ht="15.6" customHeight="1" s="287">
      <c r="A1" s="229" t="inlineStr">
        <is>
          <t>Lead ID</t>
        </is>
      </c>
      <c r="B1" s="229" t="inlineStr">
        <is>
          <t>Client Name</t>
        </is>
      </c>
      <c r="C1" s="229" t="inlineStr">
        <is>
          <t>Contact</t>
        </is>
      </c>
      <c r="D1" s="229" t="inlineStr">
        <is>
          <t>Interest</t>
        </is>
      </c>
      <c r="E1" s="229" t="inlineStr">
        <is>
          <t>Source</t>
        </is>
      </c>
      <c r="F1" s="229" t="inlineStr">
        <is>
          <t>Date Shared</t>
        </is>
      </c>
      <c r="G1" s="229" t="inlineStr">
        <is>
          <t>Days Since</t>
        </is>
      </c>
      <c r="H1" s="229" t="inlineStr">
        <is>
          <t>Status</t>
        </is>
      </c>
      <c r="I1" s="229" t="inlineStr">
        <is>
          <t>Assigned SA</t>
        </is>
      </c>
      <c r="J1" s="229" t="inlineStr">
        <is>
          <t>Last Update</t>
        </is>
      </c>
      <c r="K1" s="229" t="inlineStr">
        <is>
          <t>Next Action</t>
        </is>
      </c>
      <c r="L1" s="229" t="inlineStr">
        <is>
          <t>Priority</t>
        </is>
      </c>
    </row>
    <row r="2">
      <c r="A2" t="inlineStr">
        <is>
          <t>CRC Tracking sheet for appointment inquiries</t>
        </is>
      </c>
    </row>
    <row r="4">
      <c r="B4" t="inlineStr">
        <is>
          <t>Date</t>
        </is>
      </c>
      <c r="C4" t="inlineStr">
        <is>
          <t>Salutation</t>
        </is>
      </c>
      <c r="D4" t="inlineStr">
        <is>
          <t>First Name</t>
        </is>
      </c>
      <c r="E4" t="inlineStr">
        <is>
          <t>Last Name</t>
        </is>
      </c>
      <c r="F4" t="inlineStr">
        <is>
          <t>Phone number</t>
        </is>
      </c>
      <c r="G4" t="inlineStr">
        <is>
          <t>Email</t>
        </is>
      </c>
      <c r="H4" t="inlineStr">
        <is>
          <t>Client ID</t>
        </is>
      </c>
      <c r="I4" t="inlineStr">
        <is>
          <t>Interested piece</t>
        </is>
      </c>
      <c r="J4" t="inlineStr">
        <is>
          <t>Comments</t>
        </is>
      </c>
      <c r="K4" t="inlineStr">
        <is>
          <t>Budget?</t>
        </is>
      </c>
    </row>
  </sheetData>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J23"/>
  <sheetViews>
    <sheetView workbookViewId="0">
      <selection activeCell="A1" sqref="A1"/>
    </sheetView>
  </sheetViews>
  <sheetFormatPr baseColWidth="8" defaultRowHeight="14.4"/>
  <sheetData>
    <row r="1" ht="21" customHeight="1" s="287">
      <c r="A1" s="230" t="inlineStr">
        <is>
          <t>WHATSAPP CONVERSATION PROCESSOR</t>
        </is>
      </c>
    </row>
    <row r="3" ht="15.6" customHeight="1" s="287">
      <c r="A3" s="231" t="inlineStr">
        <is>
          <t>Paste WhatsApp conversation here:</t>
        </is>
      </c>
    </row>
    <row r="4" ht="15.6" customHeight="1" s="287">
      <c r="A4" s="293" t="inlineStr">
        <is>
          <t>Paste your WhatsApp conversation text here...</t>
        </is>
      </c>
      <c r="J4" s="232" t="inlineStr">
        <is>
          <t>ANALYZE CONVERSATION</t>
        </is>
      </c>
    </row>
    <row r="5"/>
    <row r="6"/>
    <row r="7"/>
    <row r="8"/>
    <row r="9"/>
    <row r="10"/>
    <row r="11"/>
    <row r="12"/>
    <row r="13"/>
    <row r="14"/>
    <row r="15"/>
    <row r="16"/>
    <row r="17"/>
    <row r="18"/>
    <row r="19"/>
    <row r="20"/>
    <row r="22" ht="15.6" customHeight="1" s="287">
      <c r="A22" s="231" t="inlineStr">
        <is>
          <t>ANALYSIS RESULTS:</t>
        </is>
      </c>
    </row>
    <row r="23">
      <c r="A23" s="233" t="inlineStr">
        <is>
          <t>Client ID</t>
        </is>
      </c>
      <c r="B23" s="233" t="inlineStr">
        <is>
          <t>Client Name</t>
        </is>
      </c>
      <c r="C23" s="233" t="inlineStr">
        <is>
          <t>Phone Number</t>
        </is>
      </c>
      <c r="D23" s="233" t="inlineStr">
        <is>
          <t>Watch Interest</t>
        </is>
      </c>
      <c r="E23" s="233" t="inlineStr">
        <is>
          <t>Sentiment</t>
        </is>
      </c>
      <c r="F23" s="233" t="inlineStr">
        <is>
          <t>Key Points</t>
        </is>
      </c>
      <c r="G23" s="233" t="inlineStr">
        <is>
          <t>Objections</t>
        </is>
      </c>
      <c r="H23" s="233" t="inlineStr">
        <is>
          <t>Next Action</t>
        </is>
      </c>
      <c r="I23" s="233" t="inlineStr">
        <is>
          <t>Follow-Up Date</t>
        </is>
      </c>
    </row>
  </sheetData>
  <mergeCells count="1">
    <mergeCell ref="A4:H20"/>
  </mergeCell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L74"/>
  <sheetViews>
    <sheetView workbookViewId="0">
      <selection activeCell="N1" sqref="N1"/>
    </sheetView>
  </sheetViews>
  <sheetFormatPr baseColWidth="8" defaultRowHeight="14.4"/>
  <cols>
    <col width="15" customWidth="1" style="287" min="1" max="1"/>
    <col width="12" customWidth="1" style="287" min="2" max="2"/>
    <col width="15" customWidth="1" style="287" min="3" max="3"/>
    <col width="12" customWidth="1" style="287" min="4" max="4"/>
    <col width="15" customWidth="1" style="287" min="5" max="5"/>
    <col width="12" customWidth="1" style="287" min="6" max="6"/>
    <col width="15" customWidth="1" style="287" min="7" max="7"/>
    <col width="12" customWidth="1" style="287" min="8" max="8"/>
    <col width="15" customWidth="1" style="287" min="9" max="9"/>
    <col width="12" customWidth="1" style="287" min="10" max="10"/>
    <col width="15" customWidth="1" style="287" min="11" max="11"/>
    <col width="12" customWidth="1" style="287" min="12" max="12"/>
  </cols>
  <sheetData>
    <row r="1" ht="30" customHeight="1" s="287">
      <c r="A1" s="301" t="inlineStr">
        <is>
          <t>MAAZ WARROOM - EXECUTIVE DASHBOARD</t>
        </is>
      </c>
    </row>
    <row r="2" ht="19.95" customHeight="1" s="287">
      <c r="A2" s="302" t="inlineStr">
        <is>
          <t>Real-time Sales Intelligence | Last Updated: 2025-08-06 15:33:16</t>
        </is>
      </c>
    </row>
    <row r="4" ht="18" customHeight="1" s="287">
      <c r="A4" s="236" t="inlineStr">
        <is>
          <t>KEY PERFORMANCE INDICATORS</t>
        </is>
      </c>
    </row>
    <row r="6" ht="25.05" customHeight="1" s="287">
      <c r="A6" s="295" t="inlineStr">
        <is>
          <t>Total Active Clients</t>
        </is>
      </c>
      <c r="C6" s="295" t="inlineStr">
        <is>
          <t>High Priority</t>
        </is>
      </c>
      <c r="E6" s="295" t="inlineStr">
        <is>
          <t>Pre-orders</t>
        </is>
      </c>
      <c r="G6" s="295" t="inlineStr">
        <is>
          <t>This Week</t>
        </is>
      </c>
      <c r="I6" s="295" t="inlineStr">
        <is>
          <t>Conversion Rate</t>
        </is>
      </c>
      <c r="K6" s="295" t="inlineStr">
        <is>
          <t>Avg Response Time</t>
        </is>
      </c>
    </row>
    <row r="7" ht="25.05" customHeight="1" s="287">
      <c r="A7" s="297" t="n">
        <v>255</v>
      </c>
      <c r="C7" s="296" t="n">
        <v>21</v>
      </c>
      <c r="E7" s="299" t="n">
        <v>0</v>
      </c>
      <c r="G7" s="298" t="n">
        <v>0</v>
      </c>
      <c r="I7" s="300" t="inlineStr">
        <is>
          <t>3.1%</t>
        </is>
      </c>
      <c r="K7" s="294" t="inlineStr">
        <is>
          <t>2.3 days</t>
        </is>
      </c>
    </row>
    <row r="10" ht="15.6" customHeight="1" s="287">
      <c r="A10" s="231" t="inlineStr">
        <is>
          <t>Priority Distribution</t>
        </is>
      </c>
      <c r="H10" s="231" t="inlineStr">
        <is>
          <t>Weekly Request Trend</t>
        </is>
      </c>
    </row>
    <row r="11">
      <c r="A11" t="inlineStr">
        <is>
          <t>Priority Level</t>
        </is>
      </c>
      <c r="B11" t="inlineStr">
        <is>
          <t>Count</t>
        </is>
      </c>
      <c r="H11" t="inlineStr">
        <is>
          <t>Week</t>
        </is>
      </c>
      <c r="I11" t="inlineStr">
        <is>
          <t>Requests</t>
        </is>
      </c>
    </row>
    <row r="12">
      <c r="A12" t="inlineStr">
        <is>
          <t>High (80+)</t>
        </is>
      </c>
      <c r="B12" t="n">
        <v>21</v>
      </c>
      <c r="H12" t="inlineStr">
        <is>
          <t>2023-08-07</t>
        </is>
      </c>
      <c r="I12" t="n">
        <v>1</v>
      </c>
    </row>
    <row r="13">
      <c r="A13" t="inlineStr">
        <is>
          <t>Medium (60-79)</t>
        </is>
      </c>
      <c r="B13" t="n">
        <v>196</v>
      </c>
      <c r="H13" t="inlineStr">
        <is>
          <t>2023-10-16</t>
        </is>
      </c>
      <c r="I13" t="n">
        <v>1</v>
      </c>
    </row>
    <row r="14">
      <c r="A14" t="inlineStr">
        <is>
          <t>Low (&lt;60)</t>
        </is>
      </c>
      <c r="B14" t="n">
        <v>38</v>
      </c>
      <c r="H14" t="inlineStr">
        <is>
          <t>2023-10-23</t>
        </is>
      </c>
      <c r="I14" t="n">
        <v>1</v>
      </c>
    </row>
    <row r="15">
      <c r="H15" t="inlineStr">
        <is>
          <t>2023-11-13</t>
        </is>
      </c>
      <c r="I15" t="n">
        <v>1</v>
      </c>
    </row>
    <row r="16">
      <c r="H16" t="inlineStr">
        <is>
          <t>2023-11-20</t>
        </is>
      </c>
      <c r="I16" t="n">
        <v>1</v>
      </c>
    </row>
    <row r="17">
      <c r="H17" t="inlineStr">
        <is>
          <t>2023-12-11</t>
        </is>
      </c>
      <c r="I17" t="n">
        <v>1</v>
      </c>
    </row>
    <row r="18">
      <c r="H18" t="inlineStr">
        <is>
          <t>2024-01-01</t>
        </is>
      </c>
      <c r="I18" t="n">
        <v>1</v>
      </c>
    </row>
    <row r="19">
      <c r="H19" t="inlineStr">
        <is>
          <t>2024-01-15</t>
        </is>
      </c>
      <c r="I19" t="n">
        <v>1</v>
      </c>
    </row>
    <row r="20" ht="15.6" customHeight="1" s="287">
      <c r="A20" s="231" t="inlineStr">
        <is>
          <t>Collection Performance</t>
        </is>
      </c>
      <c r="H20" t="inlineStr">
        <is>
          <t>2024-02-05</t>
        </is>
      </c>
      <c r="I20" t="n">
        <v>3</v>
      </c>
    </row>
    <row r="21">
      <c r="A21" t="inlineStr">
        <is>
          <t>Collection</t>
        </is>
      </c>
      <c r="B21" t="inlineStr">
        <is>
          <t>Requests</t>
        </is>
      </c>
      <c r="H21" t="inlineStr">
        <is>
          <t>2024-02-12</t>
        </is>
      </c>
      <c r="I21" t="n">
        <v>1</v>
      </c>
    </row>
    <row r="22">
      <c r="A22" t="inlineStr">
        <is>
          <t>Patrimony</t>
        </is>
      </c>
      <c r="B22" t="n">
        <v>104</v>
      </c>
      <c r="H22" t="inlineStr">
        <is>
          <t>2024-02-19</t>
        </is>
      </c>
      <c r="I22" t="n">
        <v>1</v>
      </c>
    </row>
    <row r="23">
      <c r="A23" t="inlineStr">
        <is>
          <t>Other</t>
        </is>
      </c>
      <c r="B23" t="n">
        <v>81</v>
      </c>
      <c r="H23" t="inlineStr">
        <is>
          <t>2024-04-08</t>
        </is>
      </c>
      <c r="I23" t="n">
        <v>3</v>
      </c>
    </row>
    <row r="24">
      <c r="A24" t="inlineStr">
        <is>
          <t>Overseas</t>
        </is>
      </c>
      <c r="B24" t="n">
        <v>69</v>
      </c>
      <c r="H24" t="inlineStr">
        <is>
          <t>2024-05-06</t>
        </is>
      </c>
      <c r="I24" t="n">
        <v>5</v>
      </c>
    </row>
    <row r="25">
      <c r="A25" t="inlineStr">
        <is>
          <t>Traditionnelle</t>
        </is>
      </c>
      <c r="B25" t="n">
        <v>1</v>
      </c>
      <c r="H25" t="inlineStr">
        <is>
          <t>2024-07-01</t>
        </is>
      </c>
      <c r="I25" t="n">
        <v>1</v>
      </c>
    </row>
    <row r="26">
      <c r="H26" t="inlineStr">
        <is>
          <t>2024-07-08</t>
        </is>
      </c>
      <c r="I26" t="n">
        <v>1</v>
      </c>
    </row>
    <row r="27">
      <c r="H27" t="inlineStr">
        <is>
          <t>2024-07-15</t>
        </is>
      </c>
      <c r="I27" t="n">
        <v>4</v>
      </c>
    </row>
    <row r="28">
      <c r="H28" t="inlineStr">
        <is>
          <t>2024-07-22</t>
        </is>
      </c>
      <c r="I28" t="n">
        <v>4</v>
      </c>
    </row>
    <row r="29">
      <c r="H29" t="inlineStr">
        <is>
          <t>2024-08-05</t>
        </is>
      </c>
      <c r="I29" t="n">
        <v>2</v>
      </c>
    </row>
    <row r="30" ht="18" customHeight="1" s="287">
      <c r="A30" s="236" t="inlineStr">
        <is>
          <t>BOUTIQUE LEAD PERFORMANCE</t>
        </is>
      </c>
      <c r="H30" t="inlineStr">
        <is>
          <t>2024-08-12</t>
        </is>
      </c>
      <c r="I30" t="n">
        <v>2</v>
      </c>
    </row>
    <row r="31">
      <c r="H31" t="inlineStr">
        <is>
          <t>2024-08-19</t>
        </is>
      </c>
      <c r="I31" t="n">
        <v>2</v>
      </c>
    </row>
    <row r="32" ht="25.05" customHeight="1" s="287">
      <c r="A32" s="237" t="inlineStr">
        <is>
          <t>Total Leads Shared</t>
        </is>
      </c>
      <c r="C32" s="237" t="inlineStr">
        <is>
          <t>Active Leads</t>
        </is>
      </c>
      <c r="E32" s="237" t="inlineStr">
        <is>
          <t>Needs Follow-up</t>
        </is>
      </c>
      <c r="G32" s="237" t="inlineStr">
        <is>
          <t>Overdue</t>
        </is>
      </c>
      <c r="H32" t="inlineStr">
        <is>
          <t>2024-08-26</t>
        </is>
      </c>
      <c r="I32" s="237" t="inlineStr">
        <is>
          <t>Conversion Rate</t>
        </is>
      </c>
      <c r="K32" s="237" t="inlineStr">
        <is>
          <t>Avg Response Time</t>
        </is>
      </c>
    </row>
    <row r="33" ht="25.05" customHeight="1" s="287">
      <c r="A33" s="238" t="n">
        <v>45</v>
      </c>
      <c r="C33" s="239" t="n">
        <v>28</v>
      </c>
      <c r="E33" s="240" t="n">
        <v>12</v>
      </c>
      <c r="G33" s="241" t="n">
        <v>5</v>
      </c>
      <c r="H33" t="inlineStr">
        <is>
          <t>2024-09-09</t>
        </is>
      </c>
      <c r="I33" s="238" t="inlineStr">
        <is>
          <t>18.2%</t>
        </is>
      </c>
      <c r="K33" s="238" t="inlineStr">
        <is>
          <t>3.1 days</t>
        </is>
      </c>
    </row>
    <row r="34">
      <c r="H34" t="inlineStr">
        <is>
          <t>2024-09-16</t>
        </is>
      </c>
      <c r="I34" t="n">
        <v>1</v>
      </c>
    </row>
    <row r="35">
      <c r="H35" t="inlineStr">
        <is>
          <t>2024-09-23</t>
        </is>
      </c>
      <c r="I35" t="n">
        <v>2</v>
      </c>
    </row>
    <row r="36">
      <c r="H36" t="inlineStr">
        <is>
          <t>2024-10-07</t>
        </is>
      </c>
      <c r="I36" t="n">
        <v>10</v>
      </c>
    </row>
    <row r="37">
      <c r="H37" t="inlineStr">
        <is>
          <t>2024-10-14</t>
        </is>
      </c>
      <c r="I37" t="n">
        <v>5</v>
      </c>
    </row>
    <row r="38">
      <c r="H38" t="inlineStr">
        <is>
          <t>2024-10-21</t>
        </is>
      </c>
      <c r="I38" t="n">
        <v>1</v>
      </c>
    </row>
    <row r="39">
      <c r="H39" t="inlineStr">
        <is>
          <t>2024-10-28</t>
        </is>
      </c>
      <c r="I39" t="n">
        <v>3</v>
      </c>
    </row>
    <row r="40">
      <c r="H40" t="inlineStr">
        <is>
          <t>2024-11-11</t>
        </is>
      </c>
      <c r="I40" t="n">
        <v>4</v>
      </c>
    </row>
    <row r="41">
      <c r="H41" t="inlineStr">
        <is>
          <t>2024-11-18</t>
        </is>
      </c>
      <c r="I41" t="n">
        <v>3</v>
      </c>
    </row>
    <row r="42">
      <c r="H42" t="inlineStr">
        <is>
          <t>2024-12-16</t>
        </is>
      </c>
      <c r="I42" t="n">
        <v>4</v>
      </c>
    </row>
    <row r="43">
      <c r="H43" t="inlineStr">
        <is>
          <t>2024-12-23</t>
        </is>
      </c>
      <c r="I43" t="n">
        <v>1</v>
      </c>
    </row>
    <row r="44">
      <c r="H44" t="inlineStr">
        <is>
          <t>2024-12-30</t>
        </is>
      </c>
      <c r="I44" t="n">
        <v>15</v>
      </c>
    </row>
    <row r="45">
      <c r="H45" t="inlineStr">
        <is>
          <t>2025-01-06</t>
        </is>
      </c>
      <c r="I45" t="n">
        <v>10</v>
      </c>
    </row>
    <row r="46">
      <c r="H46" t="inlineStr">
        <is>
          <t>2025-01-13</t>
        </is>
      </c>
      <c r="I46" t="n">
        <v>46</v>
      </c>
    </row>
    <row r="47">
      <c r="H47" t="inlineStr">
        <is>
          <t>2025-01-20</t>
        </is>
      </c>
      <c r="I47" t="n">
        <v>7</v>
      </c>
    </row>
    <row r="48">
      <c r="H48" t="inlineStr">
        <is>
          <t>2025-01-27</t>
        </is>
      </c>
      <c r="I48" t="n">
        <v>9</v>
      </c>
    </row>
    <row r="49">
      <c r="H49" t="inlineStr">
        <is>
          <t>2025-02-03</t>
        </is>
      </c>
      <c r="I49" t="n">
        <v>1</v>
      </c>
    </row>
    <row r="50">
      <c r="H50" t="inlineStr">
        <is>
          <t>2025-02-10</t>
        </is>
      </c>
      <c r="I50" t="n">
        <v>2</v>
      </c>
    </row>
    <row r="51">
      <c r="H51" t="inlineStr">
        <is>
          <t>2025-02-17</t>
        </is>
      </c>
      <c r="I51" t="n">
        <v>3</v>
      </c>
    </row>
    <row r="52">
      <c r="H52" t="inlineStr">
        <is>
          <t>2025-02-24</t>
        </is>
      </c>
      <c r="I52" t="n">
        <v>13</v>
      </c>
    </row>
    <row r="53">
      <c r="H53" t="inlineStr">
        <is>
          <t>2025-03-03</t>
        </is>
      </c>
      <c r="I53" t="n">
        <v>4</v>
      </c>
    </row>
    <row r="54">
      <c r="H54" t="inlineStr">
        <is>
          <t>2025-03-10</t>
        </is>
      </c>
      <c r="I54" t="n">
        <v>2</v>
      </c>
    </row>
    <row r="55">
      <c r="H55" t="inlineStr">
        <is>
          <t>2025-03-24</t>
        </is>
      </c>
      <c r="I55" t="n">
        <v>10</v>
      </c>
    </row>
    <row r="56">
      <c r="H56" t="inlineStr">
        <is>
          <t>2025-03-31</t>
        </is>
      </c>
      <c r="I56" t="n">
        <v>4</v>
      </c>
    </row>
    <row r="57">
      <c r="H57" t="inlineStr">
        <is>
          <t>2025-04-07</t>
        </is>
      </c>
      <c r="I57" t="n">
        <v>1</v>
      </c>
    </row>
    <row r="58">
      <c r="H58" t="inlineStr">
        <is>
          <t>2025-04-14</t>
        </is>
      </c>
      <c r="I58" t="n">
        <v>7</v>
      </c>
    </row>
    <row r="59">
      <c r="H59" t="inlineStr">
        <is>
          <t>2025-04-21</t>
        </is>
      </c>
      <c r="I59" t="n">
        <v>2</v>
      </c>
    </row>
    <row r="60">
      <c r="H60" t="inlineStr">
        <is>
          <t>2025-04-28</t>
        </is>
      </c>
      <c r="I60" t="n">
        <v>6</v>
      </c>
    </row>
    <row r="61">
      <c r="H61" t="inlineStr">
        <is>
          <t>2025-05-12</t>
        </is>
      </c>
      <c r="I61" t="n">
        <v>4</v>
      </c>
    </row>
    <row r="62">
      <c r="H62" t="inlineStr">
        <is>
          <t>2025-05-19</t>
        </is>
      </c>
      <c r="I62" t="n">
        <v>4</v>
      </c>
    </row>
    <row r="63">
      <c r="H63" t="inlineStr">
        <is>
          <t>2025-05-26</t>
        </is>
      </c>
      <c r="I63" t="n">
        <v>1</v>
      </c>
    </row>
    <row r="64">
      <c r="H64" t="inlineStr">
        <is>
          <t>2025-06-02</t>
        </is>
      </c>
      <c r="I64" t="n">
        <v>2</v>
      </c>
    </row>
    <row r="65">
      <c r="H65" t="inlineStr">
        <is>
          <t>2025-06-16</t>
        </is>
      </c>
      <c r="I65" t="n">
        <v>3</v>
      </c>
    </row>
    <row r="66">
      <c r="H66" t="inlineStr">
        <is>
          <t>2025-06-23</t>
        </is>
      </c>
      <c r="I66" t="n">
        <v>3</v>
      </c>
    </row>
    <row r="67">
      <c r="H67" t="inlineStr">
        <is>
          <t>2025-06-30</t>
        </is>
      </c>
      <c r="I67" t="n">
        <v>3</v>
      </c>
    </row>
    <row r="68">
      <c r="H68" t="inlineStr">
        <is>
          <t>2025-07-14</t>
        </is>
      </c>
      <c r="I68" t="n">
        <v>5</v>
      </c>
    </row>
    <row r="69">
      <c r="H69" t="inlineStr">
        <is>
          <t>2025-07-28</t>
        </is>
      </c>
      <c r="I69" t="n">
        <v>3</v>
      </c>
    </row>
    <row r="70">
      <c r="H70" t="inlineStr">
        <is>
          <t>2025-08-04</t>
        </is>
      </c>
      <c r="I70" t="n">
        <v>3</v>
      </c>
    </row>
    <row r="71">
      <c r="H71" t="inlineStr">
        <is>
          <t>2025-09-29</t>
        </is>
      </c>
      <c r="I71" t="n">
        <v>1</v>
      </c>
    </row>
    <row r="72">
      <c r="H72" t="inlineStr">
        <is>
          <t>2025-10-27</t>
        </is>
      </c>
      <c r="I72" t="n">
        <v>1</v>
      </c>
    </row>
    <row r="73">
      <c r="H73" t="inlineStr">
        <is>
          <t>2025-11-03</t>
        </is>
      </c>
      <c r="I73" t="n">
        <v>1</v>
      </c>
    </row>
    <row r="74">
      <c r="H74" t="inlineStr">
        <is>
          <t>2025-12-01</t>
        </is>
      </c>
      <c r="I74" t="n">
        <v>4</v>
      </c>
    </row>
  </sheetData>
  <mergeCells count="14">
    <mergeCell ref="A2:L2"/>
    <mergeCell ref="K7:L7"/>
    <mergeCell ref="E6:F6"/>
    <mergeCell ref="C6:D6"/>
    <mergeCell ref="C7:D7"/>
    <mergeCell ref="A7:B7"/>
    <mergeCell ref="G7:H7"/>
    <mergeCell ref="E7:F7"/>
    <mergeCell ref="I6:J6"/>
    <mergeCell ref="I7:J7"/>
    <mergeCell ref="A1:L1"/>
    <mergeCell ref="G6:H6"/>
    <mergeCell ref="K6:L6"/>
    <mergeCell ref="A6:B6"/>
  </mergeCells>
  <pageMargins left="0.75" right="0.75" top="1" bottom="1" header="0.5" footer="0.5"/>
  <drawing xmlns:r="http://schemas.openxmlformats.org/officeDocument/2006/relationships" r:id="rId1"/>
</worksheet>
</file>

<file path=xl/worksheets/sheet15.xml><?xml version="1.0" encoding="utf-8"?>
<worksheet xmlns="http://schemas.openxmlformats.org/spreadsheetml/2006/main">
  <sheetPr>
    <outlinePr summaryBelow="1" summaryRight="1"/>
    <pageSetUpPr/>
  </sheetPr>
  <dimension ref="A1:N2"/>
  <sheetViews>
    <sheetView workbookViewId="0">
      <selection activeCell="B1" sqref="B1"/>
    </sheetView>
  </sheetViews>
  <sheetFormatPr baseColWidth="8" defaultRowHeight="14.4"/>
  <cols>
    <col width="12" customWidth="1" style="287" min="1" max="1"/>
    <col width="20" customWidth="1" style="287" min="2" max="2"/>
    <col width="15" customWidth="1" style="287" min="3" max="4"/>
    <col width="12" customWidth="1" style="287" min="5" max="5"/>
    <col width="20" customWidth="1" style="287" min="6" max="6"/>
    <col width="25" customWidth="1" style="287" min="7" max="8"/>
    <col width="15" customWidth="1" style="287" min="9" max="9"/>
    <col width="20" customWidth="1" style="287" min="10" max="10"/>
    <col width="15" customWidth="1" style="287" min="11" max="11"/>
    <col width="30" customWidth="1" style="287" min="12" max="12"/>
    <col width="25" customWidth="1" style="287" min="13" max="13"/>
    <col width="30" customWidth="1" style="287" min="14" max="14"/>
  </cols>
  <sheetData>
    <row r="1">
      <c r="A1" s="242" t="inlineStr">
        <is>
          <t>Client ID</t>
        </is>
      </c>
      <c r="B1" s="242" t="inlineStr">
        <is>
          <t>Client Name</t>
        </is>
      </c>
      <c r="C1" s="242" t="inlineStr">
        <is>
          <t>Archetype</t>
        </is>
      </c>
      <c r="D1" s="242" t="inlineStr">
        <is>
          <t>Language Preference</t>
        </is>
      </c>
      <c r="E1" s="242" t="inlineStr">
        <is>
          <t>Sentiment Score</t>
        </is>
      </c>
      <c r="F1" s="242" t="inlineStr">
        <is>
          <t>Sentiment History</t>
        </is>
      </c>
      <c r="G1" s="242" t="inlineStr">
        <is>
          <t>Key Interests</t>
        </is>
      </c>
      <c r="H1" s="242" t="inlineStr">
        <is>
          <t>Objections</t>
        </is>
      </c>
      <c r="I1" s="242" t="inlineStr">
        <is>
          <t>Communication Style</t>
        </is>
      </c>
      <c r="J1" s="242" t="inlineStr">
        <is>
          <t>Decision Factors</t>
        </is>
      </c>
      <c r="K1" s="242" t="inlineStr">
        <is>
          <t>Influencers</t>
        </is>
      </c>
      <c r="L1" s="242" t="inlineStr">
        <is>
          <t>Last 3 Interactions</t>
        </is>
      </c>
      <c r="M1" s="242" t="inlineStr">
        <is>
          <t>Recommended Approach</t>
        </is>
      </c>
      <c r="N1" s="242" t="inlineStr">
        <is>
          <t>Notes</t>
        </is>
      </c>
    </row>
    <row r="2">
      <c r="A2" s="247" t="inlineStr">
        <is>
          <t>VC08061536</t>
        </is>
      </c>
      <c r="B2" s="247" t="inlineStr">
        <is>
          <t>Unknown Client</t>
        </is>
      </c>
      <c r="C2" s="247" t="inlineStr">
        <is>
          <t>Collector</t>
        </is>
      </c>
      <c r="D2" s="247" t="inlineStr">
        <is>
          <t>English</t>
        </is>
      </c>
      <c r="E2" s="248" t="n">
        <v>83</v>
      </c>
      <c r="F2" s="247" t="inlineStr">
        <is>
          <t>Stable</t>
        </is>
      </c>
      <c r="G2" s="247" t="inlineStr">
        <is>
          <t>Hi Maaz, I hope you're doing well. I saw the Patrimony watch at the boutique yesterday. It's absolutely beautiful and I'm very interested. However, it's quite expensive. Could you tell me more about the payment options? I'm a collector and this would be a great addition to my collection. Thank you!</t>
        </is>
      </c>
      <c r="H2" s="247" t="inlineStr">
        <is>
          <t>Hi Maaz, I hope you're doing well. I saw the Patrimony watch at the boutique yesterday. It's absolutely beautiful and I'm very interested. However, it's quite expensive. Could you tell me more about the payment options? I'm a collector and this would be a great addition to my collection. Thank you!</t>
        </is>
      </c>
      <c r="I2" s="247" t="inlineStr">
        <is>
          <t>Formal</t>
        </is>
      </c>
      <c r="J2" s="247" t="inlineStr">
        <is>
          <t>Price; Design</t>
        </is>
      </c>
      <c r="K2" s="247" t="inlineStr">
        <is>
          <t>(Expert|Specialist|Collector)</t>
        </is>
      </c>
      <c r="L2" s="247" t="inlineStr">
        <is>
          <t>Hi Maaz, I hope you're doing well. I saw the Patrimony watch at the boutique yesterday. It's absolut</t>
        </is>
      </c>
      <c r="M2" s="247" t="inlineStr">
        <is>
          <t>High interest - Schedule appointment or send detailed information immediately</t>
        </is>
      </c>
      <c r="N2" s="247" t="inlineStr">
        <is>
          <t>AI Analysis: 83% positive sentiment, Collector archetype, English language. High conversion probability - prioritize immediate follow-up.</t>
        </is>
      </c>
    </row>
  </sheetData>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F10"/>
  <sheetViews>
    <sheetView workbookViewId="0">
      <selection activeCell="A1" sqref="A1"/>
    </sheetView>
  </sheetViews>
  <sheetFormatPr baseColWidth="8" defaultRowHeight="14.4"/>
  <cols>
    <col width="15" customWidth="1" style="287" min="1" max="1"/>
    <col width="20" customWidth="1" style="287" min="2" max="2"/>
    <col width="25" customWidth="1" style="287" min="3" max="3"/>
    <col width="18" customWidth="1" style="287" min="4" max="4"/>
    <col width="15" customWidth="1" style="287" min="5" max="5"/>
    <col width="30" customWidth="1" style="287" min="6" max="6"/>
  </cols>
  <sheetData>
    <row r="1">
      <c r="A1" s="242" t="inlineStr">
        <is>
          <t>Collection</t>
        </is>
      </c>
      <c r="B1" s="242" t="inlineStr">
        <is>
          <t>Reference</t>
        </is>
      </c>
      <c r="C1" s="242" t="inlineStr">
        <is>
          <t>Model Name</t>
        </is>
      </c>
      <c r="D1" s="242" t="inlineStr">
        <is>
          <t>Price Range</t>
        </is>
      </c>
      <c r="E1" s="242" t="inlineStr">
        <is>
          <t>Availability</t>
        </is>
      </c>
      <c r="F1" s="242" t="inlineStr">
        <is>
          <t>Key Features</t>
        </is>
      </c>
    </row>
    <row r="2">
      <c r="A2" s="243" t="inlineStr">
        <is>
          <t>Overseas</t>
        </is>
      </c>
      <c r="B2" s="243" t="inlineStr">
        <is>
          <t>4500V/210A-B128</t>
        </is>
      </c>
      <c r="C2" s="243" t="inlineStr">
        <is>
          <t>Overseas Chronograph</t>
        </is>
      </c>
      <c r="D2" s="243" t="inlineStr">
        <is>
          <t>$25,000-$35,000</t>
        </is>
      </c>
      <c r="E2" s="244" t="inlineStr">
        <is>
          <t>Limited</t>
        </is>
      </c>
      <c r="F2" s="243" t="inlineStr">
        <is>
          <t>Sport, Steel, Blue dial</t>
        </is>
      </c>
    </row>
    <row r="3">
      <c r="A3" s="243" t="inlineStr">
        <is>
          <t>Overseas</t>
        </is>
      </c>
      <c r="B3" s="243" t="inlineStr">
        <is>
          <t>4000V/210A-B911</t>
        </is>
      </c>
      <c r="C3" s="243" t="inlineStr">
        <is>
          <t>Overseas Automatic</t>
        </is>
      </c>
      <c r="D3" s="243" t="inlineStr">
        <is>
          <t>$20,000-$30,000</t>
        </is>
      </c>
      <c r="E3" s="245" t="inlineStr">
        <is>
          <t>Available</t>
        </is>
      </c>
      <c r="F3" s="243" t="inlineStr">
        <is>
          <t>Sport, Steel, Silver dial</t>
        </is>
      </c>
    </row>
    <row r="4">
      <c r="A4" s="243" t="inlineStr">
        <is>
          <t>Patrimony</t>
        </is>
      </c>
      <c r="B4" s="243" t="inlineStr">
        <is>
          <t>4200H/222A-B934</t>
        </is>
      </c>
      <c r="C4" s="243" t="inlineStr">
        <is>
          <t>Patrimony Manual</t>
        </is>
      </c>
      <c r="D4" s="243" t="inlineStr">
        <is>
          <t>$15,000-$25,000</t>
        </is>
      </c>
      <c r="E4" s="245" t="inlineStr">
        <is>
          <t>Available</t>
        </is>
      </c>
      <c r="F4" s="243" t="inlineStr">
        <is>
          <t>Dress, Gold, Classic</t>
        </is>
      </c>
    </row>
    <row r="5">
      <c r="A5" s="243" t="inlineStr">
        <is>
          <t>Patrimony</t>
        </is>
      </c>
      <c r="B5" s="243" t="inlineStr">
        <is>
          <t>4010U/000R-H117</t>
        </is>
      </c>
      <c r="C5" s="243" t="inlineStr">
        <is>
          <t>Patrimony Ultra-thin</t>
        </is>
      </c>
      <c r="D5" s="243" t="inlineStr">
        <is>
          <t>$18,000-$28,000</t>
        </is>
      </c>
      <c r="E5" s="246" t="inlineStr">
        <is>
          <t>Pre-order</t>
        </is>
      </c>
      <c r="F5" s="243" t="inlineStr">
        <is>
          <t>Ultra-thin, Rose gold</t>
        </is>
      </c>
    </row>
    <row r="6">
      <c r="A6" s="243" t="inlineStr">
        <is>
          <t>Traditionnelle</t>
        </is>
      </c>
      <c r="B6" s="243" t="inlineStr">
        <is>
          <t>1410U/000G-H017</t>
        </is>
      </c>
      <c r="C6" s="243" t="inlineStr">
        <is>
          <t>Traditionnelle Manual</t>
        </is>
      </c>
      <c r="D6" s="243" t="inlineStr">
        <is>
          <t>$22,000-$32,000</t>
        </is>
      </c>
      <c r="E6" s="244" t="inlineStr">
        <is>
          <t>Limited</t>
        </is>
      </c>
      <c r="F6" s="243" t="inlineStr">
        <is>
          <t>Classic, White gold</t>
        </is>
      </c>
    </row>
    <row r="7">
      <c r="A7" s="243" t="inlineStr">
        <is>
          <t>Overseas</t>
        </is>
      </c>
      <c r="B7" s="243" t="inlineStr">
        <is>
          <t>5520V/210R-B966</t>
        </is>
      </c>
      <c r="C7" s="243" t="inlineStr">
        <is>
          <t>Overseas Dual Time</t>
        </is>
      </c>
      <c r="D7" s="243" t="inlineStr">
        <is>
          <t>$28,000-$38,000</t>
        </is>
      </c>
      <c r="E7" s="246" t="inlineStr">
        <is>
          <t>Pre-order</t>
        </is>
      </c>
      <c r="F7" s="243" t="inlineStr">
        <is>
          <t>Travel, Rose gold</t>
        </is>
      </c>
    </row>
    <row r="8">
      <c r="A8" s="243" t="inlineStr">
        <is>
          <t>Historiques</t>
        </is>
      </c>
      <c r="B8" s="243" t="inlineStr">
        <is>
          <t>3110V/000A-B426</t>
        </is>
      </c>
      <c r="C8" s="243" t="inlineStr">
        <is>
          <t>Historiques American</t>
        </is>
      </c>
      <c r="D8" s="243" t="inlineStr">
        <is>
          <t>$16,000-$26,000</t>
        </is>
      </c>
      <c r="E8" s="245" t="inlineStr">
        <is>
          <t>Available</t>
        </is>
      </c>
      <c r="F8" s="243" t="inlineStr">
        <is>
          <t>Vintage, Steel</t>
        </is>
      </c>
    </row>
    <row r="9">
      <c r="A9" s="243" t="inlineStr">
        <is>
          <t>Égérie</t>
        </is>
      </c>
      <c r="B9" s="243" t="inlineStr">
        <is>
          <t>8005F/000A-B497</t>
        </is>
      </c>
      <c r="C9" s="243" t="inlineStr">
        <is>
          <t>Égérie Automatic</t>
        </is>
      </c>
      <c r="D9" s="243" t="inlineStr">
        <is>
          <t>$14,000-$24,000</t>
        </is>
      </c>
      <c r="E9" s="245" t="inlineStr">
        <is>
          <t>Available</t>
        </is>
      </c>
      <c r="F9" s="243" t="inlineStr">
        <is>
          <t>Ladies, Steel, Diamond</t>
        </is>
      </c>
    </row>
    <row r="10">
      <c r="A10" s="243" t="inlineStr">
        <is>
          <t>Fiftysix</t>
        </is>
      </c>
      <c r="B10" s="243" t="inlineStr">
        <is>
          <t>4600E/000A-B442</t>
        </is>
      </c>
      <c r="C10" s="243" t="inlineStr">
        <is>
          <t>Fiftysix Complete</t>
        </is>
      </c>
      <c r="D10" s="243" t="inlineStr">
        <is>
          <t>$35,000-$45,000</t>
        </is>
      </c>
      <c r="E10" s="244" t="inlineStr">
        <is>
          <t>Limited</t>
        </is>
      </c>
      <c r="F10" s="243" t="inlineStr">
        <is>
          <t>Complications, Steel</t>
        </is>
      </c>
    </row>
  </sheetData>
  <pageMargins left="0.75" right="0.75" top="1" bottom="1" header="0.5" footer="0.5"/>
</worksheet>
</file>

<file path=xl/worksheets/sheet17.xml><?xml version="1.0" encoding="utf-8"?>
<worksheet xmlns="http://schemas.openxmlformats.org/spreadsheetml/2006/main">
  <sheetPr>
    <outlinePr summaryBelow="1" summaryRight="1"/>
    <pageSetUpPr/>
  </sheetPr>
  <dimension ref="A1:F4"/>
  <sheetViews>
    <sheetView workbookViewId="0">
      <selection activeCell="A1" sqref="A1"/>
    </sheetView>
  </sheetViews>
  <sheetFormatPr baseColWidth="8" defaultRowHeight="14.4"/>
  <cols>
    <col width="20" customWidth="1" style="287" min="1" max="2"/>
    <col width="15" customWidth="1" style="287" min="3" max="3"/>
    <col width="40" customWidth="1" style="287" min="4" max="4"/>
    <col width="12" customWidth="1" style="287" min="5" max="5"/>
    <col width="10" customWidth="1" style="287" min="6" max="6"/>
  </cols>
  <sheetData>
    <row r="1">
      <c r="A1" s="242" t="inlineStr">
        <is>
          <t>Timestamp</t>
        </is>
      </c>
      <c r="B1" s="242" t="inlineStr">
        <is>
          <t>Action</t>
        </is>
      </c>
      <c r="C1" s="242" t="inlineStr">
        <is>
          <t>User</t>
        </is>
      </c>
      <c r="D1" s="242" t="inlineStr">
        <is>
          <t>Details</t>
        </is>
      </c>
      <c r="E1" s="242" t="inlineStr">
        <is>
          <t>Status</t>
        </is>
      </c>
      <c r="F1" s="242" t="inlineStr">
        <is>
          <t>Duration</t>
        </is>
      </c>
    </row>
    <row r="2">
      <c r="A2" t="inlineStr">
        <is>
          <t>2025-08-06 15:41:15</t>
        </is>
      </c>
      <c r="B2" t="inlineStr">
        <is>
          <t>System Initialization</t>
        </is>
      </c>
      <c r="C2" t="inlineStr">
        <is>
          <t>Master Coder AI</t>
        </is>
      </c>
      <c r="D2" t="inlineStr">
        <is>
          <t>Warroom system initialized</t>
        </is>
      </c>
      <c r="E2" t="inlineStr">
        <is>
          <t>Success</t>
        </is>
      </c>
      <c r="F2" t="inlineStr">
        <is>
          <t>0.5s</t>
        </is>
      </c>
    </row>
    <row r="3">
      <c r="A3" t="inlineStr">
        <is>
          <t>2025-08-06 15:41:15</t>
        </is>
      </c>
      <c r="B3" t="inlineStr">
        <is>
          <t>Data Integration</t>
        </is>
      </c>
      <c r="C3" t="inlineStr">
        <is>
          <t>Master Coder AI</t>
        </is>
      </c>
      <c r="D3" t="inlineStr">
        <is>
          <t>Integrated Airtable and boutique data</t>
        </is>
      </c>
      <c r="E3" t="inlineStr">
        <is>
          <t>Success</t>
        </is>
      </c>
      <c r="F3" t="inlineStr">
        <is>
          <t>2.3s</t>
        </is>
      </c>
    </row>
    <row r="4">
      <c r="A4" t="inlineStr">
        <is>
          <t>2025-08-06 15:41:15</t>
        </is>
      </c>
      <c r="B4" t="inlineStr">
        <is>
          <t>Dashboard Creation</t>
        </is>
      </c>
      <c r="C4" t="inlineStr">
        <is>
          <t>Master Coder AI</t>
        </is>
      </c>
      <c r="D4" t="inlineStr">
        <is>
          <t>Executive dashboard created</t>
        </is>
      </c>
      <c r="E4" t="inlineStr">
        <is>
          <t>Success</t>
        </is>
      </c>
      <c r="F4" t="inlineStr">
        <is>
          <t>1.8s</t>
        </is>
      </c>
    </row>
  </sheetData>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O72"/>
  <sheetViews>
    <sheetView topLeftCell="A45" workbookViewId="0">
      <selection activeCell="C71" sqref="C71"/>
    </sheetView>
  </sheetViews>
  <sheetFormatPr baseColWidth="8" defaultRowHeight="14.4"/>
  <cols>
    <col width="8.88671875" customWidth="1" style="274" min="1" max="1"/>
    <col width="21.88671875" bestFit="1" customWidth="1" style="274" min="2" max="2"/>
    <col width="27.5546875" customWidth="1" style="274" min="3" max="3"/>
    <col width="10" customWidth="1" style="274" min="4" max="7"/>
    <col width="8.88671875" customWidth="1" style="274" min="8" max="10"/>
    <col width="10" customWidth="1" style="274" min="11" max="11"/>
    <col width="3.109375" customWidth="1" style="274" min="12" max="12"/>
    <col width="15.6640625" customWidth="1" style="276" min="13" max="13"/>
    <col width="16.88671875" customWidth="1" style="276" min="14" max="14"/>
    <col width="36.33203125" customWidth="1" style="277" min="15" max="15"/>
    <col width="8.88671875" customWidth="1" style="274" min="16" max="16384"/>
  </cols>
  <sheetData>
    <row r="1">
      <c r="A1" s="274" t="inlineStr"/>
      <c r="B1" s="274" t="inlineStr">
        <is>
          <t>Ref Ambassador Sfsc ID</t>
        </is>
      </c>
      <c r="C1" s="274" t="inlineStr">
        <is>
          <t>Record Number</t>
        </is>
      </c>
      <c r="D1" s="274" t="inlineStr">
        <is>
          <t>Prospect Knowledge Rate</t>
        </is>
      </c>
      <c r="E1" s="274" t="inlineStr">
        <is>
          <t>Global Opt In Rate</t>
        </is>
      </c>
      <c r="F1" s="274" t="inlineStr">
        <is>
          <t>Email Completeness Rate</t>
        </is>
      </c>
      <c r="G1" s="274" t="inlineStr">
        <is>
          <t>Phone Completeness Rate</t>
        </is>
      </c>
      <c r="H1" s="274" t="inlineStr">
        <is>
          <t>Collection of interest - average number</t>
        </is>
      </c>
      <c r="I1" s="274" t="inlineStr">
        <is>
          <t>Hobbies - average number</t>
        </is>
      </c>
      <c r="J1" s="274" t="inlineStr">
        <is>
          <t>Products of interest - average number</t>
        </is>
      </c>
      <c r="K1" s="274" t="inlineStr">
        <is>
          <t>Birthdate - birth month/day filled</t>
        </is>
      </c>
    </row>
    <row r="2">
      <c r="A2" s="274" t="n">
        <v>1</v>
      </c>
      <c r="B2" s="274" t="inlineStr">
        <is>
          <t>005W6000006dEVtIAM</t>
        </is>
      </c>
      <c r="C2" s="274" t="inlineStr">
        <is>
          <t>C0065687523</t>
        </is>
      </c>
      <c r="D2" s="307" t="n">
        <v>0</v>
      </c>
      <c r="E2" s="307" t="n">
        <v>1</v>
      </c>
      <c r="F2" s="307" t="n">
        <v>1</v>
      </c>
      <c r="G2" s="307" t="n">
        <v>1</v>
      </c>
      <c r="H2" s="274" t="n">
        <v>1</v>
      </c>
      <c r="J2" s="274" t="n">
        <v>2</v>
      </c>
      <c r="K2" s="307" t="n">
        <v>0</v>
      </c>
    </row>
    <row r="3">
      <c r="A3" s="274" t="n">
        <v>2</v>
      </c>
      <c r="B3" s="274" t="inlineStr">
        <is>
          <t>005W6000006dEVtIAM</t>
        </is>
      </c>
      <c r="C3" s="274" t="inlineStr">
        <is>
          <t>C0065619900</t>
        </is>
      </c>
      <c r="D3" s="307" t="n">
        <v>0</v>
      </c>
      <c r="E3" s="307" t="n">
        <v>0</v>
      </c>
      <c r="F3" s="307" t="n">
        <v>1</v>
      </c>
      <c r="G3" s="307" t="n">
        <v>1</v>
      </c>
      <c r="H3" s="274" t="n">
        <v>1</v>
      </c>
      <c r="J3" s="274" t="n">
        <v>2</v>
      </c>
      <c r="K3" s="307" t="n">
        <v>0</v>
      </c>
    </row>
    <row r="4">
      <c r="A4" s="274" t="n">
        <v>3</v>
      </c>
      <c r="B4" s="274" t="inlineStr">
        <is>
          <t>005W6000006dEVtIAM</t>
        </is>
      </c>
      <c r="C4" s="274" t="inlineStr">
        <is>
          <t>C0065806024</t>
        </is>
      </c>
      <c r="D4" s="307" t="n">
        <v>0</v>
      </c>
      <c r="E4" s="307" t="n">
        <v>1</v>
      </c>
      <c r="F4" s="307" t="n">
        <v>0</v>
      </c>
      <c r="G4" s="307" t="n">
        <v>1</v>
      </c>
      <c r="K4" s="307" t="n">
        <v>0</v>
      </c>
    </row>
    <row r="5">
      <c r="A5" s="274" t="n">
        <v>4</v>
      </c>
      <c r="B5" s="274" t="inlineStr">
        <is>
          <t>005W6000006dEVtIAM</t>
        </is>
      </c>
      <c r="C5" s="274" t="inlineStr">
        <is>
          <t>C0065856467</t>
        </is>
      </c>
      <c r="D5" s="307" t="n">
        <v>0</v>
      </c>
      <c r="E5" s="307" t="n">
        <v>1</v>
      </c>
      <c r="F5" s="307" t="n">
        <v>1</v>
      </c>
      <c r="G5" s="307" t="n">
        <v>1</v>
      </c>
      <c r="H5" s="274" t="n">
        <v>1</v>
      </c>
      <c r="J5" s="274" t="n">
        <v>1</v>
      </c>
      <c r="K5" s="307" t="n">
        <v>0</v>
      </c>
    </row>
    <row r="6">
      <c r="A6" s="274" t="n">
        <v>5</v>
      </c>
      <c r="B6" s="274" t="inlineStr">
        <is>
          <t>005W6000006dEVtIAM</t>
        </is>
      </c>
      <c r="C6" s="274" t="inlineStr">
        <is>
          <t>C0065853039</t>
        </is>
      </c>
      <c r="D6" s="307" t="n">
        <v>1</v>
      </c>
      <c r="E6" s="307" t="n">
        <v>1</v>
      </c>
      <c r="F6" s="307" t="n">
        <v>1</v>
      </c>
      <c r="G6" s="307" t="n">
        <v>1</v>
      </c>
      <c r="H6" s="274" t="n">
        <v>1</v>
      </c>
      <c r="I6" s="274" t="n">
        <v>2</v>
      </c>
      <c r="J6" s="274" t="n">
        <v>1</v>
      </c>
      <c r="K6" s="307" t="n">
        <v>1</v>
      </c>
    </row>
    <row r="7">
      <c r="A7" s="274" t="n">
        <v>6</v>
      </c>
      <c r="B7" s="274" t="inlineStr">
        <is>
          <t>005W6000006dEVtIAM</t>
        </is>
      </c>
      <c r="C7" s="274" t="inlineStr">
        <is>
          <t>C0066195947</t>
        </is>
      </c>
      <c r="D7" s="307" t="n">
        <v>1</v>
      </c>
      <c r="E7" s="307" t="n">
        <v>1</v>
      </c>
      <c r="F7" s="307" t="n">
        <v>1</v>
      </c>
      <c r="G7" s="307" t="n">
        <v>1</v>
      </c>
      <c r="H7" s="274" t="n">
        <v>2</v>
      </c>
      <c r="I7" s="274" t="n">
        <v>1</v>
      </c>
      <c r="J7" s="274" t="n">
        <v>1</v>
      </c>
      <c r="K7" s="307" t="n">
        <v>1</v>
      </c>
    </row>
    <row r="8">
      <c r="A8" s="274" t="n">
        <v>7</v>
      </c>
      <c r="B8" s="274" t="inlineStr">
        <is>
          <t>005W6000006dEVtIAM</t>
        </is>
      </c>
      <c r="C8" s="274" t="inlineStr">
        <is>
          <t>C0065580546</t>
        </is>
      </c>
      <c r="D8" s="307" t="n">
        <v>0</v>
      </c>
      <c r="E8" s="307" t="n">
        <v>0</v>
      </c>
      <c r="F8" s="307" t="n">
        <v>1</v>
      </c>
      <c r="G8" s="307" t="n">
        <v>1</v>
      </c>
      <c r="H8" s="274" t="n">
        <v>1</v>
      </c>
      <c r="J8" s="274" t="n">
        <v>2</v>
      </c>
      <c r="K8" s="307" t="n">
        <v>1</v>
      </c>
    </row>
    <row r="9">
      <c r="A9" s="274" t="n">
        <v>8</v>
      </c>
      <c r="B9" s="274" t="inlineStr">
        <is>
          <t>005W6000006dEVtIAM</t>
        </is>
      </c>
      <c r="C9" s="274" t="inlineStr">
        <is>
          <t>C0065857497</t>
        </is>
      </c>
      <c r="D9" s="307" t="n">
        <v>0</v>
      </c>
      <c r="E9" s="307" t="n">
        <v>1</v>
      </c>
      <c r="F9" s="307" t="n">
        <v>1</v>
      </c>
      <c r="G9" s="307" t="n">
        <v>1</v>
      </c>
      <c r="H9" s="274" t="n">
        <v>1</v>
      </c>
      <c r="J9" s="274" t="n">
        <v>2</v>
      </c>
      <c r="K9" s="307" t="n">
        <v>0</v>
      </c>
    </row>
    <row r="10">
      <c r="A10" s="274" t="n">
        <v>9</v>
      </c>
      <c r="B10" s="274" t="inlineStr">
        <is>
          <t>005W6000006dEVtIAM</t>
        </is>
      </c>
      <c r="C10" s="274" t="inlineStr">
        <is>
          <t>C0065865940</t>
        </is>
      </c>
      <c r="D10" s="307" t="n">
        <v>0</v>
      </c>
      <c r="E10" s="307" t="n">
        <v>1</v>
      </c>
      <c r="F10" s="307" t="n">
        <v>1</v>
      </c>
      <c r="G10" s="307" t="n">
        <v>1</v>
      </c>
      <c r="H10" s="274" t="n">
        <v>1</v>
      </c>
      <c r="J10" s="274" t="n">
        <v>2</v>
      </c>
      <c r="K10" s="307" t="n">
        <v>0</v>
      </c>
    </row>
    <row r="11">
      <c r="A11" s="274" t="n">
        <v>10</v>
      </c>
      <c r="B11" s="274" t="inlineStr">
        <is>
          <t>005W6000006dEVtIAM</t>
        </is>
      </c>
      <c r="C11" s="274" t="inlineStr">
        <is>
          <t>C0065754035</t>
        </is>
      </c>
      <c r="D11" s="307" t="n">
        <v>0</v>
      </c>
      <c r="E11" s="307" t="n">
        <v>1</v>
      </c>
      <c r="F11" s="307" t="n">
        <v>1</v>
      </c>
      <c r="G11" s="307" t="n">
        <v>1</v>
      </c>
      <c r="K11" s="307" t="n">
        <v>0</v>
      </c>
    </row>
    <row r="12">
      <c r="A12" s="274" t="n">
        <v>11</v>
      </c>
      <c r="B12" s="274" t="inlineStr">
        <is>
          <t>005W6000006dEVtIAM</t>
        </is>
      </c>
      <c r="C12" s="274" t="inlineStr">
        <is>
          <t>C0065486967</t>
        </is>
      </c>
      <c r="D12" s="307" t="n">
        <v>0</v>
      </c>
      <c r="E12" s="307" t="n">
        <v>1</v>
      </c>
      <c r="F12" s="307" t="n">
        <v>1</v>
      </c>
      <c r="G12" s="307" t="n">
        <v>1</v>
      </c>
      <c r="H12" s="274" t="n">
        <v>1</v>
      </c>
      <c r="J12" s="274" t="n">
        <v>2</v>
      </c>
      <c r="K12" s="307" t="n">
        <v>0</v>
      </c>
    </row>
    <row r="13">
      <c r="A13" s="274" t="n">
        <v>12</v>
      </c>
      <c r="B13" s="274" t="inlineStr">
        <is>
          <t>005W6000006dEVtIAM</t>
        </is>
      </c>
      <c r="C13" s="274" t="inlineStr">
        <is>
          <t>C0065693374</t>
        </is>
      </c>
      <c r="D13" s="307" t="n">
        <v>0</v>
      </c>
      <c r="E13" s="307" t="n">
        <v>1</v>
      </c>
      <c r="F13" s="307" t="n">
        <v>0</v>
      </c>
      <c r="G13" s="307" t="n">
        <v>1</v>
      </c>
      <c r="K13" s="307" t="n">
        <v>0</v>
      </c>
    </row>
    <row r="14">
      <c r="A14" s="274" t="n">
        <v>13</v>
      </c>
      <c r="B14" s="274" t="inlineStr">
        <is>
          <t>005W6000006dEVtIAM</t>
        </is>
      </c>
      <c r="C14" s="274" t="inlineStr">
        <is>
          <t>C0065534083</t>
        </is>
      </c>
      <c r="D14" s="307" t="n">
        <v>0</v>
      </c>
      <c r="E14" s="307" t="n">
        <v>1</v>
      </c>
      <c r="F14" s="307" t="n">
        <v>1</v>
      </c>
      <c r="G14" s="307" t="n">
        <v>1</v>
      </c>
      <c r="H14" s="274" t="n">
        <v>1</v>
      </c>
      <c r="J14" s="274" t="n">
        <v>3</v>
      </c>
      <c r="K14" s="307" t="n">
        <v>0</v>
      </c>
    </row>
    <row r="15">
      <c r="A15" s="274" t="n">
        <v>14</v>
      </c>
      <c r="B15" s="274" t="inlineStr">
        <is>
          <t>005W6000006dEVtIAM</t>
        </is>
      </c>
      <c r="C15" s="274" t="inlineStr">
        <is>
          <t>C0065488825</t>
        </is>
      </c>
      <c r="D15" s="307" t="n">
        <v>0</v>
      </c>
      <c r="E15" s="307" t="n">
        <v>0</v>
      </c>
      <c r="F15" s="307" t="n">
        <v>1</v>
      </c>
      <c r="G15" s="307" t="n">
        <v>1</v>
      </c>
      <c r="H15" s="274" t="n">
        <v>1</v>
      </c>
      <c r="J15" s="274" t="n">
        <v>1</v>
      </c>
      <c r="K15" s="307" t="n">
        <v>0</v>
      </c>
    </row>
    <row r="16">
      <c r="A16" s="274" t="n">
        <v>15</v>
      </c>
      <c r="B16" s="274" t="inlineStr">
        <is>
          <t>005W6000006dEVtIAM</t>
        </is>
      </c>
      <c r="C16" s="274" t="inlineStr">
        <is>
          <t>C0065923707</t>
        </is>
      </c>
      <c r="D16" s="307" t="n">
        <v>0</v>
      </c>
      <c r="E16" s="307" t="n">
        <v>1</v>
      </c>
      <c r="F16" s="307" t="n">
        <v>1</v>
      </c>
      <c r="G16" s="307" t="n">
        <v>1</v>
      </c>
      <c r="H16" s="274" t="n">
        <v>1</v>
      </c>
      <c r="J16" s="274" t="n">
        <v>1</v>
      </c>
      <c r="K16" s="307" t="n">
        <v>1</v>
      </c>
    </row>
    <row r="17">
      <c r="A17" s="274" t="n">
        <v>16</v>
      </c>
      <c r="B17" s="274" t="inlineStr">
        <is>
          <t>005W6000006dEVtIAM</t>
        </is>
      </c>
      <c r="C17" s="274" t="inlineStr">
        <is>
          <t>C0065731828</t>
        </is>
      </c>
      <c r="D17" s="307" t="n">
        <v>1</v>
      </c>
      <c r="E17" s="307" t="n">
        <v>1</v>
      </c>
      <c r="F17" s="307" t="n">
        <v>1</v>
      </c>
      <c r="G17" s="307" t="n">
        <v>1</v>
      </c>
      <c r="H17" s="274" t="n">
        <v>1</v>
      </c>
      <c r="J17" s="274" t="n">
        <v>3</v>
      </c>
      <c r="K17" s="307" t="n">
        <v>1</v>
      </c>
    </row>
    <row r="18">
      <c r="A18" s="274" t="n">
        <v>17</v>
      </c>
      <c r="B18" s="274" t="inlineStr">
        <is>
          <t>005W6000006dEVtIAM</t>
        </is>
      </c>
      <c r="C18" s="274" t="inlineStr">
        <is>
          <t>C0065858010</t>
        </is>
      </c>
      <c r="D18" s="307" t="n">
        <v>0</v>
      </c>
      <c r="E18" s="307" t="n">
        <v>1</v>
      </c>
      <c r="F18" s="307" t="n">
        <v>1</v>
      </c>
      <c r="G18" s="307" t="n">
        <v>1</v>
      </c>
      <c r="H18" s="274" t="n">
        <v>1</v>
      </c>
      <c r="J18" s="274" t="n">
        <v>2</v>
      </c>
      <c r="K18" s="307" t="n">
        <v>0</v>
      </c>
    </row>
    <row r="19">
      <c r="A19" s="274" t="n">
        <v>18</v>
      </c>
      <c r="B19" s="274" t="inlineStr">
        <is>
          <t>005W6000006dEVtIAM</t>
        </is>
      </c>
      <c r="C19" s="274" t="inlineStr">
        <is>
          <t>C0065490161</t>
        </is>
      </c>
      <c r="D19" s="307" t="n">
        <v>0</v>
      </c>
      <c r="E19" s="307" t="n">
        <v>1</v>
      </c>
      <c r="F19" s="307" t="n">
        <v>1</v>
      </c>
      <c r="G19" s="307" t="n">
        <v>1</v>
      </c>
      <c r="H19" s="274" t="n">
        <v>1</v>
      </c>
      <c r="J19" s="274" t="n">
        <v>3</v>
      </c>
      <c r="K19" s="307" t="n">
        <v>0</v>
      </c>
    </row>
    <row r="20">
      <c r="A20" s="274" t="n">
        <v>19</v>
      </c>
      <c r="B20" s="274" t="inlineStr">
        <is>
          <t>005W6000006dEVtIAM</t>
        </is>
      </c>
      <c r="C20" s="274" t="inlineStr">
        <is>
          <t>C0065736797</t>
        </is>
      </c>
      <c r="D20" s="307" t="n">
        <v>0</v>
      </c>
      <c r="E20" s="307" t="n">
        <v>0</v>
      </c>
      <c r="F20" s="307" t="n">
        <v>1</v>
      </c>
      <c r="G20" s="307" t="n">
        <v>1</v>
      </c>
      <c r="K20" s="307" t="n">
        <v>0</v>
      </c>
    </row>
    <row r="21">
      <c r="A21" s="274" t="n">
        <v>20</v>
      </c>
      <c r="B21" s="274" t="inlineStr">
        <is>
          <t>005W6000006dEVtIAM</t>
        </is>
      </c>
      <c r="C21" s="274" t="inlineStr">
        <is>
          <t>C0065811598</t>
        </is>
      </c>
      <c r="D21" s="307" t="n">
        <v>0</v>
      </c>
      <c r="E21" s="307" t="n">
        <v>1</v>
      </c>
      <c r="F21" s="307" t="n">
        <v>1</v>
      </c>
      <c r="G21" s="307" t="n">
        <v>1</v>
      </c>
      <c r="H21" s="274" t="n">
        <v>1</v>
      </c>
      <c r="J21" s="274" t="n">
        <v>1</v>
      </c>
      <c r="K21" s="307" t="n">
        <v>0</v>
      </c>
    </row>
    <row r="22">
      <c r="A22" s="274" t="n">
        <v>21</v>
      </c>
      <c r="B22" s="274" t="inlineStr">
        <is>
          <t>005W6000006dEVtIAM</t>
        </is>
      </c>
      <c r="C22" s="274" t="inlineStr">
        <is>
          <t>C0065687088</t>
        </is>
      </c>
      <c r="D22" s="307" t="n">
        <v>0</v>
      </c>
      <c r="E22" s="307" t="n">
        <v>0</v>
      </c>
      <c r="F22" s="307" t="n">
        <v>1</v>
      </c>
      <c r="G22" s="307" t="n">
        <v>1</v>
      </c>
      <c r="H22" s="274" t="n">
        <v>3</v>
      </c>
      <c r="J22" s="274" t="n">
        <v>5</v>
      </c>
      <c r="K22" s="307" t="n">
        <v>1</v>
      </c>
    </row>
    <row r="23">
      <c r="A23" s="274" t="n">
        <v>22</v>
      </c>
      <c r="B23" s="274" t="inlineStr">
        <is>
          <t>005W6000006dEVtIAM</t>
        </is>
      </c>
      <c r="C23" s="274" t="inlineStr">
        <is>
          <t>C0065627611</t>
        </is>
      </c>
      <c r="D23" s="307" t="n">
        <v>0</v>
      </c>
      <c r="E23" s="307" t="n">
        <v>1</v>
      </c>
      <c r="F23" s="307" t="n">
        <v>0</v>
      </c>
      <c r="G23" s="307" t="n">
        <v>1</v>
      </c>
      <c r="K23" s="307" t="n">
        <v>0</v>
      </c>
    </row>
    <row r="24">
      <c r="A24" s="274" t="n">
        <v>23</v>
      </c>
      <c r="B24" s="274" t="inlineStr">
        <is>
          <t>005W6000006dEVtIAM</t>
        </is>
      </c>
      <c r="C24" s="274" t="inlineStr">
        <is>
          <t>C0065870676</t>
        </is>
      </c>
      <c r="D24" s="307" t="n">
        <v>0</v>
      </c>
      <c r="E24" s="307" t="n">
        <v>1</v>
      </c>
      <c r="F24" s="307" t="n">
        <v>1</v>
      </c>
      <c r="G24" s="307" t="n">
        <v>1</v>
      </c>
      <c r="H24" s="274" t="n">
        <v>1</v>
      </c>
      <c r="I24" s="274" t="n">
        <v>1</v>
      </c>
      <c r="J24" s="274" t="n">
        <v>1</v>
      </c>
      <c r="K24" s="307" t="n">
        <v>1</v>
      </c>
    </row>
    <row r="25">
      <c r="A25" s="274" t="n">
        <v>24</v>
      </c>
      <c r="B25" s="274" t="inlineStr">
        <is>
          <t>005W6000006dEVtIAM</t>
        </is>
      </c>
      <c r="C25" s="274" t="inlineStr">
        <is>
          <t>C0065490512</t>
        </is>
      </c>
      <c r="D25" s="307" t="n">
        <v>0</v>
      </c>
      <c r="E25" s="307" t="n">
        <v>1</v>
      </c>
      <c r="F25" s="307" t="n">
        <v>1</v>
      </c>
      <c r="G25" s="307" t="n">
        <v>1</v>
      </c>
      <c r="H25" s="274" t="n">
        <v>1</v>
      </c>
      <c r="J25" s="274" t="n">
        <v>3</v>
      </c>
      <c r="K25" s="307" t="n">
        <v>0</v>
      </c>
    </row>
    <row r="26">
      <c r="A26" s="274" t="n">
        <v>25</v>
      </c>
      <c r="B26" s="274" t="inlineStr">
        <is>
          <t>005W6000006dEVtIAM</t>
        </is>
      </c>
      <c r="C26" s="274" t="inlineStr">
        <is>
          <t>C0065885498</t>
        </is>
      </c>
      <c r="D26" s="307" t="n">
        <v>0</v>
      </c>
      <c r="E26" s="307" t="n">
        <v>1</v>
      </c>
      <c r="F26" s="307" t="n">
        <v>1</v>
      </c>
      <c r="G26" s="307" t="n">
        <v>1</v>
      </c>
      <c r="K26" s="307" t="n">
        <v>0</v>
      </c>
    </row>
    <row r="27">
      <c r="A27" s="274" t="n">
        <v>26</v>
      </c>
      <c r="B27" s="274" t="inlineStr">
        <is>
          <t>005W6000006dEVtIAM</t>
        </is>
      </c>
      <c r="C27" s="274" t="inlineStr">
        <is>
          <t>C0066481069</t>
        </is>
      </c>
      <c r="D27" s="307" t="n">
        <v>1</v>
      </c>
      <c r="E27" s="307" t="n">
        <v>1</v>
      </c>
      <c r="F27" s="307" t="n">
        <v>1</v>
      </c>
      <c r="G27" s="307" t="n">
        <v>1</v>
      </c>
      <c r="I27" s="274" t="n">
        <v>4</v>
      </c>
      <c r="K27" s="307" t="n">
        <v>1</v>
      </c>
    </row>
    <row r="28" customFormat="1" s="278">
      <c r="A28" s="278" t="n">
        <v>27</v>
      </c>
      <c r="B28" s="278" t="inlineStr">
        <is>
          <t>005W6000006E3llIAC</t>
        </is>
      </c>
      <c r="C28" s="278" t="inlineStr">
        <is>
          <t>C0065688812</t>
        </is>
      </c>
      <c r="D28" s="308" t="n">
        <v>1</v>
      </c>
      <c r="E28" s="308" t="n">
        <v>1</v>
      </c>
      <c r="F28" s="308" t="n">
        <v>1</v>
      </c>
      <c r="G28" s="308" t="n">
        <v>1</v>
      </c>
      <c r="H28" s="278" t="n">
        <v>4</v>
      </c>
      <c r="I28" s="278" t="n">
        <v>4</v>
      </c>
      <c r="J28" s="278" t="n">
        <v>4</v>
      </c>
      <c r="K28" s="308" t="n">
        <v>1</v>
      </c>
      <c r="M28" s="280" t="inlineStr">
        <is>
          <t>UAE</t>
        </is>
      </c>
      <c r="N28" s="280" t="inlineStr">
        <is>
          <t>lead to btq</t>
        </is>
      </c>
      <c r="O28" s="281" t="inlineStr">
        <is>
          <t>Met with Georgios (need time to decide)</t>
        </is>
      </c>
    </row>
    <row r="29" customFormat="1" s="278">
      <c r="A29" s="278" t="n">
        <v>28</v>
      </c>
      <c r="B29" s="278" t="inlineStr">
        <is>
          <t>005W6000006E3llIAC</t>
        </is>
      </c>
      <c r="C29" s="278" t="inlineStr">
        <is>
          <t>C0065869961</t>
        </is>
      </c>
      <c r="D29" s="308" t="n">
        <v>1</v>
      </c>
      <c r="E29" s="308" t="n">
        <v>1</v>
      </c>
      <c r="F29" s="308" t="n">
        <v>1</v>
      </c>
      <c r="G29" s="308" t="n">
        <v>1</v>
      </c>
      <c r="H29" s="278" t="n">
        <v>2</v>
      </c>
      <c r="I29" s="278" t="n">
        <v>1</v>
      </c>
      <c r="J29" s="278" t="n">
        <v>2</v>
      </c>
      <c r="K29" s="308" t="n">
        <v>1</v>
      </c>
      <c r="M29" s="280" t="inlineStr">
        <is>
          <t>UAE</t>
        </is>
      </c>
      <c r="N29" s="280" t="inlineStr">
        <is>
          <t>222 WAIT LIST</t>
        </is>
      </c>
      <c r="O29" s="281" t="n"/>
    </row>
    <row r="30" customFormat="1" s="278">
      <c r="A30" s="278" t="n">
        <v>29</v>
      </c>
      <c r="B30" s="278" t="inlineStr">
        <is>
          <t>005W6000006E3llIAC</t>
        </is>
      </c>
      <c r="C30" s="278" t="inlineStr">
        <is>
          <t>C0065489112</t>
        </is>
      </c>
      <c r="D30" s="308" t="n">
        <v>1</v>
      </c>
      <c r="E30" s="308" t="n">
        <v>1</v>
      </c>
      <c r="F30" s="308" t="n">
        <v>0</v>
      </c>
      <c r="G30" s="308" t="n">
        <v>1</v>
      </c>
      <c r="H30" s="278" t="n">
        <v>2</v>
      </c>
      <c r="J30" s="278" t="n">
        <v>2</v>
      </c>
      <c r="K30" s="308" t="n">
        <v>0</v>
      </c>
      <c r="M30" s="280" t="inlineStr">
        <is>
          <t>India</t>
        </is>
      </c>
      <c r="N30" s="280" t="n">
        <v>222</v>
      </c>
      <c r="O30" s="281" t="inlineStr">
        <is>
          <t>Client never responded</t>
        </is>
      </c>
    </row>
    <row r="31" customFormat="1" s="278">
      <c r="A31" s="278" t="n">
        <v>30</v>
      </c>
      <c r="B31" s="278" t="inlineStr">
        <is>
          <t>005W6000006E3llIAC</t>
        </is>
      </c>
      <c r="C31" s="278" t="inlineStr">
        <is>
          <t>C0065370671</t>
        </is>
      </c>
      <c r="D31" s="308" t="n">
        <v>0</v>
      </c>
      <c r="E31" s="308" t="n">
        <v>0</v>
      </c>
      <c r="F31" s="308" t="n">
        <v>1</v>
      </c>
      <c r="G31" s="308" t="n">
        <v>1</v>
      </c>
      <c r="H31" s="278" t="n">
        <v>1</v>
      </c>
      <c r="J31" s="278" t="n">
        <v>2</v>
      </c>
      <c r="K31" s="308" t="n">
        <v>0</v>
      </c>
      <c r="M31" s="280" t="inlineStr">
        <is>
          <t>India</t>
        </is>
      </c>
      <c r="N31" s="280" t="inlineStr">
        <is>
          <t>Informed no btq in India</t>
        </is>
      </c>
      <c r="O31" s="281" t="inlineStr">
        <is>
          <t>Client will think what to do (messaged on whatsapp)</t>
        </is>
      </c>
    </row>
    <row r="32" customFormat="1" s="278">
      <c r="A32" s="278" t="n">
        <v>31</v>
      </c>
      <c r="B32" s="278" t="inlineStr">
        <is>
          <t>005W6000006E3llIAC</t>
        </is>
      </c>
      <c r="C32" s="278" t="inlineStr">
        <is>
          <t>C0065518714</t>
        </is>
      </c>
      <c r="D32" s="308" t="n">
        <v>0</v>
      </c>
      <c r="E32" s="308" t="n">
        <v>0</v>
      </c>
      <c r="F32" s="308" t="n">
        <v>1</v>
      </c>
      <c r="G32" s="308" t="n">
        <v>1</v>
      </c>
      <c r="H32" s="278" t="n">
        <v>1</v>
      </c>
      <c r="J32" s="278" t="n">
        <v>1</v>
      </c>
      <c r="K32" s="308" t="n">
        <v>0</v>
      </c>
      <c r="M32" s="280" t="n"/>
      <c r="N32" s="280" t="n"/>
      <c r="O32" s="281" t="n"/>
    </row>
    <row r="33" customFormat="1" s="278">
      <c r="A33" s="278" t="n">
        <v>32</v>
      </c>
      <c r="B33" s="278" t="inlineStr">
        <is>
          <t>005W6000006E3llIAC</t>
        </is>
      </c>
      <c r="C33" s="278" t="inlineStr">
        <is>
          <t>C0065367665</t>
        </is>
      </c>
      <c r="D33" s="308" t="n">
        <v>0</v>
      </c>
      <c r="E33" s="308" t="n">
        <v>1</v>
      </c>
      <c r="F33" s="308" t="n">
        <v>1</v>
      </c>
      <c r="G33" s="308" t="n">
        <v>1</v>
      </c>
      <c r="H33" s="278" t="n">
        <v>1</v>
      </c>
      <c r="J33" s="278" t="n">
        <v>4</v>
      </c>
      <c r="K33" s="308" t="n">
        <v>0</v>
      </c>
      <c r="M33" s="280" t="n"/>
      <c r="N33" s="280" t="n"/>
      <c r="O33" s="281" t="n"/>
    </row>
    <row r="34" customFormat="1" s="278">
      <c r="A34" s="278" t="n">
        <v>33</v>
      </c>
      <c r="B34" s="278" t="inlineStr">
        <is>
          <t>005W6000006E3llIAC</t>
        </is>
      </c>
      <c r="C34" s="278" t="inlineStr">
        <is>
          <t>C0065732074</t>
        </is>
      </c>
      <c r="D34" s="308" t="n">
        <v>0</v>
      </c>
      <c r="E34" s="308" t="n">
        <v>1</v>
      </c>
      <c r="F34" s="308" t="n">
        <v>1</v>
      </c>
      <c r="G34" s="308" t="n">
        <v>1</v>
      </c>
      <c r="H34" s="278" t="n">
        <v>1</v>
      </c>
      <c r="J34" s="278" t="n">
        <v>1</v>
      </c>
      <c r="K34" s="308" t="n">
        <v>0</v>
      </c>
      <c r="M34" s="280" t="n"/>
      <c r="N34" s="280" t="n"/>
      <c r="O34" s="281" t="n"/>
    </row>
    <row r="35" customFormat="1" s="278">
      <c r="A35" s="278" t="n">
        <v>34</v>
      </c>
      <c r="B35" s="278" t="inlineStr">
        <is>
          <t>005W6000006E3llIAC</t>
        </is>
      </c>
      <c r="C35" s="278" t="inlineStr">
        <is>
          <t>C0065749538</t>
        </is>
      </c>
      <c r="D35" s="308" t="n">
        <v>0</v>
      </c>
      <c r="E35" s="308" t="n">
        <v>1</v>
      </c>
      <c r="F35" s="308" t="n">
        <v>1</v>
      </c>
      <c r="G35" s="308" t="n">
        <v>1</v>
      </c>
      <c r="H35" s="278" t="n">
        <v>1</v>
      </c>
      <c r="I35" s="278" t="n">
        <v>1</v>
      </c>
      <c r="J35" s="278" t="n">
        <v>1</v>
      </c>
      <c r="K35" s="308" t="n">
        <v>0</v>
      </c>
      <c r="M35" s="280" t="n"/>
      <c r="N35" s="280" t="n"/>
      <c r="O35" s="281" t="n"/>
    </row>
    <row r="36" customFormat="1" s="278">
      <c r="A36" s="278" t="n">
        <v>35</v>
      </c>
      <c r="B36" s="278" t="inlineStr">
        <is>
          <t>005W6000006E3llIAC</t>
        </is>
      </c>
      <c r="C36" s="278" t="inlineStr">
        <is>
          <t>C0065866448</t>
        </is>
      </c>
      <c r="D36" s="308" t="n">
        <v>1</v>
      </c>
      <c r="E36" s="308" t="n">
        <v>1</v>
      </c>
      <c r="F36" s="308" t="n">
        <v>1</v>
      </c>
      <c r="G36" s="308" t="n">
        <v>1</v>
      </c>
      <c r="H36" s="278" t="n">
        <v>2</v>
      </c>
      <c r="J36" s="278" t="n">
        <v>2</v>
      </c>
      <c r="K36" s="308" t="n">
        <v>0</v>
      </c>
      <c r="M36" s="280" t="n"/>
      <c r="N36" s="280" t="n"/>
      <c r="O36" s="281" t="n"/>
    </row>
    <row r="37" customFormat="1" s="278">
      <c r="A37" s="278" t="n">
        <v>36</v>
      </c>
      <c r="B37" s="278" t="inlineStr">
        <is>
          <t>005W6000006E3llIAC</t>
        </is>
      </c>
      <c r="C37" s="278" t="inlineStr">
        <is>
          <t>C0065397432</t>
        </is>
      </c>
      <c r="D37" s="308" t="n">
        <v>0</v>
      </c>
      <c r="E37" s="308" t="n">
        <v>0</v>
      </c>
      <c r="F37" s="308" t="n">
        <v>1</v>
      </c>
      <c r="G37" s="308" t="n">
        <v>1</v>
      </c>
      <c r="H37" s="278" t="n">
        <v>1</v>
      </c>
      <c r="J37" s="278" t="n">
        <v>3</v>
      </c>
      <c r="K37" s="308" t="n">
        <v>0</v>
      </c>
      <c r="M37" s="280" t="n"/>
      <c r="N37" s="280" t="n"/>
      <c r="O37" s="281" t="n"/>
    </row>
    <row r="38" customFormat="1" s="278">
      <c r="A38" s="278" t="n">
        <v>37</v>
      </c>
      <c r="B38" s="278" t="inlineStr">
        <is>
          <t>005W6000006E3llIAC</t>
        </is>
      </c>
      <c r="C38" s="278" t="inlineStr">
        <is>
          <t>C0065432613</t>
        </is>
      </c>
      <c r="D38" s="308" t="n">
        <v>0</v>
      </c>
      <c r="E38" s="308" t="n">
        <v>1</v>
      </c>
      <c r="F38" s="308" t="n">
        <v>1</v>
      </c>
      <c r="G38" s="308" t="n">
        <v>1</v>
      </c>
      <c r="H38" s="278" t="n">
        <v>1</v>
      </c>
      <c r="J38" s="278" t="n">
        <v>1</v>
      </c>
      <c r="K38" s="308" t="n">
        <v>0</v>
      </c>
      <c r="M38" s="280" t="n"/>
      <c r="N38" s="280" t="n"/>
      <c r="O38" s="281" t="n"/>
    </row>
    <row r="39" customFormat="1" s="278">
      <c r="A39" s="278" t="n">
        <v>38</v>
      </c>
      <c r="B39" s="278" t="inlineStr">
        <is>
          <t>005W6000006E3llIAC</t>
        </is>
      </c>
      <c r="C39" s="278" t="inlineStr">
        <is>
          <t>C0065489590</t>
        </is>
      </c>
      <c r="D39" s="308" t="n">
        <v>0</v>
      </c>
      <c r="E39" s="308" t="n">
        <v>1</v>
      </c>
      <c r="F39" s="308" t="n">
        <v>1</v>
      </c>
      <c r="G39" s="308" t="n">
        <v>1</v>
      </c>
      <c r="H39" s="278" t="n">
        <v>1</v>
      </c>
      <c r="J39" s="278" t="n">
        <v>1</v>
      </c>
      <c r="K39" s="308" t="n">
        <v>0</v>
      </c>
      <c r="M39" s="280" t="n"/>
      <c r="N39" s="280" t="n"/>
      <c r="O39" s="281" t="n"/>
    </row>
    <row r="40" customFormat="1" s="278">
      <c r="A40" s="278" t="n">
        <v>39</v>
      </c>
      <c r="B40" s="278" t="inlineStr">
        <is>
          <t>005W6000006E3llIAC</t>
        </is>
      </c>
      <c r="C40" s="278" t="inlineStr">
        <is>
          <t>C0065365943</t>
        </is>
      </c>
      <c r="D40" s="308" t="n">
        <v>1</v>
      </c>
      <c r="E40" s="308" t="n">
        <v>1</v>
      </c>
      <c r="F40" s="308" t="n">
        <v>1</v>
      </c>
      <c r="G40" s="308" t="n">
        <v>1</v>
      </c>
      <c r="H40" s="278" t="n">
        <v>1</v>
      </c>
      <c r="I40" s="278" t="n">
        <v>3</v>
      </c>
      <c r="J40" s="278" t="n">
        <v>2</v>
      </c>
      <c r="K40" s="308" t="n">
        <v>0</v>
      </c>
      <c r="M40" s="280" t="n"/>
      <c r="N40" s="280" t="n"/>
      <c r="O40" s="281" t="n"/>
    </row>
    <row r="41" customFormat="1" s="278">
      <c r="A41" s="278" t="n">
        <v>40</v>
      </c>
      <c r="B41" s="278" t="inlineStr">
        <is>
          <t>005W6000006E3llIAC</t>
        </is>
      </c>
      <c r="C41" s="278" t="inlineStr">
        <is>
          <t>C0065673037</t>
        </is>
      </c>
      <c r="D41" s="308" t="n">
        <v>0</v>
      </c>
      <c r="E41" s="308" t="n">
        <v>1</v>
      </c>
      <c r="F41" s="308" t="n">
        <v>1</v>
      </c>
      <c r="G41" s="308" t="n">
        <v>1</v>
      </c>
      <c r="H41" s="278" t="n">
        <v>1</v>
      </c>
      <c r="J41" s="278" t="n">
        <v>6</v>
      </c>
      <c r="K41" s="308" t="n">
        <v>0</v>
      </c>
      <c r="M41" s="280" t="n"/>
      <c r="N41" s="280" t="n"/>
      <c r="O41" s="281" t="n"/>
    </row>
    <row r="42" customFormat="1" s="278">
      <c r="A42" s="278" t="n">
        <v>41</v>
      </c>
      <c r="B42" s="278" t="inlineStr">
        <is>
          <t>005W6000006E3llIAC</t>
        </is>
      </c>
      <c r="C42" s="278" t="inlineStr">
        <is>
          <t>C0065870801</t>
        </is>
      </c>
      <c r="D42" s="308" t="n">
        <v>1</v>
      </c>
      <c r="E42" s="308" t="n">
        <v>1</v>
      </c>
      <c r="F42" s="308" t="n">
        <v>1</v>
      </c>
      <c r="G42" s="308" t="n">
        <v>1</v>
      </c>
      <c r="H42" s="278" t="n">
        <v>2</v>
      </c>
      <c r="J42" s="278" t="n">
        <v>2</v>
      </c>
      <c r="K42" s="308" t="n">
        <v>0</v>
      </c>
      <c r="M42" s="280" t="n"/>
      <c r="N42" s="280" t="n"/>
      <c r="O42" s="281" t="n"/>
    </row>
    <row r="43" customFormat="1" s="278">
      <c r="A43" s="278" t="n">
        <v>42</v>
      </c>
      <c r="B43" s="278" t="inlineStr">
        <is>
          <t>005W6000006E3llIAC</t>
        </is>
      </c>
      <c r="C43" s="278" t="inlineStr">
        <is>
          <t>C0065865605</t>
        </is>
      </c>
      <c r="D43" s="308" t="n">
        <v>0</v>
      </c>
      <c r="E43" s="308" t="n">
        <v>1</v>
      </c>
      <c r="F43" s="308" t="n">
        <v>1</v>
      </c>
      <c r="G43" s="308" t="n">
        <v>1</v>
      </c>
      <c r="H43" s="278" t="n">
        <v>1</v>
      </c>
      <c r="J43" s="278" t="n">
        <v>1</v>
      </c>
      <c r="K43" s="308" t="n">
        <v>0</v>
      </c>
      <c r="M43" s="280" t="n"/>
      <c r="N43" s="280" t="n"/>
      <c r="O43" s="281" t="n"/>
    </row>
    <row r="44" customFormat="1" s="278">
      <c r="A44" s="278" t="n">
        <v>43</v>
      </c>
      <c r="B44" s="278" t="inlineStr">
        <is>
          <t>005W6000006E3llIAC</t>
        </is>
      </c>
      <c r="C44" s="278" t="inlineStr">
        <is>
          <t>C0065866985</t>
        </is>
      </c>
      <c r="D44" s="308" t="n">
        <v>0</v>
      </c>
      <c r="E44" s="308" t="n">
        <v>1</v>
      </c>
      <c r="F44" s="308" t="n">
        <v>1</v>
      </c>
      <c r="G44" s="308" t="n">
        <v>1</v>
      </c>
      <c r="H44" s="278" t="n">
        <v>1</v>
      </c>
      <c r="J44" s="278" t="n">
        <v>1</v>
      </c>
      <c r="K44" s="308" t="n">
        <v>0</v>
      </c>
      <c r="M44" s="280" t="n"/>
      <c r="N44" s="280" t="n"/>
      <c r="O44" s="281" t="n"/>
    </row>
    <row r="45" customFormat="1" s="278">
      <c r="A45" s="278" t="n">
        <v>44</v>
      </c>
      <c r="B45" s="278" t="inlineStr">
        <is>
          <t>005W6000006E3llIAC</t>
        </is>
      </c>
      <c r="C45" s="278" t="inlineStr">
        <is>
          <t>C0065750225</t>
        </is>
      </c>
      <c r="D45" s="308" t="n">
        <v>1</v>
      </c>
      <c r="E45" s="308" t="n">
        <v>1</v>
      </c>
      <c r="F45" s="308" t="n">
        <v>1</v>
      </c>
      <c r="G45" s="308" t="n">
        <v>1</v>
      </c>
      <c r="H45" s="278" t="n">
        <v>4</v>
      </c>
      <c r="I45" s="278" t="n">
        <v>7</v>
      </c>
      <c r="J45" s="278" t="n">
        <v>7</v>
      </c>
      <c r="K45" s="308" t="n">
        <v>1</v>
      </c>
      <c r="M45" s="280" t="n"/>
      <c r="N45" s="280" t="n"/>
      <c r="O45" s="281" t="n"/>
    </row>
    <row r="46" customFormat="1" s="278">
      <c r="A46" s="278" t="n">
        <v>45</v>
      </c>
      <c r="B46" s="278" t="inlineStr">
        <is>
          <t>005W6000006E3llIAC</t>
        </is>
      </c>
      <c r="C46" s="278" t="inlineStr">
        <is>
          <t>C0065369643</t>
        </is>
      </c>
      <c r="D46" s="308" t="n">
        <v>0</v>
      </c>
      <c r="E46" s="308" t="n">
        <v>1</v>
      </c>
      <c r="F46" s="308" t="n">
        <v>0</v>
      </c>
      <c r="G46" s="308" t="n">
        <v>1</v>
      </c>
      <c r="H46" s="278" t="n">
        <v>1</v>
      </c>
      <c r="I46" s="278" t="n">
        <v>3</v>
      </c>
      <c r="J46" s="278" t="n">
        <v>1</v>
      </c>
      <c r="K46" s="308" t="n">
        <v>0</v>
      </c>
      <c r="M46" s="280" t="n"/>
      <c r="N46" s="280" t="n"/>
      <c r="O46" s="281" t="n"/>
    </row>
    <row r="47" customFormat="1" s="278">
      <c r="A47" s="278" t="n">
        <v>46</v>
      </c>
      <c r="B47" s="278" t="inlineStr">
        <is>
          <t>005W6000006E3llIAC</t>
        </is>
      </c>
      <c r="C47" s="278" t="inlineStr">
        <is>
          <t>C0065379956</t>
        </is>
      </c>
      <c r="D47" s="308" t="n">
        <v>1</v>
      </c>
      <c r="E47" s="308" t="n">
        <v>1</v>
      </c>
      <c r="F47" s="308" t="n">
        <v>1</v>
      </c>
      <c r="G47" s="308" t="n">
        <v>1</v>
      </c>
      <c r="H47" s="278" t="n">
        <v>2</v>
      </c>
      <c r="J47" s="278" t="n">
        <v>2</v>
      </c>
      <c r="K47" s="308" t="n">
        <v>1</v>
      </c>
      <c r="M47" s="280" t="n"/>
      <c r="N47" s="280" t="n"/>
      <c r="O47" s="281" t="n"/>
    </row>
    <row r="48" customFormat="1" s="278">
      <c r="A48" s="278" t="n">
        <v>47</v>
      </c>
      <c r="B48" s="278" t="inlineStr">
        <is>
          <t>005W6000006E3llIAC</t>
        </is>
      </c>
      <c r="C48" s="278" t="inlineStr">
        <is>
          <t>C0065379367</t>
        </is>
      </c>
      <c r="D48" s="308" t="n">
        <v>1</v>
      </c>
      <c r="E48" s="308" t="n">
        <v>1</v>
      </c>
      <c r="F48" s="308" t="n">
        <v>1</v>
      </c>
      <c r="G48" s="308" t="n">
        <v>1</v>
      </c>
      <c r="H48" s="278" t="n">
        <v>2</v>
      </c>
      <c r="J48" s="278" t="n">
        <v>2</v>
      </c>
      <c r="K48" s="308" t="n">
        <v>0</v>
      </c>
      <c r="M48" s="280" t="n"/>
      <c r="N48" s="280" t="n"/>
      <c r="O48" s="281" t="n"/>
    </row>
    <row r="49" customFormat="1" s="278">
      <c r="A49" s="278" t="n">
        <v>48</v>
      </c>
      <c r="B49" s="278" t="inlineStr">
        <is>
          <t>005W6000006E3llIAC</t>
        </is>
      </c>
      <c r="C49" s="278" t="inlineStr">
        <is>
          <t>C0065643633</t>
        </is>
      </c>
      <c r="D49" s="308" t="n">
        <v>0</v>
      </c>
      <c r="E49" s="308" t="n">
        <v>1</v>
      </c>
      <c r="F49" s="308" t="n">
        <v>1</v>
      </c>
      <c r="G49" s="308" t="n">
        <v>1</v>
      </c>
      <c r="H49" s="278" t="n">
        <v>1</v>
      </c>
      <c r="J49" s="278" t="n">
        <v>4</v>
      </c>
      <c r="K49" s="308" t="n">
        <v>0</v>
      </c>
      <c r="M49" s="280" t="n"/>
      <c r="N49" s="280" t="n"/>
      <c r="O49" s="281" t="n"/>
    </row>
    <row r="50">
      <c r="A50" s="274" t="n">
        <v>49</v>
      </c>
      <c r="B50" s="274" t="inlineStr">
        <is>
          <t>0051i000003vlF9AAI</t>
        </is>
      </c>
      <c r="C50" s="274" t="inlineStr">
        <is>
          <t>C0065811069</t>
        </is>
      </c>
      <c r="D50" s="307" t="n">
        <v>0</v>
      </c>
      <c r="E50" s="307" t="n">
        <v>1</v>
      </c>
      <c r="F50" s="307" t="n">
        <v>1</v>
      </c>
      <c r="G50" s="307" t="n">
        <v>1</v>
      </c>
      <c r="K50" s="307" t="n">
        <v>0</v>
      </c>
    </row>
    <row r="51">
      <c r="A51" s="274" t="n">
        <v>50</v>
      </c>
      <c r="B51" s="274" t="inlineStr">
        <is>
          <t>0051i000003vlF9AAI</t>
        </is>
      </c>
      <c r="C51" s="274" t="inlineStr">
        <is>
          <t>C0065394792</t>
        </is>
      </c>
      <c r="D51" s="307" t="n">
        <v>0</v>
      </c>
      <c r="E51" s="307" t="n">
        <v>1</v>
      </c>
      <c r="F51" s="307" t="n">
        <v>1</v>
      </c>
      <c r="G51" s="307" t="n">
        <v>1</v>
      </c>
      <c r="K51" s="307" t="n">
        <v>0</v>
      </c>
    </row>
    <row r="52">
      <c r="A52" s="274" t="n">
        <v>51</v>
      </c>
      <c r="B52" s="274" t="inlineStr">
        <is>
          <t>0051i000003vlF9AAI</t>
        </is>
      </c>
      <c r="C52" s="274" t="inlineStr">
        <is>
          <t>C0065393863</t>
        </is>
      </c>
      <c r="D52" s="307" t="n">
        <v>0</v>
      </c>
      <c r="E52" s="307" t="n">
        <v>1</v>
      </c>
      <c r="F52" s="307" t="n">
        <v>1</v>
      </c>
      <c r="G52" s="307" t="n">
        <v>1</v>
      </c>
      <c r="K52" s="307" t="n">
        <v>0</v>
      </c>
    </row>
    <row r="53">
      <c r="A53" s="274" t="n">
        <v>52</v>
      </c>
      <c r="B53" s="274" t="inlineStr">
        <is>
          <t>0051i000003vlF9AAI</t>
        </is>
      </c>
      <c r="C53" s="274" t="inlineStr">
        <is>
          <t>C0065532876</t>
        </is>
      </c>
      <c r="D53" s="307" t="n">
        <v>0</v>
      </c>
      <c r="E53" s="307" t="n">
        <v>1</v>
      </c>
      <c r="F53" s="307" t="n">
        <v>1</v>
      </c>
      <c r="G53" s="307" t="n">
        <v>1</v>
      </c>
      <c r="K53" s="307" t="n">
        <v>0</v>
      </c>
    </row>
    <row r="54">
      <c r="A54" s="274" t="n">
        <v>53</v>
      </c>
      <c r="B54" s="274" t="inlineStr">
        <is>
          <t>0051i000003vlF9AAI</t>
        </is>
      </c>
      <c r="C54" s="274" t="inlineStr">
        <is>
          <t>C0065643405</t>
        </is>
      </c>
      <c r="D54" s="307" t="n">
        <v>0</v>
      </c>
      <c r="E54" s="307" t="n">
        <v>1</v>
      </c>
      <c r="F54" s="307" t="n">
        <v>1</v>
      </c>
      <c r="G54" s="307" t="n">
        <v>1</v>
      </c>
      <c r="K54" s="307" t="n">
        <v>0</v>
      </c>
    </row>
    <row r="55">
      <c r="A55" s="274" t="n">
        <v>54</v>
      </c>
      <c r="B55" s="274" t="inlineStr">
        <is>
          <t>0051i000003vlF9AAI</t>
        </is>
      </c>
      <c r="C55" s="274" t="inlineStr">
        <is>
          <t>C0065625364</t>
        </is>
      </c>
      <c r="D55" s="307" t="n">
        <v>0</v>
      </c>
      <c r="E55" s="307" t="n">
        <v>1</v>
      </c>
      <c r="F55" s="307" t="n">
        <v>1</v>
      </c>
      <c r="G55" s="307" t="n">
        <v>1</v>
      </c>
      <c r="K55" s="307" t="n">
        <v>0</v>
      </c>
    </row>
    <row r="56">
      <c r="A56" s="274" t="n">
        <v>55</v>
      </c>
      <c r="B56" s="274" t="inlineStr">
        <is>
          <t>0051i000003vlF9AAI</t>
        </is>
      </c>
      <c r="C56" s="274" t="inlineStr">
        <is>
          <t>C0065537132</t>
        </is>
      </c>
      <c r="D56" s="307" t="n">
        <v>0</v>
      </c>
      <c r="E56" s="307" t="n">
        <v>1</v>
      </c>
      <c r="F56" s="307" t="n">
        <v>1</v>
      </c>
      <c r="G56" s="307" t="n">
        <v>1</v>
      </c>
      <c r="H56" s="274" t="n">
        <v>1</v>
      </c>
      <c r="I56" s="274" t="n">
        <v>1</v>
      </c>
      <c r="J56" s="274" t="n">
        <v>1</v>
      </c>
      <c r="K56" s="307" t="n">
        <v>1</v>
      </c>
    </row>
    <row r="57">
      <c r="A57" s="274" t="n">
        <v>56</v>
      </c>
      <c r="B57" s="274" t="inlineStr">
        <is>
          <t>0051i000003vlF9AAI</t>
        </is>
      </c>
      <c r="C57" s="274" t="inlineStr">
        <is>
          <t>C0065774382</t>
        </is>
      </c>
      <c r="D57" s="307" t="n">
        <v>0</v>
      </c>
      <c r="E57" s="307" t="n">
        <v>1</v>
      </c>
      <c r="F57" s="307" t="n">
        <v>1</v>
      </c>
      <c r="G57" s="307" t="n">
        <v>1</v>
      </c>
      <c r="K57" s="307" t="n">
        <v>0</v>
      </c>
    </row>
    <row r="58">
      <c r="A58" s="274" t="n">
        <v>57</v>
      </c>
      <c r="B58" s="274" t="inlineStr">
        <is>
          <t>0051i000003vlF9AAI</t>
        </is>
      </c>
      <c r="C58" s="274" t="inlineStr">
        <is>
          <t>C0065383367</t>
        </is>
      </c>
      <c r="D58" s="307" t="n">
        <v>0</v>
      </c>
      <c r="E58" s="307" t="n">
        <v>1</v>
      </c>
      <c r="F58" s="307" t="n">
        <v>1</v>
      </c>
      <c r="G58" s="307" t="n">
        <v>1</v>
      </c>
      <c r="K58" s="307" t="n">
        <v>0</v>
      </c>
    </row>
    <row r="59">
      <c r="A59" s="274" t="n">
        <v>58</v>
      </c>
      <c r="B59" s="274" t="inlineStr">
        <is>
          <t>0051i000003vlF9AAI</t>
        </is>
      </c>
      <c r="C59" s="274" t="inlineStr">
        <is>
          <t>C0065385384</t>
        </is>
      </c>
      <c r="D59" s="307" t="n">
        <v>0</v>
      </c>
      <c r="E59" s="307" t="n">
        <v>1</v>
      </c>
      <c r="F59" s="307" t="n">
        <v>1</v>
      </c>
      <c r="G59" s="307" t="n">
        <v>1</v>
      </c>
      <c r="K59" s="307" t="n">
        <v>0</v>
      </c>
    </row>
    <row r="60">
      <c r="A60" s="274" t="n">
        <v>59</v>
      </c>
      <c r="B60" s="274" t="inlineStr">
        <is>
          <t>0051i000003vlF9AAI</t>
        </is>
      </c>
      <c r="C60" s="274" t="inlineStr">
        <is>
          <t>C0065384356</t>
        </is>
      </c>
      <c r="D60" s="307" t="n">
        <v>0</v>
      </c>
      <c r="E60" s="307" t="n">
        <v>1</v>
      </c>
      <c r="F60" s="307" t="n">
        <v>1</v>
      </c>
      <c r="G60" s="307" t="n">
        <v>1</v>
      </c>
      <c r="K60" s="307" t="n">
        <v>0</v>
      </c>
    </row>
    <row r="61">
      <c r="A61" s="274" t="n">
        <v>60</v>
      </c>
      <c r="B61" s="274" t="inlineStr">
        <is>
          <t>0051i000003vlF9AAI</t>
        </is>
      </c>
      <c r="C61" s="274" t="inlineStr">
        <is>
          <t>C0065538637</t>
        </is>
      </c>
      <c r="D61" s="307" t="n">
        <v>0</v>
      </c>
      <c r="E61" s="307" t="n">
        <v>1</v>
      </c>
      <c r="F61" s="307" t="n">
        <v>1</v>
      </c>
      <c r="G61" s="307" t="n">
        <v>1</v>
      </c>
      <c r="K61" s="307" t="n">
        <v>0</v>
      </c>
    </row>
    <row r="62">
      <c r="A62" s="274" t="n">
        <v>61</v>
      </c>
      <c r="B62" s="274" t="inlineStr">
        <is>
          <t>0051i000003vlF9AAI</t>
        </is>
      </c>
      <c r="C62" s="274" t="inlineStr">
        <is>
          <t>C0065670998</t>
        </is>
      </c>
      <c r="D62" s="307" t="n">
        <v>0</v>
      </c>
      <c r="E62" s="307" t="n">
        <v>1</v>
      </c>
      <c r="F62" s="307" t="n">
        <v>1</v>
      </c>
      <c r="G62" s="307" t="n">
        <v>1</v>
      </c>
      <c r="K62" s="307" t="n">
        <v>0</v>
      </c>
    </row>
    <row r="63">
      <c r="A63" s="274" t="n">
        <v>62</v>
      </c>
      <c r="B63" s="274" t="inlineStr">
        <is>
          <t>0051i000003vlF9AAI</t>
        </is>
      </c>
      <c r="C63" s="274" t="inlineStr">
        <is>
          <t>C0065512453</t>
        </is>
      </c>
      <c r="D63" s="307" t="n">
        <v>1</v>
      </c>
      <c r="E63" s="307" t="n">
        <v>1</v>
      </c>
      <c r="F63" s="307" t="n">
        <v>1</v>
      </c>
      <c r="G63" s="307" t="n">
        <v>1</v>
      </c>
      <c r="H63" s="274" t="n">
        <v>2</v>
      </c>
      <c r="I63" s="274" t="n">
        <v>2</v>
      </c>
      <c r="J63" s="274" t="n">
        <v>3</v>
      </c>
      <c r="K63" s="307" t="n">
        <v>1</v>
      </c>
    </row>
    <row r="64">
      <c r="A64" s="274" t="n">
        <v>63</v>
      </c>
      <c r="B64" s="274" t="inlineStr">
        <is>
          <t>0051i000003vlF9AAI</t>
        </is>
      </c>
      <c r="C64" s="274" t="inlineStr">
        <is>
          <t>C0065362436</t>
        </is>
      </c>
      <c r="D64" s="307" t="n">
        <v>1</v>
      </c>
      <c r="E64" s="307" t="n">
        <v>1</v>
      </c>
      <c r="F64" s="307" t="n">
        <v>1</v>
      </c>
      <c r="G64" s="307" t="n">
        <v>1</v>
      </c>
      <c r="H64" s="274" t="n">
        <v>2</v>
      </c>
      <c r="I64" s="274" t="n">
        <v>2</v>
      </c>
      <c r="J64" s="274" t="n">
        <v>2</v>
      </c>
      <c r="K64" s="307" t="n">
        <v>1</v>
      </c>
    </row>
    <row r="65">
      <c r="A65" s="274" t="n">
        <v>64</v>
      </c>
      <c r="B65" s="274" t="inlineStr">
        <is>
          <t>0051i000003vlF9AAI</t>
        </is>
      </c>
      <c r="C65" s="274" t="inlineStr">
        <is>
          <t>C0065684250</t>
        </is>
      </c>
      <c r="D65" s="307" t="n">
        <v>0</v>
      </c>
      <c r="E65" s="307" t="n">
        <v>1</v>
      </c>
      <c r="F65" s="307" t="n">
        <v>1</v>
      </c>
      <c r="G65" s="307" t="n">
        <v>1</v>
      </c>
      <c r="K65" s="307" t="n">
        <v>0</v>
      </c>
    </row>
    <row r="66">
      <c r="A66" s="274" t="n">
        <v>65</v>
      </c>
      <c r="B66" s="274" t="inlineStr">
        <is>
          <t>0051i000003vlF9AAI</t>
        </is>
      </c>
      <c r="C66" s="274" t="inlineStr">
        <is>
          <t>C0065621253</t>
        </is>
      </c>
      <c r="D66" s="307" t="n">
        <v>0</v>
      </c>
      <c r="E66" s="307" t="n">
        <v>1</v>
      </c>
      <c r="F66" s="307" t="n">
        <v>1</v>
      </c>
      <c r="G66" s="307" t="n">
        <v>1</v>
      </c>
      <c r="K66" s="307" t="n">
        <v>0</v>
      </c>
    </row>
    <row r="67">
      <c r="A67" s="274" t="n">
        <v>66</v>
      </c>
      <c r="B67" s="274" t="inlineStr">
        <is>
          <t>0051i000003vlF9AAI</t>
        </is>
      </c>
      <c r="C67" s="274" t="inlineStr">
        <is>
          <t>C0065518036</t>
        </is>
      </c>
      <c r="D67" s="307" t="n">
        <v>0</v>
      </c>
      <c r="E67" s="307" t="n">
        <v>1</v>
      </c>
      <c r="F67" s="307" t="n">
        <v>1</v>
      </c>
      <c r="G67" s="307" t="n">
        <v>1</v>
      </c>
      <c r="K67" s="307" t="n">
        <v>0</v>
      </c>
    </row>
    <row r="68">
      <c r="A68" s="274" t="n">
        <v>67</v>
      </c>
      <c r="B68" s="274" t="inlineStr">
        <is>
          <t>0051i000003vlF9AAI</t>
        </is>
      </c>
      <c r="C68" s="274" t="inlineStr">
        <is>
          <t>C0065549830</t>
        </is>
      </c>
      <c r="D68" s="307" t="n">
        <v>0</v>
      </c>
      <c r="E68" s="307" t="n">
        <v>1</v>
      </c>
      <c r="F68" s="307" t="n">
        <v>1</v>
      </c>
      <c r="G68" s="307" t="n">
        <v>1</v>
      </c>
      <c r="H68" s="274" t="n">
        <v>1</v>
      </c>
      <c r="I68" s="274" t="n">
        <v>1</v>
      </c>
      <c r="J68" s="274" t="n">
        <v>1</v>
      </c>
      <c r="K68" s="307" t="n">
        <v>1</v>
      </c>
    </row>
    <row r="69">
      <c r="A69" s="274" t="n">
        <v>68</v>
      </c>
      <c r="B69" s="274" t="inlineStr">
        <is>
          <t>0051i000003vlF9AAI</t>
        </is>
      </c>
      <c r="C69" s="274" t="inlineStr">
        <is>
          <t>C0065627014</t>
        </is>
      </c>
      <c r="D69" s="307" t="n">
        <v>1</v>
      </c>
      <c r="E69" s="307" t="n">
        <v>1</v>
      </c>
      <c r="F69" s="307" t="n">
        <v>0</v>
      </c>
      <c r="G69" s="307" t="n">
        <v>1</v>
      </c>
      <c r="H69" s="274" t="n">
        <v>2</v>
      </c>
      <c r="J69" s="274" t="n">
        <v>2</v>
      </c>
      <c r="K69" s="307" t="n">
        <v>0</v>
      </c>
    </row>
    <row r="70">
      <c r="A70" s="274" t="n">
        <v>69</v>
      </c>
      <c r="B70" s="274" t="inlineStr">
        <is>
          <t>0051i000003vlF9AAI</t>
        </is>
      </c>
      <c r="C70" s="274" t="inlineStr">
        <is>
          <t>C0065412814</t>
        </is>
      </c>
      <c r="D70" s="307" t="n">
        <v>1</v>
      </c>
      <c r="E70" s="307" t="n">
        <v>1</v>
      </c>
      <c r="F70" s="307" t="n">
        <v>1</v>
      </c>
      <c r="G70" s="307" t="n">
        <v>1</v>
      </c>
      <c r="H70" s="274" t="n">
        <v>2</v>
      </c>
      <c r="I70" s="274" t="n">
        <v>1</v>
      </c>
      <c r="J70" s="274" t="n">
        <v>2</v>
      </c>
      <c r="K70" s="307" t="n">
        <v>0</v>
      </c>
    </row>
    <row r="71">
      <c r="A71" s="274" t="n">
        <v>70</v>
      </c>
      <c r="B71" s="274" t="inlineStr">
        <is>
          <t>0051i000003vlF9AAI</t>
        </is>
      </c>
      <c r="C71" s="274" t="inlineStr">
        <is>
          <t>C0065412308</t>
        </is>
      </c>
      <c r="D71" s="307" t="n">
        <v>0</v>
      </c>
      <c r="E71" s="307" t="n">
        <v>1</v>
      </c>
      <c r="F71" s="307" t="n">
        <v>1</v>
      </c>
      <c r="G71" s="307" t="n">
        <v>1</v>
      </c>
      <c r="K71" s="307" t="n">
        <v>0</v>
      </c>
    </row>
    <row r="72">
      <c r="A72" s="274" t="n">
        <v>71</v>
      </c>
      <c r="B72" s="274" t="inlineStr">
        <is>
          <t>0051i000003vlF9AAI</t>
        </is>
      </c>
      <c r="C72" s="274" t="inlineStr">
        <is>
          <t>C0065636596</t>
        </is>
      </c>
      <c r="D72" s="307" t="n">
        <v>0</v>
      </c>
      <c r="E72" s="307" t="n">
        <v>1</v>
      </c>
      <c r="F72" s="307" t="n">
        <v>1</v>
      </c>
      <c r="G72" s="307" t="n">
        <v>1</v>
      </c>
      <c r="K72" s="307" t="n">
        <v>0</v>
      </c>
      <c r="M72" s="276" t="inlineStr">
        <is>
          <t xml:space="preserve">follow up </t>
        </is>
      </c>
      <c r="N72" s="276" t="inlineStr">
        <is>
          <t>Suite 1755</t>
        </is>
      </c>
      <c r="O72" s="277" t="inlineStr">
        <is>
          <t>Done</t>
        </is>
      </c>
    </row>
  </sheetData>
  <pageMargins left="0.7" right="0.7" top="0.75" bottom="0.75" header="0.3" footer="0.3"/>
</worksheet>
</file>

<file path=xl/worksheets/sheet19.xml><?xml version="1.0" encoding="utf-8"?>
<worksheet xmlns="http://schemas.openxmlformats.org/spreadsheetml/2006/main">
  <sheetPr>
    <outlinePr summaryBelow="1" summaryRight="1"/>
    <pageSetUpPr/>
  </sheetPr>
  <dimension ref="A1:P38"/>
  <sheetViews>
    <sheetView workbookViewId="0">
      <selection activeCell="A1" sqref="A1"/>
    </sheetView>
  </sheetViews>
  <sheetFormatPr baseColWidth="8" defaultRowHeight="15"/>
  <cols>
    <col width="15" customWidth="1" style="287" min="1" max="1"/>
    <col width="25" customWidth="1" style="287" min="2" max="2"/>
    <col width="15" customWidth="1" style="287" min="3" max="3"/>
    <col width="12" customWidth="1" style="287" min="4" max="4"/>
    <col width="15" customWidth="1" style="287" min="5" max="5"/>
    <col width="20" customWidth="1" style="287" min="6" max="6"/>
    <col width="25" customWidth="1" style="287" min="7" max="7"/>
    <col width="15" customWidth="1" style="287" min="8" max="8"/>
    <col width="15" customWidth="1" style="287" min="9" max="9"/>
    <col width="15" customWidth="1" style="287" min="10" max="10"/>
    <col width="15" customWidth="1" style="287" min="11" max="11"/>
    <col width="15" customWidth="1" style="287" min="12" max="12"/>
    <col width="15" customWidth="1" style="287" min="13" max="13"/>
    <col width="15" customWidth="1" style="287" min="14" max="14"/>
    <col width="15" customWidth="1" style="287" min="15" max="15"/>
    <col width="15" customWidth="1" style="287" min="16" max="16"/>
  </cols>
  <sheetData>
    <row r="1" ht="40" customHeight="1" s="287">
      <c r="A1" s="304" t="inlineStr">
        <is>
          <t>VACHERON CONSTANTIN - MAAZ WARROOM WHATSAPP ANALYZER</t>
        </is>
      </c>
    </row>
    <row r="2">
      <c r="A2" s="309" t="inlineStr">
        <is>
          <t>System Status: OPERATIONAL | Last Updated: 2025-09-10 11:16</t>
        </is>
      </c>
    </row>
    <row r="4">
      <c r="A4" s="310" t="inlineStr">
        <is>
          <t>📱 WHATSAPP CONVERSATION INPUT</t>
        </is>
      </c>
    </row>
    <row r="6">
      <c r="A6" s="311" t="inlineStr">
        <is>
          <t>1. Copy the entire WhatsApp conversation from your phone</t>
        </is>
      </c>
    </row>
    <row r="7">
      <c r="A7" s="311" t="inlineStr">
        <is>
          <t>2. Paste it into cell B11 below (the yellow highlighted area)</t>
        </is>
      </c>
    </row>
    <row r="8">
      <c r="A8" s="311" t="inlineStr">
        <is>
          <t>3. Click the 'Parse WhatsApp' button to analyze</t>
        </is>
      </c>
    </row>
    <row r="9">
      <c r="A9" s="311" t="inlineStr">
        <is>
          <t>4. System will extract client info and update Client_Summary</t>
        </is>
      </c>
    </row>
    <row r="10">
      <c r="A10" s="311" t="inlineStr">
        <is>
          <t>5. Individual client tabs will be auto-generated</t>
        </is>
      </c>
    </row>
    <row r="11" ht="25" customHeight="1" s="287">
      <c r="A11" s="312" t="inlineStr">
        <is>
          <t>PASTE WHATSAPP CONVERSATION HERE:</t>
        </is>
      </c>
      <c r="B11" s="313" t="inlineStr">
        <is>
          <t>Paste your WhatsApp conversation here...</t>
        </is>
      </c>
    </row>
    <row r="12" ht="25" customHeight="1" s="287">
      <c r="A12" s="311" t="inlineStr">
        <is>
          <t>7. Check Audit_Log for complete activity tracking</t>
        </is>
      </c>
    </row>
    <row r="13" ht="25" customHeight="1" s="287"/>
    <row r="14" ht="25" customHeight="1" s="287"/>
    <row r="15" ht="25" customHeight="1" s="287"/>
    <row r="16" ht="25" customHeight="1" s="287"/>
    <row r="17" ht="25" customHeight="1" s="287"/>
    <row r="18" ht="25" customHeight="1" s="287"/>
    <row r="19" ht="25" customHeight="1" s="287"/>
    <row r="20" ht="25" customHeight="1" s="287"/>
    <row r="21" ht="25" customHeight="1" s="287"/>
    <row r="22" ht="25" customHeight="1" s="287"/>
    <row r="23" ht="25" customHeight="1" s="287"/>
    <row r="24" ht="25" customHeight="1" s="287"/>
    <row r="25" ht="25" customHeight="1" s="287"/>
    <row r="27">
      <c r="A27" s="314" t="inlineStr">
        <is>
          <t>🎯 ACTION BUTTONS</t>
        </is>
      </c>
    </row>
    <row r="29">
      <c r="B29" s="315" t="inlineStr">
        <is>
          <t>Parse WhatsApp</t>
        </is>
      </c>
      <c r="D29" s="315" t="inlineStr">
        <is>
          <t>Generate Client Tabs</t>
        </is>
      </c>
      <c r="F29" s="315" t="inlineStr">
        <is>
          <t>Refresh All Data</t>
        </is>
      </c>
      <c r="H29" s="315" t="inlineStr">
        <is>
          <t>Rank Priority</t>
        </is>
      </c>
    </row>
    <row r="30">
      <c r="B30" s="316" t="inlineStr">
        <is>
          <t>Analyze conversation in B11</t>
        </is>
      </c>
      <c r="D30" s="316" t="inlineStr">
        <is>
          <t>Create individual client sheets</t>
        </is>
      </c>
      <c r="F30" s="316" t="inlineStr">
        <is>
          <t>Update all dashboards</t>
        </is>
      </c>
      <c r="H30" s="316" t="inlineStr">
        <is>
          <t>Re-sort clients by priority</t>
        </is>
      </c>
    </row>
    <row r="31">
      <c r="B31" s="315" t="inlineStr">
        <is>
          <t>Generate Sample Data</t>
        </is>
      </c>
      <c r="D31" s="315" t="inlineStr">
        <is>
          <t>Reset Test Data</t>
        </is>
      </c>
    </row>
    <row r="32">
      <c r="B32" s="316" t="inlineStr">
        <is>
          <t>Add test data for demo</t>
        </is>
      </c>
      <c r="D32" s="316" t="inlineStr">
        <is>
          <t>Clear all test data</t>
        </is>
      </c>
    </row>
    <row r="35">
      <c r="A35" s="317" t="inlineStr">
        <is>
          <t>📊 LAST ANALYSIS RESULTS</t>
        </is>
      </c>
    </row>
    <row r="37">
      <c r="A37" s="318" t="inlineStr">
        <is>
          <t>Client Name</t>
        </is>
      </c>
      <c r="B37" s="318" t="inlineStr">
        <is>
          <t>Phone</t>
        </is>
      </c>
      <c r="C37" s="318" t="inlineStr">
        <is>
          <t>Language</t>
        </is>
      </c>
      <c r="D37" s="318" t="inlineStr">
        <is>
          <t>Sentiment</t>
        </is>
      </c>
      <c r="E37" s="318" t="inlineStr">
        <is>
          <t>Archetype</t>
        </is>
      </c>
      <c r="F37" s="318" t="inlineStr">
        <is>
          <t>Watch Interest</t>
        </is>
      </c>
      <c r="G37" s="318" t="inlineStr">
        <is>
          <t>Budget</t>
        </is>
      </c>
      <c r="H37" s="318" t="inlineStr">
        <is>
          <t>Priority</t>
        </is>
      </c>
      <c r="I37" s="318" t="inlineStr">
        <is>
          <t>Next Follow-up</t>
        </is>
      </c>
      <c r="J37" s="318" t="inlineStr">
        <is>
          <t>Status</t>
        </is>
      </c>
    </row>
    <row r="38">
      <c r="A38" s="319" t="inlineStr">
        <is>
          <t>Results will appear here after parsing...</t>
        </is>
      </c>
    </row>
  </sheetData>
  <mergeCells count="7">
    <mergeCell ref="A4:H4"/>
    <mergeCell ref="B11:P25"/>
    <mergeCell ref="A1:P1"/>
    <mergeCell ref="A35:P35"/>
    <mergeCell ref="A38:J38"/>
    <mergeCell ref="A27:H27"/>
    <mergeCell ref="A2:P2"/>
  </mergeCells>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Z9"/>
  <sheetViews>
    <sheetView workbookViewId="0">
      <selection activeCell="A1" sqref="A1"/>
    </sheetView>
  </sheetViews>
  <sheetFormatPr baseColWidth="8" defaultRowHeight="15"/>
  <cols>
    <col width="8" customWidth="1" style="287" min="1" max="1"/>
    <col width="20" customWidth="1" style="287" min="2" max="2"/>
    <col width="15" customWidth="1" style="287" min="3" max="3"/>
    <col width="25" customWidth="1" style="287" min="4" max="4"/>
    <col width="10" customWidth="1" style="287" min="5" max="5"/>
    <col width="8" customWidth="1" style="287" min="6" max="6"/>
    <col width="15" customWidth="1" style="287" min="7" max="7"/>
    <col width="25" customWidth="1" style="287" min="8" max="8"/>
    <col width="12" customWidth="1" style="287" min="9" max="9"/>
    <col width="20" customWidth="1" style="287" min="10" max="10"/>
    <col width="20" customWidth="1" style="287" min="11" max="11"/>
    <col width="12" customWidth="1" style="287" min="12" max="12"/>
    <col width="8" customWidth="1" style="287" min="13" max="13"/>
    <col width="8" customWidth="1" style="287" min="14" max="14"/>
    <col width="8" customWidth="1" style="287" min="15" max="15"/>
    <col width="8" customWidth="1" style="287" min="16" max="16"/>
    <col width="12" customWidth="1" style="287" min="17" max="17"/>
    <col width="12" customWidth="1" style="287" min="18" max="18"/>
    <col width="15" customWidth="1" style="287" min="19" max="19"/>
    <col width="12" customWidth="1" style="287" min="20" max="20"/>
    <col width="12" customWidth="1" style="287" min="21" max="21"/>
    <col width="12" customWidth="1" style="287" min="22" max="22"/>
    <col width="30" customWidth="1" style="287" min="23" max="23"/>
    <col width="12" customWidth="1" style="287" min="24" max="24"/>
    <col width="8" customWidth="1" style="287" min="25" max="25"/>
    <col width="8" customWidth="1" style="287" min="26" max="26"/>
  </cols>
  <sheetData>
    <row r="1" ht="40" customHeight="1" s="287">
      <c r="A1" s="304" t="inlineStr">
        <is>
          <t>CLIENT SUMMARY - MASTER DATABASE</t>
        </is>
      </c>
    </row>
    <row r="2">
      <c r="A2" s="309" t="inlineStr">
        <is>
          <t>Master Client Database | Auto-Updated from WhatsApp Analysis</t>
        </is>
      </c>
    </row>
    <row r="4">
      <c r="A4" s="305" t="inlineStr">
        <is>
          <t>Client_ID</t>
        </is>
      </c>
      <c r="B4" s="305" t="inlineStr">
        <is>
          <t>Client_Name</t>
        </is>
      </c>
      <c r="C4" s="305" t="inlineStr">
        <is>
          <t>Phone</t>
        </is>
      </c>
      <c r="D4" s="305" t="inlineStr">
        <is>
          <t>Email</t>
        </is>
      </c>
      <c r="E4" s="305" t="inlineStr">
        <is>
          <t>Language</t>
        </is>
      </c>
      <c r="F4" s="305" t="inlineStr">
        <is>
          <t>Sentiment_Score</t>
        </is>
      </c>
      <c r="G4" s="305" t="inlineStr">
        <is>
          <t>Archetype</t>
        </is>
      </c>
      <c r="H4" s="305" t="inlineStr">
        <is>
          <t>Watch_Interests</t>
        </is>
      </c>
      <c r="I4" s="305" t="inlineStr">
        <is>
          <t>Budget_Range</t>
        </is>
      </c>
      <c r="J4" s="305" t="inlineStr">
        <is>
          <t>Objections</t>
        </is>
      </c>
      <c r="K4" s="305" t="inlineStr">
        <is>
          <t>Positive_Points</t>
        </is>
      </c>
      <c r="L4" s="305" t="inlineStr">
        <is>
          <t>Next_Followup</t>
        </is>
      </c>
      <c r="M4" s="305" t="inlineStr">
        <is>
          <t>Priority_Score</t>
        </is>
      </c>
      <c r="N4" s="305" t="inlineStr">
        <is>
          <t>Availability_Score</t>
        </is>
      </c>
      <c r="O4" s="305" t="inlineStr">
        <is>
          <t>Availability_Date_Score</t>
        </is>
      </c>
      <c r="P4" s="305" t="inlineStr">
        <is>
          <t>Probability</t>
        </is>
      </c>
      <c r="Q4" s="305" t="inlineStr">
        <is>
          <t>Status</t>
        </is>
      </c>
      <c r="R4" s="305" t="inlineStr">
        <is>
          <t>Boutique</t>
        </is>
      </c>
      <c r="S4" s="305" t="inlineStr">
        <is>
          <t>Sales_Associate</t>
        </is>
      </c>
      <c r="T4" s="305" t="inlineStr">
        <is>
          <t>Last_Contact</t>
        </is>
      </c>
      <c r="U4" s="305" t="inlineStr">
        <is>
          <t>Created_Date</t>
        </is>
      </c>
      <c r="V4" s="305" t="inlineStr">
        <is>
          <t>Updated_Date</t>
        </is>
      </c>
      <c r="W4" s="305" t="inlineStr">
        <is>
          <t>Notes</t>
        </is>
      </c>
      <c r="X4" s="305" t="inlineStr">
        <is>
          <t>Revenue_Potential</t>
        </is>
      </c>
      <c r="Y4" s="305" t="inlineStr">
        <is>
          <t>Urgency_Flag</t>
        </is>
      </c>
      <c r="Z4" s="305" t="inlineStr">
        <is>
          <t>Follow_Up_Flag</t>
        </is>
      </c>
    </row>
    <row r="5">
      <c r="A5" s="320" t="inlineStr">
        <is>
          <t>VC001</t>
        </is>
      </c>
      <c r="B5" s="320" t="inlineStr">
        <is>
          <t>Ahmed Al-Rashid</t>
        </is>
      </c>
      <c r="C5" s="320" t="inlineStr">
        <is>
          <t>+971501234567</t>
        </is>
      </c>
      <c r="D5" s="320" t="inlineStr">
        <is>
          <t>ahmed.rashid@email.com</t>
        </is>
      </c>
      <c r="E5" s="320" t="inlineStr">
        <is>
          <t>Arabic</t>
        </is>
      </c>
      <c r="F5" s="320" t="inlineStr">
        <is>
          <t>8.5</t>
        </is>
      </c>
      <c r="G5" s="320" t="inlineStr">
        <is>
          <t>VIP Collector</t>
        </is>
      </c>
      <c r="H5" s="320" t="inlineStr">
        <is>
          <t>Overseas, Patrimony</t>
        </is>
      </c>
      <c r="I5" s="320" t="inlineStr">
        <is>
          <t>AED 500K+</t>
        </is>
      </c>
      <c r="J5" s="320" t="inlineStr">
        <is>
          <t>Price concerns</t>
        </is>
      </c>
      <c r="K5" s="320" t="inlineStr">
        <is>
          <t>High interest in complications</t>
        </is>
      </c>
      <c r="L5" s="320" t="inlineStr">
        <is>
          <t>2025-01-20</t>
        </is>
      </c>
      <c r="M5" s="320">
        <f>ROUND(N5*dm_AvailabilityWeight+O5*dm_DateWeight+P5*dm_ProbabilityWeight,2)</f>
        <v/>
      </c>
      <c r="N5" s="320" t="inlineStr">
        <is>
          <t>0.9</t>
        </is>
      </c>
      <c r="O5" s="320" t="inlineStr">
        <is>
          <t>0.8</t>
        </is>
      </c>
      <c r="P5" s="320" t="inlineStr">
        <is>
          <t>0.85</t>
        </is>
      </c>
      <c r="Q5" s="320" t="inlineStr">
        <is>
          <t>Hot Lead</t>
        </is>
      </c>
      <c r="R5" s="320" t="inlineStr">
        <is>
          <t>Dubai Mall</t>
        </is>
      </c>
      <c r="S5" s="320" t="inlineStr">
        <is>
          <t>Maaz Sharif</t>
        </is>
      </c>
      <c r="T5" s="320" t="inlineStr">
        <is>
          <t>2025-01-15</t>
        </is>
      </c>
      <c r="U5" s="320" t="inlineStr">
        <is>
          <t>2025-01-15</t>
        </is>
      </c>
      <c r="V5" s="320" t="inlineStr">
        <is>
          <t>2025-01-15</t>
        </is>
      </c>
      <c r="W5" s="320" t="inlineStr">
        <is>
          <t>Passionate collector, ready to buy</t>
        </is>
      </c>
      <c r="X5" s="320" t="inlineStr">
        <is>
          <t>AED 750K</t>
        </is>
      </c>
      <c r="Y5" s="320" t="inlineStr">
        <is>
          <t>TRUE</t>
        </is>
      </c>
      <c r="Z5" s="320" t="inlineStr">
        <is>
          <t>FALSE</t>
        </is>
      </c>
    </row>
    <row r="6">
      <c r="A6" s="320" t="inlineStr">
        <is>
          <t>VC002</t>
        </is>
      </c>
      <c r="B6" s="320" t="inlineStr">
        <is>
          <t>John Smith</t>
        </is>
      </c>
      <c r="C6" s="320" t="inlineStr">
        <is>
          <t>+971509876543</t>
        </is>
      </c>
      <c r="D6" s="320" t="inlineStr">
        <is>
          <t>john.smith@email.com</t>
        </is>
      </c>
      <c r="E6" s="320" t="inlineStr">
        <is>
          <t>English</t>
        </is>
      </c>
      <c r="F6" s="320" t="inlineStr">
        <is>
          <t>7.2</t>
        </is>
      </c>
      <c r="G6" s="320" t="inlineStr">
        <is>
          <t>Sports Enthusiast</t>
        </is>
      </c>
      <c r="H6" s="320" t="inlineStr">
        <is>
          <t>Overseas Chronograph</t>
        </is>
      </c>
      <c r="I6" s="320" t="inlineStr">
        <is>
          <t>AED 200K</t>
        </is>
      </c>
      <c r="J6" s="320" t="inlineStr">
        <is>
          <t>Timing concerns</t>
        </is>
      </c>
      <c r="K6" s="320" t="inlineStr">
        <is>
          <t>Loves blue dial</t>
        </is>
      </c>
      <c r="L6" s="320" t="inlineStr">
        <is>
          <t>2025-01-18</t>
        </is>
      </c>
      <c r="M6" s="320">
        <f>ROUND(N6*dm_AvailabilityWeight+O6*dm_DateWeight+P6*dm_ProbabilityWeight,2)</f>
        <v/>
      </c>
      <c r="N6" s="320" t="inlineStr">
        <is>
          <t>0.7</t>
        </is>
      </c>
      <c r="O6" s="320" t="inlineStr">
        <is>
          <t>0.75</t>
        </is>
      </c>
      <c r="P6" s="320" t="inlineStr">
        <is>
          <t>0.7</t>
        </is>
      </c>
      <c r="Q6" s="320" t="inlineStr">
        <is>
          <t>Warm Lead</t>
        </is>
      </c>
      <c r="R6" s="320" t="inlineStr">
        <is>
          <t>MOE</t>
        </is>
      </c>
      <c r="S6" s="320" t="inlineStr">
        <is>
          <t>Maxim</t>
        </is>
      </c>
      <c r="T6" s="320" t="inlineStr">
        <is>
          <t>2025-01-14</t>
        </is>
      </c>
      <c r="U6" s="320" t="inlineStr">
        <is>
          <t>2025-01-14</t>
        </is>
      </c>
      <c r="V6" s="320" t="inlineStr">
        <is>
          <t>2025-01-14</t>
        </is>
      </c>
      <c r="W6" s="320" t="inlineStr">
        <is>
          <t>Sports watch enthusiast</t>
        </is>
      </c>
      <c r="X6" s="320" t="inlineStr">
        <is>
          <t>AED 250K</t>
        </is>
      </c>
      <c r="Y6" s="320" t="inlineStr">
        <is>
          <t>FALSE</t>
        </is>
      </c>
      <c r="Z6" s="320" t="inlineStr">
        <is>
          <t>TRUE</t>
        </is>
      </c>
    </row>
    <row r="7">
      <c r="A7" s="320" t="inlineStr">
        <is>
          <t>VC003</t>
        </is>
      </c>
      <c r="B7" s="320" t="inlineStr">
        <is>
          <t>Mohammed Hassan</t>
        </is>
      </c>
      <c r="C7" s="320" t="inlineStr">
        <is>
          <t>+966501122334</t>
        </is>
      </c>
      <c r="D7" s="320" t="inlineStr">
        <is>
          <t>mohammed.hassan@email.com</t>
        </is>
      </c>
      <c r="E7" s="320" t="inlineStr">
        <is>
          <t>Arabic</t>
        </is>
      </c>
      <c r="F7" s="320" t="inlineStr">
        <is>
          <t>9.1</t>
        </is>
      </c>
      <c r="G7" s="320" t="inlineStr">
        <is>
          <t>Heritage Lover</t>
        </is>
      </c>
      <c r="H7" s="320" t="inlineStr">
        <is>
          <t>Traditionnelle</t>
        </is>
      </c>
      <c r="I7" s="320" t="inlineStr">
        <is>
          <t>AED 350K</t>
        </is>
      </c>
      <c r="J7" s="320" t="inlineStr">
        <is>
          <t>None</t>
        </is>
      </c>
      <c r="K7" s="320" t="inlineStr">
        <is>
          <t>Appreciates craftsmanship</t>
        </is>
      </c>
      <c r="L7" s="320" t="inlineStr">
        <is>
          <t>2025-01-17</t>
        </is>
      </c>
      <c r="M7" s="320">
        <f>ROUND(N7*dm_AvailabilityWeight+O7*dm_DateWeight+P7*dm_ProbabilityWeight,2)</f>
        <v/>
      </c>
      <c r="N7" s="320" t="inlineStr">
        <is>
          <t>0.95</t>
        </is>
      </c>
      <c r="O7" s="320" t="inlineStr">
        <is>
          <t>0.9</t>
        </is>
      </c>
      <c r="P7" s="320" t="inlineStr">
        <is>
          <t>0.88</t>
        </is>
      </c>
      <c r="Q7" s="320" t="inlineStr">
        <is>
          <t>Hot Lead</t>
        </is>
      </c>
      <c r="R7" s="320" t="inlineStr">
        <is>
          <t>Abu Dhabi</t>
        </is>
      </c>
      <c r="S7" s="320" t="inlineStr">
        <is>
          <t>Riham Tahhan</t>
        </is>
      </c>
      <c r="T7" s="320" t="inlineStr">
        <is>
          <t>2025-01-13</t>
        </is>
      </c>
      <c r="U7" s="320" t="inlineStr">
        <is>
          <t>2025-01-13</t>
        </is>
      </c>
      <c r="V7" s="320" t="inlineStr">
        <is>
          <t>2025-01-13</t>
        </is>
      </c>
      <c r="W7" s="320" t="inlineStr">
        <is>
          <t>Classical design preference</t>
        </is>
      </c>
      <c r="X7" s="320" t="inlineStr">
        <is>
          <t>AED 400K</t>
        </is>
      </c>
      <c r="Y7" s="320" t="inlineStr">
        <is>
          <t>TRUE</t>
        </is>
      </c>
      <c r="Z7" s="320" t="inlineStr">
        <is>
          <t>FALSE</t>
        </is>
      </c>
    </row>
    <row r="8">
      <c r="A8" s="320" t="inlineStr">
        <is>
          <t>VC004</t>
        </is>
      </c>
      <c r="B8" s="320" t="inlineStr">
        <is>
          <t>Sarah Johnson</t>
        </is>
      </c>
      <c r="C8" s="320" t="inlineStr">
        <is>
          <t>+971505678901</t>
        </is>
      </c>
      <c r="D8" s="320" t="inlineStr">
        <is>
          <t>sarah.johnson@email.com</t>
        </is>
      </c>
      <c r="E8" s="320" t="inlineStr">
        <is>
          <t>English</t>
        </is>
      </c>
      <c r="F8" s="320" t="inlineStr">
        <is>
          <t>8.2</t>
        </is>
      </c>
      <c r="G8" s="320" t="inlineStr">
        <is>
          <t>Luxury Enthusiast</t>
        </is>
      </c>
      <c r="H8" s="320" t="inlineStr">
        <is>
          <t>Patrimony</t>
        </is>
      </c>
      <c r="I8" s="320" t="inlineStr">
        <is>
          <t>AED 300K</t>
        </is>
      </c>
      <c r="J8" s="320" t="inlineStr">
        <is>
          <t>Budget concerns</t>
        </is>
      </c>
      <c r="K8" s="320" t="inlineStr">
        <is>
          <t>Loves elegant designs</t>
        </is>
      </c>
      <c r="L8" s="320" t="inlineStr">
        <is>
          <t>2025-01-22</t>
        </is>
      </c>
      <c r="M8" s="320">
        <f>ROUND(N8*dm_AvailabilityWeight+O8*dm_DateWeight+P8*dm_ProbabilityWeight,2)</f>
        <v/>
      </c>
      <c r="N8" s="320" t="inlineStr">
        <is>
          <t>0.85</t>
        </is>
      </c>
      <c r="O8" s="320" t="inlineStr">
        <is>
          <t>0.8</t>
        </is>
      </c>
      <c r="P8" s="320" t="inlineStr">
        <is>
          <t>0.8</t>
        </is>
      </c>
      <c r="Q8" s="320" t="inlineStr">
        <is>
          <t>Warm Lead</t>
        </is>
      </c>
      <c r="R8" s="320" t="inlineStr">
        <is>
          <t>Dubai Mall</t>
        </is>
      </c>
      <c r="S8" s="320" t="inlineStr">
        <is>
          <t>Maxim</t>
        </is>
      </c>
      <c r="T8" s="320" t="inlineStr">
        <is>
          <t>2025-01-16</t>
        </is>
      </c>
      <c r="U8" s="320" t="inlineStr">
        <is>
          <t>2025-01-16</t>
        </is>
      </c>
      <c r="V8" s="320" t="inlineStr">
        <is>
          <t>2025-01-16</t>
        </is>
      </c>
      <c r="W8" s="320" t="inlineStr">
        <is>
          <t>Elegant taste, price sensitive</t>
        </is>
      </c>
      <c r="X8" s="320" t="inlineStr">
        <is>
          <t>AED 320K</t>
        </is>
      </c>
      <c r="Y8" s="320" t="inlineStr">
        <is>
          <t>FALSE</t>
        </is>
      </c>
      <c r="Z8" s="320" t="inlineStr">
        <is>
          <t>TRUE</t>
        </is>
      </c>
    </row>
    <row r="9">
      <c r="A9" s="320" t="inlineStr">
        <is>
          <t>VC005</t>
        </is>
      </c>
      <c r="B9" s="320" t="inlineStr">
        <is>
          <t>Omar Al-Mansouri</t>
        </is>
      </c>
      <c r="C9" s="320" t="inlineStr">
        <is>
          <t>+971506789012</t>
        </is>
      </c>
      <c r="D9" s="320" t="inlineStr">
        <is>
          <t>omar.mansouri@email.com</t>
        </is>
      </c>
      <c r="E9" s="320" t="inlineStr">
        <is>
          <t>Arabic</t>
        </is>
      </c>
      <c r="F9" s="320" t="inlineStr">
        <is>
          <t>9.3</t>
        </is>
      </c>
      <c r="G9" s="320" t="inlineStr">
        <is>
          <t>VIP Collector</t>
        </is>
      </c>
      <c r="H9" s="320" t="inlineStr">
        <is>
          <t>Traditionnelle, Overseas</t>
        </is>
      </c>
      <c r="I9" s="320" t="inlineStr">
        <is>
          <t>AED 800K+</t>
        </is>
      </c>
      <c r="J9" s="320" t="inlineStr">
        <is>
          <t>None</t>
        </is>
      </c>
      <c r="K9" s="320" t="inlineStr">
        <is>
          <t>Exceptional knowledge</t>
        </is>
      </c>
      <c r="L9" s="320" t="inlineStr">
        <is>
          <t>2025-01-19</t>
        </is>
      </c>
      <c r="M9" s="320">
        <f>ROUND(N9*dm_AvailabilityWeight+O9*dm_DateWeight+P9*dm_ProbabilityWeight,2)</f>
        <v/>
      </c>
      <c r="N9" s="320" t="inlineStr">
        <is>
          <t>0.95</t>
        </is>
      </c>
      <c r="O9" s="320" t="inlineStr">
        <is>
          <t>0.92</t>
        </is>
      </c>
      <c r="P9" s="320" t="inlineStr">
        <is>
          <t>0.9</t>
        </is>
      </c>
      <c r="Q9" s="320" t="inlineStr">
        <is>
          <t>Hot Lead</t>
        </is>
      </c>
      <c r="R9" s="320" t="inlineStr">
        <is>
          <t>Abu Dhabi</t>
        </is>
      </c>
      <c r="S9" s="320" t="inlineStr">
        <is>
          <t>Riham Tahhan</t>
        </is>
      </c>
      <c r="T9" s="320" t="inlineStr">
        <is>
          <t>2025-01-12</t>
        </is>
      </c>
      <c r="U9" s="320" t="inlineStr">
        <is>
          <t>2025-01-12</t>
        </is>
      </c>
      <c r="V9" s="320" t="inlineStr">
        <is>
          <t>2025-01-12</t>
        </is>
      </c>
      <c r="W9" s="320" t="inlineStr">
        <is>
          <t>Serious collector, immediate buyer</t>
        </is>
      </c>
      <c r="X9" s="320" t="inlineStr">
        <is>
          <t>AED 950K</t>
        </is>
      </c>
      <c r="Y9" s="320" t="inlineStr">
        <is>
          <t>TRUE</t>
        </is>
      </c>
      <c r="Z9" s="320" t="inlineStr">
        <is>
          <t>FALSE</t>
        </is>
      </c>
    </row>
  </sheetData>
  <mergeCells count="2">
    <mergeCell ref="A1:Z1"/>
    <mergeCell ref="A2:Z2"/>
  </mergeCells>
  <pageMargins left="0.75" right="0.75" top="1" bottom="1" header="0.5" footer="0.5"/>
</worksheet>
</file>

<file path=xl/worksheets/sheet21.xml><?xml version="1.0" encoding="utf-8"?>
<worksheet xmlns="http://schemas.openxmlformats.org/spreadsheetml/2006/main">
  <sheetPr>
    <outlinePr summaryBelow="1" summaryRight="1"/>
    <pageSetUpPr/>
  </sheetPr>
  <dimension ref="A1:P21"/>
  <sheetViews>
    <sheetView workbookViewId="0">
      <selection activeCell="A1" sqref="A1"/>
    </sheetView>
  </sheetViews>
  <sheetFormatPr baseColWidth="8" defaultRowHeight="15"/>
  <sheetData>
    <row r="1" ht="40" customHeight="1" s="287">
      <c r="A1" s="304" t="inlineStr">
        <is>
          <t>MAAZ PERSONAL DASHBOARD - PRIORITY PIPELINE</t>
        </is>
      </c>
    </row>
    <row r="3">
      <c r="A3" s="310" t="inlineStr">
        <is>
          <t>🎯 YOUR PRIORITY METRICS</t>
        </is>
      </c>
    </row>
    <row r="5">
      <c r="A5" s="321" t="inlineStr">
        <is>
          <t>🔥 Hot Leads</t>
        </is>
      </c>
      <c r="B5" s="321" t="inlineStr">
        <is>
          <t>💰 Total Pipeline</t>
        </is>
      </c>
      <c r="C5" s="321" t="inlineStr">
        <is>
          <t>📊 Avg Priority</t>
        </is>
      </c>
      <c r="D5" s="321" t="inlineStr">
        <is>
          <t>📅 Follow-ups Due</t>
        </is>
      </c>
      <c r="E5" s="321" t="inlineStr">
        <is>
          <t>💎 VIP Clients</t>
        </is>
      </c>
      <c r="F5" s="321" t="inlineStr">
        <is>
          <t>📆 This Week</t>
        </is>
      </c>
      <c r="G5" s="321" t="inlineStr">
        <is>
          <t>⚡ Urgent</t>
        </is>
      </c>
      <c r="H5" s="321" t="inlineStr">
        <is>
          <t>📈 Conversion Rate</t>
        </is>
      </c>
    </row>
    <row r="6">
      <c r="A6" s="322">
        <f>COUNTIFS(Client_Summary!Q:Q,"Hot Lead")</f>
        <v/>
      </c>
      <c r="B6" s="322">
        <f>SUM(Client_Summary!X:X)</f>
        <v/>
      </c>
      <c r="C6" s="322">
        <f>AVERAGE(Client_Summary!M:M)</f>
        <v/>
      </c>
      <c r="D6" s="322">
        <f>COUNTIFS(Client_Summary!L:L,"&lt;"&amp;TODAY()+7)</f>
        <v/>
      </c>
      <c r="E6" s="322">
        <f>COUNTIFS(Client_Summary!G:G,"VIP Collector")</f>
        <v/>
      </c>
      <c r="F6" s="322">
        <f>COUNTIFS(Client_Summary!L:L,"&gt;="&amp;TODAY(),Client_Summary!L:L,"&lt;"&amp;TODAY()+7)</f>
        <v/>
      </c>
      <c r="G6" s="322">
        <f>COUNTIFS(Client_Summary!Y:Y,TRUE)</f>
        <v/>
      </c>
      <c r="H6" s="322" t="inlineStr">
        <is>
          <t>75%</t>
        </is>
      </c>
    </row>
    <row r="8">
      <c r="A8" s="314" t="inlineStr">
        <is>
          <t>🏆 YOUR TOP PRIORITY CLIENTS</t>
        </is>
      </c>
    </row>
    <row r="10">
      <c r="A10" s="318" t="inlineStr">
        <is>
          <t>Rank</t>
        </is>
      </c>
      <c r="B10" s="318" t="inlineStr">
        <is>
          <t>Client_ID</t>
        </is>
      </c>
      <c r="C10" s="318" t="inlineStr">
        <is>
          <t>Client_Name</t>
        </is>
      </c>
      <c r="D10" s="318" t="inlineStr">
        <is>
          <t>Priority_Score</t>
        </is>
      </c>
      <c r="E10" s="318" t="inlineStr">
        <is>
          <t>Status</t>
        </is>
      </c>
      <c r="F10" s="318" t="inlineStr">
        <is>
          <t>Next_Action</t>
        </is>
      </c>
      <c r="G10" s="318" t="inlineStr">
        <is>
          <t>Revenue_Potential</t>
        </is>
      </c>
      <c r="H10" s="318" t="inlineStr">
        <is>
          <t>Days_Since_Contact</t>
        </is>
      </c>
      <c r="I10" s="318" t="inlineStr">
        <is>
          <t>Urgency</t>
        </is>
      </c>
    </row>
    <row r="11">
      <c r="A11" s="323" t="inlineStr">
        <is>
          <t>1</t>
        </is>
      </c>
      <c r="B11" s="323" t="inlineStr">
        <is>
          <t>VC003</t>
        </is>
      </c>
      <c r="C11" s="323" t="inlineStr">
        <is>
          <t>Mohammed Hassan</t>
        </is>
      </c>
      <c r="D11" s="323" t="inlineStr">
        <is>
          <t>0.91</t>
        </is>
      </c>
      <c r="E11" s="323" t="inlineStr">
        <is>
          <t>Hot Lead</t>
        </is>
      </c>
      <c r="F11" s="323" t="inlineStr">
        <is>
          <t>Schedule viewing</t>
        </is>
      </c>
      <c r="G11" s="323" t="inlineStr">
        <is>
          <t>AED 400K</t>
        </is>
      </c>
      <c r="H11" s="323" t="inlineStr">
        <is>
          <t>2</t>
        </is>
      </c>
      <c r="I11" s="323" t="inlineStr">
        <is>
          <t>High</t>
        </is>
      </c>
    </row>
    <row r="12">
      <c r="A12" s="323" t="inlineStr">
        <is>
          <t>2</t>
        </is>
      </c>
      <c r="B12" s="323" t="inlineStr">
        <is>
          <t>VC001</t>
        </is>
      </c>
      <c r="C12" s="323" t="inlineStr">
        <is>
          <t>Ahmed Al-Rashid</t>
        </is>
      </c>
      <c r="D12" s="323" t="inlineStr">
        <is>
          <t>0.85</t>
        </is>
      </c>
      <c r="E12" s="323" t="inlineStr">
        <is>
          <t>Hot Lead</t>
        </is>
      </c>
      <c r="F12" s="323" t="inlineStr">
        <is>
          <t>Follow up call</t>
        </is>
      </c>
      <c r="G12" s="323" t="inlineStr">
        <is>
          <t>AED 750K</t>
        </is>
      </c>
      <c r="H12" s="323" t="inlineStr">
        <is>
          <t>5</t>
        </is>
      </c>
      <c r="I12" s="323" t="inlineStr">
        <is>
          <t>Medium</t>
        </is>
      </c>
    </row>
    <row r="13">
      <c r="A13" s="323" t="inlineStr">
        <is>
          <t>3</t>
        </is>
      </c>
      <c r="B13" s="323" t="inlineStr">
        <is>
          <t>VC002</t>
        </is>
      </c>
      <c r="C13" s="323" t="inlineStr">
        <is>
          <t>John Smith</t>
        </is>
      </c>
      <c r="D13" s="323" t="inlineStr">
        <is>
          <t>0.72</t>
        </is>
      </c>
      <c r="E13" s="323" t="inlineStr">
        <is>
          <t>Warm Lead</t>
        </is>
      </c>
      <c r="F13" s="323" t="inlineStr">
        <is>
          <t>Send catalog</t>
        </is>
      </c>
      <c r="G13" s="323" t="inlineStr">
        <is>
          <t>AED 250K</t>
        </is>
      </c>
      <c r="H13" s="323" t="inlineStr">
        <is>
          <t>7</t>
        </is>
      </c>
      <c r="I13" s="323" t="inlineStr">
        <is>
          <t>Low</t>
        </is>
      </c>
    </row>
    <row r="15">
      <c r="A15" s="324" t="inlineStr">
        <is>
          <t>📋 TODAY'S ACTION ITEMS</t>
        </is>
      </c>
    </row>
    <row r="17">
      <c r="A17" s="311" t="inlineStr">
        <is>
          <t>• Call Mohammed Hassan - Traditionnelle viewing appointment</t>
        </is>
      </c>
    </row>
    <row r="18">
      <c r="A18" s="311" t="inlineStr">
        <is>
          <t>• Follow up with Ahmed Al-Rashid - Overseas collection interest</t>
        </is>
      </c>
    </row>
    <row r="19">
      <c r="A19" s="311" t="inlineStr">
        <is>
          <t>• Send John Smith blue dial Overseas images</t>
        </is>
      </c>
    </row>
    <row r="20">
      <c r="A20" s="311" t="inlineStr">
        <is>
          <t>• Prepare VIP client presentation for this week</t>
        </is>
      </c>
    </row>
    <row r="21">
      <c r="A21" s="311" t="inlineStr">
        <is>
          <t>• Update client notes from yesterday's meetings</t>
        </is>
      </c>
    </row>
  </sheetData>
  <mergeCells count="4">
    <mergeCell ref="A1:P1"/>
    <mergeCell ref="A3:H3"/>
    <mergeCell ref="A8:P8"/>
    <mergeCell ref="A15:H15"/>
  </mergeCells>
  <pageMargins left="0.75" right="0.75" top="1" bottom="1" header="0.5" footer="0.5"/>
</worksheet>
</file>

<file path=xl/worksheets/sheet22.xml><?xml version="1.0" encoding="utf-8"?>
<worksheet xmlns="http://schemas.openxmlformats.org/spreadsheetml/2006/main">
  <sheetPr>
    <outlinePr summaryBelow="1" summaryRight="1"/>
    <pageSetUpPr/>
  </sheetPr>
  <dimension ref="A1:P17"/>
  <sheetViews>
    <sheetView workbookViewId="0">
      <selection activeCell="A1" sqref="A1"/>
    </sheetView>
  </sheetViews>
  <sheetFormatPr baseColWidth="8" defaultRowHeight="15"/>
  <sheetData>
    <row r="1" ht="40" customHeight="1" s="287">
      <c r="A1" s="304" t="inlineStr">
        <is>
          <t>BOUTIQUE COLLABORATION DASHBOARD</t>
        </is>
      </c>
    </row>
    <row r="3">
      <c r="A3" s="310" t="inlineStr">
        <is>
          <t>👥 TEAM PERFORMANCE OVERVIEW</t>
        </is>
      </c>
    </row>
    <row r="5">
      <c r="A5" s="318" t="inlineStr">
        <is>
          <t>Sales Associate</t>
        </is>
      </c>
      <c r="B5" s="318" t="inlineStr">
        <is>
          <t>Active Clients</t>
        </is>
      </c>
      <c r="C5" s="318" t="inlineStr">
        <is>
          <t>Hot Leads</t>
        </is>
      </c>
      <c r="D5" s="318" t="inlineStr">
        <is>
          <t>Pipeline Value</t>
        </is>
      </c>
      <c r="E5" s="318" t="inlineStr">
        <is>
          <t>Conversion Rate</t>
        </is>
      </c>
      <c r="F5" s="318" t="inlineStr">
        <is>
          <t>Last Update</t>
        </is>
      </c>
    </row>
    <row r="6">
      <c r="A6" s="323" t="inlineStr">
        <is>
          <t>Maaz Sharif</t>
        </is>
      </c>
      <c r="B6" s="323" t="inlineStr">
        <is>
          <t>15</t>
        </is>
      </c>
      <c r="C6" s="323" t="inlineStr">
        <is>
          <t>8</t>
        </is>
      </c>
      <c r="D6" s="323" t="inlineStr">
        <is>
          <t>AED 2.1M</t>
        </is>
      </c>
      <c r="E6" s="323" t="inlineStr">
        <is>
          <t>78%</t>
        </is>
      </c>
      <c r="F6" s="323" t="inlineStr">
        <is>
          <t>Today</t>
        </is>
      </c>
    </row>
    <row r="7">
      <c r="A7" s="323" t="inlineStr">
        <is>
          <t>Maxim</t>
        </is>
      </c>
      <c r="B7" s="323" t="inlineStr">
        <is>
          <t>12</t>
        </is>
      </c>
      <c r="C7" s="323" t="inlineStr">
        <is>
          <t>5</t>
        </is>
      </c>
      <c r="D7" s="323" t="inlineStr">
        <is>
          <t>AED 1.8M</t>
        </is>
      </c>
      <c r="E7" s="323" t="inlineStr">
        <is>
          <t>72%</t>
        </is>
      </c>
      <c r="F7" s="323" t="inlineStr">
        <is>
          <t>Today</t>
        </is>
      </c>
    </row>
    <row r="8">
      <c r="A8" s="323" t="inlineStr">
        <is>
          <t>Riham Tahhan</t>
        </is>
      </c>
      <c r="B8" s="323" t="inlineStr">
        <is>
          <t>18</t>
        </is>
      </c>
      <c r="C8" s="323" t="inlineStr">
        <is>
          <t>7</t>
        </is>
      </c>
      <c r="D8" s="323" t="inlineStr">
        <is>
          <t>AED 1.9M</t>
        </is>
      </c>
      <c r="E8" s="323" t="inlineStr">
        <is>
          <t>75%</t>
        </is>
      </c>
      <c r="F8" s="323" t="inlineStr">
        <is>
          <t>Yesterday</t>
        </is>
      </c>
    </row>
    <row r="9">
      <c r="A9" s="323" t="inlineStr">
        <is>
          <t>Ousama</t>
        </is>
      </c>
      <c r="B9" s="323" t="inlineStr">
        <is>
          <t>10</t>
        </is>
      </c>
      <c r="C9" s="323" t="inlineStr">
        <is>
          <t>4</t>
        </is>
      </c>
      <c r="D9" s="323" t="inlineStr">
        <is>
          <t>AED 1.2M</t>
        </is>
      </c>
      <c r="E9" s="323" t="inlineStr">
        <is>
          <t>70%</t>
        </is>
      </c>
      <c r="F9" s="323" t="inlineStr">
        <is>
          <t>Today</t>
        </is>
      </c>
    </row>
    <row r="12">
      <c r="A12" s="314" t="inlineStr">
        <is>
          <t>🏪 BOUTIQUE PERFORMANCE</t>
        </is>
      </c>
    </row>
    <row r="14">
      <c r="A14" s="318" t="inlineStr">
        <is>
          <t>Boutique</t>
        </is>
      </c>
      <c r="B14" s="318" t="inlineStr">
        <is>
          <t>Total Clients</t>
        </is>
      </c>
      <c r="C14" s="318" t="inlineStr">
        <is>
          <t>Revenue YTD</t>
        </is>
      </c>
      <c r="D14" s="318" t="inlineStr">
        <is>
          <t>Avg Deal Size</t>
        </is>
      </c>
      <c r="E14" s="318" t="inlineStr">
        <is>
          <t>Top Collection</t>
        </is>
      </c>
      <c r="F14" s="318" t="inlineStr">
        <is>
          <t>Status</t>
        </is>
      </c>
    </row>
    <row r="15">
      <c r="A15" s="323" t="inlineStr">
        <is>
          <t>Dubai Mall</t>
        </is>
      </c>
      <c r="B15" s="323" t="inlineStr">
        <is>
          <t>45</t>
        </is>
      </c>
      <c r="C15" s="323" t="inlineStr">
        <is>
          <t>AED 8.5M</t>
        </is>
      </c>
      <c r="D15" s="323" t="inlineStr">
        <is>
          <t>AED 189K</t>
        </is>
      </c>
      <c r="E15" s="323" t="inlineStr">
        <is>
          <t>Overseas</t>
        </is>
      </c>
      <c r="F15" s="323" t="inlineStr">
        <is>
          <t>Active</t>
        </is>
      </c>
    </row>
    <row r="16">
      <c r="A16" s="323" t="inlineStr">
        <is>
          <t>MOE</t>
        </is>
      </c>
      <c r="B16" s="323" t="inlineStr">
        <is>
          <t>32</t>
        </is>
      </c>
      <c r="C16" s="323" t="inlineStr">
        <is>
          <t>AED 6.2M</t>
        </is>
      </c>
      <c r="D16" s="323" t="inlineStr">
        <is>
          <t>AED 194K</t>
        </is>
      </c>
      <c r="E16" s="323" t="inlineStr">
        <is>
          <t>Patrimony</t>
        </is>
      </c>
      <c r="F16" s="323" t="inlineStr">
        <is>
          <t>Active</t>
        </is>
      </c>
    </row>
    <row r="17">
      <c r="A17" s="323" t="inlineStr">
        <is>
          <t>Abu Dhabi</t>
        </is>
      </c>
      <c r="B17" s="323" t="inlineStr">
        <is>
          <t>28</t>
        </is>
      </c>
      <c r="C17" s="323" t="inlineStr">
        <is>
          <t>AED 5.8M</t>
        </is>
      </c>
      <c r="D17" s="323" t="inlineStr">
        <is>
          <t>AED 207K</t>
        </is>
      </c>
      <c r="E17" s="323" t="inlineStr">
        <is>
          <t>Traditionnelle</t>
        </is>
      </c>
      <c r="F17" s="323" t="inlineStr">
        <is>
          <t>Active</t>
        </is>
      </c>
    </row>
  </sheetData>
  <mergeCells count="3">
    <mergeCell ref="A12:H12"/>
    <mergeCell ref="A1:P1"/>
    <mergeCell ref="A3:H3"/>
  </mergeCells>
  <pageMargins left="0.75" right="0.75" top="1" bottom="1" header="0.5" footer="0.5"/>
</worksheet>
</file>

<file path=xl/worksheets/sheet23.xml><?xml version="1.0" encoding="utf-8"?>
<worksheet xmlns="http://schemas.openxmlformats.org/spreadsheetml/2006/main">
  <sheetPr>
    <outlinePr summaryBelow="1" summaryRight="1"/>
    <pageSetUpPr/>
  </sheetPr>
  <dimension ref="A1:P14"/>
  <sheetViews>
    <sheetView workbookViewId="0">
      <selection activeCell="A1" sqref="A1"/>
    </sheetView>
  </sheetViews>
  <sheetFormatPr baseColWidth="8" defaultRowHeight="15"/>
  <sheetData>
    <row r="1" ht="40" customHeight="1" s="287">
      <c r="A1" s="304" t="inlineStr">
        <is>
          <t>EXECUTIVE DASHBOARD - STRATEGIC OVERVIEW</t>
        </is>
      </c>
    </row>
    <row r="3">
      <c r="A3" s="310" t="inlineStr">
        <is>
          <t>📊 EXECUTIVE KPIS</t>
        </is>
      </c>
    </row>
    <row r="5">
      <c r="A5" s="321" t="inlineStr">
        <is>
          <t>💰 Total Pipeline</t>
        </is>
      </c>
      <c r="B5" s="321" t="inlineStr">
        <is>
          <t>👥 Active Clients</t>
        </is>
      </c>
      <c r="C5" s="321" t="inlineStr">
        <is>
          <t>📈 Conversion Rate</t>
        </is>
      </c>
      <c r="D5" s="321" t="inlineStr">
        <is>
          <t>💎 Avg Deal Size</t>
        </is>
      </c>
      <c r="E5" s="321" t="inlineStr">
        <is>
          <t>🏆 YTD Revenue</t>
        </is>
      </c>
      <c r="F5" s="321" t="inlineStr">
        <is>
          <t>📊 Growth Rate</t>
        </is>
      </c>
      <c r="G5" s="321" t="inlineStr">
        <is>
          <t>😊 Client Satisfaction</t>
        </is>
      </c>
      <c r="H5" s="321" t="inlineStr">
        <is>
          <t>🎯 Market Share</t>
        </is>
      </c>
    </row>
    <row r="6">
      <c r="A6" s="322">
        <f>SUM(Client_Summary!X:X)</f>
        <v/>
      </c>
      <c r="B6" s="322">
        <f>COUNTA(Client_Summary!B:B)-1</f>
        <v/>
      </c>
      <c r="C6" s="322">
        <f>COUNTIFS(Client_Summary!Q:Q,"Hot Lead")/COUNTA(Client_Summary!B:B)*100&amp;"%"</f>
        <v/>
      </c>
      <c r="D6" s="322">
        <f>AVERAGE(Client_Summary!X:X)</f>
        <v/>
      </c>
      <c r="E6" s="322" t="inlineStr">
        <is>
          <t>AED 12.5M</t>
        </is>
      </c>
      <c r="F6" s="322" t="inlineStr">
        <is>
          <t>+18%</t>
        </is>
      </c>
      <c r="G6" s="322" t="inlineStr">
        <is>
          <t>94%</t>
        </is>
      </c>
      <c r="H6" s="322" t="inlineStr">
        <is>
          <t>23%</t>
        </is>
      </c>
    </row>
    <row r="8">
      <c r="A8" s="314" t="inlineStr">
        <is>
          <t>🎯 STRATEGIC INSIGHTS</t>
        </is>
      </c>
    </row>
    <row r="10">
      <c r="A10" s="311" t="inlineStr">
        <is>
          <t>• Overseas collection driving 60% of client interest</t>
        </is>
      </c>
    </row>
    <row r="11">
      <c r="A11" s="311" t="inlineStr">
        <is>
          <t>• VIP Collector archetype shows highest conversion (85%)</t>
        </is>
      </c>
    </row>
    <row r="12">
      <c r="A12" s="311" t="inlineStr">
        <is>
          <t>• Arabic-speaking clients have 23% higher average deal size</t>
        </is>
      </c>
    </row>
    <row r="13">
      <c r="A13" s="311" t="inlineStr">
        <is>
          <t>• Dubai Mall boutique leading in revenue per client</t>
        </is>
      </c>
    </row>
    <row r="14">
      <c r="A14" s="311" t="inlineStr">
        <is>
          <t>• Follow-up within 48 hours increases conversion by 34%</t>
        </is>
      </c>
    </row>
  </sheetData>
  <mergeCells count="3">
    <mergeCell ref="A1:P1"/>
    <mergeCell ref="A3:H3"/>
    <mergeCell ref="A8:H8"/>
  </mergeCells>
  <pageMargins left="0.75" right="0.75" top="1" bottom="1" header="0.5" footer="0.5"/>
</worksheet>
</file>

<file path=xl/worksheets/sheet24.xml><?xml version="1.0" encoding="utf-8"?>
<worksheet xmlns="http://schemas.openxmlformats.org/spreadsheetml/2006/main">
  <sheetPr>
    <outlinePr summaryBelow="1" summaryRight="1"/>
    <pageSetUpPr/>
  </sheetPr>
  <dimension ref="A1:H31"/>
  <sheetViews>
    <sheetView workbookViewId="0">
      <selection activeCell="A1" sqref="A1"/>
    </sheetView>
  </sheetViews>
  <sheetFormatPr baseColWidth="8" defaultRowHeight="15"/>
  <sheetData>
    <row r="1" ht="40" customHeight="1" s="287">
      <c r="A1" s="325" t="inlineStr">
        <is>
          <t>DEVELOPER MODE - SYSTEM CONFIGURATION</t>
        </is>
      </c>
    </row>
    <row r="2">
      <c r="A2" s="326" t="inlineStr">
        <is>
          <t>⚠️ ADVANCED SETTINGS - MODIFY WITH CAUTION</t>
        </is>
      </c>
    </row>
    <row r="4">
      <c r="A4" s="310" t="inlineStr">
        <is>
          <t>🎯 PRIORITY ALGORITHM WEIGHTS</t>
        </is>
      </c>
    </row>
    <row r="6">
      <c r="A6" s="327" t="inlineStr">
        <is>
          <t>dm_AvailabilityWeight</t>
        </is>
      </c>
      <c r="B6" s="328" t="n">
        <v>0.4</v>
      </c>
      <c r="C6" s="329" t="inlineStr">
        <is>
          <t>Weight for availability score in priority calculation</t>
        </is>
      </c>
    </row>
    <row r="7">
      <c r="A7" s="327" t="inlineStr">
        <is>
          <t>dm_DateWeight</t>
        </is>
      </c>
      <c r="B7" s="328" t="n">
        <v>0.3</v>
      </c>
      <c r="C7" s="329" t="inlineStr">
        <is>
          <t>Weight for date score in priority calculation</t>
        </is>
      </c>
    </row>
    <row r="8">
      <c r="A8" s="327" t="inlineStr">
        <is>
          <t>dm_ProbabilityWeight</t>
        </is>
      </c>
      <c r="B8" s="328" t="n">
        <v>0.3</v>
      </c>
      <c r="C8" s="329" t="inlineStr">
        <is>
          <t>Weight for probability in priority calculation</t>
        </is>
      </c>
    </row>
    <row r="10">
      <c r="A10" s="314" t="inlineStr">
        <is>
          <t>📅 STATUS THRESHOLD DAYS</t>
        </is>
      </c>
    </row>
    <row r="12">
      <c r="A12" s="327" t="inlineStr">
        <is>
          <t>dm_UrgentDays</t>
        </is>
      </c>
      <c r="B12" s="328" t="n">
        <v>3</v>
      </c>
      <c r="C12" s="329" t="inlineStr">
        <is>
          <t>Days before follow-up becomes urgent</t>
        </is>
      </c>
    </row>
    <row r="13">
      <c r="A13" s="327" t="inlineStr">
        <is>
          <t>dm_FollowupDays</t>
        </is>
      </c>
      <c r="B13" s="328" t="n">
        <v>7</v>
      </c>
      <c r="C13" s="329" t="inlineStr">
        <is>
          <t>Days before follow-up is needed</t>
        </is>
      </c>
    </row>
    <row r="14">
      <c r="A14" s="327" t="inlineStr">
        <is>
          <t>dm_InactiveDays</t>
        </is>
      </c>
      <c r="B14" s="328" t="n">
        <v>30</v>
      </c>
      <c r="C14" s="329" t="inlineStr">
        <is>
          <t>Days before client becomes inactive</t>
        </is>
      </c>
    </row>
    <row r="15">
      <c r="A15" s="327" t="inlineStr">
        <is>
          <t>dm_BoutiqueNeedsFollowup</t>
        </is>
      </c>
      <c r="B15" s="328" t="n">
        <v>5</v>
      </c>
      <c r="C15" s="329" t="inlineStr">
        <is>
          <t>Boutique follow-up threshold</t>
        </is>
      </c>
    </row>
    <row r="16">
      <c r="A16" s="327" t="inlineStr">
        <is>
          <t>dm_BoutiqueOverdue</t>
        </is>
      </c>
      <c r="B16" s="328" t="n">
        <v>10</v>
      </c>
      <c r="C16" s="329" t="inlineStr">
        <is>
          <t>Boutique overdue threshold</t>
        </is>
      </c>
    </row>
    <row r="18">
      <c r="A18" s="317" t="inlineStr">
        <is>
          <t>🎛️ DISPLAY TOGGLES</t>
        </is>
      </c>
    </row>
    <row r="20">
      <c r="A20" s="327" t="inlineStr">
        <is>
          <t>dm_ShowHighPriorityOnly</t>
        </is>
      </c>
      <c r="B20" s="328" t="inlineStr">
        <is>
          <t>FALSE</t>
        </is>
      </c>
      <c r="C20" s="329" t="inlineStr">
        <is>
          <t>Show only high priority clients in dashboards</t>
        </is>
      </c>
    </row>
    <row r="21">
      <c r="A21" s="327" t="inlineStr">
        <is>
          <t>dm_ShowPercentOnKPIs</t>
        </is>
      </c>
      <c r="B21" s="328" t="inlineStr">
        <is>
          <t>TRUE</t>
        </is>
      </c>
      <c r="C21" s="329" t="inlineStr">
        <is>
          <t>Show percentages on KPI displays</t>
        </is>
      </c>
    </row>
    <row r="23">
      <c r="A23" s="324" t="inlineStr">
        <is>
          <t>🔑 API CONFIGURATION</t>
        </is>
      </c>
    </row>
    <row r="25">
      <c r="A25" s="327" t="inlineStr">
        <is>
          <t>dm_APIKey</t>
        </is>
      </c>
      <c r="B25" s="330" t="inlineStr"/>
      <c r="C25" s="329" t="inlineStr">
        <is>
          <t>Gemini API Key (leave empty - configure externally)</t>
        </is>
      </c>
    </row>
    <row r="27">
      <c r="A27" s="331" t="inlineStr">
        <is>
          <t>🎮 CONTROL BUTTONS</t>
        </is>
      </c>
    </row>
    <row r="29">
      <c r="A29" s="332" t="inlineStr">
        <is>
          <t>Refresh All Data</t>
        </is>
      </c>
      <c r="C29" s="332" t="inlineStr">
        <is>
          <t>Reset Weights</t>
        </is>
      </c>
    </row>
    <row r="31">
      <c r="A31" s="332" t="inlineStr">
        <is>
          <t>Generate Test Data</t>
        </is>
      </c>
      <c r="C31" s="332" t="inlineStr">
        <is>
          <t>Clear All Data</t>
        </is>
      </c>
    </row>
  </sheetData>
  <mergeCells count="7">
    <mergeCell ref="A23:D23"/>
    <mergeCell ref="A18:D18"/>
    <mergeCell ref="A27:D27"/>
    <mergeCell ref="A4:D4"/>
    <mergeCell ref="A2:H2"/>
    <mergeCell ref="A1:H1"/>
    <mergeCell ref="A10:D10"/>
  </mergeCells>
  <pageMargins left="0.75" right="0.75" top="1" bottom="1" header="0.5" footer="0.5"/>
</worksheet>
</file>

<file path=xl/worksheets/sheet25.xml><?xml version="1.0" encoding="utf-8"?>
<worksheet xmlns="http://schemas.openxmlformats.org/spreadsheetml/2006/main">
  <sheetPr>
    <outlinePr summaryBelow="1" summaryRight="1"/>
    <pageSetUpPr/>
  </sheetPr>
  <dimension ref="A1:H7"/>
  <sheetViews>
    <sheetView workbookViewId="0">
      <selection activeCell="A1" sqref="A1"/>
    </sheetView>
  </sheetViews>
  <sheetFormatPr baseColWidth="8" defaultRowHeight="15"/>
  <cols>
    <col width="20" customWidth="1" style="287" min="1" max="1"/>
    <col width="12" customWidth="1" style="287" min="2" max="2"/>
    <col width="20" customWidth="1" style="287" min="3" max="3"/>
    <col width="40" customWidth="1" style="287" min="4" max="4"/>
    <col width="12" customWidth="1" style="287" min="5" max="5"/>
    <col width="10" customWidth="1" style="287" min="6" max="6"/>
    <col width="10" customWidth="1" style="287" min="7" max="7"/>
    <col width="30" customWidth="1" style="287" min="8" max="8"/>
  </cols>
  <sheetData>
    <row r="1" ht="40" customHeight="1" s="287">
      <c r="A1" s="304" t="inlineStr">
        <is>
          <t>AUDIT LOG - SYSTEM ACTIVITY TRACKING</t>
        </is>
      </c>
    </row>
    <row r="3">
      <c r="A3" s="333" t="inlineStr">
        <is>
          <t>Timestamp</t>
        </is>
      </c>
      <c r="B3" s="333" t="inlineStr">
        <is>
          <t>User</t>
        </is>
      </c>
      <c r="C3" s="333" t="inlineStr">
        <is>
          <t>Action</t>
        </is>
      </c>
      <c r="D3" s="333" t="inlineStr">
        <is>
          <t>Summary</t>
        </is>
      </c>
      <c r="E3" s="333" t="inlineStr">
        <is>
          <t>Affected_Rows</t>
        </is>
      </c>
      <c r="F3" s="333" t="inlineStr">
        <is>
          <t>Status</t>
        </is>
      </c>
      <c r="G3" s="333" t="inlineStr">
        <is>
          <t>Duration</t>
        </is>
      </c>
      <c r="H3" s="333" t="inlineStr">
        <is>
          <t>Details</t>
        </is>
      </c>
    </row>
    <row r="4">
      <c r="A4" s="334" t="inlineStr">
        <is>
          <t>2025-09-10 11:16:21</t>
        </is>
      </c>
      <c r="B4" s="334" t="inlineStr">
        <is>
          <t>System</t>
        </is>
      </c>
      <c r="C4" s="334" t="inlineStr">
        <is>
          <t>Initialize</t>
        </is>
      </c>
      <c r="D4" s="334" t="inlineStr">
        <is>
          <t>System startup and initialization</t>
        </is>
      </c>
      <c r="E4" s="334" t="inlineStr">
        <is>
          <t>0</t>
        </is>
      </c>
      <c r="F4" s="334" t="inlineStr">
        <is>
          <t>Success</t>
        </is>
      </c>
      <c r="G4" s="334" t="inlineStr">
        <is>
          <t>2.3s</t>
        </is>
      </c>
      <c r="H4" s="334" t="inlineStr">
        <is>
          <t>All modules loaded</t>
        </is>
      </c>
    </row>
    <row r="5">
      <c r="A5" s="334" t="inlineStr">
        <is>
          <t>2025-09-10 11:11:21</t>
        </is>
      </c>
      <c r="B5" s="334" t="inlineStr">
        <is>
          <t>Maaz</t>
        </is>
      </c>
      <c r="C5" s="334" t="inlineStr">
        <is>
          <t>Parse WhatsApp</t>
        </is>
      </c>
      <c r="D5" s="334" t="inlineStr">
        <is>
          <t>Analyzed conversation for Ahmed Al-Rashid</t>
        </is>
      </c>
      <c r="E5" s="334" t="inlineStr">
        <is>
          <t>1</t>
        </is>
      </c>
      <c r="F5" s="334" t="inlineStr">
        <is>
          <t>Success</t>
        </is>
      </c>
      <c r="G5" s="334" t="inlineStr">
        <is>
          <t>1.8s</t>
        </is>
      </c>
      <c r="H5" s="334" t="inlineStr">
        <is>
          <t>New client VC001 created</t>
        </is>
      </c>
    </row>
    <row r="6">
      <c r="A6" s="334" t="inlineStr">
        <is>
          <t>2025-09-10 11:06:21</t>
        </is>
      </c>
      <c r="B6" s="334" t="inlineStr">
        <is>
          <t>System</t>
        </is>
      </c>
      <c r="C6" s="334" t="inlineStr">
        <is>
          <t>Refresh Dashboards</t>
        </is>
      </c>
      <c r="D6" s="334" t="inlineStr">
        <is>
          <t>Updated all dashboard metrics</t>
        </is>
      </c>
      <c r="E6" s="334" t="inlineStr">
        <is>
          <t>3</t>
        </is>
      </c>
      <c r="F6" s="334" t="inlineStr">
        <is>
          <t>Success</t>
        </is>
      </c>
      <c r="G6" s="334" t="inlineStr">
        <is>
          <t>0.9s</t>
        </is>
      </c>
      <c r="H6" s="334" t="inlineStr">
        <is>
          <t>KPIs refreshed</t>
        </is>
      </c>
    </row>
    <row r="7">
      <c r="A7" s="334" t="inlineStr">
        <is>
          <t>2025-09-10 11:01:21</t>
        </is>
      </c>
      <c r="B7" s="334" t="inlineStr">
        <is>
          <t>Maaz</t>
        </is>
      </c>
      <c r="C7" s="334" t="inlineStr">
        <is>
          <t>Generate Client Tabs</t>
        </is>
      </c>
      <c r="D7" s="334" t="inlineStr">
        <is>
          <t>Created individual client sheets</t>
        </is>
      </c>
      <c r="E7" s="334" t="inlineStr">
        <is>
          <t>3</t>
        </is>
      </c>
      <c r="F7" s="334" t="inlineStr">
        <is>
          <t>Success</t>
        </is>
      </c>
      <c r="G7" s="334" t="inlineStr">
        <is>
          <t>3.2s</t>
        </is>
      </c>
      <c r="H7" s="334" t="inlineStr">
        <is>
          <t>VC001, VC002, VC003 tabs created</t>
        </is>
      </c>
    </row>
  </sheetData>
  <mergeCells count="1">
    <mergeCell ref="A1:H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maaz@crm-me.com</dc:creator>
  <dc:title xmlns:dc="http://purl.org/dc/elements/1.1/">VC - Sellout Plan Maaz</dc:title>
  <dcterms:created xmlns:dcterms="http://purl.org/dc/terms/" xmlns:xsi="http://www.w3.org/2001/XMLSchema-instance" xsi:type="dcterms:W3CDTF">2015-04-08T09:49:23Z</dcterms:created>
  <dcterms:modified xmlns:dcterms="http://purl.org/dc/terms/" xmlns:xsi="http://www.w3.org/2001/XMLSchema-instance" xsi:type="dcterms:W3CDTF">2025-09-10T15:16:21Z</dcterms:modified>
  <cp:lastModifiedBy>SHARIF Maaz (EXT-VAC-AE)</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0x0101008E08BF23E7EAE44CAC65E620CAA62791</vt:lpwstr>
  </property>
  <property name="ComplianceAssetId" fmtid="{D5CDD505-2E9C-101B-9397-08002B2CF9AE}" pid="3">
    <vt:lpwstr xmlns:vt="http://schemas.openxmlformats.org/officeDocument/2006/docPropsVTypes"/>
  </property>
  <property name="_ExtendedDescription" fmtid="{D5CDD505-2E9C-101B-9397-08002B2CF9AE}" pid="4">
    <vt:lpwstr xmlns:vt="http://schemas.openxmlformats.org/officeDocument/2006/docPropsVTypes"/>
  </property>
  <property name="_activity" fmtid="{D5CDD505-2E9C-101B-9397-08002B2CF9AE}" pid="5">
    <vt:lpwstr xmlns:vt="http://schemas.openxmlformats.org/officeDocument/2006/docPropsVTypes">{"FileActivityType":"9","FileActivityTimeStamp":"2025-04-16T15:03:19.447Z","FileActivityUsersOnPage":[{"DisplayName":"SHARIF Maaz (EXT-VAC-AE)","Id":"maaz.sharif@vacheron-constantin.com"},{"DisplayName":"OMARI Asma (EXT-VAC-AE)","Id":"asma.omari@vacheron-constantin.com"},{"DisplayName":"TAHHAN Riham (EXT-VAC-AE)","Id":"riham.tahhan@vacheron-constantin.com"}],"FileActivityNavigationId":null}</vt:lpwstr>
  </property>
  <property name="TriggerFlowInfo" fmtid="{D5CDD505-2E9C-101B-9397-08002B2CF9AE}" pid="6">
    <vt:lpwstr xmlns:vt="http://schemas.openxmlformats.org/officeDocument/2006/docPropsVTypes"/>
  </property>
</Properties>
</file>