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WhatsApp_Parser" sheetId="1" state="visible" r:id="rId1"/>
    <sheet xmlns:r="http://schemas.openxmlformats.org/officeDocument/2006/relationships" name="Client_Database" sheetId="2" state="visible" r:id="rId2"/>
    <sheet xmlns:r="http://schemas.openxmlformats.org/officeDocument/2006/relationships" name="Collection" sheetId="3" state="visible" r:id="rId3"/>
    <sheet xmlns:r="http://schemas.openxmlformats.org/officeDocument/2006/relationships" name="Dashboard" sheetId="4" state="visible" r:id="rId4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4">
    <font>
      <name val="Calibri"/>
      <family val="2"/>
      <color theme="1"/>
      <sz val="11"/>
      <scheme val="minor"/>
    </font>
    <font>
      <name val="Calibri"/>
      <b val="1"/>
      <color rgb="00FFFFFF"/>
      <sz val="18"/>
    </font>
    <font>
      <name val="Calibri"/>
      <b val="1"/>
      <color rgb="002F4F4F"/>
      <sz val="14"/>
    </font>
    <font>
      <name val="Calibri"/>
      <sz val="11"/>
    </font>
    <font>
      <name val="Calibri"/>
      <b val="1"/>
      <sz val="12"/>
    </font>
    <font>
      <name val="Calibri"/>
      <b val="1"/>
      <sz val="11"/>
    </font>
    <font>
      <name val="Calibri"/>
      <b val="1"/>
      <color rgb="00FFFFFF"/>
      <sz val="14"/>
    </font>
    <font>
      <name val="Calibri"/>
      <i val="1"/>
      <sz val="11"/>
    </font>
    <font>
      <name val="Calibri"/>
      <b val="1"/>
      <color rgb="00FFFFFF"/>
      <sz val="16"/>
    </font>
    <font>
      <name val="Calibri"/>
      <b val="1"/>
      <color rgb="00FFFFFF"/>
      <sz val="11"/>
    </font>
    <font>
      <name val="Calibri"/>
      <sz val="10"/>
    </font>
    <font>
      <name val="Calibri"/>
      <b val="1"/>
      <color rgb="00B8860B"/>
      <sz val="14"/>
    </font>
    <font>
      <name val="Calibri"/>
      <b val="1"/>
      <color rgb="00B8860B"/>
      <sz val="11"/>
    </font>
    <font>
      <name val="Calibri"/>
      <i val="1"/>
      <sz val="10"/>
    </font>
  </fonts>
  <fills count="7">
    <fill>
      <patternFill/>
    </fill>
    <fill>
      <patternFill patternType="gray125"/>
    </fill>
    <fill>
      <patternFill patternType="solid">
        <fgColor rgb="00B8860B"/>
        <bgColor rgb="00B8860B"/>
      </patternFill>
    </fill>
    <fill>
      <patternFill patternType="solid">
        <fgColor rgb="00FFFF00"/>
        <bgColor rgb="00FFFF00"/>
      </patternFill>
    </fill>
    <fill>
      <patternFill patternType="solid">
        <fgColor rgb="00228B22"/>
        <bgColor rgb="00228B22"/>
      </patternFill>
    </fill>
    <fill>
      <patternFill patternType="solid">
        <fgColor rgb="00F5F5DC"/>
        <bgColor rgb="00F5F5DC"/>
      </patternFill>
    </fill>
    <fill>
      <patternFill patternType="solid">
        <fgColor rgb="002F4F4F"/>
        <bgColor rgb="002F4F4F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1">
    <xf numFmtId="0" fontId="0" fillId="0" borderId="0"/>
  </cellStyleXfs>
  <cellXfs count="19">
    <xf numFmtId="0" fontId="0" fillId="0" borderId="0" pivotButton="0" quotePrefix="0" xfId="0"/>
    <xf numFmtId="0" fontId="1" fillId="2" borderId="0" applyAlignment="1" pivotButton="0" quotePrefix="0" xfId="0">
      <alignment horizontal="center" vertical="center"/>
    </xf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3" borderId="0" applyAlignment="1" pivotButton="0" quotePrefix="0" xfId="0">
      <alignment horizontal="left" vertical="top" wrapText="1"/>
    </xf>
    <xf numFmtId="0" fontId="6" fillId="4" borderId="0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/>
    </xf>
    <xf numFmtId="0" fontId="7" fillId="0" borderId="0" pivotButton="0" quotePrefix="0" xfId="0"/>
    <xf numFmtId="0" fontId="8" fillId="2" borderId="0" applyAlignment="1" pivotButton="0" quotePrefix="0" xfId="0">
      <alignment horizontal="center" vertical="center"/>
    </xf>
    <xf numFmtId="0" fontId="9" fillId="6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left" vertical="center"/>
    </xf>
    <xf numFmtId="0" fontId="9" fillId="6" borderId="1" applyAlignment="1" pivotButton="0" quotePrefix="0" xfId="0">
      <alignment horizontal="center" vertical="center" wrapText="1"/>
    </xf>
    <xf numFmtId="0" fontId="10" fillId="0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 wrapText="1"/>
    </xf>
    <xf numFmtId="0" fontId="11" fillId="0" borderId="1" applyAlignment="1" pivotButton="0" quotePrefix="0" xfId="0">
      <alignment horizontal="center" vertical="center"/>
    </xf>
    <xf numFmtId="0" fontId="5" fillId="0" borderId="0" pivotButton="0" quotePrefix="0" xfId="0"/>
    <xf numFmtId="0" fontId="12" fillId="0" borderId="0" pivotButton="0" quotePrefix="0" xfId="0"/>
    <xf numFmtId="0" fontId="13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P28"/>
  <sheetViews>
    <sheetView workbookViewId="0">
      <selection activeCell="A1" sqref="A1"/>
    </sheetView>
  </sheetViews>
  <sheetFormatPr baseColWidth="8" defaultRowHeight="15"/>
  <cols>
    <col width="15" customWidth="1" min="1" max="1"/>
    <col width="25" customWidth="1" min="2" max="2"/>
    <col width="15" customWidth="1" min="3" max="3"/>
    <col width="12" customWidth="1" min="4" max="4"/>
    <col width="15" customWidth="1" min="5" max="5"/>
    <col width="20" customWidth="1" min="6" max="6"/>
    <col width="25" customWidth="1" min="7" max="7"/>
    <col width="15" customWidth="1" min="8" max="8"/>
    <col width="15" customWidth="1" min="9" max="9"/>
    <col width="15" customWidth="1" min="10" max="10"/>
    <col width="15" customWidth="1" min="11" max="11"/>
    <col width="15" customWidth="1" min="12" max="12"/>
    <col width="15" customWidth="1" min="13" max="13"/>
    <col width="15" customWidth="1" min="14" max="14"/>
    <col width="15" customWidth="1" min="15" max="15"/>
    <col width="15" customWidth="1" min="16" max="16"/>
  </cols>
  <sheetData>
    <row r="1" ht="35" customHeight="1">
      <c r="A1" s="1" t="inlineStr">
        <is>
          <t>VACHERON CONSTANTIN - WHATSAPP ANALYZER</t>
        </is>
      </c>
    </row>
    <row r="3">
      <c r="A3" s="2" t="inlineStr">
        <is>
          <t>📱 INSTRUCTIONS:</t>
        </is>
      </c>
    </row>
    <row r="4">
      <c r="A4" s="3" t="inlineStr">
        <is>
          <t>1. Copy your WhatsApp conversation</t>
        </is>
      </c>
    </row>
    <row r="5">
      <c r="A5" s="3" t="inlineStr">
        <is>
          <t>2. Paste it in cell B12 below</t>
        </is>
      </c>
    </row>
    <row r="6">
      <c r="A6" s="3" t="inlineStr">
        <is>
          <t>3. The system will automatically analyze it</t>
        </is>
      </c>
    </row>
    <row r="7">
      <c r="A7" s="3" t="inlineStr">
        <is>
          <t>4. Results will appear in the sections below</t>
        </is>
      </c>
    </row>
    <row r="8">
      <c r="A8" s="3" t="inlineStr">
        <is>
          <t>5. Check other sheets for detailed data</t>
        </is>
      </c>
    </row>
    <row r="12">
      <c r="A12" s="4" t="inlineStr">
        <is>
          <t>PASTE CONVERSATION HERE:</t>
        </is>
      </c>
      <c r="B12" s="5" t="inlineStr">
        <is>
          <t>Paste your WhatsApp conversation here and press Enter...</t>
        </is>
      </c>
    </row>
    <row r="13"/>
    <row r="14"/>
    <row r="15"/>
    <row r="16"/>
    <row r="17"/>
    <row r="18"/>
    <row r="19"/>
    <row r="20"/>
    <row r="25">
      <c r="A25" s="6" t="inlineStr">
        <is>
          <t>📊 ANALYSIS RESULTS</t>
        </is>
      </c>
    </row>
    <row r="27">
      <c r="A27" s="7" t="inlineStr">
        <is>
          <t>Client Name</t>
        </is>
      </c>
      <c r="B27" s="7" t="inlineStr">
        <is>
          <t>Language</t>
        </is>
      </c>
      <c r="C27" s="7" t="inlineStr">
        <is>
          <t>Sentiment</t>
        </is>
      </c>
      <c r="D27" s="7" t="inlineStr">
        <is>
          <t>Key Interest</t>
        </is>
      </c>
      <c r="E27" s="7" t="inlineStr">
        <is>
          <t>Recommendation</t>
        </is>
      </c>
      <c r="F27" s="7" t="inlineStr">
        <is>
          <t>Next Action</t>
        </is>
      </c>
    </row>
    <row r="28">
      <c r="A28" s="8" t="inlineStr">
        <is>
          <t>Results will appear here after analysis...</t>
        </is>
      </c>
    </row>
  </sheetData>
  <mergeCells count="3">
    <mergeCell ref="B12:P20"/>
    <mergeCell ref="A1:P1"/>
    <mergeCell ref="A25:H25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P6"/>
  <sheetViews>
    <sheetView workbookViewId="0">
      <selection activeCell="A1" sqref="A1"/>
    </sheetView>
  </sheetViews>
  <sheetFormatPr baseColWidth="8" defaultRowHeight="15"/>
  <cols>
    <col width="10" customWidth="1" min="1" max="1"/>
    <col width="20" customWidth="1" min="2" max="2"/>
    <col width="15" customWidth="1" min="3" max="3"/>
    <col width="25" customWidth="1" min="4" max="4"/>
    <col width="10" customWidth="1" min="5" max="5"/>
    <col width="8" customWidth="1" min="6" max="6"/>
    <col width="15" customWidth="1" min="7" max="7"/>
    <col width="15" customWidth="1" min="8" max="8"/>
    <col width="12" customWidth="1" min="9" max="9"/>
    <col width="12" customWidth="1" min="10" max="10"/>
    <col width="10" customWidth="1" min="11" max="11"/>
    <col width="30" customWidth="1" min="12" max="12"/>
    <col width="12" customWidth="1" min="13" max="13"/>
    <col width="8" customWidth="1" min="14" max="14"/>
    <col width="12" customWidth="1" min="15" max="15"/>
    <col width="12" customWidth="1" min="16" max="16"/>
  </cols>
  <sheetData>
    <row r="1" ht="30" customHeight="1">
      <c r="A1" s="9" t="inlineStr">
        <is>
          <t>CLIENT DATABASE - VACHERON CONSTANTIN</t>
        </is>
      </c>
    </row>
    <row r="3">
      <c r="A3" s="10" t="inlineStr">
        <is>
          <t>Client ID</t>
        </is>
      </c>
      <c r="B3" s="10" t="inlineStr">
        <is>
          <t>Name</t>
        </is>
      </c>
      <c r="C3" s="10" t="inlineStr">
        <is>
          <t>Phone</t>
        </is>
      </c>
      <c r="D3" s="10" t="inlineStr">
        <is>
          <t>Email</t>
        </is>
      </c>
      <c r="E3" s="10" t="inlineStr">
        <is>
          <t>Language</t>
        </is>
      </c>
      <c r="F3" s="10" t="inlineStr">
        <is>
          <t>Sentiment</t>
        </is>
      </c>
      <c r="G3" s="10" t="inlineStr">
        <is>
          <t>Archetype</t>
        </is>
      </c>
      <c r="H3" s="10" t="inlineStr">
        <is>
          <t>Interest</t>
        </is>
      </c>
      <c r="I3" s="10" t="inlineStr">
        <is>
          <t>Last Contact</t>
        </is>
      </c>
      <c r="J3" s="10" t="inlineStr">
        <is>
          <t>Next Follow-up</t>
        </is>
      </c>
      <c r="K3" s="10" t="inlineStr">
        <is>
          <t>Status</t>
        </is>
      </c>
      <c r="L3" s="10" t="inlineStr">
        <is>
          <t>Notes</t>
        </is>
      </c>
      <c r="M3" s="10" t="inlineStr">
        <is>
          <t>Revenue Potential</t>
        </is>
      </c>
      <c r="N3" s="10" t="inlineStr">
        <is>
          <t>Priority</t>
        </is>
      </c>
      <c r="O3" s="10" t="inlineStr">
        <is>
          <t>Assigned SA</t>
        </is>
      </c>
      <c r="P3" s="10" t="inlineStr">
        <is>
          <t>Boutique</t>
        </is>
      </c>
    </row>
    <row r="4">
      <c r="A4" s="11" t="inlineStr">
        <is>
          <t>001</t>
        </is>
      </c>
      <c r="B4" s="11" t="inlineStr">
        <is>
          <t>Ahmed Al-Rashid</t>
        </is>
      </c>
      <c r="C4" s="11" t="inlineStr">
        <is>
          <t>+971501234567</t>
        </is>
      </c>
      <c r="D4" s="11" t="inlineStr">
        <is>
          <t>ahmed@email.com</t>
        </is>
      </c>
      <c r="E4" s="11" t="inlineStr">
        <is>
          <t>Arabic</t>
        </is>
      </c>
      <c r="F4" s="11" t="inlineStr">
        <is>
          <t>85%</t>
        </is>
      </c>
      <c r="G4" s="11" t="inlineStr">
        <is>
          <t>VIP Collector</t>
        </is>
      </c>
      <c r="H4" s="11" t="inlineStr">
        <is>
          <t>Overseas</t>
        </is>
      </c>
      <c r="I4" s="11" t="inlineStr">
        <is>
          <t>2025-01-15</t>
        </is>
      </c>
      <c r="J4" s="11" t="inlineStr">
        <is>
          <t>2025-01-20</t>
        </is>
      </c>
      <c r="K4" s="11" t="inlineStr">
        <is>
          <t>Active</t>
        </is>
      </c>
      <c r="L4" s="11" t="inlineStr">
        <is>
          <t>High interest in complications</t>
        </is>
      </c>
      <c r="M4" s="11" t="inlineStr">
        <is>
          <t>AED 500K</t>
        </is>
      </c>
      <c r="N4" s="11" t="inlineStr">
        <is>
          <t>High</t>
        </is>
      </c>
      <c r="O4" s="11" t="inlineStr">
        <is>
          <t>Maaz</t>
        </is>
      </c>
      <c r="P4" s="11" t="inlineStr">
        <is>
          <t>Dubai Mall</t>
        </is>
      </c>
    </row>
    <row r="5">
      <c r="A5" s="11" t="inlineStr">
        <is>
          <t>002</t>
        </is>
      </c>
      <c r="B5" s="11" t="inlineStr">
        <is>
          <t>John Smith</t>
        </is>
      </c>
      <c r="C5" s="11" t="inlineStr">
        <is>
          <t>+971509876543</t>
        </is>
      </c>
      <c r="D5" s="11" t="inlineStr">
        <is>
          <t>john@email.com</t>
        </is>
      </c>
      <c r="E5" s="11" t="inlineStr">
        <is>
          <t>English</t>
        </is>
      </c>
      <c r="F5" s="11" t="inlineStr">
        <is>
          <t>78%</t>
        </is>
      </c>
      <c r="G5" s="11" t="inlineStr">
        <is>
          <t>Sports Enthusiast</t>
        </is>
      </c>
      <c r="H5" s="11" t="inlineStr">
        <is>
          <t>Chronograph</t>
        </is>
      </c>
      <c r="I5" s="11" t="inlineStr">
        <is>
          <t>2025-01-14</t>
        </is>
      </c>
      <c r="J5" s="11" t="inlineStr">
        <is>
          <t>2025-01-18</t>
        </is>
      </c>
      <c r="K5" s="11" t="inlineStr">
        <is>
          <t>Follow-up</t>
        </is>
      </c>
      <c r="L5" s="11" t="inlineStr">
        <is>
          <t>Interested in blue dial</t>
        </is>
      </c>
      <c r="M5" s="11" t="inlineStr">
        <is>
          <t>AED 200K</t>
        </is>
      </c>
      <c r="N5" s="11" t="inlineStr">
        <is>
          <t>Medium</t>
        </is>
      </c>
      <c r="O5" s="11" t="inlineStr">
        <is>
          <t>Maxim</t>
        </is>
      </c>
      <c r="P5" s="11" t="inlineStr">
        <is>
          <t>MOE</t>
        </is>
      </c>
    </row>
    <row r="6">
      <c r="A6" s="11" t="inlineStr">
        <is>
          <t>003</t>
        </is>
      </c>
      <c r="B6" s="11" t="inlineStr">
        <is>
          <t>Mohammed Hassan</t>
        </is>
      </c>
      <c r="C6" s="11" t="inlineStr">
        <is>
          <t>+966501122334</t>
        </is>
      </c>
      <c r="D6" s="11" t="inlineStr">
        <is>
          <t>mohammed@email.com</t>
        </is>
      </c>
      <c r="E6" s="11" t="inlineStr">
        <is>
          <t>Arabic</t>
        </is>
      </c>
      <c r="F6" s="11" t="inlineStr">
        <is>
          <t>92%</t>
        </is>
      </c>
      <c r="G6" s="11" t="inlineStr">
        <is>
          <t>Heritage Lover</t>
        </is>
      </c>
      <c r="H6" s="11" t="inlineStr">
        <is>
          <t>Traditionnelle</t>
        </is>
      </c>
      <c r="I6" s="11" t="inlineStr">
        <is>
          <t>2025-01-13</t>
        </is>
      </c>
      <c r="J6" s="11" t="inlineStr">
        <is>
          <t>2025-01-17</t>
        </is>
      </c>
      <c r="K6" s="11" t="inlineStr">
        <is>
          <t>Hot Lead</t>
        </is>
      </c>
      <c r="L6" s="11" t="inlineStr">
        <is>
          <t>Loves classical designs</t>
        </is>
      </c>
      <c r="M6" s="11" t="inlineStr">
        <is>
          <t>AED 350K</t>
        </is>
      </c>
      <c r="N6" s="11" t="inlineStr">
        <is>
          <t>High</t>
        </is>
      </c>
      <c r="O6" s="11" t="inlineStr">
        <is>
          <t>Riham</t>
        </is>
      </c>
      <c r="P6" s="11" t="inlineStr">
        <is>
          <t>Abu Dhabi</t>
        </is>
      </c>
    </row>
  </sheetData>
  <mergeCells count="1">
    <mergeCell ref="A1:P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8"/>
  <sheetViews>
    <sheetView workbookViewId="0">
      <selection activeCell="A1" sqref="A1"/>
    </sheetView>
  </sheetViews>
  <sheetFormatPr baseColWidth="8" defaultRowHeight="15"/>
  <cols>
    <col width="18" customWidth="1" min="1" max="1"/>
    <col width="12" customWidth="1" min="2" max="2"/>
    <col width="25" customWidth="1" min="3" max="3"/>
    <col width="12" customWidth="1" min="4" max="4"/>
    <col width="12" customWidth="1" min="5" max="5"/>
    <col width="12" customWidth="1" min="6" max="6"/>
    <col width="8" customWidth="1" min="7" max="7"/>
    <col width="15" customWidth="1" min="8" max="8"/>
    <col width="20" customWidth="1" min="9" max="9"/>
    <col width="20" customWidth="1" min="10" max="10"/>
    <col width="8" customWidth="1" min="11" max="11"/>
    <col width="8" customWidth="1" min="12" max="12"/>
  </cols>
  <sheetData>
    <row r="1" ht="30" customHeight="1">
      <c r="A1" s="9" t="inlineStr">
        <is>
          <t>VACHERON CONSTANTIN COLLECTION</t>
        </is>
      </c>
    </row>
    <row r="3">
      <c r="A3" s="12" t="inlineStr">
        <is>
          <t>Reference</t>
        </is>
      </c>
      <c r="B3" s="12" t="inlineStr">
        <is>
          <t>Collection</t>
        </is>
      </c>
      <c r="C3" s="12" t="inlineStr">
        <is>
          <t>Model Name</t>
        </is>
      </c>
      <c r="D3" s="12" t="inlineStr">
        <is>
          <t>Price AED</t>
        </is>
      </c>
      <c r="E3" s="12" t="inlineStr">
        <is>
          <t>Availability</t>
        </is>
      </c>
      <c r="F3" s="12" t="inlineStr">
        <is>
          <t>Interest Level</t>
        </is>
      </c>
      <c r="G3" s="12" t="inlineStr">
        <is>
          <t>Waitlist</t>
        </is>
      </c>
      <c r="H3" s="12" t="inlineStr">
        <is>
          <t>Target Archetype</t>
        </is>
      </c>
      <c r="I3" s="12" t="inlineStr">
        <is>
          <t>Key Features</t>
        </is>
      </c>
      <c r="J3" s="12" t="inlineStr">
        <is>
          <t>Competitive Advantage</t>
        </is>
      </c>
      <c r="K3" s="12" t="inlineStr">
        <is>
          <t>Sales YTD</t>
        </is>
      </c>
      <c r="L3" s="12" t="inlineStr">
        <is>
          <t>Target 2025</t>
        </is>
      </c>
    </row>
    <row r="4">
      <c r="A4" s="13" t="inlineStr">
        <is>
          <t>4520V/210A-B128</t>
        </is>
      </c>
      <c r="B4" s="13" t="inlineStr">
        <is>
          <t>Overseas</t>
        </is>
      </c>
      <c r="C4" s="13" t="inlineStr">
        <is>
          <t>Overseas Self-Winding Blue</t>
        </is>
      </c>
      <c r="D4" s="13" t="inlineStr">
        <is>
          <t>165,000</t>
        </is>
      </c>
      <c r="E4" s="13" t="inlineStr">
        <is>
          <t>Waitlist</t>
        </is>
      </c>
      <c r="F4" s="13" t="inlineStr">
        <is>
          <t>Very High</t>
        </is>
      </c>
      <c r="G4" s="13" t="inlineStr">
        <is>
          <t>25</t>
        </is>
      </c>
      <c r="H4" s="13" t="inlineStr">
        <is>
          <t>Sports Collector</t>
        </is>
      </c>
      <c r="I4" s="13" t="inlineStr">
        <is>
          <t>Integrated bracelet, Blue dial</t>
        </is>
      </c>
      <c r="J4" s="13" t="inlineStr">
        <is>
          <t>Sports sophistication</t>
        </is>
      </c>
      <c r="K4" s="13" t="inlineStr">
        <is>
          <t>8</t>
        </is>
      </c>
      <c r="L4" s="13" t="inlineStr">
        <is>
          <t>20</t>
        </is>
      </c>
    </row>
    <row r="5">
      <c r="A5" s="13" t="inlineStr">
        <is>
          <t>4000V/210A-B911</t>
        </is>
      </c>
      <c r="B5" s="13" t="inlineStr">
        <is>
          <t>Overseas</t>
        </is>
      </c>
      <c r="C5" s="13" t="inlineStr">
        <is>
          <t>Overseas Moon Phase</t>
        </is>
      </c>
      <c r="D5" s="13" t="inlineStr">
        <is>
          <t>185,000</t>
        </is>
      </c>
      <c r="E5" s="13" t="inlineStr">
        <is>
          <t>Available</t>
        </is>
      </c>
      <c r="F5" s="13" t="inlineStr">
        <is>
          <t>High</t>
        </is>
      </c>
      <c r="G5" s="13" t="inlineStr">
        <is>
          <t>12</t>
        </is>
      </c>
      <c r="H5" s="13" t="inlineStr">
        <is>
          <t>Luxury Enthusiast</t>
        </is>
      </c>
      <c r="I5" s="13" t="inlineStr">
        <is>
          <t>Moon phase complication</t>
        </is>
      </c>
      <c r="J5" s="13" t="inlineStr">
        <is>
          <t>Unique functionality</t>
        </is>
      </c>
      <c r="K5" s="13" t="inlineStr">
        <is>
          <t>12</t>
        </is>
      </c>
      <c r="L5" s="13" t="inlineStr">
        <is>
          <t>18</t>
        </is>
      </c>
    </row>
    <row r="6">
      <c r="A6" s="13" t="inlineStr">
        <is>
          <t>43175/000R-B519</t>
        </is>
      </c>
      <c r="B6" s="13" t="inlineStr">
        <is>
          <t>Patrimony</t>
        </is>
      </c>
      <c r="C6" s="13" t="inlineStr">
        <is>
          <t>Patrimony Perpetual Calendar</t>
        </is>
      </c>
      <c r="D6" s="13" t="inlineStr">
        <is>
          <t>485,000</t>
        </is>
      </c>
      <c r="E6" s="13" t="inlineStr">
        <is>
          <t>Special Order</t>
        </is>
      </c>
      <c r="F6" s="13" t="inlineStr">
        <is>
          <t>Exclusive</t>
        </is>
      </c>
      <c r="G6" s="13" t="inlineStr">
        <is>
          <t>5</t>
        </is>
      </c>
      <c r="H6" s="13" t="inlineStr">
        <is>
          <t>VIP Collector</t>
        </is>
      </c>
      <c r="I6" s="13" t="inlineStr">
        <is>
          <t>Perpetual calendar</t>
        </is>
      </c>
      <c r="J6" s="13" t="inlineStr">
        <is>
          <t>Horological mastery</t>
        </is>
      </c>
      <c r="K6" s="13" t="inlineStr">
        <is>
          <t>3</t>
        </is>
      </c>
      <c r="L6" s="13" t="inlineStr">
        <is>
          <t>8</t>
        </is>
      </c>
    </row>
    <row r="7">
      <c r="A7" s="13" t="inlineStr">
        <is>
          <t>4600E/000A-B487</t>
        </is>
      </c>
      <c r="B7" s="13" t="inlineStr">
        <is>
          <t>FiftySix</t>
        </is>
      </c>
      <c r="C7" s="13" t="inlineStr">
        <is>
          <t>FiftySix Self-Winding</t>
        </is>
      </c>
      <c r="D7" s="13" t="inlineStr">
        <is>
          <t>155,000</t>
        </is>
      </c>
      <c r="E7" s="13" t="inlineStr">
        <is>
          <t>Available</t>
        </is>
      </c>
      <c r="F7" s="13" t="inlineStr">
        <is>
          <t>Medium</t>
        </is>
      </c>
      <c r="G7" s="13" t="inlineStr">
        <is>
          <t>8</t>
        </is>
      </c>
      <c r="H7" s="13" t="inlineStr">
        <is>
          <t>Modern Enthusiast</t>
        </is>
      </c>
      <c r="I7" s="13" t="inlineStr">
        <is>
          <t>Contemporary design</t>
        </is>
      </c>
      <c r="J7" s="13" t="inlineStr">
        <is>
          <t>Everyday luxury</t>
        </is>
      </c>
      <c r="K7" s="13" t="inlineStr">
        <is>
          <t>15</t>
        </is>
      </c>
      <c r="L7" s="13" t="inlineStr">
        <is>
          <t>25</t>
        </is>
      </c>
    </row>
    <row r="8">
      <c r="A8" s="13" t="inlineStr">
        <is>
          <t>5000T/000P-B975</t>
        </is>
      </c>
      <c r="B8" s="13" t="inlineStr">
        <is>
          <t>Traditionnelle</t>
        </is>
      </c>
      <c r="C8" s="13" t="inlineStr">
        <is>
          <t>Traditionnelle Perpetual Chronograph</t>
        </is>
      </c>
      <c r="D8" s="13" t="inlineStr">
        <is>
          <t>525,000</t>
        </is>
      </c>
      <c r="E8" s="13" t="inlineStr">
        <is>
          <t>Special Order</t>
        </is>
      </c>
      <c r="F8" s="13" t="inlineStr">
        <is>
          <t>Ultra Exclusive</t>
        </is>
      </c>
      <c r="G8" s="13" t="inlineStr">
        <is>
          <t>2</t>
        </is>
      </c>
      <c r="H8" s="13" t="inlineStr">
        <is>
          <t>Ultra VIP</t>
        </is>
      </c>
      <c r="I8" s="13" t="inlineStr">
        <is>
          <t>Ultimate complication</t>
        </is>
      </c>
      <c r="J8" s="13" t="inlineStr">
        <is>
          <t>Pinnacle achievement</t>
        </is>
      </c>
      <c r="K8" s="13" t="inlineStr">
        <is>
          <t>1</t>
        </is>
      </c>
      <c r="L8" s="13" t="inlineStr">
        <is>
          <t>3</t>
        </is>
      </c>
    </row>
  </sheetData>
  <mergeCells count="1">
    <mergeCell ref="A1:L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H13"/>
  <sheetViews>
    <sheetView workbookViewId="0">
      <selection activeCell="A1" sqref="A1"/>
    </sheetView>
  </sheetViews>
  <sheetFormatPr baseColWidth="8" defaultRowHeight="15"/>
  <sheetData>
    <row r="1" ht="35" customHeight="1">
      <c r="A1" s="1" t="inlineStr">
        <is>
          <t>EXECUTIVE DASHBOARD</t>
        </is>
      </c>
    </row>
    <row r="3">
      <c r="A3" s="14" t="inlineStr">
        <is>
          <t>👥 Total Clients</t>
        </is>
      </c>
      <c r="B3" s="14" t="inlineStr">
        <is>
          <t>🎯 Active Leads</t>
        </is>
      </c>
      <c r="C3" s="14" t="inlineStr">
        <is>
          <t>📈 Conversion Rate</t>
        </is>
      </c>
      <c r="D3" s="14" t="inlineStr">
        <is>
          <t>😊 Avg Sentiment</t>
        </is>
      </c>
      <c r="E3" s="14" t="inlineStr">
        <is>
          <t>💰 Revenue Pipeline</t>
        </is>
      </c>
      <c r="F3" s="14" t="inlineStr">
        <is>
          <t>🔥 Hot Prospects</t>
        </is>
      </c>
      <c r="G3" s="14" t="inlineStr">
        <is>
          <t>📅 Follow-ups Due</t>
        </is>
      </c>
      <c r="H3" s="14" t="inlineStr">
        <is>
          <t>🏆 YTD Sales</t>
        </is>
      </c>
    </row>
    <row r="4">
      <c r="A4" s="15">
        <f>COUNTA(Client_Database!B4:B1000)</f>
        <v/>
      </c>
      <c r="B4" s="15">
        <f>COUNTIF(Client_Database!K4:K1000,"Active")</f>
        <v/>
      </c>
      <c r="C4" s="15" t="inlineStr">
        <is>
          <t>75%</t>
        </is>
      </c>
      <c r="D4" s="15">
        <f>AVERAGE(Client_Database!F4:F1000)</f>
        <v/>
      </c>
      <c r="E4" s="15" t="inlineStr">
        <is>
          <t>AED 2.5M</t>
        </is>
      </c>
      <c r="F4" s="15">
        <f>COUNTIF(Client_Database!N4:N1000,"High")</f>
        <v/>
      </c>
      <c r="G4" s="15" t="inlineStr">
        <is>
          <t>12</t>
        </is>
      </c>
      <c r="H4" s="15" t="inlineStr">
        <is>
          <t>AED 1.8M</t>
        </is>
      </c>
    </row>
    <row r="6">
      <c r="A6" s="6" t="inlineStr">
        <is>
          <t>📊 PERFORMANCE METRICS</t>
        </is>
      </c>
    </row>
    <row r="8">
      <c r="A8" s="16" t="inlineStr">
        <is>
          <t>Top Collection</t>
        </is>
      </c>
      <c r="B8" s="17" t="inlineStr">
        <is>
          <t>Overseas</t>
        </is>
      </c>
      <c r="C8" s="18" t="inlineStr">
        <is>
          <t>60% of interests</t>
        </is>
      </c>
    </row>
    <row r="9">
      <c r="A9" s="16" t="inlineStr">
        <is>
          <t>Best Performing SA</t>
        </is>
      </c>
      <c r="B9" s="17" t="inlineStr">
        <is>
          <t>Maaz Sharif</t>
        </is>
      </c>
      <c r="C9" s="18" t="inlineStr">
        <is>
          <t>AED 850K YTD</t>
        </is>
      </c>
    </row>
    <row r="10">
      <c r="A10" s="16" t="inlineStr">
        <is>
          <t>Top Boutique</t>
        </is>
      </c>
      <c r="B10" s="17" t="inlineStr">
        <is>
          <t>Dubai Mall</t>
        </is>
      </c>
      <c r="C10" s="18" t="inlineStr">
        <is>
          <t>45% of sales</t>
        </is>
      </c>
    </row>
    <row r="11">
      <c r="A11" s="16" t="inlineStr">
        <is>
          <t>Avg Deal Size</t>
        </is>
      </c>
      <c r="B11" s="17" t="inlineStr">
        <is>
          <t>AED 185K</t>
        </is>
      </c>
      <c r="C11" s="18" t="inlineStr">
        <is>
          <t>15% increase</t>
        </is>
      </c>
    </row>
    <row r="12">
      <c r="A12" s="16" t="inlineStr">
        <is>
          <t>Conversion Time</t>
        </is>
      </c>
      <c r="B12" s="17" t="inlineStr">
        <is>
          <t>18 days</t>
        </is>
      </c>
      <c r="C12" s="18" t="inlineStr">
        <is>
          <t>Average cycle</t>
        </is>
      </c>
    </row>
    <row r="13">
      <c r="A13" s="16" t="inlineStr">
        <is>
          <t>Client Satisfaction</t>
        </is>
      </c>
      <c r="B13" s="17" t="inlineStr">
        <is>
          <t>94%</t>
        </is>
      </c>
      <c r="C13" s="18" t="inlineStr">
        <is>
          <t>Based on feedback</t>
        </is>
      </c>
    </row>
  </sheetData>
  <mergeCells count="2">
    <mergeCell ref="A6:H6"/>
    <mergeCell ref="A1:H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2025-09-05T15:07:54Z</dcterms:created>
  <dcterms:modified xmlns:dcterms="http://purl.org/dc/terms/" xmlns:xsi="http://www.w3.org/2001/XMLSchema-instance" xsi:type="dcterms:W3CDTF">2025-09-05T15:07:55Z</dcterms:modified>
</cp:coreProperties>
</file>