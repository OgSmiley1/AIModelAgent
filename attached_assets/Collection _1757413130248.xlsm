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xl/webextensions/webextension8.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maaz\Downloads\"/>
    </mc:Choice>
  </mc:AlternateContent>
  <xr:revisionPtr revIDLastSave="0" documentId="8_{9CC15845-30CB-48A1-AAD3-EFFA5EB03187}" xr6:coauthVersionLast="47" xr6:coauthVersionMax="47" xr10:uidLastSave="{00000000-0000-0000-0000-000000000000}"/>
  <bookViews>
    <workbookView xWindow="-108" yWindow="-108" windowWidth="23256" windowHeight="13896" firstSheet="3" activeTab="3" xr2:uid="{00000000-000D-0000-FFFF-FFFF00000000}"/>
  </bookViews>
  <sheets>
    <sheet name="Sheet3" sheetId="17" state="hidden" r:id="rId1"/>
    <sheet name="AirrTable" sheetId="19" state="hidden" r:id="rId2"/>
    <sheet name="Airtable" sheetId="12" state="hidden" r:id="rId3"/>
    <sheet name="Collection" sheetId="3" r:id="rId4"/>
    <sheet name="Closed Sale" sheetId="18" state="hidden" r:id="rId5"/>
    <sheet name="GPT cache" sheetId="4" state="veryHidden" r:id="rId6"/>
  </sheets>
  <definedNames>
    <definedName name="_xlcn.WorksheetConnection_CRCSelloutPlan2025.xlsmOpenPendingCases" hidden="1">OpenPendingCases</definedName>
    <definedName name="_xlcn.WorksheetConnection_CRCSelloutPlan2025.xlsmTable6" hidden="1">Table6</definedName>
    <definedName name="_xleta.CONCATENATE" hidden="1" xlm="1">#NAME?</definedName>
    <definedName name="_xleta.DATE" hidden="1" xlm="1">#NAME?</definedName>
    <definedName name="_xleta.IF" hidden="1" xlm="1">#NAME?</definedName>
    <definedName name="_xleta.N" hidden="1" xlm="1">#NAME?</definedName>
    <definedName name="_xleta.PRICE" hidden="1" xlm="1">#NAME?</definedName>
    <definedName name="Slicer_SALES_ASSOCIATE">#N/A</definedName>
  </definedNames>
  <calcPr calcId="191028"/>
  <pivotCaches>
    <pivotCache cacheId="0" r:id="rId7"/>
    <pivotCache cacheId="1"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6" name="Table6" connection="WorksheetConnection_CRC - Sellout Plan  2025.xlsm!Table6"/>
          <x15:modelTable id="OpenPendingCases" name="OpenPendingCases" connection="WorksheetConnection_CRC - Sellout Plan  2025.xlsm!OpenPendingCases"/>
        </x15:modelTables>
        <x15:extLst>
          <ext xmlns:x16="http://schemas.microsoft.com/office/spreadsheetml/2014/11/main" uri="{9835A34E-60A6-4A7C-AAB8-D5F71C897F49}">
            <x16:modelTimeGroupings>
              <x16:modelTimeGrouping tableName="OpenPendingCases" columnName="Request Entry Date" columnId="Request Entry Date">
                <x16:calculatedTimeColumn columnName="Request Entry Date (Month Index)" columnId="Request Entry Date (Month Index)" contentType="monthsindex" isSelected="1"/>
                <x16:calculatedTimeColumn columnName="Request Entry Date (Month)" columnId="Request Entry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18" l="1"/>
  <c r="AJ3" i="18"/>
  <c r="AI3" i="18"/>
  <c r="AH3" i="18"/>
  <c r="AG3" i="18"/>
  <c r="AB3" i="18"/>
  <c r="AA3" i="18"/>
  <c r="Z3" i="18"/>
  <c r="U3" i="18"/>
  <c r="Q3" i="18"/>
  <c r="R3" i="18" s="1"/>
  <c r="P3" i="18"/>
  <c r="J3" i="18"/>
  <c r="E3" i="18"/>
  <c r="D3" i="18"/>
  <c r="AK2" i="18"/>
  <c r="AJ2" i="18"/>
  <c r="AI2" i="18"/>
  <c r="AH2" i="18"/>
  <c r="AG2" i="18"/>
  <c r="AB2" i="18"/>
  <c r="AA2" i="18"/>
  <c r="Z2" i="18"/>
  <c r="Y2" i="18"/>
  <c r="U2" i="18"/>
  <c r="Q2" i="18"/>
  <c r="R2" i="18" s="1"/>
  <c r="P2" i="18"/>
  <c r="J2" i="18"/>
  <c r="E2" i="18"/>
  <c r="D2" i="18"/>
  <c r="E333" i="3"/>
  <c r="G333" i="3"/>
  <c r="E332" i="3"/>
  <c r="G332" i="3"/>
  <c r="E331" i="3"/>
  <c r="G331" i="3"/>
  <c r="E330" i="3"/>
  <c r="G330" i="3"/>
  <c r="E329" i="3"/>
  <c r="G329"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F2" i="12"/>
  <c r="G2" i="12" s="1"/>
  <c r="F3" i="12"/>
  <c r="G3" i="12" s="1"/>
  <c r="F4" i="12"/>
  <c r="G4" i="12" s="1"/>
  <c r="F5" i="12"/>
  <c r="G5" i="12" s="1"/>
  <c r="F6" i="12"/>
  <c r="G6" i="12" s="1"/>
  <c r="F7" i="12"/>
  <c r="G7" i="12" s="1"/>
  <c r="F8" i="12"/>
  <c r="G8" i="12" s="1"/>
  <c r="F9" i="12"/>
  <c r="G9" i="12" s="1"/>
  <c r="F10" i="12"/>
  <c r="G10" i="12" s="1"/>
  <c r="F11" i="12"/>
  <c r="G11" i="12" s="1"/>
  <c r="F12" i="12"/>
  <c r="G12" i="12" s="1"/>
  <c r="F13" i="12"/>
  <c r="G13" i="12" s="1"/>
  <c r="F14" i="12"/>
  <c r="G14" i="12" s="1"/>
  <c r="F15" i="12"/>
  <c r="G15" i="12" s="1"/>
  <c r="F16" i="12"/>
  <c r="G16" i="12" s="1"/>
  <c r="F17" i="12"/>
  <c r="G17" i="12" s="1"/>
  <c r="F18" i="12"/>
  <c r="G18" i="12" s="1"/>
  <c r="F19" i="12"/>
  <c r="G19" i="12" s="1"/>
  <c r="F20" i="12"/>
  <c r="G20" i="12" s="1"/>
  <c r="F21" i="12"/>
  <c r="G21" i="12" s="1"/>
  <c r="F22" i="12"/>
  <c r="G22" i="12" s="1"/>
  <c r="F23" i="12"/>
  <c r="G23" i="12" s="1"/>
  <c r="F24" i="12"/>
  <c r="G24" i="12" s="1"/>
  <c r="F25" i="12"/>
  <c r="G25" i="12" s="1"/>
  <c r="F26" i="12"/>
  <c r="G26" i="12" s="1"/>
  <c r="F27" i="12"/>
  <c r="G27" i="12" s="1"/>
  <c r="F28" i="12"/>
  <c r="G28" i="12" s="1"/>
  <c r="F29" i="12"/>
  <c r="G29" i="12" s="1"/>
  <c r="F30" i="12"/>
  <c r="G30" i="12" s="1"/>
  <c r="F31" i="12"/>
  <c r="G31" i="12" s="1"/>
  <c r="F32" i="12"/>
  <c r="G32" i="12" s="1"/>
  <c r="F33" i="12"/>
  <c r="G33" i="12" s="1"/>
  <c r="F34" i="12"/>
  <c r="G34" i="12" s="1"/>
  <c r="F35" i="12"/>
  <c r="G35" i="12" s="1"/>
  <c r="F36" i="12"/>
  <c r="G36" i="12" s="1"/>
  <c r="F37" i="12"/>
  <c r="G37" i="12" s="1"/>
  <c r="F38" i="12"/>
  <c r="G38" i="12" s="1"/>
  <c r="F39" i="12"/>
  <c r="G39" i="12" s="1"/>
  <c r="F40" i="12"/>
  <c r="G40" i="12" s="1"/>
  <c r="F41" i="12"/>
  <c r="G41" i="12" s="1"/>
  <c r="F42" i="12"/>
  <c r="G42" i="12" s="1"/>
  <c r="F43" i="12"/>
  <c r="G43" i="12" s="1"/>
  <c r="F44" i="12"/>
  <c r="G44" i="12" s="1"/>
  <c r="F45" i="12"/>
  <c r="G45" i="12" s="1"/>
  <c r="F46" i="12"/>
  <c r="G46" i="12" s="1"/>
  <c r="F47" i="12"/>
  <c r="G47" i="12" s="1"/>
  <c r="F48" i="12"/>
  <c r="G48" i="12" s="1"/>
  <c r="F49" i="12"/>
  <c r="G49" i="12" s="1"/>
  <c r="F50" i="12"/>
  <c r="G50" i="12" s="1"/>
  <c r="F51" i="12"/>
  <c r="G51" i="12" s="1"/>
  <c r="F52" i="12"/>
  <c r="G52" i="12" s="1"/>
  <c r="F53" i="12"/>
  <c r="G53" i="12" s="1"/>
  <c r="F54" i="12"/>
  <c r="G54" i="12" s="1"/>
  <c r="F55" i="12"/>
  <c r="G55" i="12" s="1"/>
  <c r="F56" i="12"/>
  <c r="G56" i="12" s="1"/>
  <c r="F57" i="12"/>
  <c r="G57" i="12" s="1"/>
  <c r="F58" i="12"/>
  <c r="G58" i="12" s="1"/>
  <c r="F59" i="12"/>
  <c r="G59" i="12" s="1"/>
  <c r="F60" i="12"/>
  <c r="G60" i="12" s="1"/>
  <c r="F61" i="12"/>
  <c r="G61" i="12" s="1"/>
  <c r="F62" i="12"/>
  <c r="G62" i="12" s="1"/>
  <c r="F63" i="12"/>
  <c r="G63" i="12" s="1"/>
  <c r="F64" i="12"/>
  <c r="G64" i="12" s="1"/>
  <c r="F65" i="12"/>
  <c r="G65" i="12" s="1"/>
  <c r="F66" i="12"/>
  <c r="G66" i="12" s="1"/>
  <c r="F67" i="12"/>
  <c r="G67" i="12" s="1"/>
  <c r="F68" i="12"/>
  <c r="G68" i="12" s="1"/>
  <c r="F69" i="12"/>
  <c r="G69" i="12" s="1"/>
  <c r="F70" i="12"/>
  <c r="G70" i="12" s="1"/>
  <c r="F71" i="12"/>
  <c r="G71" i="12" s="1"/>
  <c r="F72" i="12"/>
  <c r="G72" i="12" s="1"/>
  <c r="F73" i="12"/>
  <c r="G73" i="12" s="1"/>
  <c r="F74" i="12"/>
  <c r="G74" i="12" s="1"/>
  <c r="F75" i="12"/>
  <c r="G75" i="12" s="1"/>
  <c r="F76" i="12"/>
  <c r="G76" i="12" s="1"/>
  <c r="F77" i="12"/>
  <c r="G77" i="12" s="1"/>
  <c r="F78" i="12"/>
  <c r="G78" i="12" s="1"/>
  <c r="F79" i="12"/>
  <c r="G79" i="12" s="1"/>
  <c r="F80" i="12"/>
  <c r="G80" i="12" s="1"/>
  <c r="F81" i="12"/>
  <c r="G81" i="12" s="1"/>
  <c r="F82" i="12"/>
  <c r="G82" i="12" s="1"/>
  <c r="F83" i="12"/>
  <c r="G83" i="12" s="1"/>
  <c r="F84" i="12"/>
  <c r="G84" i="12" s="1"/>
  <c r="F85" i="12"/>
  <c r="G85" i="12" s="1"/>
  <c r="F86" i="12"/>
  <c r="G86" i="12" s="1"/>
  <c r="F87" i="12"/>
  <c r="G87" i="12" s="1"/>
  <c r="F88" i="12"/>
  <c r="G88" i="12" s="1"/>
  <c r="F89" i="12"/>
  <c r="G89" i="12" s="1"/>
  <c r="F90" i="12"/>
  <c r="G90" i="12" s="1"/>
  <c r="F91" i="12"/>
  <c r="G91" i="12" s="1"/>
  <c r="F92" i="12"/>
  <c r="G92" i="12" s="1"/>
  <c r="F93" i="12"/>
  <c r="G93" i="12" s="1"/>
  <c r="F94" i="12"/>
  <c r="G94" i="12" s="1"/>
  <c r="F95" i="12"/>
  <c r="G95" i="12" s="1"/>
  <c r="F96" i="12"/>
  <c r="G96" i="12" s="1"/>
  <c r="F97" i="12"/>
  <c r="G97" i="12" s="1"/>
  <c r="F98" i="12"/>
  <c r="G98" i="12" s="1"/>
  <c r="F99" i="12"/>
  <c r="G99" i="12" s="1"/>
  <c r="F100" i="12"/>
  <c r="G100" i="12" s="1"/>
  <c r="F101" i="12"/>
  <c r="G101" i="12" s="1"/>
  <c r="F102" i="12"/>
  <c r="G102" i="12" s="1"/>
  <c r="F103" i="12"/>
  <c r="G103" i="12" s="1"/>
  <c r="F104" i="12"/>
  <c r="G104" i="12" s="1"/>
  <c r="F105" i="12"/>
  <c r="G105" i="12" s="1"/>
  <c r="F106" i="12"/>
  <c r="G106" i="12" s="1"/>
  <c r="F107" i="12"/>
  <c r="G107" i="12" s="1"/>
  <c r="F108" i="12"/>
  <c r="G108" i="12" s="1"/>
  <c r="F109" i="12"/>
  <c r="G109" i="12" s="1"/>
  <c r="F110" i="12"/>
  <c r="G110" i="12" s="1"/>
  <c r="F111" i="12"/>
  <c r="G111" i="12" s="1"/>
  <c r="F112" i="12"/>
  <c r="G112" i="12" s="1"/>
  <c r="F113" i="12"/>
  <c r="G113" i="12" s="1"/>
  <c r="F114" i="12"/>
  <c r="G114" i="12" s="1"/>
  <c r="F115" i="12"/>
  <c r="G115" i="12" s="1"/>
  <c r="F116" i="12"/>
  <c r="G116" i="12" s="1"/>
  <c r="F117" i="12"/>
  <c r="G117" i="12" s="1"/>
  <c r="F118" i="12"/>
  <c r="G118" i="12" s="1"/>
  <c r="F119" i="12"/>
  <c r="G119" i="12" s="1"/>
  <c r="F120" i="12"/>
  <c r="G120" i="12" s="1"/>
  <c r="F121" i="12"/>
  <c r="G121" i="12" s="1"/>
  <c r="F122" i="12"/>
  <c r="G122" i="12" s="1"/>
  <c r="F123" i="12"/>
  <c r="G123" i="12" s="1"/>
  <c r="F124" i="12"/>
  <c r="G124" i="12" s="1"/>
  <c r="F125" i="12"/>
  <c r="G125" i="12" s="1"/>
  <c r="F126" i="12"/>
  <c r="G126" i="12" s="1"/>
  <c r="F127" i="12"/>
  <c r="G127" i="12" s="1"/>
  <c r="F128" i="12"/>
  <c r="G128" i="12" s="1"/>
  <c r="F129" i="12"/>
  <c r="G129" i="12" s="1"/>
  <c r="F130" i="12"/>
  <c r="G130" i="12" s="1"/>
  <c r="F131" i="12"/>
  <c r="G131" i="12" s="1"/>
  <c r="F132" i="12"/>
  <c r="G132" i="12" s="1"/>
  <c r="F133" i="12"/>
  <c r="G133" i="12" s="1"/>
  <c r="F134" i="12"/>
  <c r="G134" i="12" s="1"/>
  <c r="F135" i="12"/>
  <c r="G135" i="12" s="1"/>
  <c r="F136" i="12"/>
  <c r="G136" i="12" s="1"/>
  <c r="F137" i="12"/>
  <c r="G137" i="12" s="1"/>
  <c r="F138" i="12"/>
  <c r="G138" i="12" s="1"/>
  <c r="F139" i="12"/>
  <c r="G139" i="12" s="1"/>
  <c r="F140" i="12"/>
  <c r="G140" i="12" s="1"/>
  <c r="F141" i="12"/>
  <c r="G141" i="12" s="1"/>
  <c r="F142" i="12"/>
  <c r="G142" i="12" s="1"/>
  <c r="F143" i="12"/>
  <c r="G143" i="12" s="1"/>
  <c r="F144" i="12"/>
  <c r="G144" i="12" s="1"/>
  <c r="F145" i="12"/>
  <c r="G145" i="12" s="1"/>
  <c r="F146" i="12"/>
  <c r="G146" i="12" s="1"/>
  <c r="F147" i="12"/>
  <c r="G147" i="12" s="1"/>
  <c r="F148" i="12"/>
  <c r="G148" i="12" s="1"/>
  <c r="F149" i="12"/>
  <c r="G149" i="12" s="1"/>
  <c r="F150" i="12"/>
  <c r="G150" i="12" s="1"/>
  <c r="F151" i="12"/>
  <c r="G151" i="12" s="1"/>
  <c r="F152" i="12"/>
  <c r="G152" i="12" s="1"/>
  <c r="F153" i="12"/>
  <c r="G153" i="12" s="1"/>
  <c r="F154" i="12"/>
  <c r="G154" i="12" s="1"/>
  <c r="F155" i="12"/>
  <c r="G155" i="12" s="1"/>
  <c r="F156" i="12"/>
  <c r="G156" i="12" s="1"/>
  <c r="F157" i="12"/>
  <c r="G157" i="12" s="1"/>
  <c r="F158" i="12"/>
  <c r="G158" i="12" s="1"/>
  <c r="F159" i="12"/>
  <c r="G159" i="12" s="1"/>
  <c r="F160" i="12"/>
  <c r="G160" i="12" s="1"/>
  <c r="F161" i="12"/>
  <c r="G161" i="12" s="1"/>
  <c r="F162" i="12"/>
  <c r="G162" i="12" s="1"/>
  <c r="F163" i="12"/>
  <c r="G163" i="12" s="1"/>
  <c r="F164" i="12"/>
  <c r="G164" i="12" s="1"/>
  <c r="F165" i="12"/>
  <c r="G165" i="12" s="1"/>
  <c r="F166" i="12"/>
  <c r="G166" i="12" s="1"/>
  <c r="F167" i="12"/>
  <c r="G167" i="12" s="1"/>
  <c r="F168" i="12"/>
  <c r="G168" i="12" s="1"/>
  <c r="F169" i="12"/>
  <c r="G169" i="12" s="1"/>
  <c r="F170" i="12"/>
  <c r="G170" i="12" s="1"/>
  <c r="F171" i="12"/>
  <c r="G171" i="12" s="1"/>
  <c r="F172" i="12"/>
  <c r="G172" i="12" s="1"/>
  <c r="F173" i="12"/>
  <c r="G173" i="12" s="1"/>
  <c r="F174" i="12"/>
  <c r="G174" i="12" s="1"/>
  <c r="F175" i="12"/>
  <c r="G175" i="12" s="1"/>
  <c r="F176" i="12"/>
  <c r="G176" i="12" s="1"/>
  <c r="F177" i="12"/>
  <c r="G177" i="12" s="1"/>
  <c r="F178" i="12"/>
  <c r="G178" i="12" s="1"/>
  <c r="F179" i="12"/>
  <c r="G179" i="12" s="1"/>
  <c r="F180" i="12"/>
  <c r="G180" i="12" s="1"/>
  <c r="F181" i="12"/>
  <c r="G181" i="12" s="1"/>
  <c r="F182" i="12"/>
  <c r="G182" i="12" s="1"/>
  <c r="F183" i="12"/>
  <c r="G183" i="12" s="1"/>
  <c r="F184" i="12"/>
  <c r="G184" i="12" s="1"/>
  <c r="F185" i="12"/>
  <c r="G185" i="12" s="1"/>
  <c r="F186" i="12"/>
  <c r="G186" i="12" s="1"/>
  <c r="F187" i="12"/>
  <c r="G187" i="12" s="1"/>
  <c r="F188" i="12"/>
  <c r="G188" i="12" s="1"/>
  <c r="F189" i="12"/>
  <c r="G189" i="12" s="1"/>
  <c r="F190" i="12"/>
  <c r="G190" i="12" s="1"/>
  <c r="F191" i="12"/>
  <c r="G191" i="12" s="1"/>
  <c r="F192" i="12"/>
  <c r="G192" i="12" s="1"/>
  <c r="F193" i="12"/>
  <c r="G193" i="12" s="1"/>
  <c r="F194" i="12"/>
  <c r="G194" i="12" s="1"/>
  <c r="F195" i="12"/>
  <c r="G195" i="12" s="1"/>
  <c r="F196" i="12"/>
  <c r="G196" i="12" s="1"/>
  <c r="F197" i="12"/>
  <c r="G197" i="12" s="1"/>
  <c r="F198" i="12"/>
  <c r="G198" i="12" s="1"/>
  <c r="F199" i="12"/>
  <c r="G199" i="12" s="1"/>
  <c r="F200" i="12"/>
  <c r="G200" i="12" s="1"/>
  <c r="F201" i="12"/>
  <c r="G201" i="12" s="1"/>
  <c r="F202" i="12"/>
  <c r="G202" i="12" s="1"/>
  <c r="F203" i="12"/>
  <c r="G203" i="12" s="1"/>
  <c r="F204" i="12"/>
  <c r="G204" i="12" s="1"/>
  <c r="F205" i="12"/>
  <c r="G205" i="12" s="1"/>
  <c r="F206" i="12"/>
  <c r="G206" i="12" s="1"/>
  <c r="F207" i="12"/>
  <c r="G207" i="12" s="1"/>
  <c r="F208" i="12"/>
  <c r="G208" i="12" s="1"/>
  <c r="F209" i="12"/>
  <c r="G209" i="12" s="1"/>
  <c r="F210" i="12"/>
  <c r="G210" i="12" s="1"/>
  <c r="F211" i="12"/>
  <c r="G211" i="12" s="1"/>
  <c r="F212" i="12"/>
  <c r="G212" i="12" s="1"/>
  <c r="F213" i="12"/>
  <c r="G213" i="12" s="1"/>
  <c r="F214" i="12"/>
  <c r="G214" i="12" s="1"/>
  <c r="F215" i="12"/>
  <c r="G215" i="12" s="1"/>
  <c r="F216" i="12"/>
  <c r="G216" i="12" s="1"/>
  <c r="F217" i="12"/>
  <c r="G217" i="12" s="1"/>
  <c r="F218" i="12"/>
  <c r="G218" i="12" s="1"/>
  <c r="F219" i="12"/>
  <c r="G219" i="12" s="1"/>
  <c r="F220" i="12"/>
  <c r="G220" i="12" s="1"/>
  <c r="F221" i="12"/>
  <c r="G221" i="12" s="1"/>
  <c r="F222" i="12"/>
  <c r="G222" i="12" s="1"/>
  <c r="F223" i="12"/>
  <c r="G223" i="12" s="1"/>
  <c r="F224" i="12"/>
  <c r="G224" i="12" s="1"/>
  <c r="F225" i="12"/>
  <c r="G225" i="12" s="1"/>
  <c r="F226" i="12"/>
  <c r="G226" i="12" s="1"/>
  <c r="F227" i="12"/>
  <c r="G227" i="12" s="1"/>
  <c r="F228" i="12"/>
  <c r="G228" i="12" s="1"/>
  <c r="F229" i="12"/>
  <c r="G229" i="12" s="1"/>
  <c r="F230" i="12"/>
  <c r="G230" i="12" s="1"/>
  <c r="F231" i="12"/>
  <c r="G231" i="12" s="1"/>
  <c r="F232" i="12"/>
  <c r="G232" i="12" s="1"/>
  <c r="F233" i="12"/>
  <c r="G233" i="12" s="1"/>
  <c r="F234" i="12"/>
  <c r="G234" i="12" s="1"/>
  <c r="F235" i="12"/>
  <c r="G235" i="12" s="1"/>
  <c r="F236" i="12"/>
  <c r="G236" i="12" s="1"/>
  <c r="F237" i="12"/>
  <c r="G237" i="12" s="1"/>
  <c r="F238" i="12"/>
  <c r="G238" i="12" s="1"/>
  <c r="F239" i="12"/>
  <c r="G239" i="12" s="1"/>
  <c r="F240" i="12"/>
  <c r="G240" i="12" s="1"/>
  <c r="F241" i="12"/>
  <c r="G241" i="12" s="1"/>
  <c r="F242" i="12"/>
  <c r="G242" i="12" s="1"/>
  <c r="F243" i="12"/>
  <c r="G243" i="12" s="1"/>
  <c r="F244" i="12"/>
  <c r="G244" i="12" s="1"/>
  <c r="F245" i="12"/>
  <c r="G245" i="12" s="1"/>
  <c r="F246" i="12"/>
  <c r="G246" i="12" s="1"/>
  <c r="F247" i="12"/>
  <c r="G247" i="12" s="1"/>
  <c r="F248" i="12"/>
  <c r="G248" i="12" s="1"/>
  <c r="F249" i="12"/>
  <c r="G249" i="12" s="1"/>
  <c r="F250" i="12"/>
  <c r="G250" i="12" s="1"/>
  <c r="F251" i="12"/>
  <c r="G251" i="12" s="1"/>
  <c r="F252" i="12"/>
  <c r="G252" i="12" s="1"/>
  <c r="F253" i="12"/>
  <c r="G253" i="12" s="1"/>
  <c r="F254" i="12"/>
  <c r="G254" i="12" s="1"/>
  <c r="F255" i="12"/>
  <c r="G255" i="12" s="1"/>
  <c r="F256" i="12"/>
  <c r="G256" i="12" s="1"/>
  <c r="F257" i="12"/>
  <c r="G257" i="12" s="1"/>
  <c r="F258" i="12"/>
  <c r="G258" i="12" s="1"/>
  <c r="F259" i="12"/>
  <c r="G259" i="12" s="1"/>
  <c r="F260" i="12"/>
  <c r="G260" i="12" s="1"/>
  <c r="F261" i="12"/>
  <c r="G261" i="12" s="1"/>
  <c r="F262" i="12"/>
  <c r="G262" i="12" s="1"/>
  <c r="F263" i="12"/>
  <c r="G263" i="12" s="1"/>
  <c r="F264" i="12"/>
  <c r="G264" i="12" s="1"/>
  <c r="F265" i="12"/>
  <c r="G265" i="12" s="1"/>
  <c r="F266" i="12"/>
  <c r="G266" i="12" s="1"/>
  <c r="F267" i="12"/>
  <c r="G267" i="12" s="1"/>
  <c r="F268" i="12"/>
  <c r="G268" i="12" s="1"/>
  <c r="F269" i="12"/>
  <c r="G269" i="12" s="1"/>
  <c r="F270" i="12"/>
  <c r="G270" i="12" s="1"/>
  <c r="F271" i="12"/>
  <c r="G271" i="12" s="1"/>
  <c r="F272" i="12"/>
  <c r="G272" i="12" s="1"/>
  <c r="F273" i="12"/>
  <c r="G273" i="12" s="1"/>
  <c r="F274" i="12"/>
  <c r="G274" i="12" s="1"/>
  <c r="F275" i="12"/>
  <c r="G275" i="12" s="1"/>
  <c r="F276" i="12"/>
  <c r="G276" i="12" s="1"/>
  <c r="F277" i="12"/>
  <c r="G277" i="12" s="1"/>
  <c r="F278" i="12"/>
  <c r="G278" i="12" s="1"/>
  <c r="F279" i="12"/>
  <c r="G279" i="12" s="1"/>
  <c r="F280" i="12"/>
  <c r="G280" i="12" s="1"/>
  <c r="F281" i="12"/>
  <c r="G281" i="12" s="1"/>
  <c r="F282" i="12"/>
  <c r="G282" i="12" s="1"/>
  <c r="F283" i="12"/>
  <c r="G283" i="12" s="1"/>
  <c r="F284" i="12"/>
  <c r="G284" i="12" s="1"/>
  <c r="F285" i="12"/>
  <c r="G285" i="12" s="1"/>
  <c r="F286" i="12"/>
  <c r="G286" i="12" s="1"/>
  <c r="F287" i="12"/>
  <c r="G287" i="12" s="1"/>
  <c r="F288" i="12"/>
  <c r="G288" i="12" s="1"/>
  <c r="F289" i="12"/>
  <c r="G289" i="12" s="1"/>
  <c r="F290" i="12"/>
  <c r="G290" i="12" s="1"/>
  <c r="F291" i="12"/>
  <c r="G291" i="12" s="1"/>
  <c r="F292" i="12"/>
  <c r="G292" i="12" s="1"/>
  <c r="F293" i="12"/>
  <c r="G293" i="12" s="1"/>
  <c r="F294" i="12"/>
  <c r="G294" i="12" s="1"/>
  <c r="F295" i="12"/>
  <c r="G295" i="12" s="1"/>
  <c r="F296" i="12"/>
  <c r="G296" i="12" s="1"/>
  <c r="F297" i="12"/>
  <c r="G297" i="12" s="1"/>
  <c r="F298" i="12"/>
  <c r="G298" i="12" s="1"/>
  <c r="F299" i="12"/>
  <c r="G299" i="12" s="1"/>
  <c r="F300" i="12"/>
  <c r="G300" i="12" s="1"/>
  <c r="F301" i="12"/>
  <c r="G301" i="12" s="1"/>
  <c r="F302" i="12"/>
  <c r="G302" i="12" s="1"/>
  <c r="F303" i="12"/>
  <c r="G303" i="12" s="1"/>
  <c r="F304" i="12"/>
  <c r="G304" i="12" s="1"/>
  <c r="F305" i="12"/>
  <c r="G305" i="12" s="1"/>
  <c r="F306" i="12"/>
  <c r="G306" i="12" s="1"/>
  <c r="F307" i="12"/>
  <c r="G307" i="12" s="1"/>
  <c r="F308" i="12"/>
  <c r="G308" i="12" s="1"/>
  <c r="F309" i="12"/>
  <c r="G309" i="12" s="1"/>
  <c r="F310" i="12"/>
  <c r="G310" i="12" s="1"/>
  <c r="F311" i="12"/>
  <c r="G311" i="12" s="1"/>
  <c r="F312" i="12"/>
  <c r="G312" i="12" s="1"/>
  <c r="F313" i="12"/>
  <c r="G313" i="12" s="1"/>
  <c r="F314" i="12"/>
  <c r="G314" i="12" s="1"/>
  <c r="F315" i="12"/>
  <c r="G315" i="12" s="1"/>
  <c r="F316" i="12"/>
  <c r="G316" i="12" s="1"/>
  <c r="F317" i="12"/>
  <c r="G317" i="12" s="1"/>
  <c r="F318" i="12"/>
  <c r="G318" i="12" s="1"/>
  <c r="F319" i="12"/>
  <c r="G319" i="12" s="1"/>
  <c r="F320" i="12"/>
  <c r="G320" i="12" s="1"/>
  <c r="F321" i="12"/>
  <c r="G321" i="12" s="1"/>
  <c r="F322" i="12"/>
  <c r="G322" i="12" s="1"/>
  <c r="F323" i="12"/>
  <c r="G323" i="12" s="1"/>
  <c r="F324" i="12"/>
  <c r="G324" i="12" s="1"/>
  <c r="F325" i="12"/>
  <c r="G325" i="12" s="1"/>
  <c r="F326" i="12"/>
  <c r="G326" i="12" s="1"/>
  <c r="F327" i="12"/>
  <c r="G327" i="12" s="1"/>
  <c r="F328" i="12"/>
  <c r="G328" i="12" s="1"/>
  <c r="F329" i="12"/>
  <c r="G329" i="12" s="1"/>
  <c r="F330" i="12"/>
  <c r="G330" i="12" s="1"/>
  <c r="F331" i="12"/>
  <c r="G331" i="12" s="1"/>
  <c r="F332" i="12"/>
  <c r="G332" i="12" s="1"/>
  <c r="F333" i="12"/>
  <c r="G333" i="12" s="1"/>
  <c r="F334" i="12"/>
  <c r="G334" i="12" s="1"/>
  <c r="F335" i="12"/>
  <c r="G335" i="12" s="1"/>
  <c r="F336" i="12"/>
  <c r="G336" i="12" s="1"/>
  <c r="F337" i="12"/>
  <c r="G337" i="12" s="1"/>
  <c r="F338" i="12"/>
  <c r="G338" i="12" s="1"/>
  <c r="F339" i="12"/>
  <c r="G339" i="12" s="1"/>
  <c r="F340" i="12"/>
  <c r="G340" i="12" s="1"/>
  <c r="F341" i="12"/>
  <c r="G341" i="12" s="1"/>
  <c r="F342" i="12"/>
  <c r="G342" i="12" s="1"/>
  <c r="F343" i="12"/>
  <c r="G343" i="12" s="1"/>
  <c r="F344" i="12"/>
  <c r="G344" i="12" s="1"/>
  <c r="F345" i="12"/>
  <c r="G345" i="12" s="1"/>
  <c r="F346" i="12"/>
  <c r="G346" i="12" s="1"/>
  <c r="F347" i="12"/>
  <c r="G347" i="12" s="1"/>
  <c r="F348" i="12"/>
  <c r="G348" i="12" s="1"/>
  <c r="F349" i="12"/>
  <c r="G349" i="12" s="1"/>
  <c r="F350" i="12"/>
  <c r="G350" i="12" s="1"/>
  <c r="F351" i="12"/>
  <c r="G351" i="12" s="1"/>
  <c r="F352" i="12"/>
  <c r="G352" i="12" s="1"/>
  <c r="F353" i="12"/>
  <c r="G353" i="12" s="1"/>
  <c r="F354" i="12"/>
  <c r="G354" i="12" s="1"/>
  <c r="F355" i="12"/>
  <c r="G355" i="12" s="1"/>
  <c r="F356" i="12"/>
  <c r="G356" i="12" s="1"/>
  <c r="F357" i="12"/>
  <c r="G357" i="12" s="1"/>
  <c r="F358" i="12"/>
  <c r="G358" i="12" s="1"/>
  <c r="F359" i="12"/>
  <c r="G359" i="12" s="1"/>
  <c r="F360" i="12"/>
  <c r="G360" i="12" s="1"/>
  <c r="F361" i="12"/>
  <c r="G361" i="12" s="1"/>
  <c r="F362" i="12"/>
  <c r="G362" i="12" s="1"/>
  <c r="F363" i="12"/>
  <c r="G363" i="12" s="1"/>
  <c r="F364" i="12"/>
  <c r="G364" i="12" s="1"/>
  <c r="F365" i="12"/>
  <c r="G365" i="12" s="1"/>
  <c r="F366" i="12"/>
  <c r="G366" i="12" s="1"/>
  <c r="F367" i="12"/>
  <c r="G367" i="12" s="1"/>
  <c r="F368" i="12"/>
  <c r="G368" i="12" s="1"/>
  <c r="F369" i="12"/>
  <c r="G369" i="12" s="1"/>
  <c r="F370" i="12"/>
  <c r="G370" i="12" s="1"/>
  <c r="F371" i="12"/>
  <c r="G371" i="12" s="1"/>
  <c r="F372" i="12"/>
  <c r="G372" i="12" s="1"/>
  <c r="F373" i="12"/>
  <c r="G373" i="12" s="1"/>
  <c r="F374" i="12"/>
  <c r="G374" i="12" s="1"/>
  <c r="F375" i="12"/>
  <c r="G375" i="12" s="1"/>
  <c r="F376" i="12"/>
  <c r="G376" i="12" s="1"/>
  <c r="F377" i="12"/>
  <c r="G377" i="12" s="1"/>
  <c r="F378" i="12"/>
  <c r="G378" i="12" s="1"/>
  <c r="F379" i="12"/>
  <c r="G379" i="12" s="1"/>
  <c r="F380" i="12"/>
  <c r="G380" i="12" s="1"/>
  <c r="F381" i="12"/>
  <c r="G381" i="12" s="1"/>
  <c r="F382" i="12"/>
  <c r="G382" i="12" s="1"/>
  <c r="F383" i="12"/>
  <c r="G383" i="12" s="1"/>
  <c r="F384" i="12"/>
  <c r="G384" i="12" s="1"/>
  <c r="F385" i="12"/>
  <c r="G385" i="12" s="1"/>
  <c r="F386" i="12"/>
  <c r="G386" i="12" s="1"/>
  <c r="F387" i="12"/>
  <c r="G387" i="12" s="1"/>
  <c r="F388" i="12"/>
  <c r="G388" i="12" s="1"/>
  <c r="F389" i="12"/>
  <c r="G389" i="12" s="1"/>
  <c r="F390" i="12"/>
  <c r="G390" i="12" s="1"/>
  <c r="F391" i="12"/>
  <c r="G391" i="12" s="1"/>
  <c r="F392" i="12"/>
  <c r="G392" i="12" s="1"/>
  <c r="F393" i="12"/>
  <c r="G393" i="12" s="1"/>
  <c r="F394" i="12"/>
  <c r="G394" i="12" s="1"/>
  <c r="F395" i="12"/>
  <c r="G395" i="12" s="1"/>
  <c r="F396" i="12"/>
  <c r="G396" i="12" s="1"/>
  <c r="F397" i="12"/>
  <c r="G397" i="12" s="1"/>
  <c r="F398" i="12"/>
  <c r="G398" i="12" s="1"/>
  <c r="F399" i="12"/>
  <c r="G399" i="12" s="1"/>
  <c r="F400" i="12"/>
  <c r="G400" i="12" s="1"/>
  <c r="F401" i="12"/>
  <c r="G401" i="12" s="1"/>
  <c r="F402" i="12"/>
  <c r="G402" i="12" s="1"/>
  <c r="F403" i="12"/>
  <c r="G403" i="12" s="1"/>
  <c r="F404" i="12"/>
  <c r="G404" i="12" s="1"/>
  <c r="F405" i="12"/>
  <c r="G405" i="12" s="1"/>
  <c r="F406" i="12"/>
  <c r="G406" i="12" s="1"/>
  <c r="F407" i="12"/>
  <c r="G407" i="12" s="1"/>
  <c r="F408" i="12"/>
  <c r="G408" i="12" s="1"/>
  <c r="F409" i="12"/>
  <c r="G409" i="12" s="1"/>
  <c r="F410" i="12"/>
  <c r="G410" i="12" s="1"/>
  <c r="F411" i="12"/>
  <c r="G411" i="12" s="1"/>
  <c r="F412" i="12"/>
  <c r="G412" i="12" s="1"/>
  <c r="F413" i="12"/>
  <c r="G413" i="12" s="1"/>
  <c r="F414" i="12"/>
  <c r="G414" i="12" s="1"/>
  <c r="F415" i="12"/>
  <c r="G415" i="12" s="1"/>
  <c r="F416" i="12"/>
  <c r="G416" i="12" s="1"/>
  <c r="F417" i="12"/>
  <c r="G417" i="12" s="1"/>
  <c r="F418" i="12"/>
  <c r="G418" i="12" s="1"/>
  <c r="F419" i="12"/>
  <c r="G419" i="12" s="1"/>
  <c r="F420" i="12"/>
  <c r="G420" i="12" s="1"/>
  <c r="F421" i="12"/>
  <c r="G421" i="12" s="1"/>
  <c r="F422" i="12"/>
  <c r="G422" i="12" s="1"/>
  <c r="F423" i="12"/>
  <c r="G423" i="12" s="1"/>
  <c r="F424" i="12"/>
  <c r="G424" i="12" s="1"/>
  <c r="F425" i="12"/>
  <c r="G425" i="12" s="1"/>
  <c r="F426" i="12"/>
  <c r="G426" i="12" s="1"/>
  <c r="F427" i="12"/>
  <c r="G427" i="12" s="1"/>
  <c r="F428" i="12"/>
  <c r="G428" i="12" s="1"/>
  <c r="F429" i="12"/>
  <c r="G429" i="12" s="1"/>
  <c r="F430" i="12"/>
  <c r="G430" i="12" s="1"/>
  <c r="F431" i="12"/>
  <c r="G431" i="12" s="1"/>
  <c r="F432" i="12"/>
  <c r="G432" i="12" s="1"/>
  <c r="F433" i="12"/>
  <c r="G433" i="12" s="1"/>
  <c r="F434" i="12"/>
  <c r="G434" i="12" s="1"/>
  <c r="F435" i="12"/>
  <c r="G435" i="12" s="1"/>
  <c r="F436" i="12"/>
  <c r="G436" i="12" s="1"/>
  <c r="F437" i="12"/>
  <c r="G437" i="12" s="1"/>
  <c r="F438" i="12"/>
  <c r="G438" i="12" s="1"/>
  <c r="F439" i="12"/>
  <c r="G439" i="12" s="1"/>
  <c r="F440" i="12"/>
  <c r="G440" i="12" s="1"/>
  <c r="F441" i="12"/>
  <c r="G441" i="12" s="1"/>
  <c r="F442" i="12"/>
  <c r="G442" i="12" s="1"/>
  <c r="F443" i="12"/>
  <c r="G443" i="12" s="1"/>
  <c r="F444" i="12"/>
  <c r="G444" i="12" s="1"/>
  <c r="F445" i="12"/>
  <c r="G445" i="12" s="1"/>
  <c r="F446" i="12"/>
  <c r="G446" i="12" s="1"/>
  <c r="F447" i="12"/>
  <c r="G447" i="12" s="1"/>
  <c r="F448" i="12"/>
  <c r="G448" i="12" s="1"/>
  <c r="F449" i="12"/>
  <c r="G449" i="12" s="1"/>
  <c r="F450" i="12"/>
  <c r="G450" i="12" s="1"/>
  <c r="F451" i="12"/>
  <c r="G451" i="12" s="1"/>
  <c r="F452" i="12"/>
  <c r="G452" i="12" s="1"/>
  <c r="F453" i="12"/>
  <c r="G453" i="12" s="1"/>
  <c r="F454" i="12"/>
  <c r="G454" i="12" s="1"/>
  <c r="F455" i="12"/>
  <c r="G455" i="12" s="1"/>
  <c r="F456" i="12"/>
  <c r="G456" i="12" s="1"/>
  <c r="F457" i="12"/>
  <c r="G457" i="12" s="1"/>
  <c r="F458" i="12"/>
  <c r="G458" i="12" s="1"/>
  <c r="F459" i="12"/>
  <c r="G459" i="12" s="1"/>
  <c r="F460" i="12"/>
  <c r="G460" i="12" s="1"/>
  <c r="F461" i="12"/>
  <c r="G461" i="12" s="1"/>
  <c r="F462" i="12"/>
  <c r="G462" i="12" s="1"/>
  <c r="F463" i="12"/>
  <c r="G463" i="12" s="1"/>
  <c r="F464" i="12"/>
  <c r="G464" i="12" s="1"/>
  <c r="F465" i="12"/>
  <c r="G465" i="12" s="1"/>
  <c r="F466" i="12"/>
  <c r="G466" i="12" s="1"/>
  <c r="F467" i="12"/>
  <c r="G467" i="12" s="1"/>
  <c r="F468" i="12"/>
  <c r="G468" i="12" s="1"/>
  <c r="F469" i="12"/>
  <c r="G469" i="12" s="1"/>
  <c r="F470" i="12"/>
  <c r="G470" i="12" s="1"/>
  <c r="F471" i="12"/>
  <c r="G471" i="12" s="1"/>
  <c r="F472" i="12"/>
  <c r="G472" i="12" s="1"/>
  <c r="F473" i="12"/>
  <c r="G473" i="12" s="1"/>
  <c r="F474" i="12"/>
  <c r="G474" i="12" s="1"/>
  <c r="F475" i="12"/>
  <c r="G475" i="12" s="1"/>
  <c r="F476" i="12"/>
  <c r="G476" i="12" s="1"/>
  <c r="F477" i="12"/>
  <c r="G477" i="12" s="1"/>
  <c r="F478" i="12"/>
  <c r="G478" i="12" s="1"/>
  <c r="E2"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M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M301" i="12"/>
  <c r="M302" i="12"/>
  <c r="M303" i="12"/>
  <c r="M304" i="12"/>
  <c r="M305" i="12"/>
  <c r="M306" i="12"/>
  <c r="M307" i="12"/>
  <c r="M308" i="12"/>
  <c r="M309" i="12"/>
  <c r="M310" i="12"/>
  <c r="M311" i="12"/>
  <c r="M312" i="12"/>
  <c r="M313" i="12"/>
  <c r="M314" i="12"/>
  <c r="M315" i="12"/>
  <c r="M316" i="12"/>
  <c r="M317" i="12"/>
  <c r="M318" i="12"/>
  <c r="M319" i="12"/>
  <c r="M320" i="12"/>
  <c r="M321" i="12"/>
  <c r="M322" i="12"/>
  <c r="M323" i="12"/>
  <c r="M324" i="12"/>
  <c r="M325" i="12"/>
  <c r="M326" i="12"/>
  <c r="M327" i="12"/>
  <c r="M328" i="12"/>
  <c r="M329" i="12"/>
  <c r="M330" i="12"/>
  <c r="M331" i="12"/>
  <c r="M332" i="12"/>
  <c r="M333" i="12"/>
  <c r="M334" i="12"/>
  <c r="M335" i="12"/>
  <c r="M336" i="12"/>
  <c r="M337" i="12"/>
  <c r="M338" i="12"/>
  <c r="M339" i="12"/>
  <c r="M340" i="12"/>
  <c r="M341" i="12"/>
  <c r="M342" i="12"/>
  <c r="M343" i="12"/>
  <c r="M344" i="12"/>
  <c r="M345" i="12"/>
  <c r="M346" i="12"/>
  <c r="M347" i="12"/>
  <c r="M348" i="12"/>
  <c r="M349" i="12"/>
  <c r="M350" i="12"/>
  <c r="M351" i="12"/>
  <c r="M352" i="12"/>
  <c r="M353" i="12"/>
  <c r="M354" i="12"/>
  <c r="M355" i="12"/>
  <c r="M356" i="12"/>
  <c r="M357" i="12"/>
  <c r="M358" i="12"/>
  <c r="M359" i="12"/>
  <c r="M360" i="12"/>
  <c r="M361" i="12"/>
  <c r="M362" i="12"/>
  <c r="M363" i="12"/>
  <c r="M364" i="12"/>
  <c r="M365" i="12"/>
  <c r="M366" i="12"/>
  <c r="M367" i="12"/>
  <c r="M368" i="12"/>
  <c r="M369" i="12"/>
  <c r="M370" i="12"/>
  <c r="M371" i="12"/>
  <c r="M372" i="12"/>
  <c r="M373" i="12"/>
  <c r="M374" i="12"/>
  <c r="M375" i="12"/>
  <c r="M376" i="12"/>
  <c r="M377" i="12"/>
  <c r="M378" i="12"/>
  <c r="M379" i="12"/>
  <c r="M380" i="12"/>
  <c r="M381" i="12"/>
  <c r="M382" i="12"/>
  <c r="M383" i="12"/>
  <c r="M384" i="12"/>
  <c r="M385" i="12"/>
  <c r="M386" i="12"/>
  <c r="M387" i="12"/>
  <c r="M388" i="12"/>
  <c r="M389" i="12"/>
  <c r="M390" i="12"/>
  <c r="M391" i="12"/>
  <c r="M392" i="12"/>
  <c r="M393" i="12"/>
  <c r="M394" i="12"/>
  <c r="M395" i="12"/>
  <c r="M396" i="12"/>
  <c r="M397" i="12"/>
  <c r="M398" i="12"/>
  <c r="M399" i="12"/>
  <c r="M400" i="12"/>
  <c r="M401" i="12"/>
  <c r="M402" i="12"/>
  <c r="M403" i="12"/>
  <c r="M404" i="12"/>
  <c r="M405" i="12"/>
  <c r="M406" i="12"/>
  <c r="M407" i="12"/>
  <c r="M408" i="12"/>
  <c r="M409" i="12"/>
  <c r="M410" i="12"/>
  <c r="M411" i="12"/>
  <c r="M412" i="12"/>
  <c r="M413" i="12"/>
  <c r="M414" i="12"/>
  <c r="M415" i="12"/>
  <c r="M416" i="12"/>
  <c r="M417" i="12"/>
  <c r="M418" i="12"/>
  <c r="M419" i="12"/>
  <c r="M420" i="12"/>
  <c r="M421" i="12"/>
  <c r="M422" i="12"/>
  <c r="M423" i="12"/>
  <c r="M424" i="12"/>
  <c r="M425" i="12"/>
  <c r="M426" i="12"/>
  <c r="M427" i="12"/>
  <c r="M428" i="12"/>
  <c r="M429" i="12"/>
  <c r="M430" i="12"/>
  <c r="M431" i="12"/>
  <c r="M432" i="12"/>
  <c r="M433" i="12"/>
  <c r="M434" i="12"/>
  <c r="M435" i="12"/>
  <c r="M436" i="12"/>
  <c r="M437" i="12"/>
  <c r="M438" i="12"/>
  <c r="M439" i="12"/>
  <c r="M440" i="12"/>
  <c r="M441" i="12"/>
  <c r="M442" i="12"/>
  <c r="M443" i="12"/>
  <c r="M444" i="12"/>
  <c r="M445" i="12"/>
  <c r="M446" i="12"/>
  <c r="M447" i="12"/>
  <c r="M448" i="12"/>
  <c r="M449" i="12"/>
  <c r="M450" i="12"/>
  <c r="M451" i="12"/>
  <c r="M452" i="12"/>
  <c r="M453" i="12"/>
  <c r="M454" i="12"/>
  <c r="M455" i="12"/>
  <c r="M456" i="12"/>
  <c r="M457" i="12"/>
  <c r="M458" i="12"/>
  <c r="M459" i="12"/>
  <c r="M460" i="12"/>
  <c r="M461" i="12"/>
  <c r="M462" i="12"/>
  <c r="M463" i="12"/>
  <c r="M464" i="12"/>
  <c r="M465" i="12"/>
  <c r="M466" i="12"/>
  <c r="M467" i="12"/>
  <c r="M468" i="12"/>
  <c r="M469" i="12"/>
  <c r="M470" i="12"/>
  <c r="M471" i="12"/>
  <c r="M472" i="12"/>
  <c r="M473" i="12"/>
  <c r="M474" i="12"/>
  <c r="M475" i="12"/>
  <c r="M476" i="12"/>
  <c r="M477" i="12"/>
  <c r="M478" i="12"/>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G2" i="3"/>
  <c r="Y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tc={886921ED-C7A4-4508-AC1B-96CA8D6BDB6E}</author>
  </authors>
  <commentList>
    <comment ref="L2" authorId="0" shapeId="0" xr:uid="{886921ED-C7A4-4508-AC1B-96CA8D6BDB6E}">
      <text>
        <t xml:space="preserve">[Threaded comment]
Your version of Excel allows you to read this threaded comment; however, any edits to it will get removed if the file is opened in a newer version of Excel. Learn more: https://go.microsoft.com/fwlink/?linkid=870924
Comment:
    Double check  the QTY per Ref - Sap , BTQ.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5558B3-E967-4A64-B557-3FC5C64BF3A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3910A7C-603C-4392-9589-9DD556F9ABF0}" name="WorksheetConnection_CRC - Sellout Plan  2025.xlsm!OpenPendingCases" type="102" refreshedVersion="8" minRefreshableVersion="5">
    <extLst>
      <ext xmlns:x15="http://schemas.microsoft.com/office/spreadsheetml/2010/11/main" uri="{DE250136-89BD-433C-8126-D09CA5730AF9}">
        <x15:connection id="OpenPendingCases">
          <x15:rangePr sourceName="_xlcn.WorksheetConnection_CRCSelloutPlan2025.xlsmOpenPendingCases"/>
        </x15:connection>
      </ext>
    </extLst>
  </connection>
  <connection id="3" xr16:uid="{8F68A11B-027B-4096-9D28-349F12E473DE}" name="WorksheetConnection_CRC - Sellout Plan  2025.xlsm!Table6" type="102" refreshedVersion="8" minRefreshableVersion="5">
    <extLst>
      <ext xmlns:x15="http://schemas.microsoft.com/office/spreadsheetml/2010/11/main" uri="{DE250136-89BD-433C-8126-D09CA5730AF9}">
        <x15:connection id="Table6" autoDelete="1">
          <x15:rangePr sourceName="_xlcn.WorksheetConnection_CRCSelloutPlan2025.xlsmTable6"/>
        </x15:connection>
      </ext>
    </extLst>
  </connection>
</connections>
</file>

<file path=xl/sharedStrings.xml><?xml version="1.0" encoding="utf-8"?>
<sst xmlns="http://schemas.openxmlformats.org/spreadsheetml/2006/main" count="9662" uniqueCount="2032">
  <si>
    <t xml:space="preserve"> Timepiece Status</t>
  </si>
  <si>
    <t>Allocation Confirmed</t>
  </si>
  <si>
    <t>Potential Same Month</t>
  </si>
  <si>
    <t>High</t>
  </si>
  <si>
    <t>Transaction location</t>
  </si>
  <si>
    <t>Values</t>
  </si>
  <si>
    <t>Boutique Stock</t>
  </si>
  <si>
    <t>Total Count of Timepieces</t>
  </si>
  <si>
    <t>Total Amount</t>
  </si>
  <si>
    <t>CRC Name</t>
  </si>
  <si>
    <t xml:space="preserve">Timepiece Reference </t>
  </si>
  <si>
    <t>Count of Timepieces</t>
  </si>
  <si>
    <t>Amount</t>
  </si>
  <si>
    <t>Maaz</t>
  </si>
  <si>
    <t>1225V/200A-B590</t>
  </si>
  <si>
    <t>Riham</t>
  </si>
  <si>
    <t>5520V/210A-B686</t>
  </si>
  <si>
    <t xml:space="preserve">Riham </t>
  </si>
  <si>
    <t>Grand Total</t>
  </si>
  <si>
    <t>Collection Name</t>
  </si>
  <si>
    <t>Price</t>
  </si>
  <si>
    <t>Middle East (UAE)</t>
  </si>
  <si>
    <t>7920V/210A-B334</t>
  </si>
  <si>
    <t>NA</t>
  </si>
  <si>
    <t xml:space="preserve">5520V/210A-B148 </t>
  </si>
  <si>
    <t>Sold</t>
  </si>
  <si>
    <t>Closed Sale</t>
  </si>
  <si>
    <t>4200H/222J-B935</t>
  </si>
  <si>
    <t>Low</t>
  </si>
  <si>
    <t>4600E/000A-B442</t>
  </si>
  <si>
    <t>4520V/210R-B705</t>
  </si>
  <si>
    <t>Middle East (KSA)</t>
  </si>
  <si>
    <t>7920V/210A-B333</t>
  </si>
  <si>
    <t>25/3/2025</t>
  </si>
  <si>
    <t>Awaiting HQ Approval</t>
  </si>
  <si>
    <t>4520V/210A-B128</t>
  </si>
  <si>
    <t>5520V/210R-B966</t>
  </si>
  <si>
    <t>4000V/210A-B911</t>
  </si>
  <si>
    <t>82035/000P-H063</t>
  </si>
  <si>
    <t>7920V/210R-B965</t>
  </si>
  <si>
    <t>4520V/210R-B967</t>
  </si>
  <si>
    <t>7920V/210A-B546</t>
  </si>
  <si>
    <t>4010T/000G-B740</t>
  </si>
  <si>
    <t>4000E/000A-B439</t>
  </si>
  <si>
    <t>43075/000R-9737</t>
  </si>
  <si>
    <t>STATUS</t>
  </si>
  <si>
    <t>CLIENT FEEDBACK</t>
  </si>
  <si>
    <t>REQUEST DATE</t>
  </si>
  <si>
    <t>REFERENCE</t>
  </si>
  <si>
    <t>BOUTIQUE</t>
  </si>
  <si>
    <t>CLIENT ID</t>
  </si>
  <si>
    <t>CLIENT SEGMENT</t>
  </si>
  <si>
    <t>SALES ASSOCIATE</t>
  </si>
  <si>
    <t>COMMENTS</t>
  </si>
  <si>
    <t>Avaliblity</t>
  </si>
  <si>
    <t>Request</t>
  </si>
  <si>
    <t/>
  </si>
  <si>
    <t>13/5/2025</t>
  </si>
  <si>
    <t>Phone sales Middle East</t>
  </si>
  <si>
    <t>Prospect</t>
  </si>
  <si>
    <t>SHARIF Maaz</t>
  </si>
  <si>
    <t xml:space="preserve">The client is intrested in the B911 and the Fiftysix 
</t>
  </si>
  <si>
    <t>Count of STATUS</t>
  </si>
  <si>
    <t>Column Labels</t>
  </si>
  <si>
    <t xml:space="preserve">Fiftysix complete calendar
</t>
  </si>
  <si>
    <t>10/5/2025</t>
  </si>
  <si>
    <t>4200H/222A-B934</t>
  </si>
  <si>
    <t>TAHHAN Riham</t>
  </si>
  <si>
    <t xml:space="preserve">
</t>
  </si>
  <si>
    <t>Row Labels</t>
  </si>
  <si>
    <t>OMARI Asma</t>
  </si>
  <si>
    <t xml:space="preserve">Aleksandr Luchenko
</t>
  </si>
  <si>
    <t>6/5/2025</t>
  </si>
  <si>
    <t>105678778</t>
  </si>
  <si>
    <t>101770162</t>
  </si>
  <si>
    <t>4520V/210A-B483</t>
  </si>
  <si>
    <t>101467308</t>
  </si>
  <si>
    <t>102003092</t>
  </si>
  <si>
    <t>105678696</t>
  </si>
  <si>
    <t>103658184</t>
  </si>
  <si>
    <t>3/5/2025</t>
  </si>
  <si>
    <t>105562671</t>
  </si>
  <si>
    <t xml:space="preserve">Mohammed Omar
</t>
  </si>
  <si>
    <t>105306744</t>
  </si>
  <si>
    <t>2/5/2025</t>
  </si>
  <si>
    <t>103643274</t>
  </si>
  <si>
    <t>105366145</t>
  </si>
  <si>
    <t>1/5/2025</t>
  </si>
  <si>
    <t>105487562</t>
  </si>
  <si>
    <t xml:space="preserve">The client will visit UAE
</t>
  </si>
  <si>
    <t>105366966</t>
  </si>
  <si>
    <t>29/4/2025</t>
  </si>
  <si>
    <t xml:space="preserve">Moonphase and 222
</t>
  </si>
  <si>
    <t>92424528</t>
  </si>
  <si>
    <t>105338699</t>
  </si>
  <si>
    <t>Confirmed</t>
  </si>
  <si>
    <t>25/4/2025</t>
  </si>
  <si>
    <t xml:space="preserve">The client is interested in either the bule or green dual time 
</t>
  </si>
  <si>
    <t>Pending client feedback</t>
  </si>
  <si>
    <t>23/4/2025</t>
  </si>
  <si>
    <t>104559752</t>
  </si>
  <si>
    <t xml:space="preserve">order placed for Phone sales.
</t>
  </si>
  <si>
    <t xml:space="preserve">Aziz Ata
</t>
  </si>
  <si>
    <t>19/4/2025</t>
  </si>
  <si>
    <t>101893659</t>
  </si>
  <si>
    <t xml:space="preserve">UAE - Collector AP, RM
</t>
  </si>
  <si>
    <t>18/4/2025</t>
  </si>
  <si>
    <t>5520V/210A-B148</t>
  </si>
  <si>
    <t>105225518</t>
  </si>
  <si>
    <t>105232635</t>
  </si>
  <si>
    <t xml:space="preserve">Erkan Kaya
</t>
  </si>
  <si>
    <t>17/4/2025</t>
  </si>
  <si>
    <t>82172/000P-H062</t>
  </si>
  <si>
    <t>92425024</t>
  </si>
  <si>
    <t>Client</t>
  </si>
  <si>
    <t xml:space="preserve">Majid Rahman (intrested in Novelties)
</t>
  </si>
  <si>
    <t>105234569</t>
  </si>
  <si>
    <t xml:space="preserve">KSA 222
</t>
  </si>
  <si>
    <t>16/4/2025</t>
  </si>
  <si>
    <t>105231885</t>
  </si>
  <si>
    <t xml:space="preserve">Ms. Theresa Jaeger : Gift for her husband birthday
</t>
  </si>
  <si>
    <t>105224074</t>
  </si>
  <si>
    <t xml:space="preserve">Mr. Abdulelah Bineid : ksa
</t>
  </si>
  <si>
    <t>4300V/220G-B945</t>
  </si>
  <si>
    <t>105248739</t>
  </si>
  <si>
    <t xml:space="preserve">client showed interest 
</t>
  </si>
  <si>
    <t>105370532</t>
  </si>
  <si>
    <t xml:space="preserve">**Managing Director**
- **Companies:**
- **Blue Star Tiles** (real estate/construction) fiftysix black dial 
</t>
  </si>
  <si>
    <t>15/4/2025</t>
  </si>
  <si>
    <t>105223407</t>
  </si>
  <si>
    <t>Cancelled</t>
  </si>
  <si>
    <t>12/4/2025</t>
  </si>
  <si>
    <t>105371442</t>
  </si>
  <si>
    <t xml:space="preserve">the client owns : Rolex Submariner 126613LB - Rolex Datejust 41 - Rolex Submariner Date 41mm **Target budget ~185,000 AE**  
</t>
  </si>
  <si>
    <t>9/4/2025</t>
  </si>
  <si>
    <t>105122031</t>
  </si>
  <si>
    <t xml:space="preserve">Ahmed El-Badawy
</t>
  </si>
  <si>
    <t>8/4/2025</t>
  </si>
  <si>
    <t>105116801</t>
  </si>
  <si>
    <t xml:space="preserve">dual time ksa 
</t>
  </si>
  <si>
    <t>105117467</t>
  </si>
  <si>
    <t xml:space="preserve">222 KSA client - P
</t>
  </si>
  <si>
    <t xml:space="preserve">the dual  time , 
</t>
  </si>
  <si>
    <t>6/4/2025</t>
  </si>
  <si>
    <t xml:space="preserve">very interested in the dual time and Chronograph 
</t>
  </si>
  <si>
    <t>5/4/2025</t>
  </si>
  <si>
    <t>105413736</t>
  </si>
  <si>
    <t xml:space="preserve">222
</t>
  </si>
  <si>
    <t>4/4/2025</t>
  </si>
  <si>
    <t>105001985</t>
  </si>
  <si>
    <t xml:space="preserve">Mr. Sultan Al Saud ksa
</t>
  </si>
  <si>
    <t>101108337</t>
  </si>
  <si>
    <t xml:space="preserve">0098845999 - 0101108337 client is an owner of OVS dual time. But now he is interested in 222 and requested to be added to the waiting list
</t>
  </si>
  <si>
    <t>3/4/2025</t>
  </si>
  <si>
    <t>104989923</t>
  </si>
  <si>
    <t>104977543</t>
  </si>
  <si>
    <t xml:space="preserve">Mr. Amit Agarwal (india)
</t>
  </si>
  <si>
    <t>103771139</t>
  </si>
  <si>
    <t xml:space="preserve">Mr. Aliwavip Etowati (Egypt)
</t>
  </si>
  <si>
    <t>104939061</t>
  </si>
  <si>
    <t>105007242</t>
  </si>
  <si>
    <t xml:space="preserve">[Obaid Mubarak Al muhairi](mailto:Obaidmuhairi@gmail.com) | a collector 
</t>
  </si>
  <si>
    <t>4600E/000R-H101</t>
  </si>
  <si>
    <t>105372157</t>
  </si>
  <si>
    <t xml:space="preserve">Fiftysix black dial 
</t>
  </si>
  <si>
    <t>2/4/2025</t>
  </si>
  <si>
    <t>92397772</t>
  </si>
  <si>
    <t xml:space="preserve">Mr. Sameer Rafique
</t>
  </si>
  <si>
    <t>104908207</t>
  </si>
  <si>
    <t xml:space="preserve">Mr. Vincent Kedikilwe
</t>
  </si>
  <si>
    <t>104994951</t>
  </si>
  <si>
    <t xml:space="preserve">Salman Almashari ksa
</t>
  </si>
  <si>
    <t>4600E/000A-B487</t>
  </si>
  <si>
    <t>105485963</t>
  </si>
  <si>
    <t>1/4/2025</t>
  </si>
  <si>
    <t>104687880</t>
  </si>
  <si>
    <t>5520V/210R-B952</t>
  </si>
  <si>
    <t>104802404</t>
  </si>
  <si>
    <t xml:space="preserve">He will visiting the UAE end of April to purchase the Overseas (If available)
</t>
  </si>
  <si>
    <t>104687223</t>
  </si>
  <si>
    <t>104982295</t>
  </si>
  <si>
    <t xml:space="preserve">Ahmed Alhammadi
</t>
  </si>
  <si>
    <t>29/3/2025</t>
  </si>
  <si>
    <t>101107205</t>
  </si>
  <si>
    <t xml:space="preserve">Mr. Mohamed Eljadi
</t>
  </si>
  <si>
    <t>104922362</t>
  </si>
  <si>
    <t xml:space="preserve">Mr. Conrad Lee
</t>
  </si>
  <si>
    <t>103645785</t>
  </si>
  <si>
    <t xml:space="preserve">222 
</t>
  </si>
  <si>
    <t>93231984</t>
  </si>
  <si>
    <t xml:space="preserve">the 222
</t>
  </si>
  <si>
    <t>101921704</t>
  </si>
  <si>
    <t xml:space="preserve">OS black dial : 4520V/210A-B483
</t>
  </si>
  <si>
    <t>103831079</t>
  </si>
  <si>
    <t xml:space="preserve">the client is interested in the Overseas blue dial and paid deposit 
</t>
  </si>
  <si>
    <t xml:space="preserve">Fiftysix self-winding
</t>
  </si>
  <si>
    <t>28/3/2025</t>
  </si>
  <si>
    <t>104181314</t>
  </si>
  <si>
    <t xml:space="preserve">For his graduation next year :Mr. Lakshya Gupta
</t>
  </si>
  <si>
    <t>27/3/2025</t>
  </si>
  <si>
    <t>104908886</t>
  </si>
  <si>
    <t>104849248</t>
  </si>
  <si>
    <t xml:space="preserve">the client is coming next week. already own the  \n Overseas chronograph  VMX55AV148
</t>
  </si>
  <si>
    <t>93232291</t>
  </si>
  <si>
    <t xml:space="preserve">4200H/222A-B934 222
</t>
  </si>
  <si>
    <t>103617532</t>
  </si>
  <si>
    <t>104564947</t>
  </si>
  <si>
    <t>104853731</t>
  </si>
  <si>
    <t>104853450</t>
  </si>
  <si>
    <t>22/3/2025</t>
  </si>
  <si>
    <t>104769573</t>
  </si>
  <si>
    <t xml:space="preserve">lives between Dubai and Geneva.
</t>
  </si>
  <si>
    <t>99219912</t>
  </si>
  <si>
    <t xml:space="preserve">elrahmanhefny ksa
</t>
  </si>
  <si>
    <t>104796476</t>
  </si>
  <si>
    <t xml:space="preserve">The client wishes to purchase his first Vacheron Constantin timepiece in Dubai, as he has a deep appreciation for the city and wants his first VC watch to hold a special connection to it. He is ready to purchase it right away.
</t>
  </si>
  <si>
    <t>19/3/2025</t>
  </si>
  <si>
    <t>6000V/210R-B934</t>
  </si>
  <si>
    <t>104689190</t>
  </si>
  <si>
    <t>18/3/2025</t>
  </si>
  <si>
    <t>15/3/2025</t>
  </si>
  <si>
    <t>104609280</t>
  </si>
  <si>
    <t xml:space="preserve">b128 no history 
</t>
  </si>
  <si>
    <t>13/3/2025</t>
  </si>
  <si>
    <t>99351991</t>
  </si>
  <si>
    <t>104572070</t>
  </si>
  <si>
    <t>104576008</t>
  </si>
  <si>
    <t>11/3/2025</t>
  </si>
  <si>
    <t>104513303</t>
  </si>
  <si>
    <t xml:space="preserve">Sultan Aldhaher (ksa)
</t>
  </si>
  <si>
    <t>103058008</t>
  </si>
  <si>
    <t>104075516</t>
  </si>
  <si>
    <t xml:space="preserve">interested in the 222
</t>
  </si>
  <si>
    <t>101055665</t>
  </si>
  <si>
    <t>8/3/2025</t>
  </si>
  <si>
    <t>104506669</t>
  </si>
  <si>
    <t>6000T/000R-B346</t>
  </si>
  <si>
    <t>104509438</t>
  </si>
  <si>
    <t>105118480</t>
  </si>
  <si>
    <t xml:space="preserve">Dual time green 
</t>
  </si>
  <si>
    <t>7/3/2025</t>
  </si>
  <si>
    <t>102277427</t>
  </si>
  <si>
    <t xml:space="preserve">Mr. Fida Hussain
</t>
  </si>
  <si>
    <t>91002249</t>
  </si>
  <si>
    <t xml:space="preserve">Abdullaziz Alshreef : KSA
</t>
  </si>
  <si>
    <t>104481449</t>
  </si>
  <si>
    <t xml:space="preserve">Alhasan Alkindi
</t>
  </si>
  <si>
    <t>104455540</t>
  </si>
  <si>
    <t xml:space="preserve">Andrey Karpov
</t>
  </si>
  <si>
    <t>104909110</t>
  </si>
  <si>
    <t>6/3/2025</t>
  </si>
  <si>
    <t>104241748</t>
  </si>
  <si>
    <t xml:space="preserve">DR Ali Aldhanhani
</t>
  </si>
  <si>
    <t>5/3/2025</t>
  </si>
  <si>
    <t>104457258</t>
  </si>
  <si>
    <t>104482467</t>
  </si>
  <si>
    <t>4/3/2025</t>
  </si>
  <si>
    <t>104455380</t>
  </si>
  <si>
    <t xml:space="preserve">Mr. Peter AROKIANATHAN (ksa)
</t>
  </si>
  <si>
    <t>104455689</t>
  </si>
  <si>
    <t xml:space="preserve">Would like the pick up to be end of Dec first of Jan
</t>
  </si>
  <si>
    <t>104455472</t>
  </si>
  <si>
    <t>91002262</t>
  </si>
  <si>
    <t>104459323</t>
  </si>
  <si>
    <t xml:space="preserve">the client is interested in the dual and Chronograph black dial 
</t>
  </si>
  <si>
    <t>1/3/2025</t>
  </si>
  <si>
    <t>104397738</t>
  </si>
  <si>
    <t xml:space="preserve">interested in the 222 and dual time 
</t>
  </si>
  <si>
    <t>98874827</t>
  </si>
  <si>
    <t xml:space="preserve">the client intrested in the 222
</t>
  </si>
  <si>
    <t>104457807</t>
  </si>
  <si>
    <t xml:space="preserve">the client is interested 
</t>
  </si>
  <si>
    <t>6010T/000R-B638</t>
  </si>
  <si>
    <t xml:space="preserve">The client specializes in auto tuning, automatic watches, and exclusive key fobs. His uncle has a strong interest in Traditionnelle and Overseas collections, particularly the tourbillon editions
</t>
  </si>
  <si>
    <t>103673092</t>
  </si>
  <si>
    <t xml:space="preserve">the client main aim is the 222 and the 128 
</t>
  </si>
  <si>
    <t>28/2/2025</t>
  </si>
  <si>
    <t>104299847</t>
  </si>
  <si>
    <t>103621137</t>
  </si>
  <si>
    <t>98609197</t>
  </si>
  <si>
    <t>27/2/2025</t>
  </si>
  <si>
    <t>104329408</t>
  </si>
  <si>
    <t xml:space="preserve">222 Fam
</t>
  </si>
  <si>
    <t>104375430</t>
  </si>
  <si>
    <t xml:space="preserve">Mr. Sultan Al Faisal (ksa)
</t>
  </si>
  <si>
    <t>104183935</t>
  </si>
  <si>
    <t xml:space="preserve">Mr. Tauqeer Dawood
</t>
  </si>
  <si>
    <t>104375462</t>
  </si>
  <si>
    <t xml:space="preserve">222 Blue
</t>
  </si>
  <si>
    <t>104326404</t>
  </si>
  <si>
    <t xml:space="preserve">The client is always between  Riyadh and Dubai and want the 222
</t>
  </si>
  <si>
    <t>102680410</t>
  </si>
  <si>
    <t xml:space="preserve">The client is very interested KW 
</t>
  </si>
  <si>
    <t>25/2/2025</t>
  </si>
  <si>
    <t>103847224</t>
  </si>
  <si>
    <t>104255707</t>
  </si>
  <si>
    <t>104270695</t>
  </si>
  <si>
    <t xml:space="preserve">222 gcc 
</t>
  </si>
  <si>
    <t>102905736</t>
  </si>
  <si>
    <t>21/2/2025</t>
  </si>
  <si>
    <t>92404193</t>
  </si>
  <si>
    <t xml:space="preserve">Mr. Ronnie Anbouba
</t>
  </si>
  <si>
    <t>20/2/2025</t>
  </si>
  <si>
    <t>103831073</t>
  </si>
  <si>
    <t>19/2/2025</t>
  </si>
  <si>
    <t>104181189</t>
  </si>
  <si>
    <t xml:space="preserve">Mr. Arkan Khedair
</t>
  </si>
  <si>
    <t>104459131</t>
  </si>
  <si>
    <t xml:space="preserve">the client would like to reserve  Overseas chronograph
</t>
  </si>
  <si>
    <t>18/2/2025</t>
  </si>
  <si>
    <t>104137810</t>
  </si>
  <si>
    <t xml:space="preserve">Mr. Humaid Shaikh
</t>
  </si>
  <si>
    <t>104137864</t>
  </si>
  <si>
    <t xml:space="preserve">Mr. Mohamed Alsuwaidi
</t>
  </si>
  <si>
    <t>92402356</t>
  </si>
  <si>
    <t xml:space="preserve">Hussain Mohamed
</t>
  </si>
  <si>
    <t>15/2/2025</t>
  </si>
  <si>
    <t>104495233</t>
  </si>
  <si>
    <t xml:space="preserve">the client is very interested in the Overseas chronograph
and willing to secure it via payment link 
</t>
  </si>
  <si>
    <t>13/2/2025</t>
  </si>
  <si>
    <t>103985822</t>
  </si>
  <si>
    <t>104069433</t>
  </si>
  <si>
    <t xml:space="preserve">Roman Heinrichs
</t>
  </si>
  <si>
    <t>12/2/2025</t>
  </si>
  <si>
    <t>103936120</t>
  </si>
  <si>
    <t>104050167</t>
  </si>
  <si>
    <t xml:space="preserve">Arthur Sarkisian
</t>
  </si>
  <si>
    <t>11/2/2025</t>
  </si>
  <si>
    <t>104044650</t>
  </si>
  <si>
    <t>104044791</t>
  </si>
  <si>
    <t xml:space="preserve">Mr. Mostafa Gheita
</t>
  </si>
  <si>
    <t>104048409</t>
  </si>
  <si>
    <t xml:space="preserve">Mr. Omar Alamoodi
</t>
  </si>
  <si>
    <t>104044621</t>
  </si>
  <si>
    <t>7/2/2025</t>
  </si>
  <si>
    <t>103976282</t>
  </si>
  <si>
    <t>103985685</t>
  </si>
  <si>
    <t>103471315</t>
  </si>
  <si>
    <t>5/2/2025</t>
  </si>
  <si>
    <t>103937781</t>
  </si>
  <si>
    <t xml:space="preserve">Mr. Benjamin Ping
</t>
  </si>
  <si>
    <t>92425936</t>
  </si>
  <si>
    <t>4/2/2025</t>
  </si>
  <si>
    <t>103879055</t>
  </si>
  <si>
    <t xml:space="preserve">Ahmad Alsadhan (ksa)
</t>
  </si>
  <si>
    <t>103936063</t>
  </si>
  <si>
    <t xml:space="preserve">Mr. Rayan Mansouri / ksa/ contacted on whatsapp as well.
</t>
  </si>
  <si>
    <t xml:space="preserve">Rayan Mansouri ksa
</t>
  </si>
  <si>
    <t>103873184</t>
  </si>
  <si>
    <t>103890141</t>
  </si>
  <si>
    <t>103844198</t>
  </si>
  <si>
    <t>4000U/000P-H003</t>
  </si>
  <si>
    <t>103677618</t>
  </si>
  <si>
    <t xml:space="preserve">The client interested in the 222 gold and steel as well the Patrimony and Historiques 
</t>
  </si>
  <si>
    <t xml:space="preserve">Clinet is intrested in the 222 
</t>
  </si>
  <si>
    <t xml:space="preserve">the client want to purchase this timepeice , to gift it to his father 
</t>
  </si>
  <si>
    <t>31/1/2025</t>
  </si>
  <si>
    <t>103844750</t>
  </si>
  <si>
    <t>101917600</t>
  </si>
  <si>
    <t xml:space="preserve">The client will visit UAE in 2 years and would want to collect it
</t>
  </si>
  <si>
    <t>30/1/2025</t>
  </si>
  <si>
    <t>103842376</t>
  </si>
  <si>
    <t>91001874</t>
  </si>
  <si>
    <t xml:space="preserve">Ahmad Al Sadhan (KSA)
</t>
  </si>
  <si>
    <t>101584631</t>
  </si>
  <si>
    <t xml:space="preserve">Mr. Ravi Borkar interested in the 222 gold and steel. by March.
</t>
  </si>
  <si>
    <t>29/1/2025</t>
  </si>
  <si>
    <t>4300V/220G-B946</t>
  </si>
  <si>
    <t>103845937</t>
  </si>
  <si>
    <t xml:space="preserve">the client is interested Overseas perpetual calendar
</t>
  </si>
  <si>
    <t>103848588</t>
  </si>
  <si>
    <t xml:space="preserve">The client is very intrested in blue and black dual time , aslo he his availability for appointments at the Dubai Mall boutique on the evening of **February 9**, the m**orning of February 11,** **and February 13**, if the watch is available to purchase
</t>
  </si>
  <si>
    <t xml:space="preserve">the client mentions his availability for appointments at the Dubai Mall boutique on the evening of February 9, the morning of February 11, and February 13, if the watch is available.
</t>
  </si>
  <si>
    <t>28/1/2025</t>
  </si>
  <si>
    <t>103830768</t>
  </si>
  <si>
    <t>103415632</t>
  </si>
  <si>
    <t>103832238</t>
  </si>
  <si>
    <t>103647896</t>
  </si>
  <si>
    <t>103671258</t>
  </si>
  <si>
    <t>27/1/2025</t>
  </si>
  <si>
    <t>102442135</t>
  </si>
  <si>
    <t>103670555</t>
  </si>
  <si>
    <t>103834361</t>
  </si>
  <si>
    <t>25/1/2025</t>
  </si>
  <si>
    <t>103648743</t>
  </si>
  <si>
    <t>103775089</t>
  </si>
  <si>
    <t>103756750</t>
  </si>
  <si>
    <t xml:space="preserve">Mr. Abdullah Alomari (ksa)
</t>
  </si>
  <si>
    <t>103784220</t>
  </si>
  <si>
    <t xml:space="preserve">Mr. Fawaz Aljaseer (ksa)
</t>
  </si>
  <si>
    <t>24/1/2025</t>
  </si>
  <si>
    <t>103744983</t>
  </si>
  <si>
    <t>22/1/2025</t>
  </si>
  <si>
    <t>103633388</t>
  </si>
  <si>
    <t>103721541</t>
  </si>
  <si>
    <t xml:space="preserve">Sheikh Sultan Althani (KSA)
</t>
  </si>
  <si>
    <t>103729472</t>
  </si>
  <si>
    <t xml:space="preserve">The client was referred by my client and he's interested in the Gold 222
</t>
  </si>
  <si>
    <t>103719727</t>
  </si>
  <si>
    <t xml:space="preserve">Mr. Abdulrhman Bajaber (KSA)
</t>
  </si>
  <si>
    <t>21/1/2025</t>
  </si>
  <si>
    <t>92406537</t>
  </si>
  <si>
    <t>103531883</t>
  </si>
  <si>
    <t xml:space="preserve">the client is intrested in this timepeice and aiming as well for the 222
</t>
  </si>
  <si>
    <t>100511411</t>
  </si>
  <si>
    <t>92399706</t>
  </si>
  <si>
    <t xml:space="preserve">Mr Ragheb Alshakhshir
</t>
  </si>
  <si>
    <t>103714062</t>
  </si>
  <si>
    <t xml:space="preserve">Mr. Mohammed Bafail (Ksa)
</t>
  </si>
  <si>
    <t>20/1/2025</t>
  </si>
  <si>
    <t>92408008</t>
  </si>
  <si>
    <t>103713756</t>
  </si>
  <si>
    <t>103742903</t>
  </si>
  <si>
    <t xml:space="preserve">Very interested client 
</t>
  </si>
  <si>
    <t>18/1/2025</t>
  </si>
  <si>
    <t>103671342</t>
  </si>
  <si>
    <t>103661537</t>
  </si>
  <si>
    <t xml:space="preserve">Rakan Alrashed (ksa)
</t>
  </si>
  <si>
    <t>103675481</t>
  </si>
  <si>
    <t xml:space="preserve">Leo Dogan
</t>
  </si>
  <si>
    <t>100330605</t>
  </si>
  <si>
    <t>92428108</t>
  </si>
  <si>
    <t>92403555</t>
  </si>
  <si>
    <t>103671613</t>
  </si>
  <si>
    <t>92406996</t>
  </si>
  <si>
    <t>103673291</t>
  </si>
  <si>
    <t>103645978</t>
  </si>
  <si>
    <t>17/1/2025</t>
  </si>
  <si>
    <t>103633978</t>
  </si>
  <si>
    <t>92398060</t>
  </si>
  <si>
    <t>93597721</t>
  </si>
  <si>
    <t>103656438</t>
  </si>
  <si>
    <t>103642399</t>
  </si>
  <si>
    <t xml:space="preserve">Kayed Hamad
</t>
  </si>
  <si>
    <t>103646927</t>
  </si>
  <si>
    <t xml:space="preserve">Mr. Joshua Armstrong
</t>
  </si>
  <si>
    <t>103642513</t>
  </si>
  <si>
    <t xml:space="preserve">Muhannad Al Shami
</t>
  </si>
  <si>
    <t>91001822</t>
  </si>
  <si>
    <t xml:space="preserve">Abdullatif alharthi
</t>
  </si>
  <si>
    <t>92399337</t>
  </si>
  <si>
    <t xml:space="preserve">Mr. Venu Madhav
</t>
  </si>
  <si>
    <t>103657666</t>
  </si>
  <si>
    <t xml:space="preserve">Mr. Tim Renat
</t>
  </si>
  <si>
    <t>103660737</t>
  </si>
  <si>
    <t>103648068</t>
  </si>
  <si>
    <t>103631693</t>
  </si>
  <si>
    <t>103616253</t>
  </si>
  <si>
    <t>92404856</t>
  </si>
  <si>
    <t>100481133</t>
  </si>
  <si>
    <t>VIC</t>
  </si>
  <si>
    <t>16/1/2025</t>
  </si>
  <si>
    <t>103632517</t>
  </si>
  <si>
    <t>100432455</t>
  </si>
  <si>
    <t xml:space="preserve">Mr. Siddhant Sabbarwal (uae located in India)
</t>
  </si>
  <si>
    <t>103634169</t>
  </si>
  <si>
    <t>103634472</t>
  </si>
  <si>
    <t>103634611</t>
  </si>
  <si>
    <t>103632652</t>
  </si>
  <si>
    <t>103642113</t>
  </si>
  <si>
    <t xml:space="preserve">the client is very interested 
</t>
  </si>
  <si>
    <t>98199321</t>
  </si>
  <si>
    <t>VVIC</t>
  </si>
  <si>
    <t xml:space="preserve">the client already purchased the b128 
</t>
  </si>
  <si>
    <t>92397711</t>
  </si>
  <si>
    <t>103645755</t>
  </si>
  <si>
    <t>92410153</t>
  </si>
  <si>
    <t>92406326</t>
  </si>
  <si>
    <t>100217721</t>
  </si>
  <si>
    <t>103646324</t>
  </si>
  <si>
    <t>103646387</t>
  </si>
  <si>
    <t>101009517</t>
  </si>
  <si>
    <t>101623615</t>
  </si>
  <si>
    <t>101346110</t>
  </si>
  <si>
    <t>102180966</t>
  </si>
  <si>
    <t>103656728</t>
  </si>
  <si>
    <t>92403591</t>
  </si>
  <si>
    <t>92400865</t>
  </si>
  <si>
    <t>15/1/2025</t>
  </si>
  <si>
    <t>103617461</t>
  </si>
  <si>
    <t>103630373</t>
  </si>
  <si>
    <t xml:space="preserve">Only calls (Mr. Eujin Lajuenko)
</t>
  </si>
  <si>
    <t>103620891</t>
  </si>
  <si>
    <t xml:space="preserve">Owner of OVS and fifty six blue dial
</t>
  </si>
  <si>
    <t>103622461</t>
  </si>
  <si>
    <t xml:space="preserve">Mr. Shadi Hassan
</t>
  </si>
  <si>
    <t>103616594</t>
  </si>
  <si>
    <t xml:space="preserve">the client is intrested in the Timepeice 
</t>
  </si>
  <si>
    <t>103610315</t>
  </si>
  <si>
    <t xml:space="preserve">The client is interested in the 222
</t>
  </si>
  <si>
    <t>92400627</t>
  </si>
  <si>
    <t xml:space="preserve">Requested UAE market
</t>
  </si>
  <si>
    <t>103630617</t>
  </si>
  <si>
    <t>92407337</t>
  </si>
  <si>
    <t>92422856</t>
  </si>
  <si>
    <t>93832355</t>
  </si>
  <si>
    <t>103632699</t>
  </si>
  <si>
    <t>103631041</t>
  </si>
  <si>
    <t xml:space="preserve">Mr. Mohammed Alhashimi (KSA)
</t>
  </si>
  <si>
    <t>4520V/210A-B126</t>
  </si>
  <si>
    <t>103633773</t>
  </si>
  <si>
    <t>92398362</t>
  </si>
  <si>
    <t>103616758</t>
  </si>
  <si>
    <t>98742444</t>
  </si>
  <si>
    <t>103629013</t>
  </si>
  <si>
    <t xml:space="preserve">ksa : Yousef Alibrahim
</t>
  </si>
  <si>
    <t>92408025</t>
  </si>
  <si>
    <t>103616558</t>
  </si>
  <si>
    <t>92397362</t>
  </si>
  <si>
    <t>103591723</t>
  </si>
  <si>
    <t>92401316</t>
  </si>
  <si>
    <t>103617256</t>
  </si>
  <si>
    <t>103616653</t>
  </si>
  <si>
    <t>103620663</t>
  </si>
  <si>
    <t>103621182</t>
  </si>
  <si>
    <t>103620632</t>
  </si>
  <si>
    <t>92397707</t>
  </si>
  <si>
    <t>14/1/2025</t>
  </si>
  <si>
    <t>103615698</t>
  </si>
  <si>
    <t xml:space="preserve">The client is a watch collector
</t>
  </si>
  <si>
    <t>90999799</t>
  </si>
  <si>
    <t xml:space="preserve">Mr. Faihan Al Raqas ( 966598444066)
</t>
  </si>
  <si>
    <t>103437674</t>
  </si>
  <si>
    <t xml:space="preserve">The client is already interested in the 222 and willing to pay in advance 
</t>
  </si>
  <si>
    <t xml:space="preserve">the client is very intrested 
</t>
  </si>
  <si>
    <t>101466987</t>
  </si>
  <si>
    <t>103615908</t>
  </si>
  <si>
    <t xml:space="preserve">Mr. Eddy Hourani
</t>
  </si>
  <si>
    <t>103617827</t>
  </si>
  <si>
    <t>103616136</t>
  </si>
  <si>
    <t xml:space="preserve">Mr. Basil Bostami (Client for ksa)
</t>
  </si>
  <si>
    <t>103616580</t>
  </si>
  <si>
    <t xml:space="preserve">Mr. Amir Farag
</t>
  </si>
  <si>
    <t>103615205</t>
  </si>
  <si>
    <t xml:space="preserve">A gift for his father 
</t>
  </si>
  <si>
    <t>92409190</t>
  </si>
  <si>
    <t>103616562</t>
  </si>
  <si>
    <t>103616432</t>
  </si>
  <si>
    <t>103620924</t>
  </si>
  <si>
    <t>92404476</t>
  </si>
  <si>
    <t xml:space="preserve">Cllient is very interested 
</t>
  </si>
  <si>
    <t>92406536</t>
  </si>
  <si>
    <t>103620484</t>
  </si>
  <si>
    <t>103631902</t>
  </si>
  <si>
    <t>93912121</t>
  </si>
  <si>
    <t>103634777</t>
  </si>
  <si>
    <t>11/1/2025</t>
  </si>
  <si>
    <t>103576190</t>
  </si>
  <si>
    <t xml:space="preserve">The client showed interest in the Dual Time and he will be visiting Geneva from 5 of Feb until the 7th Feb 2025 
</t>
  </si>
  <si>
    <t>10/1/2025</t>
  </si>
  <si>
    <t xml:space="preserve">The client stated that he will go and try it 
</t>
  </si>
  <si>
    <t>2/1/2025</t>
  </si>
  <si>
    <t>5520V/210A-B481</t>
  </si>
  <si>
    <t>103437947</t>
  </si>
  <si>
    <t xml:space="preserve">Mr. Taylan Sayin
</t>
  </si>
  <si>
    <t xml:space="preserve">as per the client expressing interest in two models:
- **Overseas Dual Time (Steel)**
- **1921 (40mm and 36mm)**
Mr. Khan described his existing collection, which includes:
- **Omega**
- **Panerai**
- **Vintage Raymond Weil**
</t>
  </si>
  <si>
    <t>1/1/2025</t>
  </si>
  <si>
    <t>103671316</t>
  </si>
  <si>
    <t xml:space="preserve">The client is interested in the timepeice but still thinking of his budget 
</t>
  </si>
  <si>
    <t xml:space="preserve">Watch collector: 3 Rolexes, 2 JLC, 1 AP (Royal Oak Offshore Diver), 1 IWC, 1 Chopard, 1 Ulysse Nardin, 2 Nomos. 
</t>
  </si>
  <si>
    <t>27/12/2024</t>
  </si>
  <si>
    <t xml:space="preserve">Fida Hussain junjua
</t>
  </si>
  <si>
    <t>26/12/2024</t>
  </si>
  <si>
    <t>103100862</t>
  </si>
  <si>
    <t>Postponed</t>
  </si>
  <si>
    <t>99502446</t>
  </si>
  <si>
    <t xml:space="preserve">The client added his interest in Lebanon two years ago but no one contacted him. He is interested in this timepiece and can come to UAE
</t>
  </si>
  <si>
    <t>25/12/2024</t>
  </si>
  <si>
    <t>102505094</t>
  </si>
  <si>
    <t xml:space="preserve">The client wants to purchase the Overseas chronograph 5520V/210A-B148
and has another request for the black one. He wants to try the blue one now and complete the payment
</t>
  </si>
  <si>
    <t>21/12/2024</t>
  </si>
  <si>
    <t>102928395</t>
  </si>
  <si>
    <t xml:space="preserve">The client is watch collecter 
</t>
  </si>
  <si>
    <t>103124476</t>
  </si>
  <si>
    <t>20/12/2024</t>
  </si>
  <si>
    <t>102945078</t>
  </si>
  <si>
    <t>19/12/2024</t>
  </si>
  <si>
    <t xml:space="preserve">The client would like to be listed for the chronograph
</t>
  </si>
  <si>
    <t xml:space="preserve">The client is a collecter with big interest  on the overseas collection 
</t>
  </si>
  <si>
    <t>102965997</t>
  </si>
  <si>
    <t>18/12/2024</t>
  </si>
  <si>
    <t>103081456</t>
  </si>
  <si>
    <t xml:space="preserve">The client got promoted recently and would like to get this timepiece.
</t>
  </si>
  <si>
    <t xml:space="preserve">To gift it to his father as a replacement of the 222 steel that he has.
</t>
  </si>
  <si>
    <t>17/12/2024</t>
  </si>
  <si>
    <t>103057654</t>
  </si>
  <si>
    <t>103058741</t>
  </si>
  <si>
    <t xml:space="preserve">The client is of exceptional stature, with deep-rooted connections to family-operated holding companies and a distinguished legacy in multi-generational wealth management, reflecting both influence and enduring financial sophistication. 
</t>
  </si>
  <si>
    <t>14/12/2024</t>
  </si>
  <si>
    <t xml:space="preserve">The client would like to buy this timepiece a gift for his brother - His birthday is on August 11
</t>
  </si>
  <si>
    <t>102991728</t>
  </si>
  <si>
    <t xml:space="preserve">The client is a watch collcter, appreciative of the brand history and heritage and considers having this timepiece will make him a successful watch collector.
</t>
  </si>
  <si>
    <t>13/12/2024</t>
  </si>
  <si>
    <t>102951000</t>
  </si>
  <si>
    <t xml:space="preserve">The client is interested in getting the Overseas for special occasion and will also purchase the fiftysix 4600E/110A-B487 for day to day use.
</t>
  </si>
  <si>
    <t>10/12/2024</t>
  </si>
  <si>
    <t>102904196</t>
  </si>
  <si>
    <t>102905570</t>
  </si>
  <si>
    <t>5/12/2024</t>
  </si>
  <si>
    <t>102735123</t>
  </si>
  <si>
    <t xml:space="preserve">Mr. Chirag Arora : also interested in the historiques 222
</t>
  </si>
  <si>
    <t xml:space="preserve">Mr. Chirag Arora : is also interested in the overeseas gold selfwinding green dial.
</t>
  </si>
  <si>
    <t>4/12/2024</t>
  </si>
  <si>
    <t>102637104</t>
  </si>
  <si>
    <t xml:space="preserve">The client is based in India , and willing to come to the UAE for 128 
</t>
  </si>
  <si>
    <t>28/11/2024</t>
  </si>
  <si>
    <t>102618733</t>
  </si>
  <si>
    <t xml:space="preserve">Mr. Asim Alowais
</t>
  </si>
  <si>
    <t>27/11/2024</t>
  </si>
  <si>
    <t>102600071</t>
  </si>
  <si>
    <t xml:space="preserve">Mr. Anthony Delpiano contacted us via email
</t>
  </si>
  <si>
    <t>26/11/2024</t>
  </si>
  <si>
    <t>102549877</t>
  </si>
  <si>
    <t xml:space="preserve">Mr Abdelhadi Mohamed interested in the Overseas Blue dial but he is also open for alternatives.
</t>
  </si>
  <si>
    <t>23/11/2024</t>
  </si>
  <si>
    <t>92404764</t>
  </si>
  <si>
    <t xml:space="preserve">Client was initially interested in the 222 but now he would like to register for the Overseasmoon phase retrograde date: for his son birthday on 28 Nov.
</t>
  </si>
  <si>
    <t>21/11/2024</t>
  </si>
  <si>
    <t xml:space="preserve">Added to the waiting list for the OVS retrograde moonphase
</t>
  </si>
  <si>
    <t>20/11/2024</t>
  </si>
  <si>
    <t>102502922</t>
  </si>
  <si>
    <t xml:space="preserve">the client would like to purchases the Overseasquartz
1225V/200A-B590 33 mm Steel 
</t>
  </si>
  <si>
    <t>101472623</t>
  </si>
  <si>
    <t xml:space="preserve">**Overseas Dual Time**: Mr. Nassef has expressed a preference for this model due to its suitability to his wrist size (41 mm).
</t>
  </si>
  <si>
    <t>102494314</t>
  </si>
  <si>
    <t xml:space="preserve">The client is an owner of a fiftysix - from korea- he is already added to the korean waitlist - but he shifted to UAE and would like to be added as well
</t>
  </si>
  <si>
    <t xml:space="preserve">The client wants to own his first VC and add it to his collection which inclouds , Rolexes, AP’s and Pateks’
</t>
  </si>
  <si>
    <t>16/11/2024</t>
  </si>
  <si>
    <t>15/11/2024</t>
  </si>
  <si>
    <t>4600V/200A-B980</t>
  </si>
  <si>
    <t>102424724</t>
  </si>
  <si>
    <t xml:space="preserve">The client would like to purchase the oversease for his wife as  Christmas gift
</t>
  </si>
  <si>
    <t>14/11/2024</t>
  </si>
  <si>
    <t>98700258</t>
  </si>
  <si>
    <t xml:space="preserve">The client would like to purchases the overseas blue simple 
</t>
  </si>
  <si>
    <t>6000V/110A-B544</t>
  </si>
  <si>
    <t xml:space="preserve">The client would like to purchase the overseas and stated that , he considers him self a Vacheron Constantin ambassador 
</t>
  </si>
  <si>
    <t>13/11/2024</t>
  </si>
  <si>
    <t>102395824</t>
  </si>
  <si>
    <t xml:space="preserve">The customer appreciates the simplicity and elegance of the model, as well as the collapsible strap, which aligns with his lifestyle.
The customer has tried on the model in-store and confirmed his intent to purchase it as soon as it becomes available.
</t>
  </si>
  <si>
    <t>12/11/2024</t>
  </si>
  <si>
    <t>102381381</t>
  </si>
  <si>
    <t xml:space="preserve">The client already bought the OVS chronograph - pink gold and blue dial and would like to add this timepiece to his collection
</t>
  </si>
  <si>
    <t>9/11/2024</t>
  </si>
  <si>
    <t>92403624</t>
  </si>
  <si>
    <t>7/11/2024</t>
  </si>
  <si>
    <t>101641502</t>
  </si>
  <si>
    <t>6/11/2024</t>
  </si>
  <si>
    <t>101987055</t>
  </si>
  <si>
    <t>5/11/2024</t>
  </si>
  <si>
    <t>98635975</t>
  </si>
  <si>
    <t xml:space="preserve">My client Al Owis recently reached out to express his satisfaction with the service he received previously. He inquired about the dual time and mentioned that he would like to purchase it as a gift for his uncle, His Excellency Abdul Rahman Al Owais.
</t>
  </si>
  <si>
    <t>92401119</t>
  </si>
  <si>
    <t xml:space="preserve">Client was registred by Yangli for the blue dial and 2 ladies watches 
</t>
  </si>
  <si>
    <t>102281183</t>
  </si>
  <si>
    <t xml:space="preserve">Client is open for other options invited his to the boutique.
</t>
  </si>
  <si>
    <t>98711501</t>
  </si>
  <si>
    <t xml:space="preserve">The client is Al Firdan family memebers   interested in the black and blue dual time 
</t>
  </si>
  <si>
    <t>2/11/2024</t>
  </si>
  <si>
    <t>102232596</t>
  </si>
  <si>
    <t xml:space="preserve">VVIP Client - Mr. Abdulaziz  is very interested in the timepeice 
</t>
  </si>
  <si>
    <t>102220776</t>
  </si>
  <si>
    <t xml:space="preserve">The client is intrested in the OVERSEAS DUAL TIME \n 
</t>
  </si>
  <si>
    <t>31/10/2024</t>
  </si>
  <si>
    <t>102176002</t>
  </si>
  <si>
    <t xml:space="preserve">The client is very interested in the overseas blue bay tower.
</t>
  </si>
  <si>
    <t>30/10/2024</t>
  </si>
  <si>
    <t>102193096</t>
  </si>
  <si>
    <t>6000V/210T-H032</t>
  </si>
  <si>
    <t>102113813</t>
  </si>
  <si>
    <t xml:space="preserve">the client would like to purchases 
overseas tourbillon
</t>
  </si>
  <si>
    <t>26/10/2024</t>
  </si>
  <si>
    <t>0</t>
  </si>
  <si>
    <t xml:space="preserve">The clinet is a high profile., unfortunately SF didnt create id yet. the client will be going to KSA on Monday morning 
</t>
  </si>
  <si>
    <t>25/10/2024</t>
  </si>
  <si>
    <t xml:space="preserve">The client is interested in the blue simple day overseas and would like to come to the boutique to try it. 
</t>
  </si>
  <si>
    <t>24/10/2024</t>
  </si>
  <si>
    <t>22/10/2024</t>
  </si>
  <si>
    <t>102076880</t>
  </si>
  <si>
    <t>102078501</t>
  </si>
  <si>
    <t>20/10/2024</t>
  </si>
  <si>
    <t xml:space="preserve">VVIC | The Mr. Ali showed his interest in the  timepeice and would like to meet and would like to purchase the watch 
</t>
  </si>
  <si>
    <t>19/10/2024</t>
  </si>
  <si>
    <t xml:space="preserve">The client is interested in the blue dial the ID still not appearing will update it accordingly 
</t>
  </si>
  <si>
    <t>102015200</t>
  </si>
  <si>
    <t>Pre-order</t>
  </si>
  <si>
    <t>18/10/2024</t>
  </si>
  <si>
    <t>4300V/220R-B064</t>
  </si>
  <si>
    <t>101987118</t>
  </si>
  <si>
    <t>17/10/2024</t>
  </si>
  <si>
    <t>97412230</t>
  </si>
  <si>
    <t xml:space="preserve">Client has limited budget
</t>
  </si>
  <si>
    <t>101319151</t>
  </si>
  <si>
    <t>101923321</t>
  </si>
  <si>
    <t xml:space="preserve">\\
Interested in buying the **Overseas Chronograph** 
5520V/210R-B966  as a birthday gift for her husband in November. She’s comparing the 41mm 7920V/210R-B965 | and 42.5mm models, as she’s concerned about the size difference. 
</t>
  </si>
  <si>
    <t xml:space="preserve">The client will be taken either the dual time or the 
Overseas chronograph
</t>
  </si>
  <si>
    <t>82035/000R-9359</t>
  </si>
  <si>
    <t>101952731</t>
  </si>
  <si>
    <t xml:space="preserve">Waiting for the client confirmation when he will come to UAE
</t>
  </si>
  <si>
    <t>16/10/2024</t>
  </si>
  <si>
    <t>92407429</t>
  </si>
  <si>
    <t xml:space="preserve">The client is open for the Overseas moon phase retrograde date
As per the client hes going in a trip therefore , will love to purchase it from UAE 
</t>
  </si>
  <si>
    <t>15/10/2024</t>
  </si>
  <si>
    <t>101705197</t>
  </si>
  <si>
    <t xml:space="preserve">he is the son of the Minister of Federal Supreme Council Affairs in UAE
</t>
  </si>
  <si>
    <t>101293683</t>
  </si>
  <si>
    <t xml:space="preserve">The client wanted **[Overseas chronograph](https://richemont.lightning.force.com/lightning/r/RICSC_Transaction__c/01t1i000004DZbzAAG/view).** 
</t>
  </si>
  <si>
    <t xml:space="preserve">The client is not open to other references and he only wants this
</t>
  </si>
  <si>
    <t>11/10/2024</t>
  </si>
  <si>
    <t>10/10/2024</t>
  </si>
  <si>
    <t>101876625</t>
  </si>
  <si>
    <t xml:space="preserve">the client is intersted in the overseas 
</t>
  </si>
  <si>
    <t xml:space="preserve">The client lives in Saudi however he can come to Dubai 
</t>
  </si>
  <si>
    <t>92404145</t>
  </si>
  <si>
    <t xml:space="preserve">The client is residing in Saudi however he can visit UAE
</t>
  </si>
  <si>
    <t>9/10/2024</t>
  </si>
  <si>
    <t>101808480</t>
  </si>
  <si>
    <t xml:space="preserve">the client is intrested in either the self winding or the daul time 
</t>
  </si>
  <si>
    <t xml:space="preserve">another intreset for the client. for the self winding 
</t>
  </si>
  <si>
    <t>8/10/2024</t>
  </si>
  <si>
    <t>101823588</t>
  </si>
  <si>
    <t>5/10/2024</t>
  </si>
  <si>
    <t xml:space="preserve">the client stated that  hes interested in the overseas blue dial (dual time or self winding)
</t>
  </si>
  <si>
    <t>2/10/2024</t>
  </si>
  <si>
    <t xml:space="preserve">- No gold, prefers stainless steel.
- Moon phase complication holds personal significance.
- Interested in watches that symbolize achievement and uniqueness.
- Likes the blue dial for its versatility under different light conditions.
</t>
  </si>
  <si>
    <t>28/9/2024</t>
  </si>
  <si>
    <t>101624260</t>
  </si>
  <si>
    <t xml:space="preserve">Client will be visiting Dubai in November and December
</t>
  </si>
  <si>
    <t>26/9/2024</t>
  </si>
  <si>
    <t>101705220</t>
  </si>
  <si>
    <t>101705253</t>
  </si>
  <si>
    <t>24/9/2024</t>
  </si>
  <si>
    <t>101680942</t>
  </si>
  <si>
    <t xml:space="preserve">The client is willing to pay via a payment link for the Overseas Quartz | X12AC590. This purchase is intended as a marriage gift for his wife, which he plans to present to her during their wedding in December.
</t>
  </si>
  <si>
    <t>101467478</t>
  </si>
  <si>
    <t xml:space="preserve">The client would like to proceed with the Overseas. He mentioned that either he or a family member will be coming to the UAE, and he will confirm the details.
</t>
  </si>
  <si>
    <t>21/9/2024</t>
  </si>
  <si>
    <t xml:space="preserve">The client wanted to celebrate his promotion by gifting himself this timepiece
</t>
  </si>
  <si>
    <t>20/9/2024</t>
  </si>
  <si>
    <t>19/9/2024</t>
  </si>
  <si>
    <t>101584188</t>
  </si>
  <si>
    <t xml:space="preserve">he is looking to buy the timepiece for the celebration for his 10 year anniversary 
</t>
  </si>
  <si>
    <t>101615228</t>
  </si>
  <si>
    <t>18/9/2024</t>
  </si>
  <si>
    <t>101498463</t>
  </si>
  <si>
    <t>17/9/2024</t>
  </si>
  <si>
    <t>101522662</t>
  </si>
  <si>
    <t xml:space="preserve">The client showed interest  in the oversease blue dial , 
</t>
  </si>
  <si>
    <t>13/9/2024</t>
  </si>
  <si>
    <t>101467474</t>
  </si>
  <si>
    <t xml:space="preserve">The client is the **President &amp; Group Chief Executive Officer at Pakistan Telecommunication Co.** **Ltd.** **and Pakistan Telecommunications Mobile Ltd**. He is interested in this timepiece.
</t>
  </si>
  <si>
    <t>12/9/2024</t>
  </si>
  <si>
    <t>92400340</t>
  </si>
  <si>
    <t>10/9/2024</t>
  </si>
  <si>
    <t xml:space="preserve">She is interested in gifting this timepiece to her husband, for their anniversary celebration.
</t>
  </si>
  <si>
    <t>100995935</t>
  </si>
  <si>
    <t xml:space="preserve">The client purchased the  Fiftysix self-winding and  now planing for the oversease blue dail 
</t>
  </si>
  <si>
    <t xml:space="preserve">The client is interested in purchasing the Overseas Blue Dial.
</t>
  </si>
  <si>
    <t>101424152</t>
  </si>
  <si>
    <t>101413931</t>
  </si>
  <si>
    <t xml:space="preserve">The client is intrested in the overseas 
</t>
  </si>
  <si>
    <t>4600E/110A-B487</t>
  </si>
  <si>
    <t xml:space="preserve">the client is interested in both the oversease and fiftysix 
</t>
  </si>
  <si>
    <t xml:space="preserve">the client would like to purchase both fiftysix and oversease black dial 
</t>
  </si>
  <si>
    <t xml:space="preserve">the client would like to purchase the oversease black dial 
</t>
  </si>
  <si>
    <t xml:space="preserve">The client shows intreset in the oversease self winding 
</t>
  </si>
  <si>
    <t>101467913</t>
  </si>
  <si>
    <t xml:space="preserve">The client is interested in the fiftysix  black dial 
</t>
  </si>
  <si>
    <t>7/9/2024</t>
  </si>
  <si>
    <t>101428000</t>
  </si>
  <si>
    <t>5/9/2024</t>
  </si>
  <si>
    <t>101369992</t>
  </si>
  <si>
    <t xml:space="preserve">The client is intrested in the fiftysix self winding gray
</t>
  </si>
  <si>
    <t>4/9/2024</t>
  </si>
  <si>
    <t>101314200</t>
  </si>
  <si>
    <t xml:space="preserve">The client is interested in the black dial Overseas and has an appointment at Suite 1755.
</t>
  </si>
  <si>
    <t xml:space="preserve">The client wanted to Purchase  either the oversease 4520V/210A-B483 or the fifitysix , with Mohammed support she made a full payment  4600E/000R-H101
</t>
  </si>
  <si>
    <t>101009393</t>
  </si>
  <si>
    <t>3/9/2024</t>
  </si>
  <si>
    <t>101364406</t>
  </si>
  <si>
    <t>30/8/2024</t>
  </si>
  <si>
    <t xml:space="preserve">The client would like to purchase Overseas self-winding black Dial
</t>
  </si>
  <si>
    <t>29/8/2024</t>
  </si>
  <si>
    <t>101302751</t>
  </si>
  <si>
    <t>28/8/2024</t>
  </si>
  <si>
    <t>101283226</t>
  </si>
  <si>
    <t xml:space="preserve">Client is open to the other collections.
</t>
  </si>
  <si>
    <t>23/8/2024</t>
  </si>
  <si>
    <t>101220865</t>
  </si>
  <si>
    <t xml:space="preserve">The client is very interested in the OVERSEAS STEEL 
</t>
  </si>
  <si>
    <t>22/8/2024</t>
  </si>
  <si>
    <t>101145972</t>
  </si>
  <si>
    <t xml:space="preserve">The client is very interested in the overseas self winding and will love to purchase it upon availability 
</t>
  </si>
  <si>
    <t>21/8/2024</t>
  </si>
  <si>
    <t>101196299</t>
  </si>
  <si>
    <t>15/8/2024</t>
  </si>
  <si>
    <t>101110183</t>
  </si>
  <si>
    <t xml:space="preserve">The client expressed a strong interest in the Overseas chronograph and insisted on being added to the list
</t>
  </si>
  <si>
    <t>14/8/2024</t>
  </si>
  <si>
    <t>101104408</t>
  </si>
  <si>
    <t xml:space="preserve">The client is interested in both the  Overseas chronographand the  Historiques American 1921
</t>
  </si>
  <si>
    <t>101104467</t>
  </si>
  <si>
    <t xml:space="preserve">The client mentioned that he has AP-Royal Oak and Rolex timepieces and he really fond of our timepieces and would like to acquire one.
</t>
  </si>
  <si>
    <t>10/8/2024</t>
  </si>
  <si>
    <t xml:space="preserve">The client would like to acquire this timepiece as a gift for his father’s 58th birthday
</t>
  </si>
  <si>
    <t>8/8/2024</t>
  </si>
  <si>
    <t xml:space="preserve">The client is willing to come to UAE if opportunity arises so he can gift himself a Vacheron Constantin timepiece since he turned 50 this year
</t>
  </si>
  <si>
    <t>101032092</t>
  </si>
  <si>
    <t>100436027</t>
  </si>
  <si>
    <t xml:space="preserve">The client was told to come to pay a deposit. He stated hes willing to do that and dont mind that 
</t>
  </si>
  <si>
    <t>7920V/000R-B336</t>
  </si>
  <si>
    <t>101036635</t>
  </si>
  <si>
    <t xml:space="preserve">The client stated that hes will to come to the boutique to pay the full amount 
</t>
  </si>
  <si>
    <t>7/8/2024</t>
  </si>
  <si>
    <t>101011549</t>
  </si>
  <si>
    <t xml:space="preserve">The client is looking for a gift for his father and willing to come to UAE for purchase
</t>
  </si>
  <si>
    <t xml:space="preserve">The client is looking for a gift for his father’s birthday and willing to come to UAE
</t>
  </si>
  <si>
    <t>6/8/2024</t>
  </si>
  <si>
    <t xml:space="preserve">The client is willing to come to the UAE to get the timepiece. 
</t>
  </si>
  <si>
    <t xml:space="preserve">The client is willing to come to India to get the timepiece
</t>
  </si>
  <si>
    <t>100962157</t>
  </si>
  <si>
    <t xml:space="preserve">The client is willing to travel to UAE to get this timepiece
</t>
  </si>
  <si>
    <t>4300V/220R-B509</t>
  </si>
  <si>
    <t xml:space="preserve">The client is willing to come to India to purchase the timepiece
</t>
  </si>
  <si>
    <t>24/7/2024</t>
  </si>
  <si>
    <t>100830227</t>
  </si>
  <si>
    <t xml:space="preserve">The client is interested in the fiftysix 600E/000A-B442 as well  Overseas chronograph X55AC481
</t>
  </si>
  <si>
    <t>100833648</t>
  </si>
  <si>
    <t xml:space="preserve">The client stated that once we confirm the availability of the watch he will be traveling to UAE to purchase 
</t>
  </si>
  <si>
    <t>23/7/2024</t>
  </si>
  <si>
    <t>100793790</t>
  </si>
  <si>
    <t xml:space="preserve">The client is interested in the oversease self winding  living in Dubai 
</t>
  </si>
  <si>
    <t>100788006</t>
  </si>
  <si>
    <t xml:space="preserve">The client ins interested in 2 timepeices ( 6000V/110A-B544 \ 4520V/210A-B128)
</t>
  </si>
  <si>
    <t>20/7/2024</t>
  </si>
  <si>
    <t>100788004</t>
  </si>
  <si>
    <t xml:space="preserve">The client would like to purchase one of the 2 overseas , either [Overseas tourbillon](https://richemont.lightning.force.com/lightning/r/01t1i000003IYweAAG/view) or the Overseas self-winding 
</t>
  </si>
  <si>
    <t>17/7/2024</t>
  </si>
  <si>
    <t>100737696</t>
  </si>
  <si>
    <t xml:space="preserve">the client is interested in purchasing the **[Overseas self-winding ](https://richemont.lightning.force.com/lightning/r/01t1i000004DWYiAAO/view)**
</t>
  </si>
  <si>
    <t>16/7/2024</t>
  </si>
  <si>
    <t>100599306</t>
  </si>
  <si>
    <t xml:space="preserve">The client wish to be added to the waiting list 
</t>
  </si>
  <si>
    <t>5100T/000P-H041</t>
  </si>
  <si>
    <t>100736346</t>
  </si>
  <si>
    <t xml:space="preserve">The client is interested in Traditionnelle tourbillon chronograph, 
</t>
  </si>
  <si>
    <t>13/7/2024</t>
  </si>
  <si>
    <t>100668746</t>
  </si>
  <si>
    <t xml:space="preserve">The client is interested in the  Overseas dual time “ very interested 
</t>
  </si>
  <si>
    <t>10/7/2024</t>
  </si>
  <si>
    <t>100634537</t>
  </si>
  <si>
    <t xml:space="preserve">Mr. Ahmad, who has previously expressed his interest in the Overseas Dual Time, has been in communication with Yasser. We have committed to contacting Mr. Ahmad once the timepiece becomes available.
</t>
  </si>
  <si>
    <t>5/7/2024</t>
  </si>
  <si>
    <t>100582839</t>
  </si>
  <si>
    <t>4/7/2024</t>
  </si>
  <si>
    <t>100537423</t>
  </si>
  <si>
    <t xml:space="preserve">Client for Maaz
</t>
  </si>
  <si>
    <t>28/6/2024</t>
  </si>
  <si>
    <t>100480073</t>
  </si>
  <si>
    <t xml:space="preserve">Client lives in Cyprus and has an office in UAE
</t>
  </si>
  <si>
    <t>100482907</t>
  </si>
  <si>
    <t>25/6/2024</t>
  </si>
  <si>
    <t xml:space="preserve">Client would like to build a relation with the btq to purchase a piece in the occasion of celebrating the opening of a new branch of his business.
</t>
  </si>
  <si>
    <t>22/6/2024</t>
  </si>
  <si>
    <t>4300V/220R-B547</t>
  </si>
  <si>
    <t>100394867</t>
  </si>
  <si>
    <t xml:space="preserve">Client is interested in this model and also the Overseas tourbillon Skeleton.
</t>
  </si>
  <si>
    <t>20/6/2024</t>
  </si>
  <si>
    <t>100279807</t>
  </si>
  <si>
    <t xml:space="preserve">Client is in India would like to add his name to the waiting list in Dubai.
</t>
  </si>
  <si>
    <t>100355498</t>
  </si>
  <si>
    <t xml:space="preserve">Client would like to add his name to the waiting list of the Overseas self winding in steel with blue dial
</t>
  </si>
  <si>
    <t>100341519</t>
  </si>
  <si>
    <t xml:space="preserve">The client is interested in the timepiece
</t>
  </si>
  <si>
    <t>19/6/2024</t>
  </si>
  <si>
    <t>100339877</t>
  </si>
  <si>
    <t xml:space="preserve">The client is interested in the Overseas self-winding . ready to pay deposit 
</t>
  </si>
  <si>
    <t>100329803</t>
  </si>
  <si>
    <t xml:space="preserve">The client is interested and would like to proceed Overseas self-winding
</t>
  </si>
  <si>
    <t>18/6/2024</t>
  </si>
  <si>
    <t xml:space="preserve">The client is interested in the timepiece and not open for other options 
</t>
  </si>
  <si>
    <t>15/6/2024</t>
  </si>
  <si>
    <t>100272691</t>
  </si>
  <si>
    <t>14/6/2024</t>
  </si>
  <si>
    <t>100232514</t>
  </si>
  <si>
    <t xml:space="preserve">Client asked to add her name into the waiting list for the historiques 222
</t>
  </si>
  <si>
    <t>13/6/2024</t>
  </si>
  <si>
    <t>100245350</t>
  </si>
  <si>
    <t xml:space="preserve">The client is very interested in this timepiece.
</t>
  </si>
  <si>
    <t>8/6/2024</t>
  </si>
  <si>
    <t>99019997</t>
  </si>
  <si>
    <t xml:space="preserve">The client would like to register to the waiting list 
</t>
  </si>
  <si>
    <t>8/4/2024</t>
  </si>
  <si>
    <t>97223180</t>
  </si>
  <si>
    <t>30/3/2024</t>
  </si>
  <si>
    <t>4000E/000A-B548</t>
  </si>
  <si>
    <t>98828137</t>
  </si>
  <si>
    <t>8/3/2024</t>
  </si>
  <si>
    <t>98340991</t>
  </si>
  <si>
    <t>7/3/2024</t>
  </si>
  <si>
    <t>1/3/2024</t>
  </si>
  <si>
    <t>92410222</t>
  </si>
  <si>
    <t>25/2/2024</t>
  </si>
  <si>
    <t>98213478</t>
  </si>
  <si>
    <t>98213878</t>
  </si>
  <si>
    <t>21/2/2024</t>
  </si>
  <si>
    <t>97560994</t>
  </si>
  <si>
    <t>14/2/2024</t>
  </si>
  <si>
    <t>97863424</t>
  </si>
  <si>
    <t>7/2/2024</t>
  </si>
  <si>
    <t>3110V/000A-B426</t>
  </si>
  <si>
    <t>97739424</t>
  </si>
  <si>
    <t>26/1/2024</t>
  </si>
  <si>
    <t>97341155</t>
  </si>
  <si>
    <t>19/1/2024</t>
  </si>
  <si>
    <t>97266884</t>
  </si>
  <si>
    <t xml:space="preserve">Client’s wedding is in November 2024 and would like to purchase the timepiece and wear it on his day
</t>
  </si>
  <si>
    <t>92401070</t>
  </si>
  <si>
    <t>10/1/2024</t>
  </si>
  <si>
    <t>1205V/100A-B591</t>
  </si>
  <si>
    <t>96731103</t>
  </si>
  <si>
    <t>1/1/2024</t>
  </si>
  <si>
    <t>94291400</t>
  </si>
  <si>
    <t>26/12/2023</t>
  </si>
  <si>
    <t>94195497</t>
  </si>
  <si>
    <t>17/12/2023</t>
  </si>
  <si>
    <t>94028251</t>
  </si>
  <si>
    <t>15/12/2023</t>
  </si>
  <si>
    <t>92398068</t>
  </si>
  <si>
    <t>9/12/2023</t>
  </si>
  <si>
    <t>92402171</t>
  </si>
  <si>
    <t>24/11/2023</t>
  </si>
  <si>
    <t>79989586</t>
  </si>
  <si>
    <t>21/11/2023</t>
  </si>
  <si>
    <t>93573185</t>
  </si>
  <si>
    <t>93573388</t>
  </si>
  <si>
    <t>ALOTAIBI Reem</t>
  </si>
  <si>
    <t>13/11/2023</t>
  </si>
  <si>
    <t>4500V/000R-B127</t>
  </si>
  <si>
    <t>93306019</t>
  </si>
  <si>
    <t>92407789</t>
  </si>
  <si>
    <t>7/11/2023</t>
  </si>
  <si>
    <t>93307928</t>
  </si>
  <si>
    <t>3/11/2023</t>
  </si>
  <si>
    <t>93266623</t>
  </si>
  <si>
    <t xml:space="preserve">Client does not want to subscribe to marketing, he just needs a contact if the piece is available.
</t>
  </si>
  <si>
    <t>1/11/2023</t>
  </si>
  <si>
    <t>93234862</t>
  </si>
  <si>
    <t>29/10/2023</t>
  </si>
  <si>
    <t>1301022</t>
  </si>
  <si>
    <t>22/10/2023</t>
  </si>
  <si>
    <t>1297716</t>
  </si>
  <si>
    <t xml:space="preserve">The client’s main residence is in Saudi Arabia, and he wants to register on the waiting list of UAE
</t>
  </si>
  <si>
    <t>21/10/2023</t>
  </si>
  <si>
    <t>1297177</t>
  </si>
  <si>
    <t>20/10/2023</t>
  </si>
  <si>
    <t>1291072</t>
  </si>
  <si>
    <t>15/10/2023</t>
  </si>
  <si>
    <t>1291327</t>
  </si>
  <si>
    <t>11/10/2023</t>
  </si>
  <si>
    <t>1289465</t>
  </si>
  <si>
    <t>9/10/2023</t>
  </si>
  <si>
    <t>1288389</t>
  </si>
  <si>
    <t>8/10/2023</t>
  </si>
  <si>
    <t>1150674</t>
  </si>
  <si>
    <t>Overseas quartz</t>
  </si>
  <si>
    <t>Overseas moon phase retrograde date</t>
  </si>
  <si>
    <t>Overseas self-winding</t>
  </si>
  <si>
    <t>Overseas chronograph Pink Gold</t>
  </si>
  <si>
    <t>Traditionnelle complete calendar</t>
  </si>
  <si>
    <t>Fiftysix complete calendar</t>
  </si>
  <si>
    <t>Overseas dual time Blue</t>
  </si>
  <si>
    <t>Historiques American 1921 - Arabic</t>
  </si>
  <si>
    <t>Overseas chronograph</t>
  </si>
  <si>
    <t>Overseas self-winding Green</t>
  </si>
  <si>
    <t>Fiftysix self-winding</t>
  </si>
  <si>
    <t>Historiques 222</t>
  </si>
  <si>
    <t>Overseas dual time Green</t>
  </si>
  <si>
    <t xml:space="preserve">Price 2 </t>
  </si>
  <si>
    <t>Avalible?</t>
  </si>
  <si>
    <t> </t>
  </si>
  <si>
    <t>Availability – Paste only as a value below for any watch that is in stock.</t>
  </si>
  <si>
    <t>UAE - Collector AP, RM</t>
  </si>
  <si>
    <t>4017C/000G-130C</t>
  </si>
  <si>
    <t>Erkan Kaya</t>
  </si>
  <si>
    <t>Majid Rahman (intrested in Novelties)</t>
  </si>
  <si>
    <t>KSA 222</t>
  </si>
  <si>
    <t>Ms. Theresa Jaeger : Gift for her husband birthday</t>
  </si>
  <si>
    <t>Mr. Abdulelah Bineid : ksa</t>
  </si>
  <si>
    <t>client showed interest</t>
  </si>
  <si>
    <t>Ahmed El-Badawy</t>
  </si>
  <si>
    <t>dual time ksa</t>
  </si>
  <si>
    <t>222 KSA client - P</t>
  </si>
  <si>
    <t>Mr. Sultan Al Saud ksa</t>
  </si>
  <si>
    <t>0098845999 - 0101108337 client is an owner of OVS dual time. But now he is interested in 222 and requested to be added to the waiting list</t>
  </si>
  <si>
    <t>Mr. Amit Agarwal (india)</t>
  </si>
  <si>
    <t>Mr. Aliwavip Etowati (Egypt)</t>
  </si>
  <si>
    <t>[Obaid Mubarak Al muhairi](mailto:Obaidmuhairi@gmail.com) | a collector</t>
  </si>
  <si>
    <t>Mr. Sameer Rafique</t>
  </si>
  <si>
    <t>Mr. Vincent Kedikilwe</t>
  </si>
  <si>
    <t>Salman Almashari ksa</t>
  </si>
  <si>
    <t>He will visiting the UAE end of April to purchase the Overseas (If available)</t>
  </si>
  <si>
    <t>Ahmed Alhammadi</t>
  </si>
  <si>
    <t>Mr. Mohamed Eljadi</t>
  </si>
  <si>
    <t>Mr. Conrad Lee</t>
  </si>
  <si>
    <t>For his graduation next year :Mr. Lakshya Gupta</t>
  </si>
  <si>
    <t>the client is coming next week. already own the  \n Overseas chronograph  VMX55AV148</t>
  </si>
  <si>
    <t>4200H/222A-B934 222</t>
  </si>
  <si>
    <t>lives between Dubai and Geneva.</t>
  </si>
  <si>
    <t>elrahmanhefny ksa</t>
  </si>
  <si>
    <t>The client wishes to purchase his first Vacheron Constantin timepiece in Dubai, as he has a deep appreciation for the city and wants his first VC watch to hold a special connection to it. He is ready to purchase it right away.</t>
  </si>
  <si>
    <t>b128 no history</t>
  </si>
  <si>
    <t>Sultan Aldhaher (ksa)</t>
  </si>
  <si>
    <t>interested in the 222</t>
  </si>
  <si>
    <t>Dual time green</t>
  </si>
  <si>
    <t>Mr. Fida Hussain</t>
  </si>
  <si>
    <t>Abdullaziz Alshreef : KSA</t>
  </si>
  <si>
    <t>Alhasan Alkindi</t>
  </si>
  <si>
    <t>Andrey Karpov</t>
  </si>
  <si>
    <t>DR Ali Aldhanhani</t>
  </si>
  <si>
    <t>Mr. Peter AROKIANATHAN (ksa)</t>
  </si>
  <si>
    <t>Would like the pick up to be end of Dec first of Jan</t>
  </si>
  <si>
    <t>the client is interested in the dual and Chronograph black dial</t>
  </si>
  <si>
    <t>interested in the 222 and dual time</t>
  </si>
  <si>
    <t>the client intrested in the 222</t>
  </si>
  <si>
    <t>the client is interested</t>
  </si>
  <si>
    <t>The client specializes in auto tuning, automatic watches, and exclusive key fobs. His uncle has a strong interest in Traditionnelle and Overseas collections, particularly the tourbillon editions</t>
  </si>
  <si>
    <t>the client main aim is the 222 and the 128</t>
  </si>
  <si>
    <t>222 Fam</t>
  </si>
  <si>
    <t>Mr. Sultan Al Faisal (ksa)</t>
  </si>
  <si>
    <t>Mr. Tauqeer Dawood</t>
  </si>
  <si>
    <t>222 Blue</t>
  </si>
  <si>
    <t>The client is always between  Riyadh and Dubai and want the 222</t>
  </si>
  <si>
    <t>The client is very interested KW</t>
  </si>
  <si>
    <t>222 gcc</t>
  </si>
  <si>
    <t>Mr. Ronnie Anbouba</t>
  </si>
  <si>
    <t>Mr. Arkan Khedair</t>
  </si>
  <si>
    <t>the client would like to reserve  Overseas chronograph</t>
  </si>
  <si>
    <t>Mr. Humaid Shaikh</t>
  </si>
  <si>
    <t>Mr. Mohamed Alsuwaidi</t>
  </si>
  <si>
    <t>Hussain Mohamed</t>
  </si>
  <si>
    <t>the client is very interested in the Overseas chronograph
and willing to secure it via payment link</t>
  </si>
  <si>
    <t>Roman Heinrichs</t>
  </si>
  <si>
    <t>Arthur Sarkisian</t>
  </si>
  <si>
    <t>Mr. Mostafa Gheita</t>
  </si>
  <si>
    <t>Mr. Omar Alamoodi</t>
  </si>
  <si>
    <t>Mr. Benjamin Ping</t>
  </si>
  <si>
    <t>Ahmad Alsadhan (ksa)</t>
  </si>
  <si>
    <t>Mr. Rayan Mansouri / ksa/ contacted on whatsapp as well.</t>
  </si>
  <si>
    <t>Rayan Mansouri ksa</t>
  </si>
  <si>
    <t>The client interested in the 222 gold and steel as well the Patrimony and Historiques</t>
  </si>
  <si>
    <t>Clinet is intrested in the 222</t>
  </si>
  <si>
    <t>the client want to purchase this timepeice , to gift it to his father</t>
  </si>
  <si>
    <t>The client will visit UAE in 2 years and would want to collect it</t>
  </si>
  <si>
    <t>Ahmad Al Sadhan (KSA)</t>
  </si>
  <si>
    <t>Mr. Ravi Borkar interested in the 222 gold and steel. by March.</t>
  </si>
  <si>
    <t>the client is interested Overseas perpetual calendar</t>
  </si>
  <si>
    <t>The client is very intrested in blue and black dual time , aslo he his availability for appointments at the Dubai Mall boutique on the evening of **February 9**, the m**orning of February 11,** **and February 13**, if the watch is available to purchase</t>
  </si>
  <si>
    <t>the client mentions his availability for appointments at the Dubai Mall boutique on the evening of February 9, the morning of February 11, and February 13, if the watch is available.</t>
  </si>
  <si>
    <t>Mr. Abdullah Alomari (ksa)</t>
  </si>
  <si>
    <t>Mr. Fawaz Aljaseer (ksa)</t>
  </si>
  <si>
    <t>Sheikh Sultan Althani (KSA)</t>
  </si>
  <si>
    <t>The client was referred by my client and he's interested in the Gold 222</t>
  </si>
  <si>
    <t>Mr. Abdulrhman Bajaber (KSA)</t>
  </si>
  <si>
    <t>the client is intrested in this timepeice and aiming as well for the 222</t>
  </si>
  <si>
    <t>Mr Ragheb Alshakhshir</t>
  </si>
  <si>
    <t>Mr. Mohammed Bafail (Ksa)</t>
  </si>
  <si>
    <t>Very interested client</t>
  </si>
  <si>
    <t>Rakan Alrashed (ksa)</t>
  </si>
  <si>
    <t>Leo Dogan</t>
  </si>
  <si>
    <t>Kayed Hamad</t>
  </si>
  <si>
    <t>Mr. Joshua Armstrong</t>
  </si>
  <si>
    <t>Muhannad Al Shami</t>
  </si>
  <si>
    <t>Abdullatif alharthi</t>
  </si>
  <si>
    <t>Mr. Venu Madhav</t>
  </si>
  <si>
    <t>Mr. Tim Renat</t>
  </si>
  <si>
    <t>Mr. Siddhant Sabbarwal (uae located in India)</t>
  </si>
  <si>
    <t>the client is very interested</t>
  </si>
  <si>
    <t>the client already purchased the b128</t>
  </si>
  <si>
    <t>Only calls (Mr. Eujin Lajuenko)</t>
  </si>
  <si>
    <t>Owner of OVS and fifty six blue dial</t>
  </si>
  <si>
    <t>Mr. Shadi Hassan</t>
  </si>
  <si>
    <t>the client is intrested in the Timepeice</t>
  </si>
  <si>
    <t>The client is interested in the 222</t>
  </si>
  <si>
    <t>Requested UAE market</t>
  </si>
  <si>
    <t>Mr. Mohammed Alhashimi (KSA)</t>
  </si>
  <si>
    <t>ksa : Yousef Alibrahim</t>
  </si>
  <si>
    <t>The client is a watch collector</t>
  </si>
  <si>
    <t>Mr. Faihan Al Raqas ( 966598444066)</t>
  </si>
  <si>
    <t>The client is already interested in the 222 and willing to pay in advance</t>
  </si>
  <si>
    <t>the client is very intrested</t>
  </si>
  <si>
    <t>Mr. Eddy Hourani</t>
  </si>
  <si>
    <t>Mr. Basil Bostami (Client for ksa)</t>
  </si>
  <si>
    <t>Mr. Amir Farag</t>
  </si>
  <si>
    <t>A gift for his father</t>
  </si>
  <si>
    <t>Cllient is very interested</t>
  </si>
  <si>
    <t>The client showed interest in the Dual Time and he will be visiting Geneva from 5 of Feb until the 7th Feb 2025</t>
  </si>
  <si>
    <t>The client stated that he will go and try it</t>
  </si>
  <si>
    <t>Mr. Taylan Sayin</t>
  </si>
  <si>
    <t>as per the client expressing interest in two models:
- **Overseas Dual Time (Steel)**
- **1921 (40mm and 36mm)**
Mr. Khan described his existing collection, which includes:
- **Omega**
- **Panerai**
- **Vintage Raymond Weil**</t>
  </si>
  <si>
    <t>The client is interested in the timepeice but still thinking of his budget</t>
  </si>
  <si>
    <t>Fida Hussain junjua</t>
  </si>
  <si>
    <t>The client added his interest in Lebanon two years ago but no one contacted him. He is interested in this timepiece and can come to UAE</t>
  </si>
  <si>
    <t>The client wants to purchase the Overseas chronograph 5520V/210A-B148
and has another request for the black one. He wants to try the blue one now and complete the payment</t>
  </si>
  <si>
    <t>The client is watch collecter</t>
  </si>
  <si>
    <t>The client would like to be listed for the chronograph</t>
  </si>
  <si>
    <t>The client is a collecter with big interest  on the overseas collection</t>
  </si>
  <si>
    <t>The client got promoted recently and would like to get this timepiece.</t>
  </si>
  <si>
    <t>To gift it to his father as a replacement of the 222 steel that he has.</t>
  </si>
  <si>
    <t>The client is of exceptional stature, with deep-rooted connections to family-operated holding companies and a distinguished legacy in multi-generational wealth management, reflecting both influence and enduring financial sophistication.</t>
  </si>
  <si>
    <t>The client would like to buy this timepiece a gift for his brother - His birthday is on August 11</t>
  </si>
  <si>
    <t>The client is a watch collcter, appreciative of the brand history and heritage and considers having this timepiece will make him a successful watch collector.</t>
  </si>
  <si>
    <t>The client is interested in getting the Overseas for special occasion and will also purchase the fiftysix 4600E/110A-B487 for day to day use.</t>
  </si>
  <si>
    <t>Mr. Chirag Arora : also interested in the historiques 222</t>
  </si>
  <si>
    <t>Mr. Chirag Arora : is also interested in the overeseas gold selfwinding green dial.</t>
  </si>
  <si>
    <t>The client is based in India , and willing to come to the UAE for 128</t>
  </si>
  <si>
    <t>Mr. Asim Alowais</t>
  </si>
  <si>
    <t>Mr. Anthony Delpiano contacted us via email</t>
  </si>
  <si>
    <t>Mr Abdelhadi Mohamed interested in the Overseas Blue dial but he is also open for alternatives.</t>
  </si>
  <si>
    <t>Client was initially interested in the 222 but now he would like to register for the Overseasmoon phase retrograde date: for his son birthday on 28 Nov.</t>
  </si>
  <si>
    <t>Added to the waiting list for the OVS retrograde moonphase</t>
  </si>
  <si>
    <t>the client would like to purchases the Overseasquartz
1225V/200A-B590 33 mm Steel</t>
  </si>
  <si>
    <t>**Overseas Dual Time**: Mr. Nassef has expressed a preference for this model due to its suitability to his wrist size (41 mm).</t>
  </si>
  <si>
    <t>The client is an owner of a fiftysix - from korea- he is already added to the korean waitlist - but he shifted to UAE and would like to be added as well</t>
  </si>
  <si>
    <t>The client wants to own his first VC and add it to his collection which inclouds , Rolexes, AP’s and Pateks’</t>
  </si>
  <si>
    <t>The client would like to purchase the oversease for his wife as  Christmas gift</t>
  </si>
  <si>
    <t>The client would like to purchases the overseas blue simple</t>
  </si>
  <si>
    <t>The client would like to purchase the overseas and stated that , he considers him self a Vacheron Constantin ambassador</t>
  </si>
  <si>
    <t>The customer appreciates the simplicity and elegance of the model, as well as the collapsible strap, which aligns with his lifestyle.
The customer has tried on the model in-store and confirmed his intent to purchase it as soon as it becomes available.</t>
  </si>
  <si>
    <t>The client already bought the OVS chronograph - pink gold and blue dial and would like to add this timepiece to his collection</t>
  </si>
  <si>
    <t>My client Al Owis recently reached out to express his satisfaction with the service he received previously. He inquired about the dual time and mentioned that he would like to purchase it as a gift for his uncle, His Excellency Abdul Rahman Al Owais.</t>
  </si>
  <si>
    <t>Client was registred by Yangli for the blue dial and 2 ladies watches</t>
  </si>
  <si>
    <t>Client is open for other options invited his to the boutique.</t>
  </si>
  <si>
    <t>The client is Al Firdan family memebers   interested in the black and blue dual time</t>
  </si>
  <si>
    <t>VVIP Client - Mr. Abdulaziz  is very interested in the timepeice</t>
  </si>
  <si>
    <t>The client is intrested in the OVERSEAS DUAL TIME \n</t>
  </si>
  <si>
    <t>The client is very interested in the overseas blue bay tower.</t>
  </si>
  <si>
    <t>the client would like to purchases
overseas tourbillon</t>
  </si>
  <si>
    <t>The clinet is a high profile., unfortunately SF didnt create id yet. the client will be going to KSA on Monday morning</t>
  </si>
  <si>
    <t>The client is interested in the blue simple day overseas and would like to come to the boutique to try it.</t>
  </si>
  <si>
    <t>VVIC | The Mr. Ali showed his interest in the  timepeice and would like to meet and would like to purchase the watch</t>
  </si>
  <si>
    <t>The client is interested in the blue dial the ID still not appearing will update it accordingly</t>
  </si>
  <si>
    <t>Client has limited budget</t>
  </si>
  <si>
    <t>\\
Interested in buying the **Overseas Chronograph**
5520V/210R-B966  as a birthday gift for her husband in November. She’s comparing the 41mm 7920V/210R-B965 | and 42.5mm models, as she’s concerned about the size difference.</t>
  </si>
  <si>
    <t>The client will be taken either the dual time or the
Overseas chronograph</t>
  </si>
  <si>
    <t>Waiting for the client confirmation when he will come to UAE</t>
  </si>
  <si>
    <t>The client is open for the Overseas moon phase retrograde date
As per the client hes going in a trip therefore , will love to purchase it from UAE</t>
  </si>
  <si>
    <t>he is the son of the Minister of Federal Supreme Council Affairs in UAE</t>
  </si>
  <si>
    <t>The client wanted **[Overseas chronograph](https://richemont.lightning.force.com/lightning/r/RICSC_Transaction__c/01t1i000004DZbzAAG/view).**</t>
  </si>
  <si>
    <t>The client is not open to other references and he only wants this</t>
  </si>
  <si>
    <t>the client is intersted in the overseas</t>
  </si>
  <si>
    <t>The client lives in Saudi however he can come to Dubai</t>
  </si>
  <si>
    <t>The client is residing in Saudi however he can visit UAE</t>
  </si>
  <si>
    <t>the client is intrested in either the self winding or the daul time</t>
  </si>
  <si>
    <t>another intreset for the client. for the self winding</t>
  </si>
  <si>
    <t>the client stated that  hes interested in the overseas blue dial (dual time or self winding)</t>
  </si>
  <si>
    <t>- No gold, prefers stainless steel.
- Moon phase complication holds personal significance.
- Interested in watches that symbolize achievement and uniqueness.
- Likes the blue dial for its versatility under different light conditions.</t>
  </si>
  <si>
    <t>Client will be visiting Dubai in November and December</t>
  </si>
  <si>
    <t>The client is willing to pay via a payment link for the Overseas Quartz | X12AC590. This purchase is intended as a marriage gift for his wife, which he plans to present to her during their wedding in December.</t>
  </si>
  <si>
    <t>The client would like to proceed with the Overseas. He mentioned that either he or a family member will be coming to the UAE, and he will confirm the details.</t>
  </si>
  <si>
    <t>The client wanted to celebrate his promotion by gifting himself this timepiece</t>
  </si>
  <si>
    <t>he is looking to buy the timepiece for the celebration for his 10 year anniversary</t>
  </si>
  <si>
    <t>The client showed interest  in the oversease blue dial ,</t>
  </si>
  <si>
    <t>The client is the **President &amp; Group Chief Executive Officer at Pakistan Telecommunication Co.** **Ltd.** **and Pakistan Telecommunications Mobile Ltd**. He is interested in this timepiece.</t>
  </si>
  <si>
    <t>She is interested in gifting this timepiece to her husband, for their anniversary celebration.</t>
  </si>
  <si>
    <t>The client purchased the  Fiftysix self-winding and  now planing for the oversease blue dail</t>
  </si>
  <si>
    <t>The client is interested in purchasing the Overseas Blue Dial.</t>
  </si>
  <si>
    <t>The client is intrested in the overseas</t>
  </si>
  <si>
    <t>the client is interested in both the oversease and fiftysix</t>
  </si>
  <si>
    <t>the client would like to purchase both fiftysix and oversease black dial</t>
  </si>
  <si>
    <t>the client would like to purchase the oversease black dial</t>
  </si>
  <si>
    <t>The client shows intreset in the oversease self winding</t>
  </si>
  <si>
    <t>The client is interested in the fiftysix  black dial</t>
  </si>
  <si>
    <t>The client is intrested in the fiftysix self winding gray</t>
  </si>
  <si>
    <t>The client is interested in the black dial Overseas and has an appointment at Suite 1755.</t>
  </si>
  <si>
    <t>The client wanted to Purchase  either the oversease 4520V/210A-B483 or the fifitysix , with Mohammed support she made a full payment  4600E/000R-H101</t>
  </si>
  <si>
    <t>The client would like to purchase Overseas self-winding black Dial</t>
  </si>
  <si>
    <t>Client is open to the other collections.</t>
  </si>
  <si>
    <t>The client is very interested in the OVERSEAS STEEL</t>
  </si>
  <si>
    <t>The client is very interested in the overseas self winding and will love to purchase it upon availability</t>
  </si>
  <si>
    <t>The client expressed a strong interest in the Overseas chronograph and insisted on being added to the list</t>
  </si>
  <si>
    <t>The client is interested in both the  Overseas chronographand the  Historiques American 1921</t>
  </si>
  <si>
    <t>The client mentioned that he has AP-Royal Oak and Rolex timepieces and he really fond of our timepieces and would like to acquire one.</t>
  </si>
  <si>
    <t>The client would like to acquire this timepiece as a gift for his father’s 58th birthday</t>
  </si>
  <si>
    <t>The client is willing to come to UAE if opportunity arises so he can gift himself a Vacheron Constantin timepiece since he turned 50 this year</t>
  </si>
  <si>
    <t>The client was told to come to pay a deposit. He stated hes willing to do that and dont mind that</t>
  </si>
  <si>
    <t>The client stated that hes will to come to the boutique to pay the full amount</t>
  </si>
  <si>
    <t>The client is looking for a gift for his father and willing to come to UAE for purchase</t>
  </si>
  <si>
    <t>The client is looking for a gift for his father’s birthday and willing to come to UAE</t>
  </si>
  <si>
    <t>The client is willing to come to the UAE to get the timepiece.</t>
  </si>
  <si>
    <t>The client is willing to come to India to get the timepiece</t>
  </si>
  <si>
    <t>The client is willing to travel to UAE to get this timepiece</t>
  </si>
  <si>
    <t>The client is willing to come to India to purchase the timepiece</t>
  </si>
  <si>
    <t>The client is interested in the fiftysix 600E/000A-B442 as well  Overseas chronograph X55AC481</t>
  </si>
  <si>
    <t>The client stated that once we confirm the availability of the watch he will be traveling to UAE to purchase</t>
  </si>
  <si>
    <t>The client is interested in the oversease self winding  living in Dubai</t>
  </si>
  <si>
    <t>The client ins interested in 2 timepeices ( 6000V/110A-B544 \ 4520V/210A-B128)</t>
  </si>
  <si>
    <t>The client would like to purchase one of the 2 overseas , either [Overseas tourbillon](https://richemont.lightning.force.com/lightning/r/01t1i000003IYweAAG/view) or the Overseas self-winding</t>
  </si>
  <si>
    <t>the client is interested in purchasing the **[Overseas self-winding ](https://richemont.lightning.force.com/lightning/r/01t1i000004DWYiAAO/view)**</t>
  </si>
  <si>
    <t>The client wish to be added to the waiting list</t>
  </si>
  <si>
    <t>The client is interested in Traditionnelle tourbillon chronograph,</t>
  </si>
  <si>
    <t>The client is interested in the  Overseas dual time “ very interested</t>
  </si>
  <si>
    <t>Mr. Ahmad, who has previously expressed his interest in the Overseas Dual Time, has been in communication with Yasser. We have committed to contacting Mr. Ahmad once the timepiece becomes available.</t>
  </si>
  <si>
    <t>Client for Maaz</t>
  </si>
  <si>
    <t>Client lives in Cyprus and has an office in UAE</t>
  </si>
  <si>
    <t>Client would like to build a relation with the btq to purchase a piece in the occasion of celebrating the opening of a new branch of his business.</t>
  </si>
  <si>
    <t>Client is interested in this model and also the Overseas tourbillon Skeleton.</t>
  </si>
  <si>
    <t>Client is in India would like to add his name to the waiting list in Dubai.</t>
  </si>
  <si>
    <t>Client would like to add his name to the waiting list of the Overseas self winding in steel with blue dial</t>
  </si>
  <si>
    <t>The client is interested in the timepiece</t>
  </si>
  <si>
    <t>The client is interested in the Overseas self-winding . ready to pay deposit</t>
  </si>
  <si>
    <t>The client is interested and would like to proceed Overseas self-winding</t>
  </si>
  <si>
    <t>The client is interested in the timepiece and not open for other options</t>
  </si>
  <si>
    <t>Client asked to add her name into the waiting list for the historiques 222</t>
  </si>
  <si>
    <t>The client is very interested in this timepiece.</t>
  </si>
  <si>
    <t>The client would like to register to the waiting list</t>
  </si>
  <si>
    <t>Client’s wedding is in November 2024 and would like to purchase the timepiece and wear it on his day</t>
  </si>
  <si>
    <t>Client does not want to subscribe to marketing, he just needs a contact if the piece is available.</t>
  </si>
  <si>
    <t>The client’s main residence is in Saudi Arabia, and he wants to register on the waiting list of UAE</t>
  </si>
  <si>
    <t>Ref</t>
  </si>
  <si>
    <t xml:space="preserve">Collection name </t>
  </si>
  <si>
    <t>CRC STOCK</t>
  </si>
  <si>
    <t>Available</t>
  </si>
  <si>
    <t xml:space="preserve">Helper </t>
  </si>
  <si>
    <t xml:space="preserve">Timepiece Reference#( only the available for sale ) </t>
  </si>
  <si>
    <t>VMX40G130C</t>
  </si>
  <si>
    <t>Regulator perpetual calendar - Jewellery</t>
  </si>
  <si>
    <t>6,000,000 AED</t>
  </si>
  <si>
    <t xml:space="preserve">QTY </t>
  </si>
  <si>
    <t>VMX24G160C</t>
  </si>
  <si>
    <t>2400C/000G-160C</t>
  </si>
  <si>
    <t>Miniature - Ode to Izanagi</t>
  </si>
  <si>
    <t>VMX98R202C</t>
  </si>
  <si>
    <t>9890C/000R-202C</t>
  </si>
  <si>
    <t>Armillary tourbillon - Ode to Chronos</t>
  </si>
  <si>
    <t>VMX97R212C</t>
  </si>
  <si>
    <t>9720C/000R-212C</t>
  </si>
  <si>
    <t>Celestia astronomical grand complication</t>
  </si>
  <si>
    <t>VMX80R246C</t>
  </si>
  <si>
    <t>80172/000R-246C</t>
  </si>
  <si>
    <t>Minute repeater perpetual calendar - Ornamental</t>
  </si>
  <si>
    <t>VMX82PH063</t>
  </si>
  <si>
    <t>192,000 AED</t>
  </si>
  <si>
    <t>4605F/110R-B496</t>
  </si>
  <si>
    <t>4000E/000R-B065</t>
  </si>
  <si>
    <t>VMX42AB934</t>
  </si>
  <si>
    <t>121,000 AED</t>
  </si>
  <si>
    <t>4400E/000R-B436</t>
  </si>
  <si>
    <t>1100S/000R-B430</t>
  </si>
  <si>
    <t>VMX60GH067</t>
  </si>
  <si>
    <t>6057T/000G-H067</t>
  </si>
  <si>
    <t>Traditionnelle tourbillon high jewellery</t>
  </si>
  <si>
    <t>2,720,000 AED</t>
  </si>
  <si>
    <t>82035/000G-B735</t>
  </si>
  <si>
    <t>VMX85JH069</t>
  </si>
  <si>
    <t>85180/000J-H069</t>
  </si>
  <si>
    <t>Patrimony self-winding</t>
  </si>
  <si>
    <t>134,000 AED</t>
  </si>
  <si>
    <t>1225V/000R-B592</t>
  </si>
  <si>
    <t>4605V/200R-B978</t>
  </si>
  <si>
    <t>VMX46RH101</t>
  </si>
  <si>
    <t>96,500 AED</t>
  </si>
  <si>
    <t>43175/000R-9687</t>
  </si>
  <si>
    <t>VMX24RH024</t>
  </si>
  <si>
    <t>2400A/000R-H024</t>
  </si>
  <si>
    <t>Métiers d’Art Tribute to traditional symbols - Eternal flow</t>
  </si>
  <si>
    <t>560,000 AED</t>
  </si>
  <si>
    <t>85180/000R-9248</t>
  </si>
  <si>
    <t>VMX24RH022</t>
  </si>
  <si>
    <t>2405A/000R-H022</t>
  </si>
  <si>
    <t>Métiers d’Art Tribute to traditional symbols - Moonlight slivers</t>
  </si>
  <si>
    <t>25558/000R-B156</t>
  </si>
  <si>
    <t>VMX24GH023</t>
  </si>
  <si>
    <t>2400A/000G-H023</t>
  </si>
  <si>
    <t>4020T/000P-H038</t>
  </si>
  <si>
    <t>VMX24GH021</t>
  </si>
  <si>
    <t>2405A/000G-H021</t>
  </si>
  <si>
    <t>9720C/000P-126C</t>
  </si>
  <si>
    <t>VMX86RH034</t>
  </si>
  <si>
    <t>86073/000R-H034</t>
  </si>
  <si>
    <t>Métiers d'Art The legend of the Chinese zodiac - year of the snake</t>
  </si>
  <si>
    <t>1420C/000J-161C</t>
  </si>
  <si>
    <t>VMX86PH033</t>
  </si>
  <si>
    <t>86073/000P-H033</t>
  </si>
  <si>
    <t>620,000 AED</t>
  </si>
  <si>
    <t>6057/000G-H067</t>
  </si>
  <si>
    <t>VMX43RC642</t>
  </si>
  <si>
    <t>4300V/220R-B642</t>
  </si>
  <si>
    <t>Overseas perpetual calendar ultra-thin skeleton</t>
  </si>
  <si>
    <t>605,000 AED</t>
  </si>
  <si>
    <t>9870C/000T-181C</t>
  </si>
  <si>
    <t>VMX43RC547</t>
  </si>
  <si>
    <t>6007V/210G-B955</t>
  </si>
  <si>
    <t>VMX43RC509</t>
  </si>
  <si>
    <t>Overseas perpetual calendar ultra-thin</t>
  </si>
  <si>
    <t>442,000 AED</t>
  </si>
  <si>
    <t>VMX43RC064</t>
  </si>
  <si>
    <t>VMX43GC946</t>
  </si>
  <si>
    <t>VMX43GC945</t>
  </si>
  <si>
    <t>VMX60GC955</t>
  </si>
  <si>
    <t>Overseas tourbillon high jewellery</t>
  </si>
  <si>
    <t>1,020,000 AED</t>
  </si>
  <si>
    <t>VMX60TH032</t>
  </si>
  <si>
    <t>Overseas tourbillon</t>
  </si>
  <si>
    <t>580,000 AED</t>
  </si>
  <si>
    <t>VMX79RC965</t>
  </si>
  <si>
    <t>286,000 AED</t>
  </si>
  <si>
    <t>VMX55RC966</t>
  </si>
  <si>
    <t>299,000 AED</t>
  </si>
  <si>
    <t>VMX46RC969</t>
  </si>
  <si>
    <t>4605V/200R-B969</t>
  </si>
  <si>
    <t>Overseas self-winding Green Diamonds - Pink Gold</t>
  </si>
  <si>
    <t>220,000 AED</t>
  </si>
  <si>
    <t>VMX45RC967</t>
  </si>
  <si>
    <t>229,000 AED</t>
  </si>
  <si>
    <t>VMX46RH134</t>
  </si>
  <si>
    <t>4600V/200R-H134</t>
  </si>
  <si>
    <t>196,000 AED</t>
  </si>
  <si>
    <t>VMX40GH070</t>
  </si>
  <si>
    <t>4010U/000G-H070</t>
  </si>
  <si>
    <t>Patrimony moon phase retrograde date</t>
  </si>
  <si>
    <t>187,000 AED</t>
  </si>
  <si>
    <t>4600V/200R-B979</t>
  </si>
  <si>
    <t>VMX12GH094</t>
  </si>
  <si>
    <t>1208J/118G-H094</t>
  </si>
  <si>
    <t>Grand Lady Kalla</t>
  </si>
  <si>
    <t>5,350,000 AED</t>
  </si>
  <si>
    <t>VMX82RH008</t>
  </si>
  <si>
    <t>82172/000R-H008</t>
  </si>
  <si>
    <t>Traditionnelle manual-winding</t>
  </si>
  <si>
    <t>89,500 AED</t>
  </si>
  <si>
    <t>VMX40R143C</t>
  </si>
  <si>
    <t>4017C/000R-143C</t>
  </si>
  <si>
    <t>VMX40G146C</t>
  </si>
  <si>
    <t>4017C/000G-146C</t>
  </si>
  <si>
    <t>VMX97G134C</t>
  </si>
  <si>
    <t>9720C/000G-134C</t>
  </si>
  <si>
    <t>Celestia Astronomical Grand Complication (Set for Riyadh)</t>
  </si>
  <si>
    <t>VMX66G132C</t>
  </si>
  <si>
    <t>6620C/000G-132C</t>
  </si>
  <si>
    <t>Astronomical striking grand complication</t>
  </si>
  <si>
    <t>8,550,000 AED</t>
  </si>
  <si>
    <t>VMX75RB994</t>
  </si>
  <si>
    <t>7500U/000R-B994</t>
  </si>
  <si>
    <t>Métiers d'Art Tribute to Explorer Naturalists - Cap de Bonne-Espérance</t>
  </si>
  <si>
    <t>675,000 AED</t>
  </si>
  <si>
    <t>VMX75GB991</t>
  </si>
  <si>
    <t>7500U/000G-B991</t>
  </si>
  <si>
    <t>Métiers d'Art Tribute to Explorer Naturalists - Cap-Vert</t>
  </si>
  <si>
    <t>VMX41GB909</t>
  </si>
  <si>
    <t>4116U/000G-B909</t>
  </si>
  <si>
    <t>Patrimony self-winding jewellery</t>
  </si>
  <si>
    <t>310,000 AED</t>
  </si>
  <si>
    <t>VMX12RC592</t>
  </si>
  <si>
    <t>125,000 AED</t>
  </si>
  <si>
    <t>VMX12AC590</t>
  </si>
  <si>
    <t>62,500 AED</t>
  </si>
  <si>
    <t>VMX46RC979</t>
  </si>
  <si>
    <t xml:space="preserve">Overseas self-winding Blue 34.5 mm </t>
  </si>
  <si>
    <t>VMX46RC978</t>
  </si>
  <si>
    <t xml:space="preserve">Overseas self-winding Blue 35 mm </t>
  </si>
  <si>
    <t>VMX46RC968</t>
  </si>
  <si>
    <t>4605V/200R-B968</t>
  </si>
  <si>
    <t xml:space="preserve">Overseas self-winding Pink Gold </t>
  </si>
  <si>
    <t>VMX46AC980</t>
  </si>
  <si>
    <t>87,500 AED</t>
  </si>
  <si>
    <t>VMX46AC971</t>
  </si>
  <si>
    <t>4605V/200A-B971</t>
  </si>
  <si>
    <t>116,000 AED</t>
  </si>
  <si>
    <t>VMX45RC705</t>
  </si>
  <si>
    <t>VMX45AC483</t>
  </si>
  <si>
    <t>94,500 AED</t>
  </si>
  <si>
    <t>VMX45AC128</t>
  </si>
  <si>
    <t>VMX45AC126</t>
  </si>
  <si>
    <t>VMX79RC336</t>
  </si>
  <si>
    <t>Overseas dual time</t>
  </si>
  <si>
    <t>184,000 AED</t>
  </si>
  <si>
    <t>VMX79AC546</t>
  </si>
  <si>
    <t>Overseas dual time Black</t>
  </si>
  <si>
    <t>117,000 AED</t>
  </si>
  <si>
    <t>VMX79AC334</t>
  </si>
  <si>
    <t>VMX79AC333</t>
  </si>
  <si>
    <t>Overseas dual time Silver</t>
  </si>
  <si>
    <t>VMX60TC935</t>
  </si>
  <si>
    <t>6000V/210T-B935</t>
  </si>
  <si>
    <t>Overseas tourbillon skeleton - Titanium 42.5 mm</t>
  </si>
  <si>
    <t>735,000 AED</t>
  </si>
  <si>
    <t>VMX60RC934</t>
  </si>
  <si>
    <t>Overseas tourbillon skeleton</t>
  </si>
  <si>
    <t>840,000 AED</t>
  </si>
  <si>
    <t>VMX60RC733</t>
  </si>
  <si>
    <t>6000V/210R-B733</t>
  </si>
  <si>
    <t>680,000 AED</t>
  </si>
  <si>
    <t>VMX55RC952</t>
  </si>
  <si>
    <t>VMX55AC686</t>
  </si>
  <si>
    <t>135,000 AED</t>
  </si>
  <si>
    <t>VMX55AC481</t>
  </si>
  <si>
    <t>VMX55AC148</t>
  </si>
  <si>
    <t>VMX86RB983</t>
  </si>
  <si>
    <t>86073/000R-B983</t>
  </si>
  <si>
    <t>Métiers d'Art The legend of the Chinese zodiac - year of the dragon</t>
  </si>
  <si>
    <t>448,000 AED</t>
  </si>
  <si>
    <t>VMX86PB982</t>
  </si>
  <si>
    <t>86073/000P-B982</t>
  </si>
  <si>
    <t>545,000 AED</t>
  </si>
  <si>
    <t>VMX40PH003</t>
  </si>
  <si>
    <t>Patrimony retrograde day-date</t>
  </si>
  <si>
    <t>234,000 AED</t>
  </si>
  <si>
    <t>VMX98G078C</t>
  </si>
  <si>
    <t>9827C/000G-078C</t>
  </si>
  <si>
    <t>Armillary tourbillon perpetual calendar - Planetaria Jewellery</t>
  </si>
  <si>
    <t>VMX89G095C</t>
  </si>
  <si>
    <t>89667/000G-095C</t>
  </si>
  <si>
    <t>14-day Openworked tourbillon - High Jewellery</t>
  </si>
  <si>
    <t>VMX97G015C</t>
  </si>
  <si>
    <t>9727C/000G-015C</t>
  </si>
  <si>
    <t>Celestia Astronomical Grand Complication - High Jewellery</t>
  </si>
  <si>
    <t>VMX66R127C</t>
  </si>
  <si>
    <t>6605C/000R-127C</t>
  </si>
  <si>
    <t>Minute repeater Grand feu enamel - Jewellery</t>
  </si>
  <si>
    <t>VMX97P126C</t>
  </si>
  <si>
    <t>Celestia Astronomical Grand Complication (set for Dubai)</t>
  </si>
  <si>
    <t>6,500,000 AED</t>
  </si>
  <si>
    <t>VMX55A3161</t>
  </si>
  <si>
    <t>5500V/110A-B686</t>
  </si>
  <si>
    <t>VMX40AC911</t>
  </si>
  <si>
    <t>166,000 AED</t>
  </si>
  <si>
    <t>VMX43RB947</t>
  </si>
  <si>
    <t>4305T/000R-B947</t>
  </si>
  <si>
    <t>Traditionnelle perpetual calendar ultra-thin</t>
  </si>
  <si>
    <t>336,000 AED</t>
  </si>
  <si>
    <t>VMX14R3071</t>
  </si>
  <si>
    <t>1405T/000R-B636</t>
  </si>
  <si>
    <t>112,000 AED</t>
  </si>
  <si>
    <t>VMX70GB913</t>
  </si>
  <si>
    <t>7006T/000G-B913</t>
  </si>
  <si>
    <t>Traditionnelle moon phase</t>
  </si>
  <si>
    <t>VMX60RB961</t>
  </si>
  <si>
    <t>6040T/000R-B961</t>
  </si>
  <si>
    <t>Traditionnelle tourbillon</t>
  </si>
  <si>
    <t>755,000 AED</t>
  </si>
  <si>
    <t>VMX60RB960</t>
  </si>
  <si>
    <t>6040T/000R-B960</t>
  </si>
  <si>
    <t>VMX60RB959</t>
  </si>
  <si>
    <t>6040T/000R-B959</t>
  </si>
  <si>
    <t>VMX60R3061</t>
  </si>
  <si>
    <t>Traditionnelle tourbillon retrograde date openface</t>
  </si>
  <si>
    <t>650,000 AED</t>
  </si>
  <si>
    <t>VMX60PH025</t>
  </si>
  <si>
    <t>6000T/000P-H025</t>
  </si>
  <si>
    <t>VMX12RB984</t>
  </si>
  <si>
    <t>1205F/000R-B984</t>
  </si>
  <si>
    <t>Égérie quartz</t>
  </si>
  <si>
    <t>81,000 AED</t>
  </si>
  <si>
    <t>VMX80GB942</t>
  </si>
  <si>
    <t>8006F/000G-B942</t>
  </si>
  <si>
    <t>Égérie Creative Edition</t>
  </si>
  <si>
    <t>428,000 AED</t>
  </si>
  <si>
    <t>VMX80RB958</t>
  </si>
  <si>
    <t>8005F/000R-B958</t>
  </si>
  <si>
    <t>Égérie moon phase</t>
  </si>
  <si>
    <t>149,000 AED</t>
  </si>
  <si>
    <t>VMX46RB957</t>
  </si>
  <si>
    <t>4605F/000R-B957</t>
  </si>
  <si>
    <t>Égérie self-winding</t>
  </si>
  <si>
    <t>129,000 AED</t>
  </si>
  <si>
    <t>VMX80RB977</t>
  </si>
  <si>
    <t>8016F/127R-B977</t>
  </si>
  <si>
    <t>Égérie moon phase jewellery</t>
  </si>
  <si>
    <t>785,000 AED</t>
  </si>
  <si>
    <t>VMX80RB976</t>
  </si>
  <si>
    <t>8006F/000R-B976</t>
  </si>
  <si>
    <t>VMX80RH002</t>
  </si>
  <si>
    <t>8005F/120R-H002</t>
  </si>
  <si>
    <t>215,000 AED</t>
  </si>
  <si>
    <t>VMX55RB952</t>
  </si>
  <si>
    <t>5500V/110R-B952</t>
  </si>
  <si>
    <t>VMX76RB927</t>
  </si>
  <si>
    <t>7620A/000R-B927</t>
  </si>
  <si>
    <t>Métiers d'Art Tribute to great civilisations - Grand sphinx de Tanis</t>
  </si>
  <si>
    <t>VMX76RB926</t>
  </si>
  <si>
    <t>7620A/000R-B926</t>
  </si>
  <si>
    <t>Métiers d'Art Tribute to great civilisations - Lion de Darius</t>
  </si>
  <si>
    <t>VMX76GB929</t>
  </si>
  <si>
    <t>7620A/000G-B929</t>
  </si>
  <si>
    <t>Métiers d'Art Tribute to great civilisations - Buste d'Auguste</t>
  </si>
  <si>
    <t>VMX76GB928</t>
  </si>
  <si>
    <t>7620A/000G-B928</t>
  </si>
  <si>
    <t>Métiers d'Art Tribute to great civilisations - Victoire de Samothrace</t>
  </si>
  <si>
    <t>VMX86RB933</t>
  </si>
  <si>
    <t>86073/000R-B933</t>
  </si>
  <si>
    <t>Métiers d'Art The legend of the Chinese zodiac - year of the rabbit</t>
  </si>
  <si>
    <t>VMX86PB932</t>
  </si>
  <si>
    <t>86073/000P-B932</t>
  </si>
  <si>
    <t>VMX41RB907</t>
  </si>
  <si>
    <t>4115U/000R-B907</t>
  </si>
  <si>
    <t>138,000 AED</t>
  </si>
  <si>
    <t>VMX41GB908</t>
  </si>
  <si>
    <t>4115U/000G-B908</t>
  </si>
  <si>
    <t>VMX42JB935</t>
  </si>
  <si>
    <t>279,000 AED</t>
  </si>
  <si>
    <t>VMX98R079C</t>
  </si>
  <si>
    <t>9820C/000R-079C</t>
  </si>
  <si>
    <t>Armillary tourbillon perpetual calendar - Planetaria</t>
  </si>
  <si>
    <t>4,380,000 AED</t>
  </si>
  <si>
    <t>VMX79AV546</t>
  </si>
  <si>
    <t>7900V/110A-B546</t>
  </si>
  <si>
    <t>VMX79AV334</t>
  </si>
  <si>
    <t>7900V/110A-B334</t>
  </si>
  <si>
    <t>VMX79AV333</t>
  </si>
  <si>
    <t>7900V/110A-B333</t>
  </si>
  <si>
    <t>VMX60RV733</t>
  </si>
  <si>
    <t>6000V/110R-B733</t>
  </si>
  <si>
    <t>VMX60AV544</t>
  </si>
  <si>
    <t>515,000 AED</t>
  </si>
  <si>
    <t>VMX55RV074</t>
  </si>
  <si>
    <t>5500V/000R-B074</t>
  </si>
  <si>
    <t>206,000 AED</t>
  </si>
  <si>
    <t>VMX55AV481</t>
  </si>
  <si>
    <t>5500V/110A-B481</t>
  </si>
  <si>
    <t>VMX55AV148</t>
  </si>
  <si>
    <t>5500V/110A-B148</t>
  </si>
  <si>
    <t>VMX45RV705</t>
  </si>
  <si>
    <t>4500V/110R-B705</t>
  </si>
  <si>
    <t>VMX45RV127</t>
  </si>
  <si>
    <t>153,000 AED</t>
  </si>
  <si>
    <t>VMX45AV483</t>
  </si>
  <si>
    <t>4500V/110A-B483</t>
  </si>
  <si>
    <t>VMX45AV128</t>
  </si>
  <si>
    <t>4500V/110A-B128</t>
  </si>
  <si>
    <t>VMX45AV126</t>
  </si>
  <si>
    <t>4500V/110A-B126</t>
  </si>
  <si>
    <t>VMX43RV547</t>
  </si>
  <si>
    <t>4300V/120R-B547</t>
  </si>
  <si>
    <t>VMX43RV064</t>
  </si>
  <si>
    <t>4300V/120R-B064</t>
  </si>
  <si>
    <t>VMX43GV946</t>
  </si>
  <si>
    <t>4300V/120G-B946</t>
  </si>
  <si>
    <t>VMX43GV945</t>
  </si>
  <si>
    <t>4300V/120G-B945</t>
  </si>
  <si>
    <t>VMX23RV078</t>
  </si>
  <si>
    <t>2305V/000R-B077</t>
  </si>
  <si>
    <t>167,000 AED</t>
  </si>
  <si>
    <t>VMX23RV077</t>
  </si>
  <si>
    <t>2305V/100R-B077</t>
  </si>
  <si>
    <t>216,000 AED</t>
  </si>
  <si>
    <t>VMX23AV170</t>
  </si>
  <si>
    <t>2305V/100A-B170</t>
  </si>
  <si>
    <t>VMX23AV078</t>
  </si>
  <si>
    <t>2305V/100A-B078</t>
  </si>
  <si>
    <t>VMX12RV592</t>
  </si>
  <si>
    <t>1205V/000R-B592</t>
  </si>
  <si>
    <t>VMX12AV591</t>
  </si>
  <si>
    <t>VMX12AV590</t>
  </si>
  <si>
    <t>1205V/100A-B590</t>
  </si>
  <si>
    <t>VMX60TB935</t>
  </si>
  <si>
    <t>6000V/110T-B935</t>
  </si>
  <si>
    <t>VMX60RB934</t>
  </si>
  <si>
    <t>6000V/110R-B934</t>
  </si>
  <si>
    <t>VMX43R3092</t>
  </si>
  <si>
    <t>4300V/120R-B642</t>
  </si>
  <si>
    <t>VMX41RB905</t>
  </si>
  <si>
    <t>4110U/000R-B905</t>
  </si>
  <si>
    <t>110,000 AED</t>
  </si>
  <si>
    <t>VMX41GB906</t>
  </si>
  <si>
    <t>4110U/000G-B906</t>
  </si>
  <si>
    <t>VMX50PB975</t>
  </si>
  <si>
    <t>5000T/000P-B975</t>
  </si>
  <si>
    <t>Traditionnelle perpetual calendar chronograph</t>
  </si>
  <si>
    <t>VMX43GB948</t>
  </si>
  <si>
    <t>4305T/000G-B948</t>
  </si>
  <si>
    <t>VMX66G022C</t>
  </si>
  <si>
    <t>6657C/000G-022C</t>
  </si>
  <si>
    <t>Openworked Minute repeater - High Jewellery</t>
  </si>
  <si>
    <t>VMX79RV336</t>
  </si>
  <si>
    <t>7900V/000R-B336</t>
  </si>
  <si>
    <t>VMX60RB972</t>
  </si>
  <si>
    <t>6000T/000R-B972</t>
  </si>
  <si>
    <t>VMX60PB974</t>
  </si>
  <si>
    <t>6000T/000P-B974</t>
  </si>
  <si>
    <t>TRADITIONNELLE TOURBILLON</t>
  </si>
  <si>
    <t>VMX60PB973</t>
  </si>
  <si>
    <t>6000T/000P-B973</t>
  </si>
  <si>
    <t>VMX40G3253</t>
  </si>
  <si>
    <t>172,000 AED</t>
  </si>
  <si>
    <t>VMX40R3089</t>
  </si>
  <si>
    <t>4020T/000R-B654</t>
  </si>
  <si>
    <t>Traditionnelle complete calendar openface</t>
  </si>
  <si>
    <t>199,000 AED</t>
  </si>
  <si>
    <t>VMX40G3090</t>
  </si>
  <si>
    <t>4020T/000G-B655</t>
  </si>
  <si>
    <t>VMX86RB901</t>
  </si>
  <si>
    <t>86073/000R-B901</t>
  </si>
  <si>
    <t>Métiers d'Art The legend of the Chinese zodiac - Year of the tiger</t>
  </si>
  <si>
    <t>VMX86PB900</t>
  </si>
  <si>
    <t>86073/000P-B900</t>
  </si>
  <si>
    <t>VMX79TB922</t>
  </si>
  <si>
    <t>7910V/000T-B922</t>
  </si>
  <si>
    <t>123,000 AED</t>
  </si>
  <si>
    <t>VMX60R3240</t>
  </si>
  <si>
    <t>VMX55TB923</t>
  </si>
  <si>
    <t>5510V/000T-B923</t>
  </si>
  <si>
    <t>145,000 AED</t>
  </si>
  <si>
    <t>VMX43RV510</t>
  </si>
  <si>
    <t>4300V/000R-B509</t>
  </si>
  <si>
    <t>369,000 AED</t>
  </si>
  <si>
    <t>VMX43RV509</t>
  </si>
  <si>
    <t>4300V/120R-B509</t>
  </si>
  <si>
    <t>VMX43RV065</t>
  </si>
  <si>
    <t>4300V/000R-B064</t>
  </si>
  <si>
    <t>VMX43R2674</t>
  </si>
  <si>
    <t>VMX43GB946</t>
  </si>
  <si>
    <t>VMX43GB945</t>
  </si>
  <si>
    <t>VMX46R3109</t>
  </si>
  <si>
    <t>173,000 AED</t>
  </si>
  <si>
    <t>VMX46R3098</t>
  </si>
  <si>
    <t>4606F/000R-B648</t>
  </si>
  <si>
    <t>249,000 AED</t>
  </si>
  <si>
    <t>VMX46G3099</t>
  </si>
  <si>
    <t>4606F/000G-B649</t>
  </si>
  <si>
    <t>VMX82P3300</t>
  </si>
  <si>
    <t>82035/000P-B748</t>
  </si>
  <si>
    <t>Historiques American 1921 - Collection Excellence Platine</t>
  </si>
  <si>
    <t>201,000 AED</t>
  </si>
  <si>
    <t>VMX82G3246</t>
  </si>
  <si>
    <t>Historiques American 1921</t>
  </si>
  <si>
    <t>VMX11G3245</t>
  </si>
  <si>
    <t>1100S/000G-B734</t>
  </si>
  <si>
    <t>127,000 AED</t>
  </si>
  <si>
    <t>VMX51R2984</t>
  </si>
  <si>
    <t>5100T/000R-B623</t>
  </si>
  <si>
    <t>Traditionnelle tourbillon chronograph</t>
  </si>
  <si>
    <t>890,000 AED</t>
  </si>
  <si>
    <t>VMX89R3095</t>
  </si>
  <si>
    <t>89000/000R-B645</t>
  </si>
  <si>
    <t>1,110,000 AED</t>
  </si>
  <si>
    <t>VMX54P3068</t>
  </si>
  <si>
    <t>5400T/000P-B637</t>
  </si>
  <si>
    <t>Traditionnelle split-seconds chronograph ultra-thin - Collection Excellence Platine</t>
  </si>
  <si>
    <t>1,200,000 AED</t>
  </si>
  <si>
    <t>VMX32P3181</t>
  </si>
  <si>
    <t>3200T/002P-B578</t>
  </si>
  <si>
    <t>Traditionnelle Twin Beat perpetual calendar</t>
  </si>
  <si>
    <t>VMX80GB499</t>
  </si>
  <si>
    <t>8016F/127G-B499</t>
  </si>
  <si>
    <t>VMX37G3111</t>
  </si>
  <si>
    <t>37640/000G-B659</t>
  </si>
  <si>
    <t>Heures Créatives Heure Romantique</t>
  </si>
  <si>
    <t>237,000 AED</t>
  </si>
  <si>
    <t>VMX86P3097</t>
  </si>
  <si>
    <t>86073/000P-B647</t>
  </si>
  <si>
    <t>Métiers d'Art The legend of the Chinese zodiac - Year of the ox</t>
  </si>
  <si>
    <t>VMX97R008C</t>
  </si>
  <si>
    <t>9770C/000R-008C</t>
  </si>
  <si>
    <t>Dual Moon - Grand Complication</t>
  </si>
  <si>
    <t>VMX86R3096</t>
  </si>
  <si>
    <t>86073/000R-B646</t>
  </si>
  <si>
    <t>VMX79A2637</t>
  </si>
  <si>
    <t>VMX45R3228</t>
  </si>
  <si>
    <t>VMX43R2769</t>
  </si>
  <si>
    <t>VMX60R3069</t>
  </si>
  <si>
    <t>6035T/000R-B634</t>
  </si>
  <si>
    <t>645,000 AED</t>
  </si>
  <si>
    <t>VMX60G3070</t>
  </si>
  <si>
    <t>6025T/000G-B635</t>
  </si>
  <si>
    <t>Traditionnelle tourbillon jewellery</t>
  </si>
  <si>
    <t>VMX85R3093</t>
  </si>
  <si>
    <t>85515/000R-B644</t>
  </si>
  <si>
    <t>151,000 AED</t>
  </si>
  <si>
    <t>VMX40P2636</t>
  </si>
  <si>
    <t>4010U/000P-B545</t>
  </si>
  <si>
    <t>Patrimony moon phase retrograde date - Collection Excellence Platine</t>
  </si>
  <si>
    <t>276,000 AED</t>
  </si>
  <si>
    <t>VMX46R2831</t>
  </si>
  <si>
    <t>4600E/000R-B576</t>
  </si>
  <si>
    <t>VMX40R2755</t>
  </si>
  <si>
    <t>169,000 AED</t>
  </si>
  <si>
    <t>VMX46R2375</t>
  </si>
  <si>
    <t>4605F/000R-B496</t>
  </si>
  <si>
    <t>VMX80R2377</t>
  </si>
  <si>
    <t>8005F/000R-B498</t>
  </si>
  <si>
    <t>VMX80G3063</t>
  </si>
  <si>
    <t>8016F/126G-B499</t>
  </si>
  <si>
    <t>VMX80G2378</t>
  </si>
  <si>
    <t>8006F/000G-B499</t>
  </si>
  <si>
    <t>VMX80A2370</t>
  </si>
  <si>
    <t>8005F/120A-B497</t>
  </si>
  <si>
    <t>109,000 AED</t>
  </si>
  <si>
    <t>VMX46A2371</t>
  </si>
  <si>
    <t>4605F/110A-B495</t>
  </si>
  <si>
    <t>Egérie self-winding</t>
  </si>
  <si>
    <t>88,500 AED</t>
  </si>
  <si>
    <t>VMX12R2983</t>
  </si>
  <si>
    <t>1205F/000R-B622</t>
  </si>
  <si>
    <t>VMX43R2478</t>
  </si>
  <si>
    <t>VMX60A2760</t>
  </si>
  <si>
    <t>VMX12R2910</t>
  </si>
  <si>
    <t>VMX12A3050</t>
  </si>
  <si>
    <t>VMX12A3049</t>
  </si>
  <si>
    <t>VMX85R2518</t>
  </si>
  <si>
    <t>85180/000R-B515</t>
  </si>
  <si>
    <t>120,000 AED</t>
  </si>
  <si>
    <t>VMX41R3094</t>
  </si>
  <si>
    <t>4100U/000R-B643</t>
  </si>
  <si>
    <t>102,000 AED</t>
  </si>
  <si>
    <t>VMX87R3170</t>
  </si>
  <si>
    <t>87172/000R-B690</t>
  </si>
  <si>
    <t>Traditionnelle self-winding</t>
  </si>
  <si>
    <t>VMX50A2879</t>
  </si>
  <si>
    <t>5000H/000A-B582</t>
  </si>
  <si>
    <t>Historiques Cornes de vache 1955</t>
  </si>
  <si>
    <t>180,000 AED</t>
  </si>
  <si>
    <t>VMX86R2525</t>
  </si>
  <si>
    <t>86073/000R-B520</t>
  </si>
  <si>
    <t>Métiers d'Art The legend of the Chinese zodiac - Year of the rat</t>
  </si>
  <si>
    <t>VMX86P2526</t>
  </si>
  <si>
    <t>86073/000P-B521</t>
  </si>
  <si>
    <t>VMX81R2520</t>
  </si>
  <si>
    <t>81180/000R-B518</t>
  </si>
  <si>
    <t>Patrimony manual-winding</t>
  </si>
  <si>
    <t>83,500 AED</t>
  </si>
  <si>
    <t>VMX43R2521</t>
  </si>
  <si>
    <t>43175/000R-B519</t>
  </si>
  <si>
    <t>Patrimony perpetual calendar ultra-thin</t>
  </si>
  <si>
    <t>333,000 AED</t>
  </si>
  <si>
    <t>VMX40R2519</t>
  </si>
  <si>
    <t>4000U/000R-B516</t>
  </si>
  <si>
    <t>VMX46R2019</t>
  </si>
  <si>
    <t>4600E/000R-B441</t>
  </si>
  <si>
    <t>VMX46A2020</t>
  </si>
  <si>
    <t>48,000 AED</t>
  </si>
  <si>
    <t>VMX44R2014</t>
  </si>
  <si>
    <t>Fiftysix day-date</t>
  </si>
  <si>
    <t>168,000 AED</t>
  </si>
  <si>
    <t>VMX44A2015</t>
  </si>
  <si>
    <t>4400E/000A-B437</t>
  </si>
  <si>
    <t>104,000 AED</t>
  </si>
  <si>
    <t>VMX40R2016</t>
  </si>
  <si>
    <t>4000E/000R-B438</t>
  </si>
  <si>
    <t>VMX40A2017</t>
  </si>
  <si>
    <t>VMX46A2753</t>
  </si>
  <si>
    <t>58,500 AED</t>
  </si>
  <si>
    <t>VMX60R2316</t>
  </si>
  <si>
    <t>6000E/000R-B488</t>
  </si>
  <si>
    <t>Fiftysix tourbillon</t>
  </si>
  <si>
    <t>555,000 AED</t>
  </si>
  <si>
    <t>VMX46A2283</t>
  </si>
  <si>
    <t>VMX40A2656</t>
  </si>
  <si>
    <t>VMX40R1635</t>
  </si>
  <si>
    <t>4010T/000R-B344</t>
  </si>
  <si>
    <t>VMX79R1575</t>
  </si>
  <si>
    <t>VMX43R2104</t>
  </si>
  <si>
    <t>VMX55A2271</t>
  </si>
  <si>
    <t>VMX43R2612</t>
  </si>
  <si>
    <t>VMX86R1952</t>
  </si>
  <si>
    <t>86073/000R-B428</t>
  </si>
  <si>
    <t>Métiers d'Art The legend of the Chinese zodiac - Year of the pig</t>
  </si>
  <si>
    <t>VMX86P1953</t>
  </si>
  <si>
    <t>86073/000P-B429</t>
  </si>
  <si>
    <t>VMX45A2273</t>
  </si>
  <si>
    <t>VMX41G1967</t>
  </si>
  <si>
    <t>4100U/001G-B181</t>
  </si>
  <si>
    <t>VMX41G1944</t>
  </si>
  <si>
    <t>4100U/000G-B181</t>
  </si>
  <si>
    <t>VMX65R1452</t>
  </si>
  <si>
    <t>6500T/000R-B324</t>
  </si>
  <si>
    <t>Traditionnelle minute repeater tourbillon</t>
  </si>
  <si>
    <t>2,050,000 AED</t>
  </si>
  <si>
    <t>VMX60R1633</t>
  </si>
  <si>
    <t>VMX79A1573</t>
  </si>
  <si>
    <t>VMX79A1572</t>
  </si>
  <si>
    <t>VMX11R1956</t>
  </si>
  <si>
    <t>VMX31A1948</t>
  </si>
  <si>
    <t>Historiques Triple calendrier 1942</t>
  </si>
  <si>
    <t>91,000 AED</t>
  </si>
  <si>
    <t>VMX31A1947</t>
  </si>
  <si>
    <t>3110V/000A-B425</t>
  </si>
  <si>
    <t>VMX65P9252</t>
  </si>
  <si>
    <t>6500T/000P-B100</t>
  </si>
  <si>
    <t>2,280,000 AED</t>
  </si>
  <si>
    <t>VMX65P9251</t>
  </si>
  <si>
    <t>6500T/000P-9949</t>
  </si>
  <si>
    <t>VMX86R1373</t>
  </si>
  <si>
    <t>86073/000R-B256</t>
  </si>
  <si>
    <t>Métiers d'Art The legend of the Chinese zodiac - Year of the dog</t>
  </si>
  <si>
    <t>VMX43R1476</t>
  </si>
  <si>
    <t>43175/000R-B343</t>
  </si>
  <si>
    <t>VMX11P1523</t>
  </si>
  <si>
    <t>1110U/000P-B306</t>
  </si>
  <si>
    <t>Patrimony manual-winding - Collection Excellence Platine</t>
  </si>
  <si>
    <t>158,000 AED</t>
  </si>
  <si>
    <t>VMX43R1731</t>
  </si>
  <si>
    <t>43075/000R-B404</t>
  </si>
  <si>
    <t>Traditionnelle self-winding ultra-thin</t>
  </si>
  <si>
    <t>VMX30P9536</t>
  </si>
  <si>
    <t>30110/000P-B108</t>
  </si>
  <si>
    <t>Patrimony minute repeater ultra-thin - Collection Excellence Platine</t>
  </si>
  <si>
    <t>1,420,000 AED</t>
  </si>
  <si>
    <t>VMX11R9660</t>
  </si>
  <si>
    <t>1110U/000R-B085</t>
  </si>
  <si>
    <t>92,500 AED</t>
  </si>
  <si>
    <t>VMX11G9661</t>
  </si>
  <si>
    <t>1110U/000G-B086</t>
  </si>
  <si>
    <t>VMX11P9662</t>
  </si>
  <si>
    <t>1110U/000P-B087</t>
  </si>
  <si>
    <t>VMX81R9874</t>
  </si>
  <si>
    <t>81180/CB1R-9159</t>
  </si>
  <si>
    <t>133,000 AED</t>
  </si>
  <si>
    <t>VMX40R9740</t>
  </si>
  <si>
    <t>4000U/000R-B111</t>
  </si>
  <si>
    <t>VMX40R9571</t>
  </si>
  <si>
    <t>4000U/000R-B110</t>
  </si>
  <si>
    <t>VMX40G9572</t>
  </si>
  <si>
    <t>4000U/000G-B112</t>
  </si>
  <si>
    <t>VMX40R1503</t>
  </si>
  <si>
    <t>4010U/000R-B329</t>
  </si>
  <si>
    <t>VMX41R1966</t>
  </si>
  <si>
    <t>4100U/001R-B180</t>
  </si>
  <si>
    <t>VMX41R1943</t>
  </si>
  <si>
    <t>4100U/000R-B180</t>
  </si>
  <si>
    <t>VMX40G1504</t>
  </si>
  <si>
    <t>4010U/000G-B330</t>
  </si>
  <si>
    <t>VMX82R1729</t>
  </si>
  <si>
    <t>82172/000R-B402</t>
  </si>
  <si>
    <t>VMX50R1509</t>
  </si>
  <si>
    <t>5000T/000R-B304</t>
  </si>
  <si>
    <t>467,000 AED</t>
  </si>
  <si>
    <t>VMX87R1730</t>
  </si>
  <si>
    <t>87172/000R-B403</t>
  </si>
  <si>
    <t>115,000 AED</t>
  </si>
  <si>
    <t>VMX85R1732</t>
  </si>
  <si>
    <t>85290/000R-B405</t>
  </si>
  <si>
    <t>Traditionnelle day-date</t>
  </si>
  <si>
    <t>182,000 AED</t>
  </si>
  <si>
    <t>VMX70R9612</t>
  </si>
  <si>
    <t>7000M/000R-B109</t>
  </si>
  <si>
    <t>Malte moon phase</t>
  </si>
  <si>
    <t>VMX30R1230</t>
  </si>
  <si>
    <t>30130/000R-B289</t>
  </si>
  <si>
    <t>Malte tourbillon</t>
  </si>
  <si>
    <t>665,000 AED</t>
  </si>
  <si>
    <t>VMX81R1430</t>
  </si>
  <si>
    <t>81015/000R-B282</t>
  </si>
  <si>
    <t>Malte manual-winding</t>
  </si>
  <si>
    <t>83,000 AED</t>
  </si>
  <si>
    <t>VMX55R9465</t>
  </si>
  <si>
    <t>VMX55A9467</t>
  </si>
  <si>
    <t>VMX45R9730</t>
  </si>
  <si>
    <t>VMX45A9728</t>
  </si>
  <si>
    <t>VMX45A9727</t>
  </si>
  <si>
    <t>VMX23R9471</t>
  </si>
  <si>
    <t>VMX23R9469</t>
  </si>
  <si>
    <t>VMX23M9573</t>
  </si>
  <si>
    <t>VMX23A9470</t>
  </si>
  <si>
    <t>VMX77A9802</t>
  </si>
  <si>
    <t>7700V/110A-B176</t>
  </si>
  <si>
    <t>Overseas world time</t>
  </si>
  <si>
    <t>148,000 AED</t>
  </si>
  <si>
    <t>VMX82P9564</t>
  </si>
  <si>
    <t>82035/000P-B168</t>
  </si>
  <si>
    <t>189,000 AED</t>
  </si>
  <si>
    <t>VMX50R8672</t>
  </si>
  <si>
    <t>5000H/000R-B059</t>
  </si>
  <si>
    <t>242,000 AED</t>
  </si>
  <si>
    <t>VMX77A9801</t>
  </si>
  <si>
    <t>7700V/110A-B172</t>
  </si>
  <si>
    <t>VMX77A9800</t>
  </si>
  <si>
    <t>7700V/110A-B129</t>
  </si>
  <si>
    <t>VMX25R9488</t>
  </si>
  <si>
    <t>Traditionnelle quartz</t>
  </si>
  <si>
    <t>72,500 AED</t>
  </si>
  <si>
    <t>VMX25G9489</t>
  </si>
  <si>
    <t>25558/000G-B157</t>
  </si>
  <si>
    <t>VMX50P9570</t>
  </si>
  <si>
    <t>5000T/000P-B048</t>
  </si>
  <si>
    <t>VMX50P8673</t>
  </si>
  <si>
    <t>5000H/000P-B058</t>
  </si>
  <si>
    <t>287,000 AED</t>
  </si>
  <si>
    <t>VMX86P8565</t>
  </si>
  <si>
    <t>86073/000P-8972</t>
  </si>
  <si>
    <t>Métiers d'Art The legend of the Chinese zodiac - 2016, year of the monkey</t>
  </si>
  <si>
    <t>VMX37G9044</t>
  </si>
  <si>
    <t>37640/000G-B021</t>
  </si>
  <si>
    <t>VMX37G9043</t>
  </si>
  <si>
    <t>37640/000G-B030</t>
  </si>
  <si>
    <t>VMX37G9487</t>
  </si>
  <si>
    <t>37660/000G-B028</t>
  </si>
  <si>
    <t>Heures Créatives Heure Audacieuse</t>
  </si>
  <si>
    <t>640,000 AED</t>
  </si>
  <si>
    <t>VMX85R8877</t>
  </si>
  <si>
    <t>85515/000R-9840</t>
  </si>
  <si>
    <t>VMX30P8448</t>
  </si>
  <si>
    <t>30110/000P-9999</t>
  </si>
  <si>
    <t>Patrimony minute repeater ultra-thin</t>
  </si>
  <si>
    <t>1,340,000 AED</t>
  </si>
  <si>
    <t>VMX82R7754</t>
  </si>
  <si>
    <t>82230/000R-9963</t>
  </si>
  <si>
    <t>106,000 AED</t>
  </si>
  <si>
    <t>VMX82G7753</t>
  </si>
  <si>
    <t>82230/000G-9962</t>
  </si>
  <si>
    <t>VMX30P7883</t>
  </si>
  <si>
    <t>30135/000P-9842</t>
  </si>
  <si>
    <t>Malte tourbillon skeleton</t>
  </si>
  <si>
    <t>930,000 AED</t>
  </si>
  <si>
    <t>VMX82G8532</t>
  </si>
  <si>
    <t>82230/000G-9185</t>
  </si>
  <si>
    <t>VMX85G8878</t>
  </si>
  <si>
    <t>85515/000G-9841</t>
  </si>
  <si>
    <t>VMX81R6354</t>
  </si>
  <si>
    <t>81590/000R-9847</t>
  </si>
  <si>
    <t>VMX81G6355</t>
  </si>
  <si>
    <t>81590/000G-9848</t>
  </si>
  <si>
    <t>VMX82R6993</t>
  </si>
  <si>
    <t>82172/000R-9888</t>
  </si>
  <si>
    <t>VMX81G7690</t>
  </si>
  <si>
    <t>81761/QB1G-9862</t>
  </si>
  <si>
    <t>Traditionnelle manual-winding jewellery</t>
  </si>
  <si>
    <t>3,920,000 AED</t>
  </si>
  <si>
    <t>VMX82G7889</t>
  </si>
  <si>
    <t>82761/QC1G-9852</t>
  </si>
  <si>
    <t>4,530,000 AED</t>
  </si>
  <si>
    <t>VMX85R7700</t>
  </si>
  <si>
    <t>85290/000R-9969</t>
  </si>
  <si>
    <t>VMX83G7341</t>
  </si>
  <si>
    <t>83570/000G-9916</t>
  </si>
  <si>
    <t>171,000 AED</t>
  </si>
  <si>
    <t>VMX83R8850</t>
  </si>
  <si>
    <t>83520/000R-9909</t>
  </si>
  <si>
    <t>143,000 AED</t>
  </si>
  <si>
    <t>VMX83R8832</t>
  </si>
  <si>
    <t>83020/000R-9909</t>
  </si>
  <si>
    <t>VMX83R7342</t>
  </si>
  <si>
    <t>83570/000R-9915</t>
  </si>
  <si>
    <t>VMX30R6424</t>
  </si>
  <si>
    <t>30110/000R-9793</t>
  </si>
  <si>
    <t>1,220,000 AED</t>
  </si>
  <si>
    <t>VMX81R8614</t>
  </si>
  <si>
    <t>81180/000R-9162</t>
  </si>
  <si>
    <t>VMX81R7710</t>
  </si>
  <si>
    <t>81515/000R-9892</t>
  </si>
  <si>
    <t>137,000 AED</t>
  </si>
  <si>
    <t>VMX81G7711</t>
  </si>
  <si>
    <t>81515/000G-9891</t>
  </si>
  <si>
    <t>VMX81G7596</t>
  </si>
  <si>
    <t>81510/000G-9895</t>
  </si>
  <si>
    <t>VMX82R4986</t>
  </si>
  <si>
    <t>82572/000R-9604</t>
  </si>
  <si>
    <t>VMX82G4985</t>
  </si>
  <si>
    <t>82572/000G-9605</t>
  </si>
  <si>
    <t>VMX43R5540</t>
  </si>
  <si>
    <t>VMX82P6288</t>
  </si>
  <si>
    <t>82172/000P-9811</t>
  </si>
  <si>
    <t>103,000 AED</t>
  </si>
  <si>
    <t>VMX81G6432</t>
  </si>
  <si>
    <t>81760/000G-9862</t>
  </si>
  <si>
    <t>1,180,000 AED</t>
  </si>
  <si>
    <t>VMX85R6366</t>
  </si>
  <si>
    <t>85520/000R-9850</t>
  </si>
  <si>
    <t>VMX30R5618</t>
  </si>
  <si>
    <t>30130/000R-9754</t>
  </si>
  <si>
    <t>VMX25G9833</t>
  </si>
  <si>
    <t>25530/000G-9801</t>
  </si>
  <si>
    <t>Malte quartz</t>
  </si>
  <si>
    <t>VMX25G9832</t>
  </si>
  <si>
    <t>25530/000G-9741</t>
  </si>
  <si>
    <t>84,500 AED</t>
  </si>
  <si>
    <t>VMX17G0427</t>
  </si>
  <si>
    <t>17626/S13G-9479</t>
  </si>
  <si>
    <t>Métiers d'Art Kalla Haute Couture à Pampilles</t>
  </si>
  <si>
    <t>2,770,000 AED</t>
  </si>
  <si>
    <t>VMX81J6986</t>
  </si>
  <si>
    <t>81180/000J-9118</t>
  </si>
  <si>
    <t>VMX81G6987</t>
  </si>
  <si>
    <t>81180/000G-9117</t>
  </si>
  <si>
    <t>VMX81R7625</t>
  </si>
  <si>
    <t>81180/000R-9159</t>
  </si>
  <si>
    <t>VMX85J8417</t>
  </si>
  <si>
    <t>85180/000J-9231</t>
  </si>
  <si>
    <t>VMX85G8413</t>
  </si>
  <si>
    <t>85180/000G-9230</t>
  </si>
  <si>
    <t>VMX85R9006</t>
  </si>
  <si>
    <t>VMX81R9178</t>
  </si>
  <si>
    <t>81180/000R-9283</t>
  </si>
  <si>
    <t>VMX81P2723</t>
  </si>
  <si>
    <t>81180/000P-9539</t>
  </si>
  <si>
    <t>107,000 AED</t>
  </si>
  <si>
    <t>VMX81R4720</t>
  </si>
  <si>
    <t>81530/000R-9682</t>
  </si>
  <si>
    <t>VMX81G4721</t>
  </si>
  <si>
    <t>81530/000G-9681</t>
  </si>
  <si>
    <t>VMX43R4740</t>
  </si>
  <si>
    <t>VMX82R1316</t>
  </si>
  <si>
    <t>VMX33R2789</t>
  </si>
  <si>
    <t>33155/000R-9588</t>
  </si>
  <si>
    <t>Historiques Ultra-fine 1955</t>
  </si>
  <si>
    <t>VMX87R9195</t>
  </si>
  <si>
    <t>87172/000R-9302</t>
  </si>
  <si>
    <t>VMX87G9194</t>
  </si>
  <si>
    <t>87172/000G-9301</t>
  </si>
  <si>
    <t>VMX80R9193</t>
  </si>
  <si>
    <t>80172/000R-9300</t>
  </si>
  <si>
    <t>Traditionnelle Grandes Complications</t>
  </si>
  <si>
    <t>VMX82R1777</t>
  </si>
  <si>
    <t>82172/000R-9382</t>
  </si>
  <si>
    <t>VMX87J2691</t>
  </si>
  <si>
    <t>87172/000J-9512</t>
  </si>
  <si>
    <t>VMX82G1776</t>
  </si>
  <si>
    <t>82172/000G-9383</t>
  </si>
  <si>
    <t>VMX80P2728</t>
  </si>
  <si>
    <t>80172/000P-9505</t>
  </si>
  <si>
    <t>2,920,000 AED</t>
  </si>
  <si>
    <t>VMX17G2089</t>
  </si>
  <si>
    <t>17625/S12G-9479</t>
  </si>
  <si>
    <t>Métiers d'Art Kalla Haute Couture à Secret</t>
  </si>
  <si>
    <t>3,820,000 AED</t>
  </si>
  <si>
    <t>X82PH063</t>
  </si>
  <si>
    <t>Historiques American 1921 (Arabic Numerals)</t>
  </si>
  <si>
    <t xml:space="preserve"> 192,000 AED</t>
  </si>
  <si>
    <t>X40PH038</t>
  </si>
  <si>
    <t>263,000 AED</t>
  </si>
  <si>
    <t>VMX14J161C</t>
  </si>
  <si>
    <t>Miniature - Ode to Amaterasu</t>
  </si>
  <si>
    <t>VMX98T181C</t>
  </si>
  <si>
    <t>Armillary tourbillon</t>
  </si>
  <si>
    <t xml:space="preserve">Allocation in July </t>
  </si>
  <si>
    <t>Client informed and waiting for his confirmation - followed up with the client - no reply yet</t>
  </si>
  <si>
    <t>RQS-UAE-119810</t>
  </si>
  <si>
    <t xml:space="preserve">4520V/210A-B483 </t>
  </si>
  <si>
    <t>A birthday gift for himself</t>
  </si>
  <si>
    <t>Client informed - He viewed the OVS Dual time black but will update us on his decision once he is back from his travels</t>
  </si>
  <si>
    <t xml:space="preserve">                                                                                                                                                                                                                                                                                                                </t>
  </si>
  <si>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</sst>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yy"/>
    <numFmt numFmtId="166" formatCode="[$AED]\ #,##0"/>
    <numFmt numFmtId="168" formatCode="[$AED]\ #,##0.00"/>
  </numFmts>
  <fonts count="13" x14ac:knownFonts="1">
    <font>
      <sz val="11"/>
      <color theme="1"/>
      <name val="Calibri"/>
      <family val="2"/>
      <scheme val="minor"/>
    </font>
    <font>
      <sz val="11"/>
      <color theme="1"/>
      <name val="Century Gothic"/>
      <family val="2"/>
    </font>
    <font>
      <u/>
      <sz val="11"/>
      <color theme="10"/>
      <name val="Calibri"/>
      <family val="2"/>
      <scheme val="minor"/>
    </font>
    <font>
      <b/>
      <sz val="11"/>
      <color theme="1"/>
      <name val="Calibri"/>
      <family val="2"/>
      <scheme val="minor"/>
    </font>
    <font>
      <sz val="12"/>
      <color rgb="FF000000"/>
      <name val="Calibri"/>
      <family val="2"/>
    </font>
    <font>
      <b/>
      <sz val="11"/>
      <color rgb="FF000000"/>
      <name val="Calibri"/>
      <family val="2"/>
      <scheme val="minor"/>
    </font>
    <font>
      <b/>
      <sz val="14"/>
      <color theme="1"/>
      <name val="Calibri"/>
      <family val="2"/>
      <scheme val="minor"/>
    </font>
    <font>
      <sz val="14"/>
      <color theme="1"/>
      <name val="Calibri"/>
      <family val="2"/>
      <scheme val="minor"/>
    </font>
    <font>
      <u/>
      <sz val="14"/>
      <color theme="10"/>
      <name val="Calibri"/>
      <family val="2"/>
      <scheme val="minor"/>
    </font>
    <font>
      <sz val="14"/>
      <color theme="10"/>
      <name val="Calibri"/>
      <family val="2"/>
      <scheme val="minor"/>
    </font>
    <font>
      <b/>
      <sz val="14"/>
      <color theme="3" tint="-0.249977111117893"/>
      <name val="Calibri"/>
      <family val="2"/>
      <scheme val="minor"/>
    </font>
    <font>
      <sz val="11"/>
      <color rgb="FF000000"/>
      <name val="Aptos Narrow"/>
      <family val="2"/>
    </font>
    <font>
      <b/>
      <sz val="1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auto="1"/>
      </left>
      <right style="thin">
        <color rgb="FF000000"/>
      </right>
      <top style="thin">
        <color rgb="FF000000"/>
      </top>
      <bottom style="thin">
        <color rgb="FF000000"/>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63">
    <xf numFmtId="0" fontId="0" fillId="0" borderId="0" xfId="0"/>
    <xf numFmtId="0" fontId="1" fillId="0" borderId="0" xfId="0" applyFont="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xf>
    <xf numFmtId="0" fontId="0" fillId="0" borderId="2" xfId="0" applyBorder="1" applyAlignment="1">
      <alignment horizontal="center" vertical="center" wrapText="1"/>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 xfId="0" pivotButton="1" applyBorder="1" applyAlignment="1">
      <alignment horizontal="center"/>
    </xf>
    <xf numFmtId="0" fontId="0" fillId="0" borderId="0" xfId="0" applyAlignment="1">
      <alignment wrapText="1"/>
    </xf>
    <xf numFmtId="0" fontId="0" fillId="0" borderId="0" xfId="0">
      <extLst>
        <ext xmlns:xfpb="http://schemas.microsoft.com/office/spreadsheetml/2022/featurepropertybag" uri="{C7286773-470A-42A8-94C5-96B5CB345126}">
          <xfpb:xfComplement i="0"/>
        </ext>
      </extLst>
    </xf>
    <xf numFmtId="1" fontId="0" fillId="0" borderId="3" xfId="0" applyNumberFormat="1" applyBorder="1" applyAlignment="1">
      <alignment horizontal="center"/>
    </xf>
    <xf numFmtId="1" fontId="0" fillId="0" borderId="3" xfId="0" applyNumberFormat="1" applyBorder="1" applyAlignment="1">
      <alignment horizontal="center" vertical="center" wrapText="1"/>
    </xf>
    <xf numFmtId="166" fontId="0" fillId="0" borderId="0" xfId="0" applyNumberFormat="1"/>
    <xf numFmtId="0" fontId="4" fillId="0" borderId="0" xfId="0" applyFont="1" applyAlignment="1">
      <alignment wrapText="1"/>
    </xf>
    <xf numFmtId="0" fontId="4" fillId="0" borderId="7" xfId="0" applyFont="1" applyBorder="1" applyAlignment="1">
      <alignment wrapText="1"/>
    </xf>
    <xf numFmtId="0" fontId="5" fillId="0" borderId="0" xfId="0" applyFont="1" applyAlignment="1">
      <alignment wrapText="1"/>
    </xf>
    <xf numFmtId="0" fontId="4" fillId="0" borderId="8" xfId="0" applyFont="1" applyBorder="1" applyAlignment="1">
      <alignment wrapText="1"/>
    </xf>
    <xf numFmtId="14" fontId="4" fillId="0" borderId="8" xfId="0" applyNumberFormat="1" applyFont="1" applyBorder="1" applyAlignment="1">
      <alignment wrapText="1"/>
    </xf>
    <xf numFmtId="0" fontId="4" fillId="0" borderId="8" xfId="0" quotePrefix="1" applyFont="1" applyBorder="1" applyAlignment="1">
      <alignment wrapText="1"/>
    </xf>
    <xf numFmtId="166" fontId="4" fillId="0" borderId="8" xfId="0" applyNumberFormat="1" applyFont="1" applyBorder="1" applyAlignment="1">
      <alignment wrapText="1"/>
    </xf>
    <xf numFmtId="0" fontId="0" fillId="0" borderId="11" xfId="0" applyBorder="1" applyAlignment="1">
      <alignment horizontal="center"/>
    </xf>
    <xf numFmtId="1" fontId="0" fillId="0" borderId="12" xfId="0" applyNumberFormat="1" applyBorder="1" applyAlignment="1">
      <alignment horizontal="center"/>
    </xf>
    <xf numFmtId="2" fontId="0" fillId="0" borderId="12" xfId="0" applyNumberFormat="1" applyBorder="1" applyAlignment="1">
      <alignment horizontal="center"/>
    </xf>
    <xf numFmtId="0" fontId="6" fillId="2" borderId="10" xfId="0" applyFont="1" applyFill="1" applyBorder="1" applyAlignment="1">
      <alignment horizontal="center" vertical="center"/>
    </xf>
    <xf numFmtId="0" fontId="7" fillId="2" borderId="8" xfId="0" applyFont="1" applyFill="1" applyBorder="1" applyAlignment="1" applyProtection="1">
      <alignment horizontal="center" vertical="center"/>
      <protection locked="0" hidden="1"/>
    </xf>
    <xf numFmtId="0" fontId="6" fillId="2" borderId="8" xfId="0" applyFont="1" applyFill="1" applyBorder="1" applyAlignment="1" applyProtection="1">
      <alignment horizontal="center" vertical="center"/>
      <protection locked="0" hidden="1"/>
    </xf>
    <xf numFmtId="4" fontId="8" fillId="2" borderId="8" xfId="1" applyNumberFormat="1" applyFont="1" applyFill="1" applyBorder="1" applyAlignment="1" applyProtection="1">
      <alignment horizontal="center" vertical="center"/>
      <protection locked="0" hidden="1"/>
    </xf>
    <xf numFmtId="0" fontId="9" fillId="2" borderId="8" xfId="1" applyNumberFormat="1" applyFont="1" applyFill="1" applyBorder="1" applyAlignment="1" applyProtection="1">
      <alignment horizontal="center" vertical="center"/>
      <protection locked="0" hidden="1"/>
    </xf>
    <xf numFmtId="1" fontId="7" fillId="2" borderId="8" xfId="0" applyNumberFormat="1" applyFont="1" applyFill="1" applyBorder="1" applyAlignment="1" applyProtection="1">
      <alignment horizontal="center" vertical="center"/>
      <protection locked="0" hidden="1"/>
    </xf>
    <xf numFmtId="0" fontId="7" fillId="0" borderId="8" xfId="0" applyFont="1" applyBorder="1" applyAlignment="1" applyProtection="1">
      <alignment horizontal="center"/>
      <protection locked="0" hidden="1"/>
    </xf>
    <xf numFmtId="164" fontId="7" fillId="2" borderId="8" xfId="0" applyNumberFormat="1" applyFont="1" applyFill="1" applyBorder="1" applyAlignment="1" applyProtection="1">
      <alignment horizontal="center" vertical="center"/>
      <protection locked="0" hidden="1"/>
    </xf>
    <xf numFmtId="2" fontId="7" fillId="2" borderId="8" xfId="0" applyNumberFormat="1" applyFont="1" applyFill="1" applyBorder="1" applyAlignment="1" applyProtection="1">
      <alignment horizontal="center" vertical="center"/>
      <protection locked="0" hidden="1"/>
    </xf>
    <xf numFmtId="49" fontId="6" fillId="3" borderId="8" xfId="0" applyNumberFormat="1" applyFont="1" applyFill="1" applyBorder="1" applyAlignment="1" applyProtection="1">
      <alignment horizontal="center" vertical="center"/>
      <protection locked="0" hidden="1"/>
    </xf>
    <xf numFmtId="164" fontId="7" fillId="2" borderId="8" xfId="0" applyNumberFormat="1" applyFont="1" applyFill="1" applyBorder="1" applyAlignment="1" applyProtection="1">
      <alignment horizontal="center" vertical="center"/>
      <protection hidden="1"/>
    </xf>
    <xf numFmtId="14" fontId="7" fillId="2" borderId="8" xfId="0" applyNumberFormat="1" applyFont="1" applyFill="1" applyBorder="1" applyAlignment="1" applyProtection="1">
      <alignment horizontal="center" vertical="center"/>
      <protection locked="0" hidden="1"/>
    </xf>
    <xf numFmtId="0" fontId="7" fillId="2" borderId="9" xfId="0" applyFont="1" applyFill="1" applyBorder="1" applyAlignment="1" applyProtection="1">
      <alignment horizontal="center" vertical="center"/>
      <protection locked="0" hidden="1"/>
    </xf>
    <xf numFmtId="49" fontId="10" fillId="2" borderId="8" xfId="0" applyNumberFormat="1" applyFont="1" applyFill="1" applyBorder="1" applyAlignment="1" applyProtection="1">
      <alignment horizontal="center" vertical="center"/>
      <protection locked="0" hidden="1"/>
    </xf>
    <xf numFmtId="0" fontId="7" fillId="2" borderId="0" xfId="0" applyFont="1" applyFill="1" applyAlignment="1" applyProtection="1">
      <alignment horizontal="center" vertical="center"/>
      <protection locked="0" hidden="1"/>
    </xf>
    <xf numFmtId="0" fontId="11" fillId="0" borderId="0" xfId="0" applyFont="1"/>
    <xf numFmtId="0" fontId="7" fillId="2" borderId="8" xfId="0" applyFont="1" applyFill="1" applyBorder="1" applyAlignment="1" applyProtection="1">
      <alignment horizontal="center" vertical="center"/>
      <protection hidden="1"/>
    </xf>
    <xf numFmtId="49" fontId="6" fillId="2" borderId="8" xfId="0" applyNumberFormat="1" applyFont="1" applyFill="1" applyBorder="1" applyAlignment="1" applyProtection="1">
      <alignment horizontal="center" vertical="center"/>
      <protection locked="0" hidden="1"/>
    </xf>
    <xf numFmtId="0" fontId="0" fillId="0" borderId="13" xfId="0" applyBorder="1" applyAlignment="1">
      <alignment horizontal="center"/>
    </xf>
    <xf numFmtId="0" fontId="0" fillId="2" borderId="1" xfId="0" applyFill="1" applyBorder="1" applyAlignment="1">
      <alignment horizontal="center"/>
    </xf>
    <xf numFmtId="166" fontId="0" fillId="2" borderId="1" xfId="0" applyNumberFormat="1" applyFill="1" applyBorder="1" applyAlignment="1">
      <alignment horizontal="center"/>
    </xf>
    <xf numFmtId="0" fontId="12" fillId="0" borderId="1" xfId="0" applyFont="1" applyBorder="1" applyAlignment="1">
      <alignment horizontal="center"/>
    </xf>
    <xf numFmtId="0" fontId="12" fillId="0" borderId="1" xfId="0" pivotButton="1" applyFont="1" applyBorder="1" applyAlignment="1">
      <alignment horizontal="center"/>
    </xf>
    <xf numFmtId="168" fontId="0" fillId="0" borderId="12" xfId="0" applyNumberFormat="1" applyBorder="1" applyAlignment="1">
      <alignment horizontal="center"/>
    </xf>
    <xf numFmtId="166" fontId="0" fillId="0" borderId="12" xfId="0" applyNumberFormat="1" applyBorder="1" applyAlignment="1">
      <alignment horizontal="center"/>
    </xf>
    <xf numFmtId="168" fontId="0" fillId="0" borderId="12" xfId="0" applyNumberFormat="1" applyBorder="1" applyAlignment="1">
      <alignment horizontal="center" wrapText="1"/>
    </xf>
    <xf numFmtId="164" fontId="7" fillId="0" borderId="8" xfId="0" applyNumberFormat="1" applyFont="1" applyBorder="1" applyAlignment="1" applyProtection="1">
      <alignment horizontal="center" vertical="center"/>
      <protection locked="0" hidden="1"/>
    </xf>
    <xf numFmtId="0" fontId="0" fillId="0" borderId="6" xfId="0" applyBorder="1" applyAlignment="1">
      <alignment horizontal="center" wrapText="1"/>
    </xf>
    <xf numFmtId="0" fontId="0" fillId="0" borderId="2"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wrapText="1"/>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12" xfId="0" applyBorder="1" applyAlignment="1">
      <alignment horizontal="center" vertical="center" wrapText="1"/>
    </xf>
    <xf numFmtId="0" fontId="0" fillId="0" borderId="5" xfId="0" applyBorder="1" applyAlignment="1">
      <alignment horizontal="center" vertical="center"/>
    </xf>
    <xf numFmtId="0" fontId="0" fillId="0" borderId="1" xfId="0" pivotButton="1" applyBorder="1" applyAlignment="1">
      <alignment horizontal="center" vertical="center"/>
    </xf>
    <xf numFmtId="0" fontId="3" fillId="2" borderId="1" xfId="0" applyFont="1" applyFill="1" applyBorder="1" applyAlignment="1">
      <alignment horizontal="center"/>
    </xf>
    <xf numFmtId="0" fontId="3" fillId="0" borderId="0" xfId="0" applyFont="1" applyAlignment="1">
      <alignment horizontal="center" vertical="center"/>
    </xf>
  </cellXfs>
  <cellStyles count="2">
    <cellStyle name="Hyperlink" xfId="1" builtinId="8"/>
    <cellStyle name="Normal" xfId="0" builtinId="0"/>
  </cellStyles>
  <dxfs count="143">
    <dxf>
      <font>
        <b/>
        <i val="0"/>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i val="0"/>
      </font>
      <fill>
        <patternFill patternType="darkDown">
          <fgColor rgb="FF6EA92D"/>
          <bgColor rgb="FF92D050"/>
        </patternFill>
      </fill>
    </dxf>
    <dxf>
      <numFmt numFmtId="0" formatCode="General"/>
    </dxf>
    <dxf>
      <extLst>
        <ext xmlns:xfpb="http://schemas.microsoft.com/office/spreadsheetml/2022/featurepropertybag" uri="{0417FA29-78FA-4A13-93AC-8FF0FAFDF519}">
          <xfpb:DXFComplement i="0"/>
        </ext>
      </extLst>
    </dxf>
    <dxf>
      <numFmt numFmtId="0" formatCode="General"/>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66"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166"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9" formatCode="m/d/yyyy"/>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thin">
          <color indexed="64"/>
        </left>
        <right style="thin">
          <color indexed="64"/>
        </right>
        <top style="thin">
          <color indexed="64"/>
        </top>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border outline="0">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fill>
        <patternFill patternType="solid">
          <bgColor theme="0" tint="-4.9989318521683403E-2"/>
        </patternFill>
      </fill>
    </dxf>
    <dxf>
      <font>
        <color auto="1"/>
      </font>
    </dxf>
    <dxf>
      <font>
        <color auto="1"/>
      </font>
    </dxf>
    <dxf>
      <font>
        <b/>
      </font>
    </dxf>
    <dxf>
      <font>
        <b/>
      </font>
    </dxf>
    <dxf>
      <font>
        <color auto="1"/>
      </font>
    </dxf>
    <dxf>
      <font>
        <b val="0"/>
      </font>
    </dxf>
    <dxf>
      <font>
        <b val="0"/>
      </font>
    </dxf>
    <dxf>
      <font>
        <b val="0"/>
      </font>
    </dxf>
    <dxf>
      <font>
        <b val="0"/>
      </font>
    </dxf>
    <dxf>
      <font>
        <b val="0"/>
      </font>
    </dxf>
    <dxf>
      <font>
        <b val="0"/>
      </font>
    </dxf>
    <dxf>
      <font>
        <b val="0"/>
      </font>
    </dxf>
    <dxf>
      <font>
        <b val="0"/>
      </font>
    </dxf>
    <dxf>
      <font>
        <b/>
      </font>
    </dxf>
    <dxf>
      <font>
        <b/>
      </font>
    </dxf>
    <dxf>
      <font>
        <b val="0"/>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s>
  <tableStyles count="0" defaultTableStyle="TableStyleMedium2" defaultPivotStyle="PivotStyleLight16"/>
  <colors>
    <mruColors>
      <color rgb="FFCC6600"/>
      <color rgb="FFF2F2F2"/>
      <color rgb="FFFFFFFF"/>
      <color rgb="FF6EA9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22/11/relationships/FeaturePropertyBag" Target="featurePropertyBag/featurePropertyBag.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theme" Target="theme/theme1.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powerPivotData" Target="model/item.data"/></Relationships>
</file>

<file path=xl/drawings/drawing1.xml><?xml version="1.0" encoding="utf-8"?>
<xdr:wsDr xmlns:xdr="http://schemas.openxmlformats.org/drawingml/2006/spreadsheetDrawing" xmlns:a="http://schemas.openxmlformats.org/drawingml/2006/main">
  <xdr:twoCellAnchor editAs="oneCell">
    <xdr:from>
      <xdr:col>17</xdr:col>
      <xdr:colOff>466725</xdr:colOff>
      <xdr:row>1</xdr:row>
      <xdr:rowOff>133350</xdr:rowOff>
    </xdr:from>
    <xdr:to>
      <xdr:col>20</xdr:col>
      <xdr:colOff>131445</xdr:colOff>
      <xdr:row>3</xdr:row>
      <xdr:rowOff>38100</xdr:rowOff>
    </xdr:to>
    <mc:AlternateContent xmlns:mc="http://schemas.openxmlformats.org/markup-compatibility/2006" xmlns:a14="http://schemas.microsoft.com/office/drawing/2010/main">
      <mc:Choice Requires="a14">
        <xdr:graphicFrame macro="">
          <xdr:nvGraphicFramePr>
            <xdr:cNvPr id="2" name="SALES ASSOCIATE">
              <a:extLst>
                <a:ext uri="{FF2B5EF4-FFF2-40B4-BE49-F238E27FC236}">
                  <a16:creationId xmlns:a16="http://schemas.microsoft.com/office/drawing/2014/main" id="{46EEF40D-0578-E5F1-5406-C8B9FAF843B5}"/>
                </a:ext>
              </a:extLst>
            </xdr:cNvPr>
            <xdr:cNvGraphicFramePr/>
          </xdr:nvGraphicFramePr>
          <xdr:xfrm>
            <a:off x="0" y="0"/>
            <a:ext cx="0" cy="0"/>
          </xdr:xfrm>
          <a:graphic>
            <a:graphicData uri="http://schemas.microsoft.com/office/drawing/2010/slicer">
              <sle:slicer xmlns:sle="http://schemas.microsoft.com/office/drawing/2010/slicer" name="SALES ASSOCIATE"/>
            </a:graphicData>
          </a:graphic>
        </xdr:graphicFrame>
      </mc:Choice>
      <mc:Fallback xmlns="">
        <xdr:sp macro="" textlink="">
          <xdr:nvSpPr>
            <xdr:cNvPr id="0" name=""/>
            <xdr:cNvSpPr>
              <a:spLocks noTextEdit="1"/>
            </xdr:cNvSpPr>
          </xdr:nvSpPr>
          <xdr:spPr>
            <a:xfrm>
              <a:off x="19432905" y="310515"/>
              <a:ext cx="1834515" cy="24498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SHARIF Maaz (EXT-VAC-AE)" id="{B30CC94F-FCD8-4228-83F9-E2B58EE29E15}" userId="S::maaz.sharif@vacheron-constantin.com::a671b522-a429-4c82-a824-426545ff4d27"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671295" createdVersion="8" refreshedVersion="8" minRefreshableVersion="3" recordCount="564" xr:uid="{78C9C2B7-CD93-45F5-B539-BBDC396D50AC}">
  <cacheSource type="worksheet">
    <worksheetSource name="OpenPendingCases"/>
  </cacheSource>
  <cacheFields count="38">
    <cacheField name="No. " numFmtId="0">
      <sharedItems containsString="0" containsBlank="1" containsNumber="1" containsInteger="1" minValue="1" maxValue="100"/>
    </cacheField>
    <cacheField name="Search Open" numFmtId="0">
      <sharedItems containsBlank="1" containsMixedTypes="1" containsNumber="1" containsInteger="1" minValue="1" maxValue="3"/>
    </cacheField>
    <cacheField name="Search pending" numFmtId="0">
      <sharedItems containsMixedTypes="1" containsNumber="1" containsInteger="1" minValue="1" maxValue="7"/>
    </cacheField>
    <cacheField name="CRC Name" numFmtId="0">
      <sharedItems containsBlank="1" count="6">
        <s v="Asma"/>
        <s v="Asma "/>
        <s v="Riham "/>
        <s v="Riham"/>
        <s v="Maaz"/>
        <m/>
      </sharedItems>
    </cacheField>
    <cacheField name="Airtable Request Number" numFmtId="0">
      <sharedItems containsDate="1" containsBlank="1" containsMixedTypes="1" minDate="2025-04-16T00:00:00" maxDate="2025-04-17T00:00:00"/>
    </cacheField>
    <cacheField name="Airtable Request Enty Date" numFmtId="14">
      <sharedItems containsDate="1" containsBlank="1" containsMixedTypes="1" minDate="2024-05-12T00:00:00" maxDate="2025-10-08T00:00:00"/>
    </cacheField>
    <cacheField name="Request Entry Date" numFmtId="14">
      <sharedItems containsNonDate="0" containsDate="1" containsString="0" containsBlank="1" minDate="2024-08-11T00:00:00" maxDate="2025-10-08T00:00:00"/>
    </cacheField>
    <cacheField name="Piece location" numFmtId="164">
      <sharedItems containsBlank="1" count="5">
        <s v="Boutique Stock"/>
        <s v="CRC Stock"/>
        <s v=""/>
        <m/>
        <s v="BTQ Stock"/>
      </sharedItems>
    </cacheField>
    <cacheField name="Transaction location" numFmtId="0">
      <sharedItems containsBlank="1" count="5">
        <s v="Boutique Stock"/>
        <s v="CRC Stock"/>
        <s v=""/>
        <s v="BTQ Stock"/>
        <m u="1"/>
      </sharedItems>
    </cacheField>
    <cacheField name=" Timepiece Status" numFmtId="0">
      <sharedItems containsBlank="1" count="7">
        <s v="Allocation confirmed(Deposit paid)"/>
        <s v="Allocation Closed (Sold)"/>
        <s v="Allocation Confirmed"/>
        <s v="Approved by HQ"/>
        <s v="Awaiting HQ Approval"/>
        <m/>
        <s v="Currently Under Review"/>
      </sharedItems>
    </cacheField>
    <cacheField name="Potential Same Month" numFmtId="49">
      <sharedItems containsBlank="1" count="4">
        <s v="High"/>
        <s v="Medium"/>
        <s v="Low"/>
        <m/>
      </sharedItems>
    </cacheField>
    <cacheField name="Transaction Market" numFmtId="0">
      <sharedItems containsBlank="1"/>
    </cacheField>
    <cacheField name="Timepiece Reference " numFmtId="0">
      <sharedItems containsBlank="1" count="26">
        <s v="7920V/210A-B334"/>
        <s v="5520V/210A-B148 "/>
        <s v="4200H/222J-B935"/>
        <s v="4600E/000A-B442"/>
        <s v="4520V/210R-B705"/>
        <s v="1225V/200A-B590"/>
        <s v="7920V/210A-B333"/>
        <s v="5520V/210A-B686"/>
        <s v="4520V/210A-B128"/>
        <s v="5520V/210R-B966"/>
        <s v="4000V/210A-B911"/>
        <s v="82035/000P-H063"/>
        <s v="7920V/210R-B965"/>
        <s v="4520V/210R-B967"/>
        <s v="7920V/210A-B546"/>
        <s v="4010T/000G-B740"/>
        <s v="4000E/000A-B439"/>
        <s v="43075/000R-9737"/>
        <m/>
        <s v="4605V/200R-B969 "/>
        <s v="4520V/210R-B967 " u="1"/>
        <s v="4300V/220R-B547 " u="1"/>
        <s v="4020T/000P-H038 " u="1"/>
        <s v="4600E/000A-B487 " u="1"/>
        <s v="4520V/210A-B483 " u="1"/>
        <s v="4606F/000G-B649 " u="1"/>
      </sharedItems>
    </cacheField>
    <cacheField name="Collection Name" numFmtId="0">
      <sharedItems containsBlank="1" count="22">
        <s v="Overseas dual time Blue"/>
        <s v="Overseas chronograph"/>
        <s v="Historiques 222"/>
        <s v="Fiftysix self-winding"/>
        <s v="Overseas self-winding"/>
        <s v="Overseas quartz"/>
        <s v="Overseas dual time Silver"/>
        <s v="Overseas chronograph Pink Gold"/>
        <s v="Overseas moon phase retrograde date"/>
        <s v="Historiques American 1921 - Arabic"/>
        <s v="Overseas dual time Green"/>
        <s v="Overseas self-winding Green"/>
        <s v="Overseas dual time Black"/>
        <s v="Traditionnelle complete calendar"/>
        <s v="Fiftysix complete calendar"/>
        <s v="Traditionnelle self-winding ultra-thin"/>
        <s v=""/>
        <m/>
        <s v="Overseas self-winding Green Diamonds - Pink Gold"/>
        <s v="Overseas perpetual calendar ultra-thin skeleton" u="1"/>
        <s v="Traditionnelle complete calendar openface" u="1"/>
        <s v="Fiftysix " u="1"/>
      </sharedItems>
    </cacheField>
    <cacheField name="Price" numFmtId="4">
      <sharedItems containsBlank="1"/>
    </cacheField>
    <cacheField name="Price 2" numFmtId="0">
      <sharedItems containsBlank="1" containsMixedTypes="1" containsNumber="1" containsInteger="1" minValue="48000" maxValue="299000"/>
    </cacheField>
    <cacheField name="Client ID" numFmtId="0">
      <sharedItems containsString="0" containsBlank="1" containsNumber="1" containsInteger="1" minValue="92407646" maxValue="107400628"/>
    </cacheField>
    <cacheField name="Karen Comment ﾂ" numFmtId="0">
      <sharedItems containsBlank="1"/>
    </cacheField>
    <cacheField name="Sale Status_x0009_" numFmtId="0">
      <sharedItems containsBlank="1"/>
    </cacheField>
    <cacheField name="Column1" numFmtId="0">
      <sharedItems containsNonDate="0" containsString="0" containsBlank="1"/>
    </cacheField>
    <cacheField name="Invoice Month" numFmtId="0">
      <sharedItems containsBlank="1"/>
    </cacheField>
    <cacheField name="Payment Method" numFmtId="49">
      <sharedItems containsBlank="1"/>
    </cacheField>
    <cacheField name="Invoice Number" numFmtId="0">
      <sharedItems containsBlank="1" containsMixedTypes="1" containsNumber="1" containsInteger="1" minValue="6100098091" maxValue="6100102079"/>
    </cacheField>
    <cacheField name="Invoice Date" numFmtId="164">
      <sharedItems containsDate="1" containsBlank="1" containsMixedTypes="1" minDate="2025-04-07T00:00:00" maxDate="2025-07-03T00:00:00" count="7">
        <m/>
        <d v="2025-04-07T00:00:00"/>
        <d v="2025-07-02T00:00:00"/>
        <d v="2025-06-13T00:00:00"/>
        <d v="2025-04-27T00:00:00"/>
        <d v="2025-05-03T00:00:00"/>
        <s v="17/6/2025"/>
      </sharedItems>
    </cacheField>
    <cacheField name="NO Of  Open  days" numFmtId="0">
      <sharedItems containsBlank="1"/>
    </cacheField>
    <cacheField name="Pending days (timepieces)" numFmtId="0">
      <sharedItems containsBlank="1"/>
    </cacheField>
    <cacheField name="NO of Pending Days" numFmtId="49">
      <sharedItems containsBlank="1" containsMixedTypes="1" containsNumber="1" containsInteger="1" minValue="18" maxValue="179"/>
    </cacheField>
    <cacheField name="NO Of  Open " numFmtId="2">
      <sharedItems containsBlank="1"/>
    </cacheField>
    <cacheField name="Description" numFmtId="0">
      <sharedItems containsBlank="1" longText="1"/>
    </cacheField>
    <cacheField name="Timepiece Request Updates" numFmtId="0">
      <sharedItems containsBlank="1"/>
    </cacheField>
    <cacheField name="Client Request Updates" numFmtId="0">
      <sharedItems containsBlank="1" longText="1"/>
    </cacheField>
    <cacheField name="Transferred TO" numFmtId="0">
      <sharedItems containsNonDate="0" containsString="0" containsBlank="1"/>
    </cacheField>
    <cacheField name="Captured date (Month and Year)" numFmtId="0">
      <sharedItems/>
    </cacheField>
    <cacheField name="Month" numFmtId="0">
      <sharedItems/>
    </cacheField>
    <cacheField name="Adjusted Price" numFmtId="0">
      <sharedItems containsMixedTypes="1" containsNumber="1" containsInteger="1" minValue="48000" maxValue="299000"/>
    </cacheField>
    <cacheField name="Adjusted Price2" numFmtId="0">
      <sharedItems containsMixedTypes="1" containsNumber="1" containsInteger="1" minValue="48000" maxValue="299000"/>
    </cacheField>
    <cacheField name="Adjusted Price3" numFmtId="0">
      <sharedItems containsMixedTypes="1" containsNumber="1" containsInteger="1" minValue="48000" maxValue="299000"/>
    </cacheField>
    <cacheField name="Adjusted Price4" numFmtId="0">
      <sharedItems containsBlank="1"/>
    </cacheField>
  </cacheFields>
  <extLst>
    <ext xmlns:x14="http://schemas.microsoft.com/office/spreadsheetml/2009/9/main" uri="{725AE2AE-9491-48be-B2B4-4EB974FC3084}">
      <x14:pivotCacheDefinition pivotCacheId="101124535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90278" createdVersion="8" refreshedVersion="8" minRefreshableVersion="3" recordCount="509" xr:uid="{B108093A-BC7D-4317-9CE3-453C9417AC48}">
  <cacheSource type="worksheet">
    <worksheetSource name="Table14"/>
  </cacheSource>
  <cacheFields count="10">
    <cacheField name="STATUS" numFmtId="0">
      <sharedItems/>
    </cacheField>
    <cacheField name="CLIENT FEEDBACK" numFmtId="0">
      <sharedItems/>
    </cacheField>
    <cacheField name="REQUEST DATE" numFmtId="0">
      <sharedItems/>
    </cacheField>
    <cacheField name="REFERENCE" numFmtId="0">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numFmtId="0">
      <sharedItems count="1">
        <s v="Phone sales Middle East"/>
      </sharedItems>
    </cacheField>
    <cacheField name="CLIENT ID" numFmtId="0">
      <sharedItems count="410">
        <s v=""/>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haredItems>
    </cacheField>
    <cacheField name="CLIENT SEGMENT" numFmtId="0">
      <sharedItems/>
    </cacheField>
    <cacheField name="SALES ASSOCIATE" numFmtId="0">
      <sharedItems count="4">
        <s v="SHARIF Maaz"/>
        <s v="TAHHAN Riham"/>
        <s v="OMARI Asma"/>
        <s v="ALOTAIBI Reem"/>
      </sharedItems>
    </cacheField>
    <cacheField name="COMMENTS" numFmtId="0">
      <sharedItems/>
    </cacheField>
    <cacheField name="Avaliblity" numFmtId="0">
      <sharedItems containsNonDate="0" containsString="0" containsBlank="1"/>
    </cacheField>
  </cacheFields>
  <extLst>
    <ext xmlns:x14="http://schemas.microsoft.com/office/spreadsheetml/2009/9/main" uri="{725AE2AE-9491-48be-B2B4-4EB974FC3084}">
      <x14:pivotCacheDefinition pivotCacheId="15818583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s v="Request"/>
    <s v=""/>
    <s v="13/5/2025"/>
    <x v="0"/>
    <x v="0"/>
    <x v="0"/>
    <s v="Prospect"/>
    <x v="0"/>
    <s v="The client is intrested in the B911 and the Fiftysix _x000a_"/>
    <m/>
  </r>
  <r>
    <s v="Request"/>
    <s v=""/>
    <s v="13/5/2025"/>
    <x v="1"/>
    <x v="0"/>
    <x v="0"/>
    <s v="Prospect"/>
    <x v="0"/>
    <s v="Fiftysix complete calendar_x000a_"/>
    <m/>
  </r>
  <r>
    <s v="Request"/>
    <s v=""/>
    <s v="10/5/2025"/>
    <x v="2"/>
    <x v="0"/>
    <x v="0"/>
    <s v="Prospect"/>
    <x v="1"/>
    <s v="_x000a_"/>
    <m/>
  </r>
  <r>
    <s v="Request"/>
    <s v=""/>
    <s v="10/5/2025"/>
    <x v="3"/>
    <x v="0"/>
    <x v="0"/>
    <s v=""/>
    <x v="2"/>
    <s v="Aleksandr Luchenko_x000a_"/>
    <m/>
  </r>
  <r>
    <s v="Request"/>
    <s v=""/>
    <s v="6/5/2025"/>
    <x v="2"/>
    <x v="0"/>
    <x v="1"/>
    <s v="Prospect"/>
    <x v="1"/>
    <s v=""/>
    <m/>
  </r>
  <r>
    <s v="Request"/>
    <s v=""/>
    <s v="6/5/2025"/>
    <x v="4"/>
    <x v="0"/>
    <x v="2"/>
    <s v="Prospect"/>
    <x v="0"/>
    <s v=""/>
    <m/>
  </r>
  <r>
    <s v="Request"/>
    <s v=""/>
    <s v="6/5/2025"/>
    <x v="0"/>
    <x v="0"/>
    <x v="3"/>
    <s v="Prospect"/>
    <x v="1"/>
    <s v=""/>
    <m/>
  </r>
  <r>
    <s v="Request"/>
    <s v=""/>
    <s v="3/5/2025"/>
    <x v="2"/>
    <x v="0"/>
    <x v="4"/>
    <s v="Prospect"/>
    <x v="2"/>
    <s v="Mohammed Omar_x000a_"/>
    <m/>
  </r>
  <r>
    <s v="Request"/>
    <s v=""/>
    <s v="2/5/2025"/>
    <x v="3"/>
    <x v="0"/>
    <x v="5"/>
    <s v="Prospect"/>
    <x v="1"/>
    <s v=""/>
    <m/>
  </r>
  <r>
    <s v="Request"/>
    <s v=""/>
    <s v="1/5/2025"/>
    <x v="2"/>
    <x v="0"/>
    <x v="6"/>
    <s v="Prospect"/>
    <x v="1"/>
    <s v="The client will visit UAE_x000a_"/>
    <m/>
  </r>
  <r>
    <s v="Request"/>
    <s v=""/>
    <s v="29/4/2025"/>
    <x v="0"/>
    <x v="0"/>
    <x v="7"/>
    <s v="Prospect"/>
    <x v="0"/>
    <s v="Moonphase and 222_x000a_"/>
    <m/>
  </r>
  <r>
    <s v="Request"/>
    <s v=""/>
    <s v="29/4/2025"/>
    <x v="2"/>
    <x v="0"/>
    <x v="8"/>
    <s v="Prospect"/>
    <x v="1"/>
    <s v=""/>
    <m/>
  </r>
  <r>
    <s v="Request"/>
    <s v="Confirmed"/>
    <s v="25/4/2025"/>
    <x v="5"/>
    <x v="0"/>
    <x v="9"/>
    <s v="Prospect"/>
    <x v="0"/>
    <s v="The client is interested in either the bule or green dual time _x000a_"/>
    <m/>
  </r>
  <r>
    <s v="Request"/>
    <s v="Pending client feedback"/>
    <s v="23/4/2025"/>
    <x v="0"/>
    <x v="0"/>
    <x v="10"/>
    <s v="Prospect"/>
    <x v="2"/>
    <s v="order placed for Phone sales._x000a_"/>
    <m/>
  </r>
  <r>
    <s v="Request"/>
    <s v=""/>
    <s v="23/4/2025"/>
    <x v="2"/>
    <x v="0"/>
    <x v="10"/>
    <s v="Prospect"/>
    <x v="2"/>
    <s v="Aziz Ata_x000a_"/>
    <m/>
  </r>
  <r>
    <s v="Sold"/>
    <s v="Confirmed"/>
    <s v="19/4/2025"/>
    <x v="6"/>
    <x v="0"/>
    <x v="11"/>
    <s v="Prospect"/>
    <x v="1"/>
    <s v=""/>
    <m/>
  </r>
  <r>
    <s v="Request"/>
    <s v=""/>
    <s v="19/4/2025"/>
    <x v="0"/>
    <x v="0"/>
    <x v="12"/>
    <s v="Prospect"/>
    <x v="0"/>
    <s v="UAE - Collector AP, RM_x000a_"/>
    <m/>
  </r>
  <r>
    <s v="Request"/>
    <s v=""/>
    <s v="19/4/2025"/>
    <x v="3"/>
    <x v="0"/>
    <x v="12"/>
    <s v="Prospect"/>
    <x v="0"/>
    <s v=""/>
    <m/>
  </r>
  <r>
    <s v="Request"/>
    <s v=""/>
    <s v="19/4/2025"/>
    <x v="2"/>
    <x v="0"/>
    <x v="12"/>
    <s v="Prospect"/>
    <x v="0"/>
    <s v=""/>
    <m/>
  </r>
  <r>
    <s v="Request"/>
    <s v=""/>
    <s v="19/4/2025"/>
    <x v="7"/>
    <x v="0"/>
    <x v="12"/>
    <s v="Prospect"/>
    <x v="0"/>
    <s v=""/>
    <m/>
  </r>
  <r>
    <s v="Request"/>
    <s v=""/>
    <s v="18/4/2025"/>
    <x v="8"/>
    <x v="0"/>
    <x v="13"/>
    <s v="Prospect"/>
    <x v="1"/>
    <s v=""/>
    <m/>
  </r>
  <r>
    <s v="Request"/>
    <s v=""/>
    <s v="18/4/2025"/>
    <x v="3"/>
    <x v="0"/>
    <x v="14"/>
    <s v="Prospect"/>
    <x v="2"/>
    <s v="Erkan Kaya_x000a_"/>
    <m/>
  </r>
  <r>
    <s v="Request"/>
    <s v=""/>
    <s v="17/4/2025"/>
    <x v="9"/>
    <x v="0"/>
    <x v="15"/>
    <s v="Client"/>
    <x v="2"/>
    <s v="Majid Rahman (intrested in Novelties)_x000a_"/>
    <m/>
  </r>
  <r>
    <s v="Request"/>
    <s v=""/>
    <s v="17/4/2025"/>
    <x v="2"/>
    <x v="0"/>
    <x v="16"/>
    <s v="Prospect"/>
    <x v="0"/>
    <s v="KSA 222_x000a_"/>
    <m/>
  </r>
  <r>
    <s v="Request"/>
    <s v=""/>
    <s v="16/4/2025"/>
    <x v="3"/>
    <x v="0"/>
    <x v="17"/>
    <s v="Prospect"/>
    <x v="2"/>
    <s v="Ms. Theresa Jaeger : Gift for her husband birthday_x000a_"/>
    <m/>
  </r>
  <r>
    <s v="Request"/>
    <s v=""/>
    <s v="16/4/2025"/>
    <x v="2"/>
    <x v="0"/>
    <x v="18"/>
    <s v="Prospect"/>
    <x v="2"/>
    <s v="Mr. Abdulelah Bineid : ksa_x000a_"/>
    <m/>
  </r>
  <r>
    <s v="Request"/>
    <s v=""/>
    <s v="16/4/2025"/>
    <x v="10"/>
    <x v="0"/>
    <x v="19"/>
    <s v="Prospect"/>
    <x v="0"/>
    <s v="client showed interest _x000a_"/>
    <m/>
  </r>
  <r>
    <s v="Request"/>
    <s v="Confirmed"/>
    <s v="16/4/2025"/>
    <x v="11"/>
    <x v="0"/>
    <x v="20"/>
    <s v="Prospect"/>
    <x v="0"/>
    <s v="**Managing Director**_x000a__x000a_- **Companies:**_x000a_- **Blue Star Tiles** (real estate/construction) fiftysix black dial _x000a__x000a__x000a_"/>
    <m/>
  </r>
  <r>
    <s v="Request"/>
    <s v=""/>
    <s v="15/4/2025"/>
    <x v="2"/>
    <x v="0"/>
    <x v="21"/>
    <s v="Prospect"/>
    <x v="1"/>
    <s v=""/>
    <m/>
  </r>
  <r>
    <s v="Request"/>
    <s v=""/>
    <s v="15/4/2025"/>
    <x v="2"/>
    <x v="0"/>
    <x v="0"/>
    <s v="Prospect"/>
    <x v="1"/>
    <s v="_x000a_"/>
    <m/>
  </r>
  <r>
    <s v="Cancelled"/>
    <s v="Cancelled"/>
    <s v="12/4/2025"/>
    <x v="0"/>
    <x v="0"/>
    <x v="9"/>
    <s v="Prospect"/>
    <x v="0"/>
    <s v=""/>
    <m/>
  </r>
  <r>
    <s v="Request"/>
    <s v=""/>
    <s v="12/4/2025"/>
    <x v="5"/>
    <x v="0"/>
    <x v="22"/>
    <s v="Prospect"/>
    <x v="0"/>
    <s v="the client owns : Rolex Submariner 126613LB - Rolex Datejust 41 - Rolex Submariner Date 41mm **Target budget ~185,000 AE**  _x000a_"/>
    <m/>
  </r>
  <r>
    <s v="Request"/>
    <s v=""/>
    <s v="9/4/2025"/>
    <x v="2"/>
    <x v="0"/>
    <x v="23"/>
    <s v="Prospect"/>
    <x v="2"/>
    <s v="Ahmed El-Badawy_x000a_"/>
    <m/>
  </r>
  <r>
    <s v="Request"/>
    <s v=""/>
    <s v="8/4/2025"/>
    <x v="12"/>
    <x v="0"/>
    <x v="24"/>
    <s v="Prospect"/>
    <x v="0"/>
    <s v="dual time ksa _x000a_"/>
    <m/>
  </r>
  <r>
    <s v="Request"/>
    <s v=""/>
    <s v="8/4/2025"/>
    <x v="2"/>
    <x v="0"/>
    <x v="25"/>
    <s v="Prospect"/>
    <x v="0"/>
    <s v="222 KSA client - P_x000a_"/>
    <m/>
  </r>
  <r>
    <s v="Request"/>
    <s v=""/>
    <s v="8/4/2025"/>
    <x v="12"/>
    <x v="0"/>
    <x v="2"/>
    <s v="Prospect"/>
    <x v="0"/>
    <s v="the dual  time , _x000a_"/>
    <m/>
  </r>
  <r>
    <s v="Request"/>
    <s v=""/>
    <s v="6/4/2025"/>
    <x v="12"/>
    <x v="0"/>
    <x v="2"/>
    <s v="Prospect"/>
    <x v="0"/>
    <s v="very interested in the dual time and Chronograph _x000a_"/>
    <m/>
  </r>
  <r>
    <s v="Request"/>
    <s v=""/>
    <s v="5/4/2025"/>
    <x v="2"/>
    <x v="0"/>
    <x v="26"/>
    <s v="Prospect"/>
    <x v="0"/>
    <s v="222_x000a_"/>
    <m/>
  </r>
  <r>
    <s v="Request"/>
    <s v=""/>
    <s v="4/4/2025"/>
    <x v="2"/>
    <x v="0"/>
    <x v="27"/>
    <s v="Prospect"/>
    <x v="2"/>
    <s v="Mr. Sultan Al Saud ksa_x000a_"/>
    <m/>
  </r>
  <r>
    <s v="Request"/>
    <s v=""/>
    <s v="4/4/2025"/>
    <x v="2"/>
    <x v="0"/>
    <x v="28"/>
    <s v="Client"/>
    <x v="1"/>
    <s v="0098845999 - 0101108337 client is an owner of OVS dual time. But now he is interested in 222 and requested to be added to the waiting list_x000a_"/>
    <m/>
  </r>
  <r>
    <s v="Request"/>
    <s v=""/>
    <s v="3/4/2025"/>
    <x v="4"/>
    <x v="0"/>
    <x v="29"/>
    <s v="Prospect"/>
    <x v="1"/>
    <s v=""/>
    <m/>
  </r>
  <r>
    <s v="Request"/>
    <s v=""/>
    <s v="3/4/2025"/>
    <x v="3"/>
    <x v="0"/>
    <x v="30"/>
    <s v="Prospect"/>
    <x v="2"/>
    <s v="Mr. Amit Agarwal (india)_x000a_"/>
    <m/>
  </r>
  <r>
    <s v="Request"/>
    <s v=""/>
    <s v="3/4/2025"/>
    <x v="2"/>
    <x v="0"/>
    <x v="31"/>
    <s v="Prospect"/>
    <x v="2"/>
    <s v="Mr. Aliwavip Etowati (Egypt)_x000a_"/>
    <m/>
  </r>
  <r>
    <s v="Request"/>
    <s v=""/>
    <s v="3/4/2025"/>
    <x v="13"/>
    <x v="0"/>
    <x v="32"/>
    <s v="Prospect"/>
    <x v="0"/>
    <s v="222_x000a_"/>
    <m/>
  </r>
  <r>
    <s v="Request"/>
    <s v=""/>
    <s v="3/4/2025"/>
    <x v="2"/>
    <x v="0"/>
    <x v="33"/>
    <s v="Prospect"/>
    <x v="0"/>
    <s v="[Obaid Mubarak Al muhairi](mailto:Obaidmuhairi@gmail.com) | a collector _x000a_"/>
    <m/>
  </r>
  <r>
    <s v="Request"/>
    <s v=""/>
    <s v="3/4/2025"/>
    <x v="14"/>
    <x v="0"/>
    <x v="34"/>
    <s v="Prospect"/>
    <x v="0"/>
    <s v="Fiftysix black dial _x000a_"/>
    <m/>
  </r>
  <r>
    <s v="Request"/>
    <s v=""/>
    <s v="2/4/2025"/>
    <x v="3"/>
    <x v="0"/>
    <x v="35"/>
    <s v="Prospect"/>
    <x v="2"/>
    <s v="Mr. Sameer Rafique_x000a_"/>
    <m/>
  </r>
  <r>
    <s v="Request"/>
    <s v=""/>
    <s v="2/4/2025"/>
    <x v="15"/>
    <x v="0"/>
    <x v="36"/>
    <s v="Prospect"/>
    <x v="2"/>
    <s v="Mr. Vincent Kedikilwe_x000a_"/>
    <m/>
  </r>
  <r>
    <s v="Request"/>
    <s v=""/>
    <s v="2/4/2025"/>
    <x v="2"/>
    <x v="0"/>
    <x v="37"/>
    <s v="Prospect"/>
    <x v="2"/>
    <s v="Salman Almashari ksa_x000a_"/>
    <m/>
  </r>
  <r>
    <s v="Request"/>
    <s v=""/>
    <s v="2/4/2025"/>
    <x v="16"/>
    <x v="0"/>
    <x v="38"/>
    <s v="Prospect"/>
    <x v="0"/>
    <s v=""/>
    <m/>
  </r>
  <r>
    <s v="Request"/>
    <s v=""/>
    <s v="1/4/2025"/>
    <x v="2"/>
    <x v="0"/>
    <x v="39"/>
    <s v="Prospect"/>
    <x v="1"/>
    <s v=""/>
    <m/>
  </r>
  <r>
    <s v="Cancelled"/>
    <s v="Cancelled"/>
    <s v="1/4/2025"/>
    <x v="17"/>
    <x v="0"/>
    <x v="40"/>
    <s v="Prospect"/>
    <x v="1"/>
    <s v="He will visiting the UAE end of April to purchase the Overseas (If available)_x000a_"/>
    <m/>
  </r>
  <r>
    <s v="Request"/>
    <s v=""/>
    <s v="1/4/2025"/>
    <x v="2"/>
    <x v="0"/>
    <x v="41"/>
    <s v="Prospect"/>
    <x v="1"/>
    <s v=""/>
    <m/>
  </r>
  <r>
    <s v="Request"/>
    <s v=""/>
    <s v="1/4/2025"/>
    <x v="3"/>
    <x v="0"/>
    <x v="42"/>
    <s v="Prospect"/>
    <x v="2"/>
    <s v="Ahmed Alhammadi_x000a_"/>
    <m/>
  </r>
  <r>
    <s v="Request"/>
    <s v=""/>
    <s v="29/3/2025"/>
    <x v="2"/>
    <x v="0"/>
    <x v="43"/>
    <s v="Prospect"/>
    <x v="2"/>
    <s v="Mr. Mohamed Eljadi_x000a_"/>
    <m/>
  </r>
  <r>
    <s v="Request"/>
    <s v=""/>
    <s v="29/3/2025"/>
    <x v="2"/>
    <x v="0"/>
    <x v="44"/>
    <s v="Prospect"/>
    <x v="2"/>
    <s v="Mr. Conrad Lee_x000a_"/>
    <m/>
  </r>
  <r>
    <s v="Request"/>
    <s v=""/>
    <s v="29/3/2025"/>
    <x v="2"/>
    <x v="0"/>
    <x v="45"/>
    <s v="Prospect"/>
    <x v="0"/>
    <s v="222 _x000a_"/>
    <m/>
  </r>
  <r>
    <s v="Request"/>
    <s v=""/>
    <s v="29/3/2025"/>
    <x v="2"/>
    <x v="0"/>
    <x v="7"/>
    <s v="Prospect"/>
    <x v="0"/>
    <s v="222_x000a_"/>
    <m/>
  </r>
  <r>
    <s v="Request"/>
    <s v=""/>
    <s v="29/3/2025"/>
    <x v="2"/>
    <x v="0"/>
    <x v="46"/>
    <s v="Client"/>
    <x v="0"/>
    <s v="the 222_x000a_"/>
    <m/>
  </r>
  <r>
    <s v="Request"/>
    <s v=""/>
    <s v="29/3/2025"/>
    <x v="4"/>
    <x v="0"/>
    <x v="47"/>
    <s v="Prospect"/>
    <x v="0"/>
    <s v="OS black dial : 4520V/210A-B483_x000a_"/>
    <m/>
  </r>
  <r>
    <s v="Request"/>
    <s v=""/>
    <s v="29/3/2025"/>
    <x v="12"/>
    <x v="0"/>
    <x v="48"/>
    <s v="Prospect"/>
    <x v="0"/>
    <s v="the client is interested in the Overseas blue dial and paid deposit _x000a_"/>
    <m/>
  </r>
  <r>
    <s v="Request"/>
    <s v=""/>
    <s v="29/3/2025"/>
    <x v="14"/>
    <x v="0"/>
    <x v="20"/>
    <s v="Prospect"/>
    <x v="0"/>
    <s v="Fiftysix self-winding_x000a_"/>
    <m/>
  </r>
  <r>
    <s v="Request"/>
    <s v=""/>
    <s v="28/3/2025"/>
    <x v="3"/>
    <x v="0"/>
    <x v="49"/>
    <s v="Prospect"/>
    <x v="2"/>
    <s v="For his graduation next year :Mr. Lakshya Gupta_x000a_"/>
    <m/>
  </r>
  <r>
    <s v="Request"/>
    <s v=""/>
    <s v="27/3/2025"/>
    <x v="2"/>
    <x v="0"/>
    <x v="50"/>
    <s v="Prospect"/>
    <x v="0"/>
    <s v="222_x000a_"/>
    <m/>
  </r>
  <r>
    <s v="Request"/>
    <s v=""/>
    <s v="25/3/2025"/>
    <x v="12"/>
    <x v="0"/>
    <x v="51"/>
    <s v="Client"/>
    <x v="0"/>
    <s v="the client is coming next week. already own the  \n Overseas chronograph  VMX55AV148_x000a_"/>
    <m/>
  </r>
  <r>
    <s v="Request"/>
    <s v=""/>
    <s v="25/3/2025"/>
    <x v="2"/>
    <x v="0"/>
    <x v="52"/>
    <s v="Prospect"/>
    <x v="0"/>
    <s v="4200H/222A-B934 222_x000a_"/>
    <m/>
  </r>
  <r>
    <s v="Request"/>
    <s v=""/>
    <s v="25/3/2025"/>
    <x v="2"/>
    <x v="0"/>
    <x v="53"/>
    <s v="Prospect"/>
    <x v="1"/>
    <s v=""/>
    <m/>
  </r>
  <r>
    <s v="Request"/>
    <s v=""/>
    <s v="25/3/2025"/>
    <x v="2"/>
    <x v="0"/>
    <x v="54"/>
    <s v="Prospect"/>
    <x v="0"/>
    <s v="222_x000a_"/>
    <m/>
  </r>
  <r>
    <s v="Request"/>
    <s v=""/>
    <s v="25/3/2025"/>
    <x v="3"/>
    <x v="0"/>
    <x v="55"/>
    <s v="Prospect"/>
    <x v="1"/>
    <s v=""/>
    <m/>
  </r>
  <r>
    <s v="Sold"/>
    <s v="Confirmed"/>
    <s v="25/3/2025"/>
    <x v="18"/>
    <x v="0"/>
    <x v="40"/>
    <s v="Prospect"/>
    <x v="1"/>
    <s v=""/>
    <m/>
  </r>
  <r>
    <s v="Request"/>
    <s v=""/>
    <s v="25/3/2025"/>
    <x v="19"/>
    <x v="0"/>
    <x v="56"/>
    <s v="Prospect"/>
    <x v="1"/>
    <s v=""/>
    <m/>
  </r>
  <r>
    <s v="Request"/>
    <s v=""/>
    <s v="22/3/2025"/>
    <x v="2"/>
    <x v="0"/>
    <x v="57"/>
    <s v="Prospect"/>
    <x v="2"/>
    <s v="lives between Dubai and Geneva._x000a_"/>
    <m/>
  </r>
  <r>
    <s v="Request"/>
    <s v=""/>
    <s v="22/3/2025"/>
    <x v="2"/>
    <x v="0"/>
    <x v="58"/>
    <s v="Prospect"/>
    <x v="2"/>
    <s v="elrahmanhefny ksa_x000a_"/>
    <m/>
  </r>
  <r>
    <s v="Request"/>
    <s v=""/>
    <s v="22/3/2025"/>
    <x v="6"/>
    <x v="0"/>
    <x v="59"/>
    <s v="Prospect"/>
    <x v="1"/>
    <s v="The client wishes to purchase his first Vacheron Constantin timepiece in Dubai, as he has a deep appreciation for the city and wants his first VC watch to hold a special connection to it. He is ready to purchase it right away._x000a_"/>
    <m/>
  </r>
  <r>
    <s v="Request"/>
    <s v=""/>
    <s v="19/3/2025"/>
    <x v="20"/>
    <x v="0"/>
    <x v="60"/>
    <s v="Prospect"/>
    <x v="1"/>
    <s v=""/>
    <m/>
  </r>
  <r>
    <s v="Request"/>
    <s v=""/>
    <s v="18/3/2025"/>
    <x v="12"/>
    <x v="0"/>
    <x v="41"/>
    <s v="Prospect"/>
    <x v="1"/>
    <s v=""/>
    <m/>
  </r>
  <r>
    <s v="Request"/>
    <s v=""/>
    <s v="15/3/2025"/>
    <x v="3"/>
    <x v="0"/>
    <x v="61"/>
    <s v="Prospect"/>
    <x v="0"/>
    <s v="b128 no history _x000a_"/>
    <m/>
  </r>
  <r>
    <s v="Request"/>
    <s v=""/>
    <s v="13/3/2025"/>
    <x v="2"/>
    <x v="0"/>
    <x v="62"/>
    <s v="Prospect"/>
    <x v="1"/>
    <s v=""/>
    <m/>
  </r>
  <r>
    <s v="Request"/>
    <s v=""/>
    <s v="13/3/2025"/>
    <x v="4"/>
    <x v="0"/>
    <x v="63"/>
    <s v="Prospect"/>
    <x v="1"/>
    <s v=""/>
    <m/>
  </r>
  <r>
    <s v="Request"/>
    <s v=""/>
    <s v="13/3/2025"/>
    <x v="2"/>
    <x v="0"/>
    <x v="64"/>
    <s v="Prospect"/>
    <x v="0"/>
    <s v="222_x000a_"/>
    <m/>
  </r>
  <r>
    <s v="Request"/>
    <s v=""/>
    <s v="11/3/2025"/>
    <x v="2"/>
    <x v="0"/>
    <x v="65"/>
    <s v="Prospect"/>
    <x v="2"/>
    <s v="Sultan Aldhaher (ksa)_x000a_"/>
    <m/>
  </r>
  <r>
    <s v="Request"/>
    <s v=""/>
    <s v="11/3/2025"/>
    <x v="2"/>
    <x v="0"/>
    <x v="66"/>
    <s v="Prospect"/>
    <x v="1"/>
    <s v=""/>
    <m/>
  </r>
  <r>
    <s v="Request"/>
    <s v=""/>
    <s v="11/3/2025"/>
    <x v="2"/>
    <x v="0"/>
    <x v="67"/>
    <s v="Client"/>
    <x v="0"/>
    <s v="interested in the 222_x000a_"/>
    <m/>
  </r>
  <r>
    <s v="Request"/>
    <s v=""/>
    <s v="11/3/2025"/>
    <x v="2"/>
    <x v="0"/>
    <x v="68"/>
    <s v="Prospect"/>
    <x v="1"/>
    <s v=""/>
    <m/>
  </r>
  <r>
    <s v="Request"/>
    <s v=""/>
    <s v="8/3/2025"/>
    <x v="2"/>
    <x v="0"/>
    <x v="69"/>
    <s v="Prospect"/>
    <x v="0"/>
    <s v="222_x000a_"/>
    <m/>
  </r>
  <r>
    <s v="Request"/>
    <s v=""/>
    <s v="8/3/2025"/>
    <x v="21"/>
    <x v="0"/>
    <x v="70"/>
    <s v="Prospect"/>
    <x v="0"/>
    <s v="_x000a_"/>
    <m/>
  </r>
  <r>
    <s v="Request"/>
    <s v=""/>
    <s v="8/3/2025"/>
    <x v="5"/>
    <x v="0"/>
    <x v="71"/>
    <s v="Prospect"/>
    <x v="0"/>
    <s v="Dual time green _x000a_"/>
    <m/>
  </r>
  <r>
    <s v="Request"/>
    <s v=""/>
    <s v="7/3/2025"/>
    <x v="2"/>
    <x v="0"/>
    <x v="72"/>
    <s v="Prospect"/>
    <x v="2"/>
    <s v="Mr. Fida Hussain_x000a_"/>
    <m/>
  </r>
  <r>
    <s v="Request"/>
    <s v=""/>
    <s v="7/3/2025"/>
    <x v="2"/>
    <x v="0"/>
    <x v="73"/>
    <s v="Prospect"/>
    <x v="2"/>
    <s v="Abdullaziz Alshreef : KSA_x000a_"/>
    <m/>
  </r>
  <r>
    <s v="Request"/>
    <s v=""/>
    <s v="7/3/2025"/>
    <x v="2"/>
    <x v="0"/>
    <x v="74"/>
    <s v="Prospect"/>
    <x v="2"/>
    <s v="Alhasan Alkindi_x000a_"/>
    <m/>
  </r>
  <r>
    <s v="Request"/>
    <s v=""/>
    <s v="7/3/2025"/>
    <x v="2"/>
    <x v="0"/>
    <x v="75"/>
    <s v="Prospect"/>
    <x v="2"/>
    <s v="Andrey Karpov_x000a_"/>
    <m/>
  </r>
  <r>
    <s v="Request"/>
    <s v=""/>
    <s v="7/3/2025"/>
    <x v="2"/>
    <x v="0"/>
    <x v="48"/>
    <s v="Prospect"/>
    <x v="0"/>
    <s v="222 _x000a_"/>
    <m/>
  </r>
  <r>
    <s v="Request"/>
    <s v=""/>
    <s v="7/3/2025"/>
    <x v="2"/>
    <x v="0"/>
    <x v="76"/>
    <s v="Prospect"/>
    <x v="0"/>
    <s v="222_x000a_"/>
    <m/>
  </r>
  <r>
    <s v="Request"/>
    <s v=""/>
    <s v="6/3/2025"/>
    <x v="3"/>
    <x v="0"/>
    <x v="77"/>
    <s v="Prospect"/>
    <x v="2"/>
    <s v="DR Ali Aldhanhani_x000a_"/>
    <m/>
  </r>
  <r>
    <s v="Request"/>
    <s v=""/>
    <s v="5/3/2025"/>
    <x v="2"/>
    <x v="0"/>
    <x v="78"/>
    <s v="Prospect"/>
    <x v="0"/>
    <s v="222_x000a_"/>
    <m/>
  </r>
  <r>
    <s v="Request"/>
    <s v=""/>
    <s v="5/3/2025"/>
    <x v="2"/>
    <x v="0"/>
    <x v="79"/>
    <s v="Prospect"/>
    <x v="0"/>
    <s v="222_x000a_"/>
    <m/>
  </r>
  <r>
    <s v="Request"/>
    <s v=""/>
    <s v="4/3/2025"/>
    <x v="2"/>
    <x v="0"/>
    <x v="80"/>
    <s v="Prospect"/>
    <x v="2"/>
    <s v="Mr. Peter AROKIANATHAN (ksa)_x000a_"/>
    <m/>
  </r>
  <r>
    <s v="Request"/>
    <s v=""/>
    <s v="4/3/2025"/>
    <x v="22"/>
    <x v="0"/>
    <x v="81"/>
    <s v="Prospect"/>
    <x v="1"/>
    <s v="Would like the pick up to be end of Dec first of Jan_x000a_"/>
    <m/>
  </r>
  <r>
    <s v="Request"/>
    <s v=""/>
    <s v="4/3/2025"/>
    <x v="5"/>
    <x v="0"/>
    <x v="81"/>
    <s v="Prospect"/>
    <x v="1"/>
    <s v=""/>
    <m/>
  </r>
  <r>
    <s v="Request"/>
    <s v=""/>
    <s v="4/3/2025"/>
    <x v="2"/>
    <x v="0"/>
    <x v="82"/>
    <s v="Prospect"/>
    <x v="1"/>
    <s v=""/>
    <m/>
  </r>
  <r>
    <s v="Request"/>
    <s v=""/>
    <s v="4/3/2025"/>
    <x v="2"/>
    <x v="0"/>
    <x v="83"/>
    <s v="Prospect"/>
    <x v="1"/>
    <s v=""/>
    <m/>
  </r>
  <r>
    <s v="Request"/>
    <s v=""/>
    <s v="4/3/2025"/>
    <x v="6"/>
    <x v="0"/>
    <x v="84"/>
    <s v="Prospect"/>
    <x v="0"/>
    <s v="the client is interested in the dual and Chronograph black dial _x000a_"/>
    <m/>
  </r>
  <r>
    <s v="Request"/>
    <s v=""/>
    <s v="1/3/2025"/>
    <x v="2"/>
    <x v="0"/>
    <x v="85"/>
    <s v="Prospect"/>
    <x v="0"/>
    <s v="interested in the 222 and dual time _x000a_"/>
    <m/>
  </r>
  <r>
    <s v="Request"/>
    <s v=""/>
    <s v="1/3/2025"/>
    <x v="13"/>
    <x v="0"/>
    <x v="86"/>
    <s v="Prospect"/>
    <x v="0"/>
    <s v="the client intrested in the 222_x000a_"/>
    <m/>
  </r>
  <r>
    <s v="Request"/>
    <s v=""/>
    <s v="1/3/2025"/>
    <x v="2"/>
    <x v="0"/>
    <x v="87"/>
    <s v="Prospect"/>
    <x v="0"/>
    <s v="the client is interested _x000a_"/>
    <m/>
  </r>
  <r>
    <s v="Request"/>
    <s v=""/>
    <s v="1/3/2025"/>
    <x v="23"/>
    <x v="0"/>
    <x v="70"/>
    <s v="Prospect"/>
    <x v="0"/>
    <s v="The client specializes in auto tuning, automatic watches, and exclusive key fobs. His uncle has a strong interest in Traditionnelle and Overseas collections, particularly the tourbillon editions_x000a_"/>
    <m/>
  </r>
  <r>
    <s v="Request"/>
    <s v=""/>
    <s v="1/3/2025"/>
    <x v="3"/>
    <x v="0"/>
    <x v="88"/>
    <s v="Prospect"/>
    <x v="0"/>
    <s v="the client main aim is the 222 and the 128 _x000a_"/>
    <m/>
  </r>
  <r>
    <s v="Request"/>
    <s v=""/>
    <s v="28/2/2025"/>
    <x v="2"/>
    <x v="0"/>
    <x v="89"/>
    <s v=""/>
    <x v="0"/>
    <s v="interested in the 222_x000a_"/>
    <m/>
  </r>
  <r>
    <s v="Request"/>
    <s v=""/>
    <s v="28/2/2025"/>
    <x v="2"/>
    <x v="0"/>
    <x v="90"/>
    <s v="Prospect"/>
    <x v="0"/>
    <s v="222_x000a_"/>
    <m/>
  </r>
  <r>
    <s v="Request"/>
    <s v=""/>
    <s v="28/2/2025"/>
    <x v="7"/>
    <x v="0"/>
    <x v="91"/>
    <s v="Prospect"/>
    <x v="0"/>
    <s v=""/>
    <m/>
  </r>
  <r>
    <s v="Request"/>
    <s v=""/>
    <s v="28/2/2025"/>
    <x v="2"/>
    <x v="0"/>
    <x v="91"/>
    <s v="Prospect"/>
    <x v="0"/>
    <s v="222_x000a_"/>
    <m/>
  </r>
  <r>
    <s v="Request"/>
    <s v=""/>
    <s v="27/2/2025"/>
    <x v="12"/>
    <x v="0"/>
    <x v="92"/>
    <s v=""/>
    <x v="0"/>
    <s v="222 Fam_x000a_"/>
    <m/>
  </r>
  <r>
    <s v="Request"/>
    <s v=""/>
    <s v="27/2/2025"/>
    <x v="2"/>
    <x v="0"/>
    <x v="93"/>
    <s v=""/>
    <x v="2"/>
    <s v="Mr. Sultan Al Faisal (ksa)_x000a_"/>
    <m/>
  </r>
  <r>
    <s v="Request"/>
    <s v=""/>
    <s v="27/2/2025"/>
    <x v="3"/>
    <x v="0"/>
    <x v="94"/>
    <s v=""/>
    <x v="2"/>
    <s v="Mr. Tauqeer Dawood_x000a_"/>
    <m/>
  </r>
  <r>
    <s v="Request"/>
    <s v=""/>
    <s v="27/2/2025"/>
    <x v="2"/>
    <x v="0"/>
    <x v="95"/>
    <s v=""/>
    <x v="0"/>
    <s v="222 Blue_x000a_"/>
    <m/>
  </r>
  <r>
    <s v="Request"/>
    <s v=""/>
    <s v="27/2/2025"/>
    <x v="2"/>
    <x v="0"/>
    <x v="96"/>
    <s v=""/>
    <x v="0"/>
    <s v="The client is always between  Riyadh and Dubai and want the 222_x000a_"/>
    <m/>
  </r>
  <r>
    <s v="Request"/>
    <s v=""/>
    <s v="27/2/2025"/>
    <x v="2"/>
    <x v="0"/>
    <x v="97"/>
    <s v=""/>
    <x v="0"/>
    <s v="The client is very interested KW _x000a_"/>
    <m/>
  </r>
  <r>
    <s v="Request"/>
    <s v=""/>
    <s v="27/2/2025"/>
    <x v="2"/>
    <x v="0"/>
    <x v="50"/>
    <s v="Prospect"/>
    <x v="0"/>
    <s v="222_x000a_"/>
    <m/>
  </r>
  <r>
    <s v="Request"/>
    <s v=""/>
    <s v="25/2/2025"/>
    <x v="2"/>
    <x v="0"/>
    <x v="98"/>
    <s v=""/>
    <x v="0"/>
    <s v="222_x000a_"/>
    <m/>
  </r>
  <r>
    <s v="Request"/>
    <s v=""/>
    <s v="25/2/2025"/>
    <x v="2"/>
    <x v="0"/>
    <x v="99"/>
    <s v=""/>
    <x v="0"/>
    <s v="222_x000a_"/>
    <m/>
  </r>
  <r>
    <s v="Request"/>
    <s v=""/>
    <s v="25/2/2025"/>
    <x v="2"/>
    <x v="0"/>
    <x v="100"/>
    <s v=""/>
    <x v="0"/>
    <s v="222 gcc _x000a_"/>
    <m/>
  </r>
  <r>
    <s v="Request"/>
    <s v=""/>
    <s v="25/2/2025"/>
    <x v="2"/>
    <x v="0"/>
    <x v="101"/>
    <s v=""/>
    <x v="0"/>
    <s v="222_x000a_"/>
    <m/>
  </r>
  <r>
    <s v="Request"/>
    <s v=""/>
    <s v="21/2/2025"/>
    <x v="2"/>
    <x v="0"/>
    <x v="102"/>
    <s v="Client"/>
    <x v="2"/>
    <s v="Mr. Ronnie Anbouba_x000a_"/>
    <m/>
  </r>
  <r>
    <s v="Request"/>
    <s v=""/>
    <s v="20/2/2025"/>
    <x v="2"/>
    <x v="0"/>
    <x v="103"/>
    <s v="Prospect"/>
    <x v="0"/>
    <s v="interested in the 222_x000a_"/>
    <m/>
  </r>
  <r>
    <s v="Request"/>
    <s v=""/>
    <s v="19/2/2025"/>
    <x v="3"/>
    <x v="0"/>
    <x v="104"/>
    <s v="Prospect"/>
    <x v="2"/>
    <s v="Mr. Arkan Khedair_x000a__x000a__x000a_"/>
    <m/>
  </r>
  <r>
    <s v="Request"/>
    <s v=""/>
    <s v="19/2/2025"/>
    <x v="2"/>
    <x v="0"/>
    <x v="101"/>
    <s v=""/>
    <x v="0"/>
    <s v=""/>
    <m/>
  </r>
  <r>
    <s v="Request"/>
    <s v=""/>
    <s v="19/2/2025"/>
    <x v="18"/>
    <x v="0"/>
    <x v="105"/>
    <s v="Prospect"/>
    <x v="0"/>
    <s v="the client would like to reserve  Overseas chronograph_x000a_"/>
    <m/>
  </r>
  <r>
    <s v="Request"/>
    <s v=""/>
    <s v="18/2/2025"/>
    <x v="2"/>
    <x v="0"/>
    <x v="106"/>
    <s v="Prospect"/>
    <x v="2"/>
    <s v="Mr. Humaid Shaikh_x000a_"/>
    <m/>
  </r>
  <r>
    <s v="Request"/>
    <s v=""/>
    <s v="18/2/2025"/>
    <x v="2"/>
    <x v="0"/>
    <x v="107"/>
    <s v="Prospect"/>
    <x v="2"/>
    <s v="Mr. Mohamed Alsuwaidi_x000a_"/>
    <m/>
  </r>
  <r>
    <s v="Request"/>
    <s v=""/>
    <s v="18/2/2025"/>
    <x v="2"/>
    <x v="0"/>
    <x v="108"/>
    <s v="Prospect"/>
    <x v="2"/>
    <s v="Hussain Mohamed_x000a_"/>
    <m/>
  </r>
  <r>
    <s v="Request"/>
    <s v=""/>
    <s v="15/2/2025"/>
    <x v="8"/>
    <x v="0"/>
    <x v="109"/>
    <s v="Prospect"/>
    <x v="0"/>
    <s v="the client is very interested in the Overseas chronograph_x000a__x000a_and willing to secure it via payment link _x000a_"/>
    <m/>
  </r>
  <r>
    <s v="Request"/>
    <s v=""/>
    <s v="13/2/2025"/>
    <x v="2"/>
    <x v="0"/>
    <x v="110"/>
    <s v="Prospect"/>
    <x v="1"/>
    <s v=""/>
    <m/>
  </r>
  <r>
    <s v="Request"/>
    <s v=""/>
    <s v="13/2/2025"/>
    <x v="2"/>
    <x v="0"/>
    <x v="111"/>
    <s v="Prospect"/>
    <x v="2"/>
    <s v="Roman Heinrichs_x000a_"/>
    <m/>
  </r>
  <r>
    <s v="Request"/>
    <s v=""/>
    <s v="12/2/2025"/>
    <x v="2"/>
    <x v="0"/>
    <x v="112"/>
    <s v="Prospect"/>
    <x v="1"/>
    <s v=""/>
    <m/>
  </r>
  <r>
    <s v="Request"/>
    <s v=""/>
    <s v="12/2/2025"/>
    <x v="2"/>
    <x v="0"/>
    <x v="113"/>
    <s v="Prospect"/>
    <x v="2"/>
    <s v="Arthur Sarkisian_x000a_"/>
    <m/>
  </r>
  <r>
    <s v="Request"/>
    <s v=""/>
    <s v="11/2/2025"/>
    <x v="2"/>
    <x v="0"/>
    <x v="114"/>
    <s v="Prospect"/>
    <x v="1"/>
    <s v=""/>
    <m/>
  </r>
  <r>
    <s v="Cancelled"/>
    <s v="Cancelled"/>
    <s v="11/2/2025"/>
    <x v="12"/>
    <x v="0"/>
    <x v="114"/>
    <s v="Prospect"/>
    <x v="1"/>
    <s v=""/>
    <m/>
  </r>
  <r>
    <s v="Request"/>
    <s v=""/>
    <s v="11/2/2025"/>
    <x v="2"/>
    <x v="0"/>
    <x v="115"/>
    <s v="Prospect"/>
    <x v="2"/>
    <s v="Mr. Mostafa Gheita_x000a_"/>
    <m/>
  </r>
  <r>
    <s v="Request"/>
    <s v=""/>
    <s v="11/2/2025"/>
    <x v="8"/>
    <x v="0"/>
    <x v="116"/>
    <s v="Prospect"/>
    <x v="2"/>
    <s v="Mr. Omar Alamoodi_x000a_"/>
    <m/>
  </r>
  <r>
    <s v="Request"/>
    <s v=""/>
    <s v="11/2/2025"/>
    <x v="2"/>
    <x v="0"/>
    <x v="117"/>
    <s v="Prospect"/>
    <x v="1"/>
    <s v=""/>
    <m/>
  </r>
  <r>
    <s v="Request"/>
    <s v=""/>
    <s v="7/2/2025"/>
    <x v="2"/>
    <x v="0"/>
    <x v="118"/>
    <s v="Prospect"/>
    <x v="1"/>
    <s v=""/>
    <m/>
  </r>
  <r>
    <s v="Request"/>
    <s v=""/>
    <s v="7/2/2025"/>
    <x v="2"/>
    <x v="0"/>
    <x v="119"/>
    <s v="Prospect"/>
    <x v="1"/>
    <s v=""/>
    <m/>
  </r>
  <r>
    <s v="Request"/>
    <s v=""/>
    <s v="7/2/2025"/>
    <x v="8"/>
    <x v="0"/>
    <x v="120"/>
    <s v="Prospect"/>
    <x v="0"/>
    <s v=""/>
    <m/>
  </r>
  <r>
    <s v="Request"/>
    <s v=""/>
    <s v="5/2/2025"/>
    <x v="3"/>
    <x v="0"/>
    <x v="121"/>
    <s v="Prospect"/>
    <x v="2"/>
    <s v="Mr. Benjamin Ping_x000a_"/>
    <m/>
  </r>
  <r>
    <s v="Request"/>
    <s v=""/>
    <s v="5/2/2025"/>
    <x v="2"/>
    <x v="0"/>
    <x v="122"/>
    <s v="Client"/>
    <x v="1"/>
    <s v=""/>
    <m/>
  </r>
  <r>
    <s v="Request"/>
    <s v=""/>
    <s v="5/2/2025"/>
    <x v="18"/>
    <x v="0"/>
    <x v="105"/>
    <s v="Prospect"/>
    <x v="0"/>
    <s v="_x000a_"/>
    <m/>
  </r>
  <r>
    <s v="Request"/>
    <s v=""/>
    <s v="4/2/2025"/>
    <x v="12"/>
    <x v="0"/>
    <x v="123"/>
    <s v="Prospect"/>
    <x v="2"/>
    <s v="Ahmad Alsadhan (ksa)_x000a_"/>
    <m/>
  </r>
  <r>
    <s v="Request"/>
    <s v=""/>
    <s v="4/2/2025"/>
    <x v="24"/>
    <x v="0"/>
    <x v="124"/>
    <s v="Prospect"/>
    <x v="2"/>
    <s v="Mr. Rayan Mansouri / ksa/ contacted on whatsapp as well._x000a_"/>
    <m/>
  </r>
  <r>
    <s v="Request"/>
    <s v=""/>
    <s v="4/2/2025"/>
    <x v="2"/>
    <x v="0"/>
    <x v="124"/>
    <s v="Prospect"/>
    <x v="2"/>
    <s v="Rayan Mansouri ksa_x000a_"/>
    <m/>
  </r>
  <r>
    <s v="Request"/>
    <s v=""/>
    <s v="4/2/2025"/>
    <x v="24"/>
    <x v="0"/>
    <x v="112"/>
    <s v="Prospect"/>
    <x v="1"/>
    <s v=""/>
    <m/>
  </r>
  <r>
    <s v="Request"/>
    <s v=""/>
    <s v="4/2/2025"/>
    <x v="2"/>
    <x v="0"/>
    <x v="125"/>
    <s v="Prospect"/>
    <x v="1"/>
    <s v=""/>
    <m/>
  </r>
  <r>
    <s v="Request"/>
    <s v=""/>
    <s v="4/2/2025"/>
    <x v="2"/>
    <x v="0"/>
    <x v="126"/>
    <s v="Prospect"/>
    <x v="1"/>
    <s v=""/>
    <m/>
  </r>
  <r>
    <s v="Request"/>
    <s v=""/>
    <s v="4/2/2025"/>
    <x v="2"/>
    <x v="0"/>
    <x v="127"/>
    <s v="Prospect"/>
    <x v="1"/>
    <s v=""/>
    <m/>
  </r>
  <r>
    <s v="Request"/>
    <s v=""/>
    <s v="4/2/2025"/>
    <x v="25"/>
    <x v="0"/>
    <x v="128"/>
    <s v="Prospect"/>
    <x v="0"/>
    <s v="The client interested in the 222 gold and steel as well the Patrimony and Historiques _x000a_"/>
    <m/>
  </r>
  <r>
    <s v="Request"/>
    <s v=""/>
    <s v="4/2/2025"/>
    <x v="13"/>
    <x v="0"/>
    <x v="128"/>
    <s v="Prospect"/>
    <x v="0"/>
    <s v="Clinet is intrested in the 222 _x000a_"/>
    <m/>
  </r>
  <r>
    <s v="Request"/>
    <s v=""/>
    <s v="4/2/2025"/>
    <x v="0"/>
    <x v="0"/>
    <x v="129"/>
    <s v="Prospect"/>
    <x v="0"/>
    <s v="the client want to purchase this timepeice , to gift it to his father _x000a_"/>
    <m/>
  </r>
  <r>
    <s v="Request"/>
    <s v=""/>
    <s v="31/1/2025"/>
    <x v="2"/>
    <x v="0"/>
    <x v="130"/>
    <s v="Prospect"/>
    <x v="1"/>
    <s v=""/>
    <m/>
  </r>
  <r>
    <s v="Request"/>
    <s v=""/>
    <s v="31/1/2025"/>
    <x v="4"/>
    <x v="0"/>
    <x v="131"/>
    <s v="Prospect"/>
    <x v="1"/>
    <s v="The client will visit UAE in 2 years and would want to collect it_x000a_"/>
    <m/>
  </r>
  <r>
    <s v="Request"/>
    <s v=""/>
    <s v="30/1/2025"/>
    <x v="2"/>
    <x v="0"/>
    <x v="132"/>
    <s v="Prospect"/>
    <x v="1"/>
    <s v=""/>
    <m/>
  </r>
  <r>
    <s v="Sold"/>
    <s v="Confirmed"/>
    <s v="30/1/2025"/>
    <x v="12"/>
    <x v="0"/>
    <x v="133"/>
    <s v="Prospect"/>
    <x v="2"/>
    <s v="Ahmad Al Sadhan (KSA)_x000a_"/>
    <m/>
  </r>
  <r>
    <s v="Request"/>
    <s v=""/>
    <s v="30/1/2025"/>
    <x v="2"/>
    <x v="0"/>
    <x v="103"/>
    <s v="Prospect"/>
    <x v="0"/>
    <s v=""/>
    <m/>
  </r>
  <r>
    <s v="Cancelled"/>
    <s v="Cancelled"/>
    <s v="30/1/2025"/>
    <x v="13"/>
    <x v="0"/>
    <x v="134"/>
    <s v="Prospect"/>
    <x v="2"/>
    <s v="Mr. Ravi Borkar interested in the 222 gold and steel. by March._x000a_"/>
    <m/>
  </r>
  <r>
    <s v="Request"/>
    <s v=""/>
    <s v="29/1/2025"/>
    <x v="26"/>
    <x v="0"/>
    <x v="135"/>
    <s v="Prospect"/>
    <x v="0"/>
    <s v="the client is interested Overseas perpetual calendar_x000a_"/>
    <m/>
  </r>
  <r>
    <s v="Request"/>
    <s v=""/>
    <s v="29/1/2025"/>
    <x v="12"/>
    <x v="0"/>
    <x v="136"/>
    <s v="Prospect"/>
    <x v="0"/>
    <s v="The client is very intrested in blue and black dual time , aslo he his availability for appointments at the Dubai Mall boutique on the evening of **February 9**, the m**orning of February 11,** **and February 13**, if the watch is available to purchase_x000a_"/>
    <m/>
  </r>
  <r>
    <s v="Request"/>
    <s v=""/>
    <s v="29/1/2025"/>
    <x v="6"/>
    <x v="0"/>
    <x v="136"/>
    <s v="Prospect"/>
    <x v="0"/>
    <s v="the client mentions his availability for appointments at the Dubai Mall boutique on the evening of February 9, the morning of February 11, and February 13, if the watch is available._x000a_"/>
    <m/>
  </r>
  <r>
    <s v="Request"/>
    <s v=""/>
    <s v="29/1/2025"/>
    <x v="2"/>
    <x v="0"/>
    <x v="136"/>
    <s v="Prospect"/>
    <x v="0"/>
    <s v=""/>
    <m/>
  </r>
  <r>
    <s v="Request"/>
    <s v=""/>
    <s v="28/1/2025"/>
    <x v="2"/>
    <x v="0"/>
    <x v="137"/>
    <s v="Prospect"/>
    <x v="1"/>
    <s v=""/>
    <m/>
  </r>
  <r>
    <s v="Request"/>
    <s v=""/>
    <s v="28/1/2025"/>
    <x v="3"/>
    <x v="0"/>
    <x v="138"/>
    <s v="Prospect"/>
    <x v="1"/>
    <s v=""/>
    <m/>
  </r>
  <r>
    <s v="Request"/>
    <s v=""/>
    <s v="28/1/2025"/>
    <x v="2"/>
    <x v="0"/>
    <x v="139"/>
    <s v="Prospect"/>
    <x v="1"/>
    <s v=""/>
    <m/>
  </r>
  <r>
    <s v="Request"/>
    <s v=""/>
    <s v="28/1/2025"/>
    <x v="12"/>
    <x v="0"/>
    <x v="140"/>
    <s v="Prospect"/>
    <x v="1"/>
    <s v=""/>
    <m/>
  </r>
  <r>
    <s v="Request"/>
    <s v=""/>
    <s v="28/1/2025"/>
    <x v="2"/>
    <x v="0"/>
    <x v="141"/>
    <s v="Prospect"/>
    <x v="1"/>
    <s v=""/>
    <m/>
  </r>
  <r>
    <s v="Request"/>
    <s v=""/>
    <s v="27/1/2025"/>
    <x v="27"/>
    <x v="0"/>
    <x v="142"/>
    <s v="Prospect"/>
    <x v="1"/>
    <s v=""/>
    <m/>
  </r>
  <r>
    <s v="Request"/>
    <s v=""/>
    <s v="27/1/2025"/>
    <x v="2"/>
    <x v="0"/>
    <x v="143"/>
    <s v="Prospect"/>
    <x v="0"/>
    <s v=""/>
    <m/>
  </r>
  <r>
    <s v="Request"/>
    <s v=""/>
    <s v="27/1/2025"/>
    <x v="2"/>
    <x v="0"/>
    <x v="144"/>
    <s v="Prospect"/>
    <x v="0"/>
    <s v=""/>
    <m/>
  </r>
  <r>
    <s v="Request"/>
    <s v=""/>
    <s v="25/1/2025"/>
    <x v="2"/>
    <x v="0"/>
    <x v="145"/>
    <s v="Prospect"/>
    <x v="1"/>
    <s v=""/>
    <m/>
  </r>
  <r>
    <s v="Request"/>
    <s v=""/>
    <s v="25/1/2025"/>
    <x v="2"/>
    <x v="0"/>
    <x v="146"/>
    <s v="Prospect"/>
    <x v="0"/>
    <s v=""/>
    <m/>
  </r>
  <r>
    <s v="Request"/>
    <s v=""/>
    <s v="25/1/2025"/>
    <x v="2"/>
    <x v="0"/>
    <x v="147"/>
    <s v="Prospect"/>
    <x v="2"/>
    <s v="Mr. Abdullah Alomari (ksa)_x000a_"/>
    <m/>
  </r>
  <r>
    <s v="Request"/>
    <s v=""/>
    <s v="25/1/2025"/>
    <x v="2"/>
    <x v="0"/>
    <x v="148"/>
    <s v="Prospect"/>
    <x v="2"/>
    <s v="Mr. Fawaz Aljaseer (ksa)_x000a_"/>
    <m/>
  </r>
  <r>
    <s v="Request"/>
    <s v=""/>
    <s v="24/1/2025"/>
    <x v="12"/>
    <x v="0"/>
    <x v="149"/>
    <s v="Prospect"/>
    <x v="0"/>
    <s v=""/>
    <m/>
  </r>
  <r>
    <s v="Request"/>
    <s v=""/>
    <s v="22/1/2025"/>
    <x v="2"/>
    <x v="0"/>
    <x v="150"/>
    <s v="Prospect"/>
    <x v="1"/>
    <s v=""/>
    <m/>
  </r>
  <r>
    <s v="Request"/>
    <s v=""/>
    <s v="22/1/2025"/>
    <x v="2"/>
    <x v="0"/>
    <x v="151"/>
    <s v="Prospect"/>
    <x v="2"/>
    <s v="Sheikh Sultan Althani (KSA)_x000a_"/>
    <m/>
  </r>
  <r>
    <s v="Request"/>
    <s v=""/>
    <s v="22/1/2025"/>
    <x v="13"/>
    <x v="0"/>
    <x v="152"/>
    <s v="Prospect"/>
    <x v="0"/>
    <s v="The client was referred by my client and he's interested in the Gold 222_x000a_"/>
    <m/>
  </r>
  <r>
    <s v="Request"/>
    <s v=""/>
    <s v="22/1/2025"/>
    <x v="2"/>
    <x v="0"/>
    <x v="153"/>
    <s v="Prospect"/>
    <x v="2"/>
    <s v="Mr. Abdulrhman Bajaber (KSA)_x000a_"/>
    <m/>
  </r>
  <r>
    <s v="Request"/>
    <s v=""/>
    <s v="21/1/2025"/>
    <x v="2"/>
    <x v="0"/>
    <x v="154"/>
    <s v="Prospect"/>
    <x v="1"/>
    <s v=""/>
    <m/>
  </r>
  <r>
    <s v="Request"/>
    <s v=""/>
    <s v="21/1/2025"/>
    <x v="7"/>
    <x v="0"/>
    <x v="155"/>
    <s v="Client"/>
    <x v="0"/>
    <s v="the client is intrested in this timepeice and aiming as well for the 222_x000a_"/>
    <m/>
  </r>
  <r>
    <s v="Request"/>
    <s v=""/>
    <s v="21/1/2025"/>
    <x v="2"/>
    <x v="0"/>
    <x v="156"/>
    <s v="Prospect"/>
    <x v="1"/>
    <s v=""/>
    <m/>
  </r>
  <r>
    <s v="Request"/>
    <s v=""/>
    <s v="21/1/2025"/>
    <x v="2"/>
    <x v="0"/>
    <x v="157"/>
    <s v="Prospect"/>
    <x v="2"/>
    <s v="Mr Ragheb Alshakhshir_x000a_"/>
    <m/>
  </r>
  <r>
    <s v="Request"/>
    <s v=""/>
    <s v="21/1/2025"/>
    <x v="2"/>
    <x v="0"/>
    <x v="158"/>
    <s v="Prospect"/>
    <x v="2"/>
    <s v="Mr. Mohammed Bafail (Ksa)_x000a_"/>
    <m/>
  </r>
  <r>
    <s v="Request"/>
    <s v=""/>
    <s v="20/1/2025"/>
    <x v="2"/>
    <x v="0"/>
    <x v="159"/>
    <s v="Prospect"/>
    <x v="0"/>
    <s v=""/>
    <m/>
  </r>
  <r>
    <s v="Request"/>
    <s v=""/>
    <s v="20/1/2025"/>
    <x v="2"/>
    <x v="0"/>
    <x v="160"/>
    <s v="Prospect"/>
    <x v="0"/>
    <s v=""/>
    <m/>
  </r>
  <r>
    <s v="Request"/>
    <s v=""/>
    <s v="20/1/2025"/>
    <x v="2"/>
    <x v="0"/>
    <x v="161"/>
    <s v="Prospect"/>
    <x v="0"/>
    <s v="Very interested client _x000a_"/>
    <m/>
  </r>
  <r>
    <s v="Request"/>
    <s v=""/>
    <s v="18/1/2025"/>
    <x v="2"/>
    <x v="0"/>
    <x v="162"/>
    <s v="Prospect"/>
    <x v="1"/>
    <s v=""/>
    <m/>
  </r>
  <r>
    <s v="Request"/>
    <s v=""/>
    <s v="18/1/2025"/>
    <x v="2"/>
    <x v="0"/>
    <x v="163"/>
    <s v="Prospect"/>
    <x v="2"/>
    <s v="Rakan Alrashed (ksa)_x000a_"/>
    <m/>
  </r>
  <r>
    <s v="Request"/>
    <s v=""/>
    <s v="18/1/2025"/>
    <x v="2"/>
    <x v="0"/>
    <x v="86"/>
    <s v="Prospect"/>
    <x v="0"/>
    <s v=""/>
    <m/>
  </r>
  <r>
    <s v="Request"/>
    <s v=""/>
    <s v="18/1/2025"/>
    <x v="2"/>
    <x v="0"/>
    <x v="159"/>
    <s v="Prospect"/>
    <x v="0"/>
    <s v=""/>
    <m/>
  </r>
  <r>
    <s v="Request"/>
    <s v=""/>
    <s v="18/1/2025"/>
    <x v="2"/>
    <x v="0"/>
    <x v="164"/>
    <s v="Prospect"/>
    <x v="0"/>
    <s v="Leo Dogan_x000a_"/>
    <m/>
  </r>
  <r>
    <s v="Request"/>
    <s v=""/>
    <s v="18/1/2025"/>
    <x v="3"/>
    <x v="0"/>
    <x v="165"/>
    <s v="Prospect"/>
    <x v="1"/>
    <s v=""/>
    <m/>
  </r>
  <r>
    <s v="Request"/>
    <s v=""/>
    <s v="18/1/2025"/>
    <x v="2"/>
    <x v="0"/>
    <x v="166"/>
    <s v="Client"/>
    <x v="0"/>
    <s v=""/>
    <m/>
  </r>
  <r>
    <s v="Request"/>
    <s v=""/>
    <s v="18/1/2025"/>
    <x v="2"/>
    <x v="0"/>
    <x v="165"/>
    <s v="Prospect"/>
    <x v="1"/>
    <s v=""/>
    <m/>
  </r>
  <r>
    <s v="Request"/>
    <s v=""/>
    <s v="18/1/2025"/>
    <x v="8"/>
    <x v="0"/>
    <x v="165"/>
    <s v="Prospect"/>
    <x v="1"/>
    <s v=""/>
    <m/>
  </r>
  <r>
    <s v="Request"/>
    <s v=""/>
    <s v="18/1/2025"/>
    <x v="2"/>
    <x v="0"/>
    <x v="167"/>
    <s v="Prospect"/>
    <x v="0"/>
    <s v=""/>
    <m/>
  </r>
  <r>
    <s v="Request"/>
    <s v=""/>
    <s v="18/1/2025"/>
    <x v="2"/>
    <x v="0"/>
    <x v="88"/>
    <s v="Prospect"/>
    <x v="0"/>
    <s v=""/>
    <m/>
  </r>
  <r>
    <s v="Request"/>
    <s v=""/>
    <s v="18/1/2025"/>
    <x v="2"/>
    <x v="0"/>
    <x v="86"/>
    <s v="Prospect"/>
    <x v="0"/>
    <s v=""/>
    <m/>
  </r>
  <r>
    <s v="Request"/>
    <s v=""/>
    <s v="18/1/2025"/>
    <x v="2"/>
    <x v="0"/>
    <x v="168"/>
    <s v="Prospect"/>
    <x v="0"/>
    <s v=""/>
    <m/>
  </r>
  <r>
    <s v="Request"/>
    <s v=""/>
    <s v="18/1/2025"/>
    <x v="2"/>
    <x v="0"/>
    <x v="169"/>
    <s v="Prospect"/>
    <x v="0"/>
    <s v=""/>
    <m/>
  </r>
  <r>
    <s v="Request"/>
    <s v=""/>
    <s v="18/1/2025"/>
    <x v="2"/>
    <x v="0"/>
    <x v="170"/>
    <s v="Prospect"/>
    <x v="0"/>
    <s v=""/>
    <m/>
  </r>
  <r>
    <s v="Request"/>
    <s v=""/>
    <s v="18/1/2025"/>
    <x v="2"/>
    <x v="0"/>
    <x v="171"/>
    <s v="Prospect"/>
    <x v="1"/>
    <s v=""/>
    <m/>
  </r>
  <r>
    <s v="Cancelled"/>
    <s v="Cancelled"/>
    <s v="17/1/2025"/>
    <x v="2"/>
    <x v="0"/>
    <x v="172"/>
    <s v="Prospect"/>
    <x v="1"/>
    <s v=""/>
    <m/>
  </r>
  <r>
    <s v="Request"/>
    <s v=""/>
    <s v="17/1/2025"/>
    <x v="2"/>
    <x v="0"/>
    <x v="173"/>
    <s v="Prospect"/>
    <x v="1"/>
    <s v=""/>
    <m/>
  </r>
  <r>
    <s v="Request"/>
    <s v=""/>
    <s v="17/1/2025"/>
    <x v="2"/>
    <x v="0"/>
    <x v="174"/>
    <s v="Prospect"/>
    <x v="1"/>
    <s v=""/>
    <m/>
  </r>
  <r>
    <s v="Request"/>
    <s v=""/>
    <s v="17/1/2025"/>
    <x v="3"/>
    <x v="0"/>
    <x v="140"/>
    <s v="Prospect"/>
    <x v="1"/>
    <s v=""/>
    <m/>
  </r>
  <r>
    <s v="Request"/>
    <s v=""/>
    <s v="17/1/2025"/>
    <x v="2"/>
    <x v="0"/>
    <x v="175"/>
    <s v="Prospect"/>
    <x v="1"/>
    <s v=""/>
    <m/>
  </r>
  <r>
    <s v="Request"/>
    <s v=""/>
    <s v="17/1/2025"/>
    <x v="2"/>
    <x v="0"/>
    <x v="176"/>
    <s v="Prospect"/>
    <x v="2"/>
    <s v="Kayed Hamad_x000a_"/>
    <m/>
  </r>
  <r>
    <s v="Request"/>
    <s v=""/>
    <s v="17/1/2025"/>
    <x v="2"/>
    <x v="0"/>
    <x v="177"/>
    <s v="Prospect"/>
    <x v="2"/>
    <s v="Mr. Joshua Armstrong_x000a_"/>
    <m/>
  </r>
  <r>
    <s v="Request"/>
    <s v=""/>
    <s v="17/1/2025"/>
    <x v="2"/>
    <x v="0"/>
    <x v="178"/>
    <s v="Prospect"/>
    <x v="2"/>
    <s v="Muhannad Al Shami_x000a_"/>
    <m/>
  </r>
  <r>
    <s v="Request"/>
    <s v=""/>
    <s v="17/1/2025"/>
    <x v="2"/>
    <x v="0"/>
    <x v="179"/>
    <s v="Prospect"/>
    <x v="2"/>
    <s v="Abdullatif alharthi_x000a_"/>
    <m/>
  </r>
  <r>
    <s v="Request"/>
    <s v=""/>
    <s v="17/1/2025"/>
    <x v="2"/>
    <x v="0"/>
    <x v="180"/>
    <s v="Prospect"/>
    <x v="2"/>
    <s v="Mr. Venu Madhav_x000a_"/>
    <m/>
  </r>
  <r>
    <s v="Request"/>
    <s v=""/>
    <s v="17/1/2025"/>
    <x v="2"/>
    <x v="0"/>
    <x v="181"/>
    <s v="Prospect"/>
    <x v="2"/>
    <s v="Mr. Tim Renat_x000a_"/>
    <m/>
  </r>
  <r>
    <s v="Request"/>
    <s v=""/>
    <s v="17/1/2025"/>
    <x v="7"/>
    <x v="0"/>
    <x v="182"/>
    <s v="Prospect"/>
    <x v="1"/>
    <s v=""/>
    <m/>
  </r>
  <r>
    <s v="Request"/>
    <s v=""/>
    <s v="17/1/2025"/>
    <x v="2"/>
    <x v="0"/>
    <x v="182"/>
    <s v="Prospect"/>
    <x v="1"/>
    <s v=""/>
    <m/>
  </r>
  <r>
    <s v="Request"/>
    <s v=""/>
    <s v="17/1/2025"/>
    <x v="2"/>
    <x v="0"/>
    <x v="183"/>
    <s v="Prospect"/>
    <x v="1"/>
    <s v=""/>
    <m/>
  </r>
  <r>
    <s v="Request"/>
    <s v=""/>
    <s v="17/1/2025"/>
    <x v="2"/>
    <x v="0"/>
    <x v="184"/>
    <s v="Prospect"/>
    <x v="1"/>
    <s v=""/>
    <m/>
  </r>
  <r>
    <s v="Request"/>
    <s v=""/>
    <s v="17/1/2025"/>
    <x v="2"/>
    <x v="0"/>
    <x v="185"/>
    <s v="Prospect"/>
    <x v="0"/>
    <s v=""/>
    <m/>
  </r>
  <r>
    <s v="Request"/>
    <s v=""/>
    <s v="17/1/2025"/>
    <x v="2"/>
    <x v="0"/>
    <x v="186"/>
    <s v="Prospect"/>
    <x v="0"/>
    <s v=""/>
    <m/>
  </r>
  <r>
    <s v="Request"/>
    <s v=""/>
    <s v="17/1/2025"/>
    <x v="2"/>
    <x v="0"/>
    <x v="129"/>
    <s v="Prospect"/>
    <x v="0"/>
    <s v=""/>
    <m/>
  </r>
  <r>
    <s v="Request"/>
    <s v=""/>
    <s v="17/1/2025"/>
    <x v="2"/>
    <x v="0"/>
    <x v="187"/>
    <s v="VIC"/>
    <x v="0"/>
    <s v="_x000a_"/>
    <m/>
  </r>
  <r>
    <s v="Request"/>
    <s v=""/>
    <s v="16/1/2025"/>
    <x v="2"/>
    <x v="0"/>
    <x v="172"/>
    <s v="Prospect"/>
    <x v="1"/>
    <s v=""/>
    <m/>
  </r>
  <r>
    <s v="Request"/>
    <s v=""/>
    <s v="16/1/2025"/>
    <x v="2"/>
    <x v="0"/>
    <x v="188"/>
    <s v="Prospect"/>
    <x v="1"/>
    <s v=""/>
    <m/>
  </r>
  <r>
    <s v="Request"/>
    <s v=""/>
    <s v="16/1/2025"/>
    <x v="2"/>
    <x v="0"/>
    <x v="189"/>
    <s v="Prospect"/>
    <x v="2"/>
    <s v="Mr. Siddhant Sabbarwal (uae located in India)_x000a_"/>
    <m/>
  </r>
  <r>
    <s v="Request"/>
    <s v=""/>
    <s v="16/1/2025"/>
    <x v="2"/>
    <x v="0"/>
    <x v="190"/>
    <s v="Prospect"/>
    <x v="1"/>
    <s v=""/>
    <m/>
  </r>
  <r>
    <s v="Request"/>
    <s v=""/>
    <s v="16/1/2025"/>
    <x v="2"/>
    <x v="0"/>
    <x v="191"/>
    <s v="Prospect"/>
    <x v="1"/>
    <s v=""/>
    <m/>
  </r>
  <r>
    <s v="Request"/>
    <s v=""/>
    <s v="16/1/2025"/>
    <x v="2"/>
    <x v="0"/>
    <x v="192"/>
    <s v="Prospect"/>
    <x v="1"/>
    <s v=""/>
    <m/>
  </r>
  <r>
    <s v="Request"/>
    <s v=""/>
    <s v="16/1/2025"/>
    <x v="2"/>
    <x v="0"/>
    <x v="193"/>
    <s v="Prospect"/>
    <x v="1"/>
    <s v=""/>
    <m/>
  </r>
  <r>
    <s v="Request"/>
    <s v=""/>
    <s v="16/1/2025"/>
    <x v="2"/>
    <x v="0"/>
    <x v="194"/>
    <s v="Prospect"/>
    <x v="0"/>
    <s v="the client is very interested _x000a_"/>
    <m/>
  </r>
  <r>
    <s v="Request"/>
    <s v=""/>
    <s v="16/1/2025"/>
    <x v="2"/>
    <x v="0"/>
    <x v="195"/>
    <s v="VVIC"/>
    <x v="0"/>
    <s v="the client already purchased the b128 _x000a_"/>
    <m/>
  </r>
  <r>
    <s v="Request"/>
    <s v=""/>
    <s v="16/1/2025"/>
    <x v="2"/>
    <x v="0"/>
    <x v="196"/>
    <s v="VIC"/>
    <x v="0"/>
    <s v="_x000a_"/>
    <m/>
  </r>
  <r>
    <s v="Request"/>
    <s v=""/>
    <s v="16/1/2025"/>
    <x v="2"/>
    <x v="0"/>
    <x v="197"/>
    <s v="Prospect"/>
    <x v="1"/>
    <s v=""/>
    <m/>
  </r>
  <r>
    <s v="Request"/>
    <s v=""/>
    <s v="16/1/2025"/>
    <x v="2"/>
    <x v="0"/>
    <x v="198"/>
    <s v="Prospect"/>
    <x v="1"/>
    <s v=""/>
    <m/>
  </r>
  <r>
    <s v="Request"/>
    <s v=""/>
    <s v="16/1/2025"/>
    <x v="2"/>
    <x v="0"/>
    <x v="199"/>
    <s v="Prospect"/>
    <x v="1"/>
    <s v=""/>
    <m/>
  </r>
  <r>
    <s v="Request"/>
    <s v=""/>
    <s v="16/1/2025"/>
    <x v="2"/>
    <x v="0"/>
    <x v="200"/>
    <s v="Prospect"/>
    <x v="1"/>
    <s v=""/>
    <m/>
  </r>
  <r>
    <s v="Request"/>
    <s v=""/>
    <s v="16/1/2025"/>
    <x v="2"/>
    <x v="0"/>
    <x v="201"/>
    <s v="Prospect"/>
    <x v="1"/>
    <s v=""/>
    <m/>
  </r>
  <r>
    <s v="Request"/>
    <s v=""/>
    <s v="16/1/2025"/>
    <x v="2"/>
    <x v="0"/>
    <x v="202"/>
    <s v="Prospect"/>
    <x v="1"/>
    <s v=""/>
    <m/>
  </r>
  <r>
    <s v="Request"/>
    <s v=""/>
    <s v="16/1/2025"/>
    <x v="2"/>
    <x v="0"/>
    <x v="203"/>
    <s v="Prospect"/>
    <x v="1"/>
    <s v=""/>
    <m/>
  </r>
  <r>
    <s v="Request"/>
    <s v=""/>
    <s v="16/1/2025"/>
    <x v="2"/>
    <x v="0"/>
    <x v="204"/>
    <s v="Prospect"/>
    <x v="1"/>
    <s v=""/>
    <m/>
  </r>
  <r>
    <s v="Request"/>
    <s v=""/>
    <s v="16/1/2025"/>
    <x v="2"/>
    <x v="0"/>
    <x v="205"/>
    <s v="Prospect"/>
    <x v="0"/>
    <s v=""/>
    <m/>
  </r>
  <r>
    <s v="Request"/>
    <s v=""/>
    <s v="16/1/2025"/>
    <x v="2"/>
    <x v="0"/>
    <x v="206"/>
    <s v="Prospect"/>
    <x v="1"/>
    <s v=""/>
    <m/>
  </r>
  <r>
    <s v="Request"/>
    <s v=""/>
    <s v="16/1/2025"/>
    <x v="2"/>
    <x v="0"/>
    <x v="207"/>
    <s v="Prospect"/>
    <x v="0"/>
    <s v=""/>
    <m/>
  </r>
  <r>
    <s v="Request"/>
    <s v=""/>
    <s v="16/1/2025"/>
    <x v="2"/>
    <x v="0"/>
    <x v="208"/>
    <s v="Prospect"/>
    <x v="0"/>
    <s v=""/>
    <m/>
  </r>
  <r>
    <s v="Request"/>
    <s v=""/>
    <s v="16/1/2025"/>
    <x v="2"/>
    <x v="0"/>
    <x v="209"/>
    <s v="Prospect"/>
    <x v="0"/>
    <s v=""/>
    <m/>
  </r>
  <r>
    <s v="Request"/>
    <s v=""/>
    <s v="15/1/2025"/>
    <x v="2"/>
    <x v="0"/>
    <x v="210"/>
    <s v="Prospect"/>
    <x v="1"/>
    <s v=""/>
    <m/>
  </r>
  <r>
    <s v="Request"/>
    <s v=""/>
    <s v="15/1/2025"/>
    <x v="2"/>
    <x v="0"/>
    <x v="211"/>
    <s v="Prospect"/>
    <x v="2"/>
    <s v="Only calls (Mr. Eujin Lajuenko)_x000a_"/>
    <m/>
  </r>
  <r>
    <s v="Request"/>
    <s v=""/>
    <s v="15/1/2025"/>
    <x v="2"/>
    <x v="0"/>
    <x v="212"/>
    <s v="Prospect"/>
    <x v="1"/>
    <s v="Owner of OVS and fifty six blue dial_x000a_"/>
    <m/>
  </r>
  <r>
    <s v="Request"/>
    <s v=""/>
    <s v="15/1/2025"/>
    <x v="2"/>
    <x v="0"/>
    <x v="213"/>
    <s v="Prospect"/>
    <x v="2"/>
    <s v="Mr. Shadi Hassan_x000a_"/>
    <m/>
  </r>
  <r>
    <s v="Request"/>
    <s v=""/>
    <s v="15/1/2025"/>
    <x v="2"/>
    <x v="0"/>
    <x v="214"/>
    <s v="Prospect"/>
    <x v="0"/>
    <s v="the client is intrested in the Timepeice _x000a_"/>
    <m/>
  </r>
  <r>
    <s v="Request"/>
    <s v=""/>
    <s v="15/1/2025"/>
    <x v="2"/>
    <x v="0"/>
    <x v="215"/>
    <s v="Prospect"/>
    <x v="0"/>
    <s v="The client is interested in the 222_x000a_"/>
    <m/>
  </r>
  <r>
    <s v="Request"/>
    <s v=""/>
    <s v="15/1/2025"/>
    <x v="2"/>
    <x v="0"/>
    <x v="216"/>
    <s v="Prospect"/>
    <x v="1"/>
    <s v="Requested UAE market_x000a_"/>
    <m/>
  </r>
  <r>
    <s v="Request"/>
    <s v=""/>
    <s v="15/1/2025"/>
    <x v="2"/>
    <x v="0"/>
    <x v="217"/>
    <s v="Prospect"/>
    <x v="1"/>
    <s v=""/>
    <m/>
  </r>
  <r>
    <s v="Request"/>
    <s v=""/>
    <s v="15/1/2025"/>
    <x v="2"/>
    <x v="0"/>
    <x v="218"/>
    <s v="Prospect"/>
    <x v="1"/>
    <s v=""/>
    <m/>
  </r>
  <r>
    <s v="Request"/>
    <s v=""/>
    <s v="15/1/2025"/>
    <x v="2"/>
    <x v="0"/>
    <x v="219"/>
    <s v="Prospect"/>
    <x v="1"/>
    <s v=""/>
    <m/>
  </r>
  <r>
    <s v="Request"/>
    <s v=""/>
    <s v="15/1/2025"/>
    <x v="2"/>
    <x v="0"/>
    <x v="220"/>
    <s v="Prospect"/>
    <x v="0"/>
    <s v=""/>
    <m/>
  </r>
  <r>
    <s v="Request"/>
    <s v=""/>
    <s v="15/1/2025"/>
    <x v="2"/>
    <x v="0"/>
    <x v="221"/>
    <s v="Prospect"/>
    <x v="1"/>
    <s v=""/>
    <m/>
  </r>
  <r>
    <s v="Request"/>
    <s v=""/>
    <s v="15/1/2025"/>
    <x v="2"/>
    <x v="0"/>
    <x v="222"/>
    <s v="Prospect"/>
    <x v="2"/>
    <s v="Mr. Mohammed Alhashimi (KSA)_x000a_"/>
    <m/>
  </r>
  <r>
    <s v="Cancelled"/>
    <s v="Cancelled"/>
    <s v="15/1/2025"/>
    <x v="28"/>
    <x v="0"/>
    <x v="223"/>
    <s v="Prospect"/>
    <x v="1"/>
    <s v=""/>
    <m/>
  </r>
  <r>
    <s v="Request"/>
    <s v=""/>
    <s v="15/1/2025"/>
    <x v="2"/>
    <x v="0"/>
    <x v="224"/>
    <s v="Prospect"/>
    <x v="1"/>
    <s v=""/>
    <m/>
  </r>
  <r>
    <s v="Request"/>
    <s v=""/>
    <s v="15/1/2025"/>
    <x v="2"/>
    <x v="0"/>
    <x v="225"/>
    <s v="Prospect"/>
    <x v="1"/>
    <s v=""/>
    <m/>
  </r>
  <r>
    <s v="Request"/>
    <s v=""/>
    <s v="15/1/2025"/>
    <x v="2"/>
    <x v="0"/>
    <x v="226"/>
    <s v="Prospect"/>
    <x v="0"/>
    <s v=""/>
    <m/>
  </r>
  <r>
    <s v="Request"/>
    <s v=""/>
    <s v="15/1/2025"/>
    <x v="2"/>
    <x v="0"/>
    <x v="227"/>
    <s v="Prospect"/>
    <x v="2"/>
    <s v="ksa : Yousef Alibrahim_x000a_"/>
    <m/>
  </r>
  <r>
    <s v="Request"/>
    <s v=""/>
    <s v="15/1/2025"/>
    <x v="2"/>
    <x v="0"/>
    <x v="228"/>
    <s v="Prospect"/>
    <x v="0"/>
    <s v=""/>
    <m/>
  </r>
  <r>
    <s v="Request"/>
    <s v=""/>
    <s v="15/1/2025"/>
    <x v="2"/>
    <x v="0"/>
    <x v="229"/>
    <s v="Prospect"/>
    <x v="0"/>
    <s v=""/>
    <m/>
  </r>
  <r>
    <s v="Request"/>
    <s v=""/>
    <s v="15/1/2025"/>
    <x v="2"/>
    <x v="0"/>
    <x v="230"/>
    <s v="Prospect"/>
    <x v="0"/>
    <s v=""/>
    <m/>
  </r>
  <r>
    <s v="Request"/>
    <s v=""/>
    <s v="15/1/2025"/>
    <x v="2"/>
    <x v="0"/>
    <x v="231"/>
    <s v="Prospect"/>
    <x v="0"/>
    <s v=""/>
    <m/>
  </r>
  <r>
    <s v="Request"/>
    <s v=""/>
    <s v="15/1/2025"/>
    <x v="2"/>
    <x v="0"/>
    <x v="232"/>
    <s v="Prospect"/>
    <x v="0"/>
    <s v=""/>
    <m/>
  </r>
  <r>
    <s v="Request"/>
    <s v=""/>
    <s v="15/1/2025"/>
    <x v="2"/>
    <x v="0"/>
    <x v="233"/>
    <s v="Prospect"/>
    <x v="0"/>
    <s v=""/>
    <m/>
  </r>
  <r>
    <s v="Request"/>
    <s v=""/>
    <s v="15/1/2025"/>
    <x v="2"/>
    <x v="0"/>
    <x v="234"/>
    <s v="Prospect"/>
    <x v="0"/>
    <s v=""/>
    <m/>
  </r>
  <r>
    <s v="Request"/>
    <s v=""/>
    <s v="15/1/2025"/>
    <x v="2"/>
    <x v="0"/>
    <x v="235"/>
    <s v="Prospect"/>
    <x v="0"/>
    <s v=""/>
    <m/>
  </r>
  <r>
    <s v="Request"/>
    <s v=""/>
    <s v="15/1/2025"/>
    <x v="2"/>
    <x v="0"/>
    <x v="236"/>
    <s v="Prospect"/>
    <x v="0"/>
    <s v=""/>
    <m/>
  </r>
  <r>
    <s v="Request"/>
    <s v=""/>
    <s v="15/1/2025"/>
    <x v="2"/>
    <x v="0"/>
    <x v="237"/>
    <s v="Prospect"/>
    <x v="0"/>
    <s v=""/>
    <m/>
  </r>
  <r>
    <s v="Request"/>
    <s v=""/>
    <s v="15/1/2025"/>
    <x v="2"/>
    <x v="0"/>
    <x v="238"/>
    <s v="Prospect"/>
    <x v="0"/>
    <s v=""/>
    <m/>
  </r>
  <r>
    <s v="Request"/>
    <s v=""/>
    <s v="15/1/2025"/>
    <x v="2"/>
    <x v="0"/>
    <x v="186"/>
    <s v="Prospect"/>
    <x v="0"/>
    <s v=""/>
    <m/>
  </r>
  <r>
    <s v="Request"/>
    <s v=""/>
    <s v="14/1/2025"/>
    <x v="2"/>
    <x v="0"/>
    <x v="239"/>
    <s v="Prospect"/>
    <x v="1"/>
    <s v="The client is a watch collector_x000a_"/>
    <m/>
  </r>
  <r>
    <s v="Request"/>
    <s v=""/>
    <s v="14/1/2025"/>
    <x v="2"/>
    <x v="0"/>
    <x v="240"/>
    <s v="Client"/>
    <x v="2"/>
    <s v="Mr. Faihan Al Raqas ( 966598444066)_x000a_"/>
    <m/>
  </r>
  <r>
    <s v="Request"/>
    <s v=""/>
    <s v="14/1/2025"/>
    <x v="2"/>
    <x v="0"/>
    <x v="241"/>
    <s v="Prospect"/>
    <x v="0"/>
    <s v="The client is already interested in the 222 and willing to pay in advance _x000a_"/>
    <m/>
  </r>
  <r>
    <s v="Request"/>
    <s v=""/>
    <s v="14/1/2025"/>
    <x v="2"/>
    <x v="0"/>
    <x v="155"/>
    <s v="Prospect"/>
    <x v="0"/>
    <s v="the client is very intrested _x000a_"/>
    <m/>
  </r>
  <r>
    <s v="Request"/>
    <s v=""/>
    <s v="14/1/2025"/>
    <x v="2"/>
    <x v="0"/>
    <x v="242"/>
    <s v="Prospect"/>
    <x v="1"/>
    <s v=""/>
    <m/>
  </r>
  <r>
    <s v="Request"/>
    <s v=""/>
    <s v="14/1/2025"/>
    <x v="2"/>
    <x v="0"/>
    <x v="243"/>
    <s v="Prospect"/>
    <x v="2"/>
    <s v="Mr. Eddy Hourani_x000a_"/>
    <m/>
  </r>
  <r>
    <s v="Request"/>
    <s v=""/>
    <s v="14/1/2025"/>
    <x v="2"/>
    <x v="0"/>
    <x v="244"/>
    <s v="Prospect"/>
    <x v="1"/>
    <s v=""/>
    <m/>
  </r>
  <r>
    <s v="Request"/>
    <s v=""/>
    <s v="14/1/2025"/>
    <x v="2"/>
    <x v="0"/>
    <x v="245"/>
    <s v="Prospect"/>
    <x v="2"/>
    <s v="Mr. Basil Bostami (Client for ksa)_x000a_"/>
    <m/>
  </r>
  <r>
    <s v="Request"/>
    <s v=""/>
    <s v="14/1/2025"/>
    <x v="2"/>
    <x v="0"/>
    <x v="246"/>
    <s v="Prospect"/>
    <x v="2"/>
    <s v="Mr. Amir Farag_x000a_"/>
    <m/>
  </r>
  <r>
    <s v="Request"/>
    <s v=""/>
    <s v="14/1/2025"/>
    <x v="2"/>
    <x v="0"/>
    <x v="247"/>
    <s v="Prospect"/>
    <x v="1"/>
    <s v="A gift for his father _x000a_"/>
    <m/>
  </r>
  <r>
    <s v="Request"/>
    <s v=""/>
    <s v="14/1/2025"/>
    <x v="2"/>
    <x v="0"/>
    <x v="248"/>
    <s v="Prospect"/>
    <x v="1"/>
    <s v=""/>
    <m/>
  </r>
  <r>
    <s v="Request"/>
    <s v=""/>
    <s v="14/1/2025"/>
    <x v="2"/>
    <x v="0"/>
    <x v="249"/>
    <s v="Prospect"/>
    <x v="1"/>
    <s v=""/>
    <m/>
  </r>
  <r>
    <s v="Request"/>
    <s v=""/>
    <s v="14/1/2025"/>
    <x v="2"/>
    <x v="0"/>
    <x v="250"/>
    <s v="Prospect"/>
    <x v="1"/>
    <s v=""/>
    <m/>
  </r>
  <r>
    <s v="Request"/>
    <s v=""/>
    <s v="14/1/2025"/>
    <x v="2"/>
    <x v="0"/>
    <x v="251"/>
    <s v="Prospect"/>
    <x v="1"/>
    <s v=""/>
    <m/>
  </r>
  <r>
    <s v="Request"/>
    <s v=""/>
    <s v="14/1/2025"/>
    <x v="2"/>
    <x v="0"/>
    <x v="252"/>
    <s v="Client"/>
    <x v="1"/>
    <s v=""/>
    <m/>
  </r>
  <r>
    <s v="Request"/>
    <s v=""/>
    <s v="14/1/2025"/>
    <x v="2"/>
    <x v="0"/>
    <x v="155"/>
    <s v="Prospect"/>
    <x v="0"/>
    <s v="Cllient is very interested _x000a_"/>
    <m/>
  </r>
  <r>
    <s v="Request"/>
    <s v=""/>
    <s v="14/1/2025"/>
    <x v="2"/>
    <x v="0"/>
    <x v="253"/>
    <s v="Prospect"/>
    <x v="0"/>
    <s v=""/>
    <m/>
  </r>
  <r>
    <s v="Request"/>
    <s v=""/>
    <s v="14/1/2025"/>
    <x v="2"/>
    <x v="0"/>
    <x v="254"/>
    <s v="Prospect"/>
    <x v="0"/>
    <s v=""/>
    <m/>
  </r>
  <r>
    <s v="Request"/>
    <s v=""/>
    <s v="14/1/2025"/>
    <x v="2"/>
    <x v="0"/>
    <x v="255"/>
    <s v="Prospect"/>
    <x v="0"/>
    <s v=""/>
    <m/>
  </r>
  <r>
    <s v="Request"/>
    <s v=""/>
    <s v="14/1/2025"/>
    <x v="2"/>
    <x v="0"/>
    <x v="256"/>
    <s v="Prospect"/>
    <x v="0"/>
    <s v=""/>
    <m/>
  </r>
  <r>
    <s v="Request"/>
    <s v=""/>
    <s v="14/1/2025"/>
    <x v="2"/>
    <x v="0"/>
    <x v="233"/>
    <s v="Prospect"/>
    <x v="0"/>
    <s v=""/>
    <m/>
  </r>
  <r>
    <s v="Request"/>
    <s v=""/>
    <s v="14/1/2025"/>
    <x v="2"/>
    <x v="0"/>
    <x v="257"/>
    <s v="Prospect"/>
    <x v="0"/>
    <s v=""/>
    <m/>
  </r>
  <r>
    <s v="Request"/>
    <s v=""/>
    <s v="11/1/2025"/>
    <x v="12"/>
    <x v="0"/>
    <x v="258"/>
    <s v="Prospect"/>
    <x v="0"/>
    <s v="The client showed interest in the Dual Time and he will be visiting Geneva from 5 of Feb until the 7th Feb 2025 _x000a_"/>
    <m/>
  </r>
  <r>
    <s v="Request"/>
    <s v=""/>
    <s v="10/1/2025"/>
    <x v="24"/>
    <x v="0"/>
    <x v="241"/>
    <s v="Prospect"/>
    <x v="0"/>
    <s v="The client stated that he will go and try it _x000a_"/>
    <m/>
  </r>
  <r>
    <s v="Cancelled"/>
    <s v="Cancelled"/>
    <s v="2/1/2025"/>
    <x v="29"/>
    <x v="0"/>
    <x v="259"/>
    <s v="Prospect"/>
    <x v="2"/>
    <s v="Mr. Taylan Sayin_x000a_"/>
    <m/>
  </r>
  <r>
    <s v="Request"/>
    <s v=""/>
    <s v="2/1/2025"/>
    <x v="12"/>
    <x v="0"/>
    <x v="241"/>
    <s v="Prospect"/>
    <x v="0"/>
    <s v="as per the client expressing interest in two models:_x000a__x000a_- **Overseas Dual Time (Steel)**_x000a_- **1921 (40mm and 36mm)**_x000a__x000a_Mr. Khan described his existing collection, which includes:_x000a__x000a_- **Omega**_x000a_- **Panerai**_x000a_- **Vintage Raymond Weil**_x000a__x000a__x000a_"/>
    <m/>
  </r>
  <r>
    <s v="Request"/>
    <s v=""/>
    <s v="1/1/2025"/>
    <x v="5"/>
    <x v="0"/>
    <x v="260"/>
    <s v="Prospect"/>
    <x v="0"/>
    <s v="The client is interested in the timepeice but still thinking of his budget _x000a_"/>
    <m/>
  </r>
  <r>
    <s v="Request"/>
    <s v=""/>
    <s v="1/1/2025"/>
    <x v="0"/>
    <x v="0"/>
    <x v="0"/>
    <s v="Prospect"/>
    <x v="0"/>
    <s v="Watch collector: 3 Rolexes, 2 JLC, 1 AP (Royal Oak Offshore Diver), 1 IWC, 1 Chopard, 1 Ulysse Nardin, 2 Nomos. _x000a_"/>
    <m/>
  </r>
  <r>
    <s v="Sold"/>
    <s v="Confirmed"/>
    <s v="27/12/2024"/>
    <x v="8"/>
    <x v="0"/>
    <x v="72"/>
    <s v="Prospect"/>
    <x v="2"/>
    <s v="Fida Hussain junjua_x000a_"/>
    <m/>
  </r>
  <r>
    <s v="Request"/>
    <s v=""/>
    <s v="26/12/2024"/>
    <x v="3"/>
    <x v="0"/>
    <x v="261"/>
    <s v="Prospect"/>
    <x v="1"/>
    <s v=""/>
    <m/>
  </r>
  <r>
    <s v="Request"/>
    <s v="Postponed"/>
    <s v="26/12/2024"/>
    <x v="4"/>
    <x v="0"/>
    <x v="262"/>
    <s v="Prospect"/>
    <x v="1"/>
    <s v="The client added his interest in Lebanon two years ago but no one contacted him. He is interested in this timepiece and can come to UAE_x000a_"/>
    <m/>
  </r>
  <r>
    <s v="Request"/>
    <s v="Confirmed"/>
    <s v="25/12/2024"/>
    <x v="8"/>
    <x v="0"/>
    <x v="263"/>
    <s v="Prospect"/>
    <x v="0"/>
    <s v="The client wants to purchase the Overseas chronograph 5520V/210A-B148_x000a__x000a_and has another request for the black one. He wants to try the blue one now and complete the payment_x000a__x000a__x000a_"/>
    <m/>
  </r>
  <r>
    <s v="Request"/>
    <s v=""/>
    <s v="21/12/2024"/>
    <x v="12"/>
    <x v="0"/>
    <x v="264"/>
    <s v="Prospect"/>
    <x v="0"/>
    <s v="The client is watch collecter _x000a_"/>
    <m/>
  </r>
  <r>
    <s v="Request"/>
    <s v=""/>
    <s v="21/12/2024"/>
    <x v="3"/>
    <x v="0"/>
    <x v="265"/>
    <s v="Prospect"/>
    <x v="1"/>
    <s v=""/>
    <m/>
  </r>
  <r>
    <s v="Request"/>
    <s v=""/>
    <s v="20/12/2024"/>
    <x v="4"/>
    <x v="0"/>
    <x v="266"/>
    <s v="Prospect"/>
    <x v="1"/>
    <s v=""/>
    <m/>
  </r>
  <r>
    <s v="Request"/>
    <s v="Postponed"/>
    <s v="19/12/2024"/>
    <x v="29"/>
    <x v="0"/>
    <x v="263"/>
    <s v="Prospect"/>
    <x v="0"/>
    <s v="The client would like to be listed for the chronograph_x000a_"/>
    <m/>
  </r>
  <r>
    <s v="Request"/>
    <s v="Confirmed"/>
    <s v="19/12/2024"/>
    <x v="6"/>
    <x v="0"/>
    <x v="264"/>
    <s v="Prospect"/>
    <x v="0"/>
    <s v="The client is a collecter with big interest  on the overseas collection _x000a_"/>
    <m/>
  </r>
  <r>
    <s v="Sold"/>
    <s v="Confirmed"/>
    <s v="19/12/2024"/>
    <x v="8"/>
    <x v="0"/>
    <x v="267"/>
    <s v="Prospect"/>
    <x v="1"/>
    <s v=""/>
    <m/>
  </r>
  <r>
    <s v="Request"/>
    <s v=""/>
    <s v="18/12/2024"/>
    <x v="3"/>
    <x v="0"/>
    <x v="268"/>
    <s v="Prospect"/>
    <x v="1"/>
    <s v="The client got promoted recently and would like to get this timepiece._x000a_"/>
    <m/>
  </r>
  <r>
    <s v="Cancelled"/>
    <s v="Cancelled"/>
    <s v="18/12/2024"/>
    <x v="22"/>
    <x v="0"/>
    <x v="66"/>
    <s v="Prospect"/>
    <x v="1"/>
    <s v="To gift it to his father as a replacement of the 222 steel that he has._x000a_"/>
    <m/>
  </r>
  <r>
    <s v="Cancelled"/>
    <s v="Cancelled"/>
    <s v="18/12/2024"/>
    <x v="13"/>
    <x v="0"/>
    <x v="66"/>
    <s v="Prospect"/>
    <x v="1"/>
    <s v=""/>
    <m/>
  </r>
  <r>
    <s v="Cancelled"/>
    <s v="Cancelled"/>
    <s v="17/12/2024"/>
    <x v="24"/>
    <x v="0"/>
    <x v="269"/>
    <s v="Prospect"/>
    <x v="1"/>
    <s v=""/>
    <m/>
  </r>
  <r>
    <s v="Request"/>
    <s v="Confirmed"/>
    <s v="17/12/2024"/>
    <x v="26"/>
    <x v="0"/>
    <x v="270"/>
    <s v="Prospect"/>
    <x v="0"/>
    <s v="The client is of exceptional stature, with deep-rooted connections to family-operated holding companies and a distinguished legacy in multi-generational wealth management, reflecting both influence and enduring financial sophistication. _x000a_"/>
    <m/>
  </r>
  <r>
    <s v="Cancelled"/>
    <s v="Cancelled"/>
    <s v="14/12/2024"/>
    <x v="12"/>
    <x v="0"/>
    <x v="267"/>
    <s v="Prospect"/>
    <x v="1"/>
    <s v="The client would like to buy this timepiece a gift for his brother - His birthday is on August 11_x000a_"/>
    <m/>
  </r>
  <r>
    <s v="Request"/>
    <s v=""/>
    <s v="14/12/2024"/>
    <x v="3"/>
    <x v="0"/>
    <x v="271"/>
    <s v="Prospect"/>
    <x v="1"/>
    <s v="The client is a watch collcter, appreciative of the brand history and heritage and considers having this timepiece will make him a successful watch collector._x000a_"/>
    <m/>
  </r>
  <r>
    <s v="Cancelled"/>
    <s v="Cancelled"/>
    <s v="13/12/2024"/>
    <x v="28"/>
    <x v="0"/>
    <x v="272"/>
    <s v="Prospect"/>
    <x v="1"/>
    <s v="The client is interested in getting the Overseas for special occasion and will also purchase the fiftysix 4600E/110A-B487 for day to day use._x000a_"/>
    <m/>
  </r>
  <r>
    <s v="Request"/>
    <s v=""/>
    <s v="10/12/2024"/>
    <x v="3"/>
    <x v="0"/>
    <x v="273"/>
    <s v="Prospect"/>
    <x v="1"/>
    <s v=""/>
    <m/>
  </r>
  <r>
    <s v="Sold"/>
    <s v="Confirmed"/>
    <s v="10/12/2024"/>
    <x v="3"/>
    <x v="0"/>
    <x v="274"/>
    <s v="Prospect"/>
    <x v="1"/>
    <s v=""/>
    <m/>
  </r>
  <r>
    <s v="Request"/>
    <s v="Postponed"/>
    <s v="5/12/2024"/>
    <x v="22"/>
    <x v="0"/>
    <x v="275"/>
    <s v="Prospect"/>
    <x v="2"/>
    <s v="Mr. Chirag Arora : also interested in the historiques 222_x000a_"/>
    <m/>
  </r>
  <r>
    <s v="Request"/>
    <s v="Postponed"/>
    <s v="5/12/2024"/>
    <x v="13"/>
    <x v="0"/>
    <x v="275"/>
    <s v="Prospect"/>
    <x v="2"/>
    <s v="Mr. Chirag Arora : is also interested in the overeseas gold selfwinding green dial._x000a_"/>
    <m/>
  </r>
  <r>
    <s v="Request"/>
    <s v=""/>
    <s v="4/12/2024"/>
    <x v="3"/>
    <x v="0"/>
    <x v="276"/>
    <s v="Prospect"/>
    <x v="0"/>
    <s v="The client is based in India , and willing to come to the UAE for 128 _x000a_"/>
    <m/>
  </r>
  <r>
    <s v="Request"/>
    <s v=""/>
    <s v="28/11/2024"/>
    <x v="12"/>
    <x v="0"/>
    <x v="277"/>
    <s v="Prospect"/>
    <x v="2"/>
    <s v="Mr. Asim Alowais_x000a_"/>
    <m/>
  </r>
  <r>
    <s v="Request"/>
    <s v=""/>
    <s v="27/11/2024"/>
    <x v="12"/>
    <x v="0"/>
    <x v="278"/>
    <s v="Prospect"/>
    <x v="2"/>
    <s v="Mr. Anthony Delpiano contacted us via email_x000a_"/>
    <m/>
  </r>
  <r>
    <s v="Request"/>
    <s v=""/>
    <s v="26/11/2024"/>
    <x v="3"/>
    <x v="0"/>
    <x v="279"/>
    <s v="Prospect"/>
    <x v="2"/>
    <s v="Mr Abdelhadi Mohamed interested in the Overseas Blue dial but he is also open for alternatives._x000a_"/>
    <m/>
  </r>
  <r>
    <s v="Cancelled"/>
    <s v="Cancelled"/>
    <s v="23/11/2024"/>
    <x v="0"/>
    <x v="0"/>
    <x v="280"/>
    <s v="Prospect"/>
    <x v="2"/>
    <s v="Client was initially interested in the 222 but now he would like to register for the Overseasmoon phase retrograde date: for his son birthday on 28 Nov._x000a_"/>
    <m/>
  </r>
  <r>
    <s v="Request"/>
    <s v=""/>
    <s v="21/11/2024"/>
    <x v="3"/>
    <x v="0"/>
    <x v="204"/>
    <s v="Prospect"/>
    <x v="1"/>
    <s v="Added to the waiting list for the OVS retrograde moonphase_x000a_"/>
    <m/>
  </r>
  <r>
    <s v="Request"/>
    <s v=""/>
    <s v="20/11/2024"/>
    <x v="30"/>
    <x v="0"/>
    <x v="281"/>
    <s v="Prospect"/>
    <x v="0"/>
    <s v="the client would like to purchases the Overseasquartz_x000a__x000a_1225V/200A-B590 33 mm Steel _x000a_"/>
    <m/>
  </r>
  <r>
    <s v="Request"/>
    <s v="Confirmed"/>
    <s v="20/11/2024"/>
    <x v="12"/>
    <x v="0"/>
    <x v="282"/>
    <s v="Prospect"/>
    <x v="0"/>
    <s v="**Overseas Dual Time**: Mr. Nassef has expressed a preference for this model due to its suitability to his wrist size (41 mm)._x000a_"/>
    <m/>
  </r>
  <r>
    <s v="Request"/>
    <s v=""/>
    <s v="20/11/2024"/>
    <x v="3"/>
    <x v="0"/>
    <x v="283"/>
    <s v="Client"/>
    <x v="1"/>
    <s v="The client is an owner of a fiftysix - from korea- he is already added to the korean waitlist - but he shifted to UAE and would like to be added as well_x000a_"/>
    <m/>
  </r>
  <r>
    <s v="Request"/>
    <s v="Postponed"/>
    <s v="20/11/2024"/>
    <x v="12"/>
    <x v="0"/>
    <x v="263"/>
    <s v="Prospect"/>
    <x v="0"/>
    <s v="The client wants to own his first VC and add it to his collection which inclouds , Rolexes, AP’s and Pateks’_x000a_"/>
    <m/>
  </r>
  <r>
    <s v="Request"/>
    <s v=""/>
    <s v="16/11/2024"/>
    <x v="3"/>
    <x v="0"/>
    <x v="142"/>
    <s v="Prospect"/>
    <x v="1"/>
    <s v="_x000a_"/>
    <m/>
  </r>
  <r>
    <s v="Cancelled"/>
    <s v="Cancelled"/>
    <s v="16/11/2024"/>
    <x v="28"/>
    <x v="0"/>
    <x v="142"/>
    <s v="Prospect"/>
    <x v="1"/>
    <s v=""/>
    <m/>
  </r>
  <r>
    <s v="Request"/>
    <s v="Pending client feedback"/>
    <s v="15/11/2024"/>
    <x v="31"/>
    <x v="0"/>
    <x v="284"/>
    <s v="Prospect"/>
    <x v="0"/>
    <s v="The client would like to purchase the oversease for his wife as  Christmas gift_x000a_"/>
    <m/>
  </r>
  <r>
    <s v="Request"/>
    <s v="Confirmed"/>
    <s v="14/11/2024"/>
    <x v="3"/>
    <x v="0"/>
    <x v="285"/>
    <s v="Prospect"/>
    <x v="0"/>
    <s v="The client would like to purchases the overseas blue simple _x000a_"/>
    <m/>
  </r>
  <r>
    <s v="Request"/>
    <s v="Pending client feedback"/>
    <s v="14/11/2024"/>
    <x v="32"/>
    <x v="0"/>
    <x v="285"/>
    <s v="Prospect"/>
    <x v="0"/>
    <s v="The client would like to purchase the overseas and stated that , he considers him self a Vacheron Constantin ambassador _x000a_"/>
    <m/>
  </r>
  <r>
    <s v="Request"/>
    <s v=""/>
    <s v="13/11/2024"/>
    <x v="3"/>
    <x v="0"/>
    <x v="286"/>
    <s v="Prospect"/>
    <x v="0"/>
    <s v="The customer appreciates the simplicity and elegance of the model, as well as the collapsible strap, which aligns with his lifestyle._x000a__x000a_The customer has tried on the model in-store and confirmed his intent to purchase it as soon as it becomes available._x000a__x000a__x000a_"/>
    <m/>
  </r>
  <r>
    <s v="Cancelled"/>
    <s v="Cancelled"/>
    <s v="12/11/2024"/>
    <x v="5"/>
    <x v="0"/>
    <x v="287"/>
    <s v="Prospect"/>
    <x v="1"/>
    <s v="The client already bought the OVS chronograph - pink gold and blue dial and would like to add this timepiece to his collection_x000a_"/>
    <m/>
  </r>
  <r>
    <s v="Cancelled"/>
    <s v="Cancelled"/>
    <s v="9/11/2024"/>
    <x v="12"/>
    <x v="0"/>
    <x v="288"/>
    <s v="Prospect"/>
    <x v="1"/>
    <s v=""/>
    <m/>
  </r>
  <r>
    <s v="Cancelled"/>
    <s v="Cancelled"/>
    <s v="7/11/2024"/>
    <x v="6"/>
    <x v="0"/>
    <x v="289"/>
    <s v="Prospect"/>
    <x v="1"/>
    <s v=""/>
    <m/>
  </r>
  <r>
    <s v="Cancelled"/>
    <s v="Cancelled"/>
    <s v="6/11/2024"/>
    <x v="12"/>
    <x v="0"/>
    <x v="290"/>
    <s v="Prospect"/>
    <x v="1"/>
    <s v=""/>
    <m/>
  </r>
  <r>
    <s v="Request"/>
    <s v=""/>
    <s v="5/11/2024"/>
    <x v="12"/>
    <x v="0"/>
    <x v="291"/>
    <s v="VVIC"/>
    <x v="0"/>
    <s v="My client Al Owis recently reached out to express his satisfaction with the service he received previously. He inquired about the dual time and mentioned that he would like to purchase it as a gift for his uncle, His Excellency Abdul Rahman Al Owais._x000a_"/>
    <m/>
  </r>
  <r>
    <s v="Cancelled"/>
    <s v="Cancelled"/>
    <s v="5/11/2024"/>
    <x v="12"/>
    <x v="0"/>
    <x v="292"/>
    <s v="Prospect"/>
    <x v="2"/>
    <s v="Client was registred by Yangli for the blue dial and 2 ladies watches _x000a_"/>
    <m/>
  </r>
  <r>
    <s v="Cancelled"/>
    <s v="Cancelled"/>
    <s v="5/11/2024"/>
    <x v="6"/>
    <x v="0"/>
    <x v="293"/>
    <s v="Prospect"/>
    <x v="2"/>
    <s v="Client is open for other options invited his to the boutique._x000a_"/>
    <m/>
  </r>
  <r>
    <s v="Request"/>
    <s v=""/>
    <s v="5/11/2024"/>
    <x v="4"/>
    <x v="0"/>
    <x v="294"/>
    <s v="Prospect"/>
    <x v="0"/>
    <s v="The client is Al Firdan family memebers   interested in the black and blue dual time _x000a_"/>
    <m/>
  </r>
  <r>
    <s v="Request"/>
    <s v=""/>
    <s v="2/11/2024"/>
    <x v="3"/>
    <x v="0"/>
    <x v="295"/>
    <s v="Prospect"/>
    <x v="0"/>
    <s v="VVIP Client - Mr. Abdulaziz  is very interested in the timepeice _x000a_"/>
    <m/>
  </r>
  <r>
    <s v="Request"/>
    <s v=""/>
    <s v="2/11/2024"/>
    <x v="12"/>
    <x v="0"/>
    <x v="296"/>
    <s v="Prospect"/>
    <x v="0"/>
    <s v="The client is intrested in the OVERSEAS DUAL TIME \n _x000a_"/>
    <m/>
  </r>
  <r>
    <s v="Cancelled"/>
    <s v="Cancelled"/>
    <s v="31/10/2024"/>
    <x v="3"/>
    <x v="0"/>
    <x v="297"/>
    <s v="Prospect"/>
    <x v="0"/>
    <s v="The client is very interested in the overseas blue bay tower._x000a_"/>
    <m/>
  </r>
  <r>
    <s v="Cancelled"/>
    <s v="Cancelled"/>
    <s v="30/10/2024"/>
    <x v="8"/>
    <x v="0"/>
    <x v="298"/>
    <s v="Prospect"/>
    <x v="1"/>
    <s v=""/>
    <m/>
  </r>
  <r>
    <s v="Request"/>
    <s v=""/>
    <s v="30/10/2024"/>
    <x v="12"/>
    <x v="0"/>
    <x v="298"/>
    <s v="Prospect"/>
    <x v="1"/>
    <s v=""/>
    <m/>
  </r>
  <r>
    <s v="Request"/>
    <s v=""/>
    <s v="30/10/2024"/>
    <x v="3"/>
    <x v="0"/>
    <x v="297"/>
    <s v="Prospect"/>
    <x v="0"/>
    <s v=""/>
    <m/>
  </r>
  <r>
    <s v="Cancelled"/>
    <s v="Cancelled"/>
    <s v="30/10/2024"/>
    <x v="33"/>
    <x v="0"/>
    <x v="299"/>
    <s v="Prospect"/>
    <x v="0"/>
    <s v="the client would like to purchases _x000a__x000a_overseas tourbillon_x000a_"/>
    <m/>
  </r>
  <r>
    <s v="Request"/>
    <s v=""/>
    <s v="26/10/2024"/>
    <x v="3"/>
    <x v="0"/>
    <x v="300"/>
    <s v="Prospect"/>
    <x v="0"/>
    <s v="The clinet is a high profile., unfortunately SF didnt create id yet. the client will be going to KSA on Monday morning _x000a_"/>
    <m/>
  </r>
  <r>
    <s v="Request"/>
    <s v=""/>
    <s v="25/10/2024"/>
    <x v="3"/>
    <x v="0"/>
    <x v="299"/>
    <s v="Prospect"/>
    <x v="0"/>
    <s v="The client is interested in the blue simple day overseas and would like to come to the boutique to try it. _x000a_"/>
    <m/>
  </r>
  <r>
    <s v="Cancelled"/>
    <s v="Cancelled"/>
    <s v="25/10/2024"/>
    <x v="28"/>
    <x v="0"/>
    <x v="131"/>
    <s v="Prospect"/>
    <x v="1"/>
    <s v=""/>
    <m/>
  </r>
  <r>
    <s v="Cancelled"/>
    <s v="Cancelled"/>
    <s v="24/10/2024"/>
    <x v="12"/>
    <x v="0"/>
    <x v="131"/>
    <s v="Prospect"/>
    <x v="1"/>
    <s v=""/>
    <m/>
  </r>
  <r>
    <s v="Cancelled"/>
    <s v="Cancelled"/>
    <s v="24/10/2024"/>
    <x v="3"/>
    <x v="0"/>
    <x v="131"/>
    <s v="Prospect"/>
    <x v="1"/>
    <s v=""/>
    <m/>
  </r>
  <r>
    <s v="Request"/>
    <s v=""/>
    <s v="22/10/2024"/>
    <x v="3"/>
    <x v="0"/>
    <x v="301"/>
    <s v="Prospect"/>
    <x v="1"/>
    <s v=""/>
    <m/>
  </r>
  <r>
    <s v="Sold"/>
    <s v="Confirmed"/>
    <s v="22/10/2024"/>
    <x v="29"/>
    <x v="0"/>
    <x v="302"/>
    <s v="Prospect"/>
    <x v="2"/>
    <s v=""/>
    <m/>
  </r>
  <r>
    <s v="Request"/>
    <s v="Confirmed"/>
    <s v="20/10/2024"/>
    <x v="12"/>
    <x v="0"/>
    <x v="294"/>
    <s v="Prospect"/>
    <x v="0"/>
    <s v="VVIC | The Mr. Ali showed his interest in the  timepeice and would like to meet and would like to purchase the watch _x000a_"/>
    <m/>
  </r>
  <r>
    <s v="Request"/>
    <s v=""/>
    <s v="19/10/2024"/>
    <x v="3"/>
    <x v="0"/>
    <x v="300"/>
    <s v="Prospect"/>
    <x v="0"/>
    <s v="The client is interested in the blue dial the ID still not appearing will update it accordingly _x000a_"/>
    <m/>
  </r>
  <r>
    <s v="Request"/>
    <s v=""/>
    <s v="19/10/2024"/>
    <x v="3"/>
    <x v="0"/>
    <x v="303"/>
    <s v="Prospect"/>
    <x v="1"/>
    <s v=""/>
    <m/>
  </r>
  <r>
    <s v="Pre-order"/>
    <s v="Confirmed"/>
    <s v="18/10/2024"/>
    <x v="34"/>
    <x v="0"/>
    <x v="304"/>
    <s v="Prospect"/>
    <x v="1"/>
    <s v=""/>
    <m/>
  </r>
  <r>
    <s v="Cancelled"/>
    <s v="Cancelled"/>
    <s v="17/10/2024"/>
    <x v="8"/>
    <x v="0"/>
    <x v="305"/>
    <s v="Prospect"/>
    <x v="2"/>
    <s v="Client has limited budget_x000a_"/>
    <m/>
  </r>
  <r>
    <s v="Sold"/>
    <s v="Confirmed"/>
    <s v="17/10/2024"/>
    <x v="24"/>
    <x v="0"/>
    <x v="306"/>
    <s v="Prospect"/>
    <x v="1"/>
    <s v=""/>
    <m/>
  </r>
  <r>
    <s v="Sold"/>
    <s v="Confirmed"/>
    <s v="17/10/2024"/>
    <x v="18"/>
    <x v="0"/>
    <x v="307"/>
    <s v="Prospect"/>
    <x v="0"/>
    <s v="\\_x000a_Interested in buying the **Overseas Chronograph** _x000a__x000a_5520V/210R-B966  as a birthday gift for her husband in November. She’s comparing the 41mm 7920V/210R-B965 | and 42.5mm models, as she’s concerned about the size difference. _x000a_"/>
    <m/>
  </r>
  <r>
    <s v="Cancelled"/>
    <s v="Cancelled"/>
    <s v="17/10/2024"/>
    <x v="5"/>
    <x v="0"/>
    <x v="307"/>
    <s v="Prospect"/>
    <x v="0"/>
    <s v="The client will be taken either the dual time or the _x000a__x000a_Overseas chronograph_x000a_"/>
    <m/>
  </r>
  <r>
    <s v="Cancelled"/>
    <s v="Cancelled"/>
    <s v="17/10/2024"/>
    <x v="35"/>
    <x v="0"/>
    <x v="308"/>
    <s v="Prospect"/>
    <x v="0"/>
    <s v="Waiting for the client confirmation when he will come to UAE_x000a_"/>
    <m/>
  </r>
  <r>
    <s v="Request"/>
    <s v=""/>
    <s v="16/10/2024"/>
    <x v="12"/>
    <x v="0"/>
    <x v="309"/>
    <s v="Prospect"/>
    <x v="1"/>
    <s v=""/>
    <m/>
  </r>
  <r>
    <s v="Request"/>
    <s v="Pending client feedback"/>
    <s v="16/10/2024"/>
    <x v="0"/>
    <x v="0"/>
    <x v="310"/>
    <s v="Prospect"/>
    <x v="0"/>
    <s v="The client is open for the Overseas moon phase retrograde date_x000a__x000a_As per the client hes going in a trip therefore , will love to purchase it from UAE _x000a_"/>
    <m/>
  </r>
  <r>
    <s v="Sold"/>
    <s v="Confirmed"/>
    <s v="15/10/2024"/>
    <x v="3"/>
    <x v="0"/>
    <x v="311"/>
    <s v="Prospect"/>
    <x v="1"/>
    <s v="he is the son of the Minister of Federal Supreme Council Affairs in UAE_x000a_"/>
    <m/>
  </r>
  <r>
    <s v="Cancelled"/>
    <s v="Cancelled"/>
    <s v="15/10/2024"/>
    <x v="19"/>
    <x v="0"/>
    <x v="312"/>
    <s v="Prospect"/>
    <x v="2"/>
    <s v="The client wanted **[Overseas chronograph](https://richemont.lightning.force.com/lightning/r/RICSC_Transaction__c/01t1i000004DZbzAAG/view).** _x000a_"/>
    <m/>
  </r>
  <r>
    <s v="Cancelled"/>
    <s v="Cancelled"/>
    <s v="15/10/2024"/>
    <x v="3"/>
    <x v="0"/>
    <x v="290"/>
    <s v="Prospect"/>
    <x v="1"/>
    <s v="The client is not open to other references and he only wants this_x000a_"/>
    <m/>
  </r>
  <r>
    <s v="Cancelled"/>
    <s v="Cancelled"/>
    <s v="11/10/2024"/>
    <x v="3"/>
    <x v="0"/>
    <x v="131"/>
    <s v="Prospect"/>
    <x v="1"/>
    <s v=""/>
    <m/>
  </r>
  <r>
    <s v="Request"/>
    <s v=""/>
    <s v="11/10/2024"/>
    <x v="12"/>
    <x v="0"/>
    <x v="131"/>
    <s v="Prospect"/>
    <x v="1"/>
    <s v=""/>
    <m/>
  </r>
  <r>
    <s v="Cancelled"/>
    <s v="Cancelled"/>
    <s v="10/10/2024"/>
    <x v="3"/>
    <x v="0"/>
    <x v="313"/>
    <s v="Prospect"/>
    <x v="0"/>
    <s v="the client is intersted in the overseas _x000a_"/>
    <m/>
  </r>
  <r>
    <s v="Request"/>
    <s v=""/>
    <s v="10/10/2024"/>
    <x v="27"/>
    <x v="0"/>
    <x v="309"/>
    <s v="Client"/>
    <x v="1"/>
    <s v="The client lives in Saudi however he can come to Dubai _x000a_"/>
    <m/>
  </r>
  <r>
    <s v="Request"/>
    <s v="Postponed"/>
    <s v="10/10/2024"/>
    <x v="15"/>
    <x v="0"/>
    <x v="314"/>
    <s v="Client"/>
    <x v="1"/>
    <s v="The client is residing in Saudi however he can visit UAE_x000a_"/>
    <m/>
  </r>
  <r>
    <s v="Cancelled"/>
    <s v="Cancelled"/>
    <s v="9/10/2024"/>
    <x v="3"/>
    <x v="0"/>
    <x v="315"/>
    <s v="Prospect"/>
    <x v="0"/>
    <s v="the client is intrested in either the self winding or the daul time _x000a_"/>
    <m/>
  </r>
  <r>
    <s v="Sold"/>
    <s v="Pending client feedback"/>
    <s v="9/10/2024"/>
    <x v="26"/>
    <x v="0"/>
    <x v="315"/>
    <s v="Prospect"/>
    <x v="0"/>
    <s v="another intreset for the client. for the self winding _x000a_"/>
    <m/>
  </r>
  <r>
    <s v="Cancelled"/>
    <s v="Cancelled"/>
    <s v="9/10/2024"/>
    <x v="28"/>
    <x v="0"/>
    <x v="313"/>
    <s v="Prospect"/>
    <x v="0"/>
    <s v=""/>
    <m/>
  </r>
  <r>
    <s v="Request"/>
    <s v="Postponed"/>
    <s v="8/10/2024"/>
    <x v="4"/>
    <x v="0"/>
    <x v="316"/>
    <s v="Prospect"/>
    <x v="1"/>
    <s v=""/>
    <m/>
  </r>
  <r>
    <s v="Cancelled"/>
    <s v="Cancelled"/>
    <s v="8/10/2024"/>
    <x v="12"/>
    <x v="0"/>
    <x v="11"/>
    <s v="Prospect"/>
    <x v="1"/>
    <s v=""/>
    <m/>
  </r>
  <r>
    <s v="Cancelled"/>
    <s v="Cancelled"/>
    <s v="8/10/2024"/>
    <x v="8"/>
    <x v="0"/>
    <x v="11"/>
    <s v="Prospect"/>
    <x v="1"/>
    <s v=""/>
    <m/>
  </r>
  <r>
    <s v="Sold"/>
    <s v="Pending client feedback"/>
    <s v="5/10/2024"/>
    <x v="12"/>
    <x v="0"/>
    <x v="315"/>
    <s v="Prospect"/>
    <x v="0"/>
    <s v="the client stated that  hes interested in the overseas blue dial (dual time or self winding)_x000a_"/>
    <m/>
  </r>
  <r>
    <s v="Request"/>
    <s v="Confirmed"/>
    <s v="2/10/2024"/>
    <x v="0"/>
    <x v="0"/>
    <x v="317"/>
    <s v="Prospect"/>
    <x v="0"/>
    <s v="- No gold, prefers stainless steel._x000a_- Moon phase complication holds personal significance._x000a_- Interested in watches that symbolize achievement and uniqueness._x000a_- Likes the blue dial for its versatility under different light conditions._x000a__x000a__x000a_"/>
    <m/>
  </r>
  <r>
    <s v="Request"/>
    <s v=""/>
    <s v="28/9/2024"/>
    <x v="12"/>
    <x v="0"/>
    <x v="318"/>
    <s v="Prospect"/>
    <x v="2"/>
    <s v="Client will be visiting Dubai in November and December_x000a_"/>
    <m/>
  </r>
  <r>
    <s v="Cancelled"/>
    <s v="Cancelled"/>
    <s v="26/9/2024"/>
    <x v="16"/>
    <x v="0"/>
    <x v="319"/>
    <s v="Prospect"/>
    <x v="1"/>
    <s v=""/>
    <m/>
  </r>
  <r>
    <s v="Request"/>
    <s v=""/>
    <s v="26/9/2024"/>
    <x v="13"/>
    <x v="0"/>
    <x v="320"/>
    <s v="Prospect"/>
    <x v="1"/>
    <s v=""/>
    <m/>
  </r>
  <r>
    <s v="Request"/>
    <s v=""/>
    <s v="24/9/2024"/>
    <x v="30"/>
    <x v="0"/>
    <x v="321"/>
    <s v="Prospect"/>
    <x v="0"/>
    <s v="The client is willing to pay via a payment link for the Overseas Quartz | X12AC590. This purchase is intended as a marriage gift for his wife, which he plans to present to her during their wedding in December._x000a_"/>
    <m/>
  </r>
  <r>
    <s v="Request"/>
    <s v=""/>
    <s v="24/9/2024"/>
    <x v="12"/>
    <x v="0"/>
    <x v="322"/>
    <s v="Prospect"/>
    <x v="0"/>
    <s v="The client would like to proceed with the Overseas. He mentioned that either he or a family member will be coming to the UAE, and he will confirm the details._x000a_"/>
    <m/>
  </r>
  <r>
    <s v="Cancelled"/>
    <s v="Cancelled"/>
    <s v="21/9/2024"/>
    <x v="4"/>
    <x v="0"/>
    <x v="289"/>
    <s v="Prospect"/>
    <x v="1"/>
    <s v="The client wanted to celebrate his promotion by gifting himself this timepiece_x000a_"/>
    <m/>
  </r>
  <r>
    <s v="Cancelled"/>
    <s v="Cancelled"/>
    <s v="20/9/2024"/>
    <x v="0"/>
    <x v="0"/>
    <x v="204"/>
    <s v="Prospect"/>
    <x v="1"/>
    <s v=""/>
    <m/>
  </r>
  <r>
    <s v="Request"/>
    <s v=""/>
    <s v="19/9/2024"/>
    <x v="3"/>
    <x v="0"/>
    <x v="323"/>
    <s v="Prospect"/>
    <x v="1"/>
    <s v="he is looking to buy the timepiece for the celebration for his 10 year anniversary _x000a_"/>
    <m/>
  </r>
  <r>
    <s v="Request"/>
    <s v="Postponed"/>
    <s v="19/9/2024"/>
    <x v="18"/>
    <x v="0"/>
    <x v="324"/>
    <s v="Prospect"/>
    <x v="1"/>
    <s v=""/>
    <m/>
  </r>
  <r>
    <s v="Request"/>
    <s v=""/>
    <s v="18/9/2024"/>
    <x v="3"/>
    <x v="0"/>
    <x v="325"/>
    <s v="Prospect"/>
    <x v="2"/>
    <s v=""/>
    <m/>
  </r>
  <r>
    <s v="Request"/>
    <s v=""/>
    <s v="17/9/2024"/>
    <x v="3"/>
    <x v="0"/>
    <x v="326"/>
    <s v="Prospect"/>
    <x v="0"/>
    <s v="The client showed interest  in the oversease blue dial , _x000a_"/>
    <m/>
  </r>
  <r>
    <s v="Cancelled"/>
    <s v="Cancelled"/>
    <s v="13/9/2024"/>
    <x v="19"/>
    <x v="0"/>
    <x v="327"/>
    <s v="Prospect"/>
    <x v="1"/>
    <s v="The client is the **President &amp; Group Chief Executive Officer at Pakistan Telecommunication Co.** **Ltd.** **and Pakistan Telecommunications Mobile Ltd**. He is interested in this timepiece._x000a_"/>
    <m/>
  </r>
  <r>
    <s v="Request"/>
    <s v=""/>
    <s v="12/9/2024"/>
    <x v="12"/>
    <x v="0"/>
    <x v="328"/>
    <s v="Client"/>
    <x v="1"/>
    <s v=""/>
    <m/>
  </r>
  <r>
    <s v="Request"/>
    <s v="Postponed"/>
    <s v="10/9/2024"/>
    <x v="12"/>
    <x v="0"/>
    <x v="306"/>
    <s v="Prospect"/>
    <x v="1"/>
    <s v="She is interested in gifting this timepiece to her husband, for their anniversary celebration._x000a_"/>
    <m/>
  </r>
  <r>
    <s v="Request"/>
    <s v=""/>
    <s v="10/9/2024"/>
    <x v="15"/>
    <x v="0"/>
    <x v="329"/>
    <s v="Prospect"/>
    <x v="0"/>
    <s v="The client purchased the  Fiftysix self-winding and  now planing for the oversease blue dail _x000a_"/>
    <m/>
  </r>
  <r>
    <s v="Request"/>
    <s v=""/>
    <s v="10/9/2024"/>
    <x v="3"/>
    <x v="0"/>
    <x v="329"/>
    <s v="Prospect"/>
    <x v="0"/>
    <s v="The client is interested in purchasing the Overseas Blue Dial._x000a_"/>
    <m/>
  </r>
  <r>
    <s v="Request"/>
    <s v=""/>
    <s v="10/9/2024"/>
    <x v="12"/>
    <x v="0"/>
    <x v="330"/>
    <s v="Prospect"/>
    <x v="2"/>
    <s v=""/>
    <m/>
  </r>
  <r>
    <s v="Request"/>
    <s v=""/>
    <s v="10/9/2024"/>
    <x v="3"/>
    <x v="0"/>
    <x v="331"/>
    <s v="Prospect"/>
    <x v="0"/>
    <s v="The client is intrested in the overseas _x000a_"/>
    <m/>
  </r>
  <r>
    <s v="Request"/>
    <s v=""/>
    <s v="10/9/2024"/>
    <x v="36"/>
    <x v="0"/>
    <x v="331"/>
    <s v="Prospect"/>
    <x v="0"/>
    <s v="the client is interested in both the oversease and fiftysix _x000a_"/>
    <m/>
  </r>
  <r>
    <s v="Request"/>
    <s v=""/>
    <s v="10/9/2024"/>
    <x v="4"/>
    <x v="0"/>
    <x v="331"/>
    <s v="Prospect"/>
    <x v="0"/>
    <s v="the client would like to purchase both fiftysix and oversease black dial _x000a_"/>
    <m/>
  </r>
  <r>
    <s v="Request"/>
    <s v=""/>
    <s v="10/9/2024"/>
    <x v="4"/>
    <x v="0"/>
    <x v="331"/>
    <s v="Prospect"/>
    <x v="0"/>
    <s v="the client would like to purchase the oversease black dial _x000a_"/>
    <m/>
  </r>
  <r>
    <s v="Request"/>
    <s v=""/>
    <s v="10/9/2024"/>
    <x v="3"/>
    <x v="0"/>
    <x v="2"/>
    <s v="Prospect"/>
    <x v="0"/>
    <s v="The client shows intreset in the oversease self winding _x000a_"/>
    <m/>
  </r>
  <r>
    <s v="Request"/>
    <s v="Confirmed"/>
    <s v="10/9/2024"/>
    <x v="14"/>
    <x v="0"/>
    <x v="332"/>
    <s v="Prospect"/>
    <x v="0"/>
    <s v="The client is interested in the fiftysix  black dial _x000a_"/>
    <m/>
  </r>
  <r>
    <s v="Request"/>
    <s v=""/>
    <s v="7/9/2024"/>
    <x v="12"/>
    <x v="0"/>
    <x v="333"/>
    <s v="Prospect"/>
    <x v="1"/>
    <s v=""/>
    <m/>
  </r>
  <r>
    <s v="Request"/>
    <s v=""/>
    <s v="7/9/2024"/>
    <x v="3"/>
    <x v="0"/>
    <x v="333"/>
    <s v="Prospect"/>
    <x v="1"/>
    <s v=""/>
    <m/>
  </r>
  <r>
    <s v="Request"/>
    <s v=""/>
    <s v="5/9/2024"/>
    <x v="24"/>
    <x v="0"/>
    <x v="334"/>
    <s v="Prospect"/>
    <x v="0"/>
    <s v="The client is intrested in the fiftysix self winding gray_x000a_"/>
    <m/>
  </r>
  <r>
    <s v="Request"/>
    <s v=""/>
    <s v="4/9/2024"/>
    <x v="4"/>
    <x v="0"/>
    <x v="335"/>
    <s v="Prospect"/>
    <x v="0"/>
    <s v="The client is interested in the black dial Overseas and has an appointment at Suite 1755._x000a_"/>
    <m/>
  </r>
  <r>
    <s v="Request"/>
    <s v="Confirmed"/>
    <s v="4/9/2024"/>
    <x v="14"/>
    <x v="0"/>
    <x v="335"/>
    <s v="Prospect"/>
    <x v="0"/>
    <s v="The client wanted to Purchase  either the oversease 4520V/210A-B483 or the fifitysix , with Mohammed support she made a full payment  4600E/000R-H101_x000a_"/>
    <m/>
  </r>
  <r>
    <s v="Cancelled"/>
    <s v="Cancelled"/>
    <s v="4/9/2024"/>
    <x v="24"/>
    <x v="0"/>
    <x v="336"/>
    <s v="Prospect"/>
    <x v="1"/>
    <s v=""/>
    <m/>
  </r>
  <r>
    <s v="Cancelled"/>
    <s v="Cancelled"/>
    <s v="3/9/2024"/>
    <x v="12"/>
    <x v="0"/>
    <x v="337"/>
    <s v="Prospect"/>
    <x v="1"/>
    <s v=""/>
    <m/>
  </r>
  <r>
    <s v="Request"/>
    <s v=""/>
    <s v="30/8/2024"/>
    <x v="4"/>
    <x v="0"/>
    <x v="335"/>
    <s v="Prospect"/>
    <x v="0"/>
    <s v="The client would like to purchase Overseas self-winding black Dial_x000a_"/>
    <m/>
  </r>
  <r>
    <s v="Request"/>
    <s v=""/>
    <s v="29/8/2024"/>
    <x v="12"/>
    <x v="0"/>
    <x v="338"/>
    <s v="Prospect"/>
    <x v="1"/>
    <s v="_x000a_"/>
    <m/>
  </r>
  <r>
    <s v="Request"/>
    <s v=""/>
    <s v="28/8/2024"/>
    <x v="3"/>
    <x v="0"/>
    <x v="339"/>
    <s v="Prospect"/>
    <x v="2"/>
    <s v="Client is open to the other collections._x000a_"/>
    <m/>
  </r>
  <r>
    <s v="Cancelled"/>
    <s v="Cancelled"/>
    <s v="23/8/2024"/>
    <x v="30"/>
    <x v="0"/>
    <x v="340"/>
    <s v="Prospect"/>
    <x v="0"/>
    <s v="The client is very interested in the OVERSEAS STEEL _x000a_"/>
    <m/>
  </r>
  <r>
    <s v="Request"/>
    <s v=""/>
    <s v="22/8/2024"/>
    <x v="3"/>
    <x v="0"/>
    <x v="341"/>
    <s v="Prospect"/>
    <x v="0"/>
    <s v="The client is very interested in the overseas self winding and will love to purchase it upon availability _x000a_"/>
    <m/>
  </r>
  <r>
    <s v="Request"/>
    <s v=""/>
    <s v="21/8/2024"/>
    <x v="3"/>
    <x v="0"/>
    <x v="342"/>
    <s v="Prospect"/>
    <x v="1"/>
    <s v="_x000a_"/>
    <m/>
  </r>
  <r>
    <s v="Request"/>
    <s v="Confirmed"/>
    <s v="15/8/2024"/>
    <x v="18"/>
    <x v="0"/>
    <x v="343"/>
    <s v="Prospect"/>
    <x v="0"/>
    <s v="The client expressed a strong interest in the Overseas chronograph and insisted on being added to the list_x000a_"/>
    <m/>
  </r>
  <r>
    <s v="Request"/>
    <s v=""/>
    <s v="14/8/2024"/>
    <x v="29"/>
    <x v="0"/>
    <x v="344"/>
    <s v="Prospect"/>
    <x v="0"/>
    <s v="The client is interested in both the  Overseas chronographand the  Historiques American 1921_x000a_"/>
    <m/>
  </r>
  <r>
    <s v="Cancelled"/>
    <s v="Cancelled"/>
    <s v="14/8/2024"/>
    <x v="12"/>
    <x v="0"/>
    <x v="345"/>
    <s v="Prospect"/>
    <x v="1"/>
    <s v="The client mentioned that he has AP-Royal Oak and Rolex timepieces and he really fond of our timepieces and would like to acquire one._x000a_"/>
    <m/>
  </r>
  <r>
    <s v="Cancelled"/>
    <s v="Cancelled"/>
    <s v="14/8/2024"/>
    <x v="8"/>
    <x v="0"/>
    <x v="345"/>
    <s v="Prospect"/>
    <x v="1"/>
    <s v="The client mentioned that he has AP-Royal Oak and Rolex timepieces and he really fond of our timepieces and would like to acquire one._x000a_"/>
    <m/>
  </r>
  <r>
    <s v="Cancelled"/>
    <s v="Cancelled"/>
    <s v="10/8/2024"/>
    <x v="0"/>
    <x v="0"/>
    <x v="68"/>
    <s v="Prospect"/>
    <x v="1"/>
    <s v="The client would like to acquire this timepiece as a gift for his father’s 58th birthday_x000a_"/>
    <m/>
  </r>
  <r>
    <s v="Cancelled"/>
    <s v="Cancelled"/>
    <s v="8/8/2024"/>
    <x v="22"/>
    <x v="0"/>
    <x v="203"/>
    <s v="Prospect"/>
    <x v="1"/>
    <s v="The client is willing to come to UAE if opportunity arises so he can gift himself a Vacheron Constantin timepiece since he turned 50 this year_x000a_"/>
    <m/>
  </r>
  <r>
    <s v="Cancelled"/>
    <s v="Cancelled"/>
    <s v="8/8/2024"/>
    <x v="5"/>
    <x v="0"/>
    <x v="203"/>
    <s v="Prospect"/>
    <x v="1"/>
    <s v="The client is willing to come to UAE if opportunity arises so he can gift himself a Vacheron Constantin timepiece since he turned 50 this year_x000a_"/>
    <m/>
  </r>
  <r>
    <s v="Cancelled"/>
    <s v="Cancelled"/>
    <s v="8/8/2024"/>
    <x v="17"/>
    <x v="0"/>
    <x v="346"/>
    <s v="Prospect"/>
    <x v="1"/>
    <s v="_x000a_"/>
    <m/>
  </r>
  <r>
    <s v="Sold"/>
    <s v="Confirmed"/>
    <s v="8/8/2024"/>
    <x v="5"/>
    <x v="0"/>
    <x v="347"/>
    <s v="Prospect"/>
    <x v="2"/>
    <s v="The client was told to come to pay a deposit. He stated hes willing to do that and dont mind that _x000a_"/>
    <m/>
  </r>
  <r>
    <s v="Request"/>
    <s v=""/>
    <s v="8/8/2024"/>
    <x v="37"/>
    <x v="0"/>
    <x v="348"/>
    <s v="Prospect"/>
    <x v="0"/>
    <s v="The client stated that hes will to come to the boutique to pay the full amount _x000a_"/>
    <m/>
  </r>
  <r>
    <s v="Cancelled"/>
    <s v="Cancelled"/>
    <s v="7/8/2024"/>
    <x v="12"/>
    <x v="0"/>
    <x v="349"/>
    <s v="Prospect"/>
    <x v="1"/>
    <s v="The client is looking for a gift for his father and willing to come to UAE for purchase_x000a_"/>
    <m/>
  </r>
  <r>
    <s v="Cancelled"/>
    <s v="Cancelled"/>
    <s v="7/8/2024"/>
    <x v="6"/>
    <x v="0"/>
    <x v="349"/>
    <s v="Prospect"/>
    <x v="1"/>
    <s v="The client is looking for a gift for his father’s birthday and willing to come to UAE_x000a_"/>
    <m/>
  </r>
  <r>
    <s v="Cancelled"/>
    <s v="Cancelled"/>
    <s v="6/8/2024"/>
    <x v="3"/>
    <x v="0"/>
    <x v="203"/>
    <s v="Prospect"/>
    <x v="1"/>
    <s v="The client is willing to come to the UAE to get the timepiece. _x000a_"/>
    <m/>
  </r>
  <r>
    <s v="Request"/>
    <s v="Postponed"/>
    <s v="6/8/2024"/>
    <x v="15"/>
    <x v="0"/>
    <x v="203"/>
    <s v="Prospect"/>
    <x v="1"/>
    <s v="The client is willing to come to India to get the timepiece_x000a_"/>
    <m/>
  </r>
  <r>
    <s v="Cancelled"/>
    <s v="Cancelled"/>
    <s v="6/8/2024"/>
    <x v="15"/>
    <x v="0"/>
    <x v="350"/>
    <s v="Prospect"/>
    <x v="1"/>
    <s v="The client is willing to travel to UAE to get this timepiece_x000a_"/>
    <m/>
  </r>
  <r>
    <s v="Cancelled"/>
    <s v="Cancelled"/>
    <s v="6/8/2024"/>
    <x v="38"/>
    <x v="0"/>
    <x v="350"/>
    <s v="Prospect"/>
    <x v="1"/>
    <s v="The client is willing to come to India to purchase the timepiece_x000a_"/>
    <m/>
  </r>
  <r>
    <s v="Request"/>
    <s v=""/>
    <s v="24/7/2024"/>
    <x v="24"/>
    <x v="0"/>
    <x v="351"/>
    <s v="Prospect"/>
    <x v="0"/>
    <s v="The client is interested in the fiftysix 600E/000A-B442 as well  Overseas chronograph X55AC481_x000a_"/>
    <m/>
  </r>
  <r>
    <s v="Request"/>
    <s v=""/>
    <s v="24/7/2024"/>
    <x v="13"/>
    <x v="0"/>
    <x v="352"/>
    <s v="Prospect"/>
    <x v="0"/>
    <s v="The client stated that once we confirm the availability of the watch he will be traveling to UAE to purchase _x000a_"/>
    <m/>
  </r>
  <r>
    <s v="Request"/>
    <s v=""/>
    <s v="23/7/2024"/>
    <x v="3"/>
    <x v="0"/>
    <x v="353"/>
    <s v="Prospect"/>
    <x v="0"/>
    <s v="The client is interested in the oversease self winding  living in Dubai _x000a_"/>
    <m/>
  </r>
  <r>
    <s v="Request"/>
    <s v=""/>
    <s v="23/7/2024"/>
    <x v="3"/>
    <x v="0"/>
    <x v="354"/>
    <s v="Prospect"/>
    <x v="0"/>
    <s v="The client ins interested in 2 timepeices ( 6000V/110A-B544 \ 4520V/210A-B128)_x000a_"/>
    <m/>
  </r>
  <r>
    <s v="Cancelled"/>
    <s v="Cancelled"/>
    <s v="20/7/2024"/>
    <x v="32"/>
    <x v="0"/>
    <x v="355"/>
    <s v="Prospect"/>
    <x v="0"/>
    <s v="The client would like to purchase one of the 2 overseas , either [Overseas tourbillon](https://richemont.lightning.force.com/lightning/r/01t1i000003IYweAAG/view) or the Overseas self-winding _x000a__x000a__x000a_"/>
    <m/>
  </r>
  <r>
    <s v="Request"/>
    <s v=""/>
    <s v="17/7/2024"/>
    <x v="3"/>
    <x v="0"/>
    <x v="356"/>
    <s v="Prospect"/>
    <x v="0"/>
    <s v="the client is interested in purchasing the **[Overseas self-winding ](https://richemont.lightning.force.com/lightning/r/01t1i000004DWYiAAO/view)**_x000a_"/>
    <m/>
  </r>
  <r>
    <s v="Request"/>
    <s v=""/>
    <s v="16/7/2024"/>
    <x v="3"/>
    <x v="0"/>
    <x v="357"/>
    <s v="Prospect"/>
    <x v="0"/>
    <s v="The client wish to be added to the waiting list _x000a_"/>
    <m/>
  </r>
  <r>
    <s v="Request"/>
    <s v="Pending client feedback"/>
    <s v="16/7/2024"/>
    <x v="39"/>
    <x v="0"/>
    <x v="358"/>
    <s v="Prospect"/>
    <x v="0"/>
    <s v="The client is interested in Traditionnelle tourbillon chronograph, _x000a_"/>
    <m/>
  </r>
  <r>
    <s v="Request"/>
    <s v="Pending client feedback"/>
    <s v="13/7/2024"/>
    <x v="12"/>
    <x v="0"/>
    <x v="359"/>
    <s v="Prospect"/>
    <x v="0"/>
    <s v="The client is interested in the  Overseas dual time “ very interested _x000a_"/>
    <m/>
  </r>
  <r>
    <s v="Request"/>
    <s v=""/>
    <s v="10/7/2024"/>
    <x v="12"/>
    <x v="0"/>
    <x v="360"/>
    <s v="Prospect"/>
    <x v="0"/>
    <s v="Mr. Ahmad, who has previously expressed his interest in the Overseas Dual Time, has been in communication with Yasser. We have committed to contacting Mr. Ahmad once the timepiece becomes available._x000a_"/>
    <m/>
  </r>
  <r>
    <s v="Request"/>
    <s v=""/>
    <s v="5/7/2024"/>
    <x v="3"/>
    <x v="0"/>
    <x v="361"/>
    <s v="Prospect"/>
    <x v="2"/>
    <s v=""/>
    <m/>
  </r>
  <r>
    <s v="Request"/>
    <s v=""/>
    <s v="4/7/2024"/>
    <x v="3"/>
    <x v="0"/>
    <x v="362"/>
    <s v="Prospect"/>
    <x v="2"/>
    <s v="Client for Maaz_x000a_"/>
    <m/>
  </r>
  <r>
    <s v="Request"/>
    <s v=""/>
    <s v="28/6/2024"/>
    <x v="3"/>
    <x v="0"/>
    <x v="363"/>
    <s v="Prospect"/>
    <x v="2"/>
    <s v="Client lives in Cyprus and has an office in UAE_x000a_"/>
    <m/>
  </r>
  <r>
    <s v="Cancelled"/>
    <s v="Cancelled"/>
    <s v="28/6/2024"/>
    <x v="17"/>
    <x v="0"/>
    <x v="364"/>
    <s v="Prospect"/>
    <x v="2"/>
    <s v=""/>
    <m/>
  </r>
  <r>
    <s v="Request"/>
    <s v=""/>
    <s v="25/6/2024"/>
    <x v="3"/>
    <x v="0"/>
    <x v="189"/>
    <s v="Prospect"/>
    <x v="2"/>
    <s v="Client would like to build a relation with the btq to purchase a piece in the occasion of celebrating the opening of a new branch of his business._x000a_"/>
    <m/>
  </r>
  <r>
    <s v="Cancelled"/>
    <s v="Cancelled"/>
    <s v="22/6/2024"/>
    <x v="40"/>
    <x v="0"/>
    <x v="365"/>
    <s v="Prospect"/>
    <x v="2"/>
    <s v="Client is interested in this model and also the Overseas tourbillon Skeleton._x000a_"/>
    <m/>
  </r>
  <r>
    <s v="Request"/>
    <s v=""/>
    <s v="20/6/2024"/>
    <x v="3"/>
    <x v="0"/>
    <x v="366"/>
    <s v="Prospect"/>
    <x v="2"/>
    <s v="Client is in India would like to add his name to the waiting list in Dubai._x000a_"/>
    <m/>
  </r>
  <r>
    <s v="Request"/>
    <s v=""/>
    <s v="20/6/2024"/>
    <x v="3"/>
    <x v="0"/>
    <x v="367"/>
    <s v="Prospect"/>
    <x v="2"/>
    <s v="Client would like to add his name to the waiting list of the Overseas self winding in steel with blue dial_x000a_"/>
    <m/>
  </r>
  <r>
    <s v="Cancelled"/>
    <s v="Cancelled"/>
    <s v="20/6/2024"/>
    <x v="28"/>
    <x v="0"/>
    <x v="368"/>
    <s v="Prospect"/>
    <x v="2"/>
    <s v="The client is interested in the timepiece_x000a_"/>
    <m/>
  </r>
  <r>
    <s v="Cancelled"/>
    <s v="Cancelled"/>
    <s v="20/6/2024"/>
    <x v="27"/>
    <x v="0"/>
    <x v="368"/>
    <s v="Prospect"/>
    <x v="2"/>
    <s v="The client is interested in the timepiece_x000a_"/>
    <m/>
  </r>
  <r>
    <s v="Request"/>
    <s v=""/>
    <s v="19/6/2024"/>
    <x v="3"/>
    <x v="0"/>
    <x v="369"/>
    <s v="Prospect"/>
    <x v="2"/>
    <s v="The client is interested in the Overseas self-winding . ready to pay deposit _x000a__x000a__x000a_"/>
    <m/>
  </r>
  <r>
    <s v="Request"/>
    <s v=""/>
    <s v="19/6/2024"/>
    <x v="3"/>
    <x v="0"/>
    <x v="370"/>
    <s v="Prospect"/>
    <x v="2"/>
    <s v="The client is interested and would like to proceed Overseas self-winding_x000a_"/>
    <m/>
  </r>
  <r>
    <s v="Request"/>
    <s v=""/>
    <s v="18/6/2024"/>
    <x v="3"/>
    <x v="0"/>
    <x v="165"/>
    <s v="Prospect"/>
    <x v="2"/>
    <s v="The client is interested in the timepiece and not open for other options _x000a_"/>
    <m/>
  </r>
  <r>
    <s v="Request"/>
    <s v=""/>
    <s v="15/6/2024"/>
    <x v="3"/>
    <x v="0"/>
    <x v="371"/>
    <s v="Prospect"/>
    <x v="2"/>
    <s v=""/>
    <m/>
  </r>
  <r>
    <s v="Cancelled"/>
    <s v="Cancelled"/>
    <s v="14/6/2024"/>
    <x v="13"/>
    <x v="0"/>
    <x v="372"/>
    <s v="Prospect"/>
    <x v="2"/>
    <s v="Client asked to add her name into the waiting list for the historiques 222_x000a_"/>
    <m/>
  </r>
  <r>
    <s v="Cancelled"/>
    <s v="Cancelled"/>
    <s v="13/6/2024"/>
    <x v="4"/>
    <x v="0"/>
    <x v="373"/>
    <s v="Prospect"/>
    <x v="2"/>
    <s v="The client is very interested in this timepiece._x000a_"/>
    <m/>
  </r>
  <r>
    <s v="Request"/>
    <s v=""/>
    <s v="8/6/2024"/>
    <x v="3"/>
    <x v="0"/>
    <x v="374"/>
    <s v="Client"/>
    <x v="2"/>
    <s v="The client would like to register to the waiting list _x000a_"/>
    <m/>
  </r>
  <r>
    <s v="Cancelled"/>
    <s v="Cancelled"/>
    <s v="8/4/2024"/>
    <x v="13"/>
    <x v="0"/>
    <x v="375"/>
    <s v="Client"/>
    <x v="1"/>
    <s v=""/>
    <m/>
  </r>
  <r>
    <s v="Cancelled"/>
    <s v="Cancelled"/>
    <s v="30/3/2024"/>
    <x v="41"/>
    <x v="0"/>
    <x v="376"/>
    <s v="Prospect"/>
    <x v="2"/>
    <s v=""/>
    <m/>
  </r>
  <r>
    <s v="Request"/>
    <s v=""/>
    <s v="8/3/2024"/>
    <x v="3"/>
    <x v="0"/>
    <x v="377"/>
    <s v="Prospect"/>
    <x v="2"/>
    <s v=""/>
    <m/>
  </r>
  <r>
    <s v="Request"/>
    <s v=""/>
    <s v="7/3/2024"/>
    <x v="0"/>
    <x v="0"/>
    <x v="378"/>
    <s v="Prospect"/>
    <x v="0"/>
    <s v=""/>
    <m/>
  </r>
  <r>
    <s v="Request"/>
    <s v="Pending client feedback"/>
    <s v="1/3/2024"/>
    <x v="3"/>
    <x v="0"/>
    <x v="379"/>
    <s v="Prospect"/>
    <x v="1"/>
    <s v=""/>
    <m/>
  </r>
  <r>
    <s v="Request"/>
    <s v=""/>
    <s v="25/2/2024"/>
    <x v="3"/>
    <x v="0"/>
    <x v="380"/>
    <s v="Client"/>
    <x v="2"/>
    <s v=""/>
    <m/>
  </r>
  <r>
    <s v="Request"/>
    <s v=""/>
    <s v="25/2/2024"/>
    <x v="3"/>
    <x v="0"/>
    <x v="381"/>
    <s v="Prospect"/>
    <x v="0"/>
    <s v=""/>
    <m/>
  </r>
  <r>
    <s v="Request"/>
    <s v="Postponed"/>
    <s v="21/2/2024"/>
    <x v="3"/>
    <x v="0"/>
    <x v="382"/>
    <s v="Prospect"/>
    <x v="1"/>
    <s v=""/>
    <m/>
  </r>
  <r>
    <s v="Request"/>
    <s v="Postponed"/>
    <s v="14/2/2024"/>
    <x v="12"/>
    <x v="0"/>
    <x v="382"/>
    <s v="Prospect"/>
    <x v="1"/>
    <s v=""/>
    <m/>
  </r>
  <r>
    <s v="Request"/>
    <s v=""/>
    <s v="14/2/2024"/>
    <x v="3"/>
    <x v="0"/>
    <x v="383"/>
    <s v="Prospect"/>
    <x v="0"/>
    <s v=""/>
    <m/>
  </r>
  <r>
    <s v="Cancelled"/>
    <s v="Cancelled"/>
    <s v="7/2/2024"/>
    <x v="42"/>
    <x v="0"/>
    <x v="384"/>
    <s v="Prospect"/>
    <x v="1"/>
    <s v=""/>
    <m/>
  </r>
  <r>
    <s v="Sold"/>
    <s v="Confirmed"/>
    <s v="26/1/2024"/>
    <x v="30"/>
    <x v="0"/>
    <x v="385"/>
    <s v="Prospect"/>
    <x v="2"/>
    <s v=""/>
    <m/>
  </r>
  <r>
    <s v="Request"/>
    <s v=""/>
    <s v="19/1/2024"/>
    <x v="41"/>
    <x v="0"/>
    <x v="386"/>
    <s v="Prospect"/>
    <x v="0"/>
    <s v="Client’s wedding is in November 2024 and would like to purchase the timepiece and wear it on his day_x000a_"/>
    <m/>
  </r>
  <r>
    <s v="Cancelled"/>
    <s v="Cancelled"/>
    <s v="19/1/2024"/>
    <x v="19"/>
    <x v="0"/>
    <x v="387"/>
    <s v="Prospect"/>
    <x v="1"/>
    <s v=""/>
    <m/>
  </r>
  <r>
    <s v="Cancelled"/>
    <s v="Cancelled"/>
    <s v="10/1/2024"/>
    <x v="43"/>
    <x v="0"/>
    <x v="388"/>
    <s v="Prospect"/>
    <x v="2"/>
    <s v=""/>
    <m/>
  </r>
  <r>
    <s v="Request"/>
    <s v=""/>
    <s v="1/1/2024"/>
    <x v="16"/>
    <x v="0"/>
    <x v="389"/>
    <s v="Prospect"/>
    <x v="0"/>
    <s v=""/>
    <m/>
  </r>
  <r>
    <s v="Cancelled"/>
    <s v="Cancelled"/>
    <s v="26/12/2023"/>
    <x v="43"/>
    <x v="0"/>
    <x v="390"/>
    <s v="Prospect"/>
    <x v="1"/>
    <s v=""/>
    <m/>
  </r>
  <r>
    <s v="Cancelled"/>
    <s v="Cancelled"/>
    <s v="17/12/2023"/>
    <x v="16"/>
    <x v="0"/>
    <x v="391"/>
    <s v="Prospect"/>
    <x v="2"/>
    <s v=""/>
    <m/>
  </r>
  <r>
    <s v="Request"/>
    <s v=""/>
    <s v="15/12/2023"/>
    <x v="12"/>
    <x v="0"/>
    <x v="392"/>
    <s v="Prospect"/>
    <x v="0"/>
    <s v=""/>
    <m/>
  </r>
  <r>
    <s v="Request"/>
    <s v=""/>
    <s v="9/12/2023"/>
    <x v="12"/>
    <x v="0"/>
    <x v="393"/>
    <s v="Client"/>
    <x v="1"/>
    <s v=""/>
    <m/>
  </r>
  <r>
    <s v="Cancelled"/>
    <s v="Cancelled"/>
    <s v="24/11/2023"/>
    <x v="12"/>
    <x v="0"/>
    <x v="394"/>
    <s v="Prospect"/>
    <x v="2"/>
    <s v=""/>
    <m/>
  </r>
  <r>
    <s v="Request"/>
    <s v=""/>
    <s v="21/11/2023"/>
    <x v="3"/>
    <x v="0"/>
    <x v="395"/>
    <s v="Prospect"/>
    <x v="0"/>
    <s v=""/>
    <m/>
  </r>
  <r>
    <s v="Sold"/>
    <s v="Confirmed"/>
    <s v="21/11/2023"/>
    <x v="3"/>
    <x v="0"/>
    <x v="396"/>
    <s v="Prospect"/>
    <x v="3"/>
    <s v=""/>
    <m/>
  </r>
  <r>
    <s v="Cancelled"/>
    <s v="Cancelled"/>
    <s v="13/11/2023"/>
    <x v="44"/>
    <x v="0"/>
    <x v="397"/>
    <s v="Prospect"/>
    <x v="2"/>
    <s v=""/>
    <m/>
  </r>
  <r>
    <s v="Request"/>
    <s v=""/>
    <s v="13/11/2023"/>
    <x v="3"/>
    <x v="0"/>
    <x v="398"/>
    <s v="Prospect"/>
    <x v="0"/>
    <s v=""/>
    <m/>
  </r>
  <r>
    <s v="Request"/>
    <s v="Confirmed"/>
    <s v="7/11/2023"/>
    <x v="3"/>
    <x v="0"/>
    <x v="399"/>
    <s v="Prospect"/>
    <x v="1"/>
    <s v=""/>
    <m/>
  </r>
  <r>
    <s v="Request"/>
    <s v=""/>
    <s v="3/11/2023"/>
    <x v="3"/>
    <x v="0"/>
    <x v="400"/>
    <s v="Prospect"/>
    <x v="2"/>
    <s v="Client does not want to subscribe to marketing, he just needs a contact if the piece is available._x000a_"/>
    <m/>
  </r>
  <r>
    <s v="Cancelled"/>
    <s v="Cancelled"/>
    <s v="1/11/2023"/>
    <x v="32"/>
    <x v="0"/>
    <x v="401"/>
    <s v="Prospect"/>
    <x v="2"/>
    <s v=""/>
    <m/>
  </r>
  <r>
    <s v="Request"/>
    <s v=""/>
    <s v="29/10/2023"/>
    <x v="28"/>
    <x v="0"/>
    <x v="402"/>
    <s v="Prospect"/>
    <x v="0"/>
    <s v=""/>
    <m/>
  </r>
  <r>
    <s v="Request"/>
    <s v=""/>
    <s v="22/10/2023"/>
    <x v="3"/>
    <x v="0"/>
    <x v="403"/>
    <s v="Prospect"/>
    <x v="1"/>
    <s v="The client’s main residence is in Saudi Arabia, and he wants to register on the waiting list of UAE_x000a_"/>
    <m/>
  </r>
  <r>
    <s v="Cancelled"/>
    <s v="Cancelled"/>
    <s v="21/10/2023"/>
    <x v="0"/>
    <x v="0"/>
    <x v="404"/>
    <s v="Prospect"/>
    <x v="2"/>
    <s v=""/>
    <m/>
  </r>
  <r>
    <s v="Sold"/>
    <s v=""/>
    <s v="20/10/2023"/>
    <x v="13"/>
    <x v="0"/>
    <x v="405"/>
    <s v="Prospect"/>
    <x v="0"/>
    <s v=""/>
    <m/>
  </r>
  <r>
    <s v="Request"/>
    <s v=""/>
    <s v="15/10/2023"/>
    <x v="3"/>
    <x v="0"/>
    <x v="406"/>
    <s v="Prospect"/>
    <x v="1"/>
    <s v=""/>
    <m/>
  </r>
  <r>
    <s v="Cancelled"/>
    <s v="Cancelled"/>
    <s v="11/10/2023"/>
    <x v="28"/>
    <x v="0"/>
    <x v="407"/>
    <s v="Prospect"/>
    <x v="2"/>
    <s v=""/>
    <m/>
  </r>
  <r>
    <s v="Request"/>
    <s v=""/>
    <s v="9/10/2023"/>
    <x v="3"/>
    <x v="0"/>
    <x v="408"/>
    <s v="Prospect"/>
    <x v="2"/>
    <s v=""/>
    <m/>
  </r>
  <r>
    <s v="Request"/>
    <s v=""/>
    <s v="8/10/2023"/>
    <x v="3"/>
    <x v="0"/>
    <x v="409"/>
    <s v="Client"/>
    <x v="0"/>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F5B86D-75F8-4B58-B837-858F3017F852}"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A4:F10"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66">
    <format dxfId="142">
      <pivotArea collapsedLevelsAreSubtotals="1" fieldPosition="0">
        <references count="2">
          <reference field="4294967294" count="1" selected="0">
            <x v="1"/>
          </reference>
          <reference field="3" count="1">
            <x v="0"/>
          </reference>
        </references>
      </pivotArea>
    </format>
    <format dxfId="141">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140">
      <pivotArea collapsedLevelsAreSubtotals="1" fieldPosition="0">
        <references count="2">
          <reference field="4294967294" count="1" selected="0">
            <x v="1"/>
          </reference>
          <reference field="3" count="1">
            <x v="1"/>
          </reference>
        </references>
      </pivotArea>
    </format>
    <format dxfId="139">
      <pivotArea collapsedLevelsAreSubtotals="1" fieldPosition="0">
        <references count="3">
          <reference field="4294967294" count="1" selected="0">
            <x v="1"/>
          </reference>
          <reference field="3" count="1" selected="0">
            <x v="1"/>
          </reference>
          <reference field="12" count="1">
            <x v="7"/>
          </reference>
        </references>
      </pivotArea>
    </format>
    <format dxfId="138">
      <pivotArea collapsedLevelsAreSubtotals="1" fieldPosition="0">
        <references count="2">
          <reference field="4294967294" count="1" selected="0">
            <x v="1"/>
          </reference>
          <reference field="3" count="1">
            <x v="2"/>
          </reference>
        </references>
      </pivotArea>
    </format>
    <format dxfId="137">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136">
      <pivotArea collapsedLevelsAreSubtotals="1" fieldPosition="0">
        <references count="2">
          <reference field="4294967294" count="1" selected="0">
            <x v="1"/>
          </reference>
          <reference field="3" count="1">
            <x v="3"/>
          </reference>
        </references>
      </pivotArea>
    </format>
    <format dxfId="135">
      <pivotArea collapsedLevelsAreSubtotals="1" fieldPosition="0">
        <references count="3">
          <reference field="4294967294" count="1" selected="0">
            <x v="1"/>
          </reference>
          <reference field="3" count="1" selected="0">
            <x v="3"/>
          </reference>
          <reference field="12" count="2">
            <x v="4"/>
            <x v="14"/>
          </reference>
        </references>
      </pivotArea>
    </format>
    <format dxfId="134">
      <pivotArea collapsedLevelsAreSubtotals="1" fieldPosition="0">
        <references count="2">
          <reference field="4294967294" count="1" selected="0">
            <x v="1"/>
          </reference>
          <reference field="3" count="1">
            <x v="4"/>
          </reference>
        </references>
      </pivotArea>
    </format>
    <format dxfId="133">
      <pivotArea collapsedLevelsAreSubtotals="1" fieldPosition="0">
        <references count="3">
          <reference field="4294967294" count="1" selected="0">
            <x v="1"/>
          </reference>
          <reference field="3" count="1" selected="0">
            <x v="4"/>
          </reference>
          <reference field="12" count="4">
            <x v="0"/>
            <x v="2"/>
            <x v="6"/>
            <x v="12"/>
          </reference>
        </references>
      </pivotArea>
    </format>
    <format dxfId="132">
      <pivotArea collapsedLevelsAreSubtotals="1" fieldPosition="0">
        <references count="2">
          <reference field="4294967294" count="1" selected="0">
            <x v="1"/>
          </reference>
          <reference field="3" count="1">
            <x v="5"/>
          </reference>
        </references>
      </pivotArea>
    </format>
    <format dxfId="131">
      <pivotArea collapsedLevelsAreSubtotals="1" fieldPosition="0">
        <references count="3">
          <reference field="4294967294" count="1" selected="0">
            <x v="1"/>
          </reference>
          <reference field="3" count="1" selected="0">
            <x v="5"/>
          </reference>
          <reference field="12" count="1">
            <x v="17"/>
          </reference>
        </references>
      </pivotArea>
    </format>
    <format dxfId="130">
      <pivotArea type="all" dataOnly="0" outline="0" fieldPosition="0"/>
    </format>
    <format dxfId="129">
      <pivotArea outline="0" collapsedLevelsAreSubtotals="1" fieldPosition="0"/>
    </format>
    <format dxfId="128">
      <pivotArea field="3" type="button" dataOnly="0" labelOnly="1" outline="0" axis="axisRow" fieldPosition="0"/>
    </format>
    <format dxfId="127">
      <pivotArea dataOnly="0" labelOnly="1" fieldPosition="0">
        <references count="1">
          <reference field="3" count="0"/>
        </references>
      </pivotArea>
    </format>
    <format dxfId="126">
      <pivotArea dataOnly="0" labelOnly="1" grandRow="1" outline="0" fieldPosition="0"/>
    </format>
    <format dxfId="125">
      <pivotArea dataOnly="0" labelOnly="1" fieldPosition="0">
        <references count="2">
          <reference field="3" count="1" selected="0">
            <x v="0"/>
          </reference>
          <reference field="12" count="5">
            <x v="1"/>
            <x v="3"/>
            <x v="9"/>
            <x v="11"/>
            <x v="13"/>
          </reference>
        </references>
      </pivotArea>
    </format>
    <format dxfId="124">
      <pivotArea dataOnly="0" labelOnly="1" fieldPosition="0">
        <references count="2">
          <reference field="3" count="1" selected="0">
            <x v="1"/>
          </reference>
          <reference field="12" count="1">
            <x v="7"/>
          </reference>
        </references>
      </pivotArea>
    </format>
    <format dxfId="123">
      <pivotArea dataOnly="0" labelOnly="1" fieldPosition="0">
        <references count="2">
          <reference field="3" count="1" selected="0">
            <x v="2"/>
          </reference>
          <reference field="12" count="10">
            <x v="0"/>
            <x v="1"/>
            <x v="5"/>
            <x v="8"/>
            <x v="9"/>
            <x v="12"/>
            <x v="13"/>
            <x v="14"/>
            <x v="15"/>
            <x v="16"/>
          </reference>
        </references>
      </pivotArea>
    </format>
    <format dxfId="122">
      <pivotArea dataOnly="0" labelOnly="1" fieldPosition="0">
        <references count="2">
          <reference field="3" count="1" selected="0">
            <x v="3"/>
          </reference>
          <reference field="12" count="2">
            <x v="4"/>
            <x v="14"/>
          </reference>
        </references>
      </pivotArea>
    </format>
    <format dxfId="121">
      <pivotArea dataOnly="0" labelOnly="1" fieldPosition="0">
        <references count="2">
          <reference field="3" count="1" selected="0">
            <x v="4"/>
          </reference>
          <reference field="12" count="4">
            <x v="0"/>
            <x v="2"/>
            <x v="6"/>
            <x v="12"/>
          </reference>
        </references>
      </pivotArea>
    </format>
    <format dxfId="120">
      <pivotArea dataOnly="0" labelOnly="1" fieldPosition="0">
        <references count="2">
          <reference field="3" count="1" selected="0">
            <x v="5"/>
          </reference>
          <reference field="12" count="1">
            <x v="17"/>
          </reference>
        </references>
      </pivotArea>
    </format>
    <format dxfId="119">
      <pivotArea dataOnly="0" labelOnly="1" outline="0" fieldPosition="0">
        <references count="1">
          <reference field="4294967294" count="1">
            <x v="1"/>
          </reference>
        </references>
      </pivotArea>
    </format>
    <format dxfId="118">
      <pivotArea type="all" dataOnly="0" outline="0" fieldPosition="0"/>
    </format>
    <format dxfId="117">
      <pivotArea outline="0" collapsedLevelsAreSubtotals="1" fieldPosition="0"/>
    </format>
    <format dxfId="116">
      <pivotArea field="3" type="button" dataOnly="0" labelOnly="1" outline="0" axis="axisRow" fieldPosition="0"/>
    </format>
    <format dxfId="115">
      <pivotArea dataOnly="0" labelOnly="1" fieldPosition="0">
        <references count="1">
          <reference field="3" count="0"/>
        </references>
      </pivotArea>
    </format>
    <format dxfId="114">
      <pivotArea dataOnly="0" labelOnly="1" grandRow="1" outline="0" fieldPosition="0"/>
    </format>
    <format dxfId="113">
      <pivotArea dataOnly="0" labelOnly="1" fieldPosition="0">
        <references count="2">
          <reference field="3" count="1" selected="0">
            <x v="0"/>
          </reference>
          <reference field="12" count="5">
            <x v="1"/>
            <x v="3"/>
            <x v="9"/>
            <x v="11"/>
            <x v="13"/>
          </reference>
        </references>
      </pivotArea>
    </format>
    <format dxfId="112">
      <pivotArea dataOnly="0" labelOnly="1" fieldPosition="0">
        <references count="2">
          <reference field="3" count="1" selected="0">
            <x v="1"/>
          </reference>
          <reference field="12" count="1">
            <x v="7"/>
          </reference>
        </references>
      </pivotArea>
    </format>
    <format dxfId="111">
      <pivotArea dataOnly="0" labelOnly="1" fieldPosition="0">
        <references count="2">
          <reference field="3" count="1" selected="0">
            <x v="2"/>
          </reference>
          <reference field="12" count="10">
            <x v="0"/>
            <x v="1"/>
            <x v="5"/>
            <x v="8"/>
            <x v="9"/>
            <x v="12"/>
            <x v="13"/>
            <x v="14"/>
            <x v="15"/>
            <x v="16"/>
          </reference>
        </references>
      </pivotArea>
    </format>
    <format dxfId="110">
      <pivotArea dataOnly="0" labelOnly="1" fieldPosition="0">
        <references count="2">
          <reference field="3" count="1" selected="0">
            <x v="3"/>
          </reference>
          <reference field="12" count="2">
            <x v="4"/>
            <x v="14"/>
          </reference>
        </references>
      </pivotArea>
    </format>
    <format dxfId="109">
      <pivotArea dataOnly="0" labelOnly="1" fieldPosition="0">
        <references count="2">
          <reference field="3" count="1" selected="0">
            <x v="4"/>
          </reference>
          <reference field="12" count="4">
            <x v="0"/>
            <x v="2"/>
            <x v="6"/>
            <x v="12"/>
          </reference>
        </references>
      </pivotArea>
    </format>
    <format dxfId="108">
      <pivotArea dataOnly="0" labelOnly="1" fieldPosition="0">
        <references count="2">
          <reference field="3" count="1" selected="0">
            <x v="5"/>
          </reference>
          <reference field="12" count="1">
            <x v="17"/>
          </reference>
        </references>
      </pivotArea>
    </format>
    <format dxfId="107">
      <pivotArea dataOnly="0" labelOnly="1" outline="0" fieldPosition="0">
        <references count="1">
          <reference field="4294967294" count="1">
            <x v="1"/>
          </reference>
        </references>
      </pivotArea>
    </format>
    <format dxfId="106">
      <pivotArea outline="0" collapsedLevelsAreSubtotals="1" fieldPosition="0"/>
    </format>
    <format dxfId="105">
      <pivotArea dataOnly="0" labelOnly="1" grandRow="1" outline="0" offset="IV256" fieldPosition="0"/>
    </format>
    <format dxfId="104">
      <pivotArea dataOnly="0" labelOnly="1" outline="0" fieldPosition="0">
        <references count="2">
          <reference field="3" count="1" selected="0">
            <x v="0"/>
          </reference>
          <reference field="12" count="1">
            <x v="13"/>
          </reference>
        </references>
      </pivotArea>
    </format>
    <format dxfId="103">
      <pivotArea dataOnly="0" labelOnly="1" outline="0" fieldPosition="0">
        <references count="2">
          <reference field="3" count="1" selected="0">
            <x v="1"/>
          </reference>
          <reference field="12" count="1">
            <x v="7"/>
          </reference>
        </references>
      </pivotArea>
    </format>
    <format dxfId="102">
      <pivotArea dataOnly="0" labelOnly="1" outline="0" fieldPosition="0">
        <references count="2">
          <reference field="3" count="1" selected="0">
            <x v="2"/>
          </reference>
          <reference field="12" count="1">
            <x v="8"/>
          </reference>
        </references>
      </pivotArea>
    </format>
    <format dxfId="101">
      <pivotArea dataOnly="0" labelOnly="1" outline="0" fieldPosition="0">
        <references count="2">
          <reference field="3" count="1" selected="0">
            <x v="3"/>
          </reference>
          <reference field="12" count="1">
            <x v="14"/>
          </reference>
        </references>
      </pivotArea>
    </format>
    <format dxfId="100">
      <pivotArea dataOnly="0" labelOnly="1" outline="0" fieldPosition="0">
        <references count="2">
          <reference field="3" count="1" selected="0">
            <x v="4"/>
          </reference>
          <reference field="12" count="1">
            <x v="2"/>
          </reference>
        </references>
      </pivotArea>
    </format>
    <format dxfId="99">
      <pivotArea grandRow="1" grandCol="1" outline="0" fieldPosition="0">
        <references count="1">
          <reference field="4294967294" count="1" selected="0">
            <x v="1"/>
          </reference>
        </references>
      </pivotArea>
    </format>
    <format dxfId="98">
      <pivotArea field="8" grandRow="1" outline="0" axis="axisCol" fieldPosition="0">
        <references count="2">
          <reference field="4294967294" count="1" selected="0">
            <x v="1"/>
          </reference>
          <reference field="8" count="1" selected="0">
            <x v="1"/>
          </reference>
        </references>
      </pivotArea>
    </format>
    <format dxfId="97">
      <pivotArea field="8" grandRow="1" outline="0" axis="axisCol" fieldPosition="0">
        <references count="2">
          <reference field="4294967294" count="1" selected="0">
            <x v="0"/>
          </reference>
          <reference field="8" count="1" selected="0">
            <x v="1"/>
          </reference>
        </references>
      </pivotArea>
    </format>
    <format dxfId="96">
      <pivotArea grandRow="1" grandCol="1" outline="0" fieldPosition="0">
        <references count="1">
          <reference field="4294967294" count="1" selected="0">
            <x v="0"/>
          </reference>
        </references>
      </pivotArea>
    </format>
    <format dxfId="95">
      <pivotArea dataOnly="0" labelOnly="1" outline="0" fieldPosition="0">
        <references count="1">
          <reference field="3" count="5">
            <x v="0"/>
            <x v="1"/>
            <x v="2"/>
            <x v="3"/>
            <x v="4"/>
          </reference>
        </references>
      </pivotArea>
    </format>
    <format dxfId="94">
      <pivotArea type="origin" dataOnly="0" labelOnly="1" outline="0" fieldPosition="0"/>
    </format>
    <format dxfId="93">
      <pivotArea type="topRight" dataOnly="0" labelOnly="1" outline="0" fieldPosition="0"/>
    </format>
    <format dxfId="92">
      <pivotArea field="3" type="button" dataOnly="0" labelOnly="1" outline="0" axis="axisRow" fieldPosition="0"/>
    </format>
    <format dxfId="91">
      <pivotArea field="12" type="button" dataOnly="0" labelOnly="1" outline="0" axis="axisRow" fieldPosition="1"/>
    </format>
    <format dxfId="90">
      <pivotArea dataOnly="0" labelOnly="1" outline="0" fieldPosition="0">
        <references count="1">
          <reference field="8" count="1">
            <x v="1"/>
          </reference>
        </references>
      </pivotArea>
    </format>
    <format dxfId="89">
      <pivotArea field="8" dataOnly="0" labelOnly="1" grandCol="1" outline="0" axis="axisCol" fieldPosition="0">
        <references count="1">
          <reference field="4294967294" count="1" selected="0">
            <x v="0"/>
          </reference>
        </references>
      </pivotArea>
    </format>
    <format dxfId="88">
      <pivotArea field="8" dataOnly="0" labelOnly="1" grandCol="1" outline="0" axis="axisCol" fieldPosition="0">
        <references count="1">
          <reference field="4294967294" count="1" selected="0">
            <x v="1"/>
          </reference>
        </references>
      </pivotArea>
    </format>
    <format dxfId="87">
      <pivotArea dataOnly="0" labelOnly="1" outline="0" fieldPosition="0">
        <references count="2">
          <reference field="4294967294" count="2">
            <x v="0"/>
            <x v="1"/>
          </reference>
          <reference field="8" count="1" selected="0">
            <x v="1"/>
          </reference>
        </references>
      </pivotArea>
    </format>
    <format dxfId="86">
      <pivotArea dataOnly="0" labelOnly="1" outline="0" fieldPosition="0">
        <references count="1">
          <reference field="3" count="5">
            <x v="0"/>
            <x v="1"/>
            <x v="2"/>
            <x v="3"/>
            <x v="4"/>
          </reference>
        </references>
      </pivotArea>
    </format>
    <format dxfId="85">
      <pivotArea field="8" type="button" dataOnly="0" labelOnly="1" outline="0" axis="axisCol" fieldPosition="0"/>
    </format>
    <format dxfId="84">
      <pivotArea field="-2" type="button" dataOnly="0" labelOnly="1" outline="0" axis="axisCol" fieldPosition="1"/>
    </format>
    <format dxfId="83">
      <pivotArea field="8" type="button" dataOnly="0" labelOnly="1" outline="0" axis="axisCol" fieldPosition="0"/>
    </format>
    <format dxfId="82">
      <pivotArea field="-2" type="button" dataOnly="0" labelOnly="1" outline="0" axis="axisCol" fieldPosition="1"/>
    </format>
    <format dxfId="81">
      <pivotArea dataOnly="0" labelOnly="1" grandRow="1" outline="0" offset="A256" fieldPosition="0"/>
    </format>
    <format dxfId="80">
      <pivotArea outline="0" fieldPosition="0">
        <references count="4">
          <reference field="4294967294" count="1" selected="0">
            <x v="1"/>
          </reference>
          <reference field="3" count="2" selected="0">
            <x v="2"/>
            <x v="4"/>
          </reference>
          <reference field="8" count="1" selected="0">
            <x v="2"/>
          </reference>
          <reference field="12" count="3" selected="0">
            <x v="2"/>
            <x v="8"/>
            <x v="18"/>
          </reference>
        </references>
      </pivotArea>
    </format>
    <format dxfId="79">
      <pivotArea field="8" grandRow="1" outline="0" axis="axisCol" fieldPosition="0">
        <references count="2">
          <reference field="4294967294" count="1" selected="0">
            <x v="1"/>
          </reference>
          <reference field="8" count="1" selected="0">
            <x v="2"/>
          </reference>
        </references>
      </pivotArea>
    </format>
    <format dxfId="78">
      <pivotArea outline="0" fieldPosition="0">
        <references count="2">
          <reference field="4294967294" count="1" selected="0">
            <x v="1"/>
          </reference>
          <reference field="8" count="1" selected="0">
            <x v="1"/>
          </reference>
        </references>
      </pivotArea>
    </format>
    <format dxfId="77">
      <pivotArea field="12" grandCol="1" outline="0" axis="axisRow" fieldPosition="1">
        <references count="3">
          <reference field="4294967294" count="1" selected="0">
            <x v="1"/>
          </reference>
          <reference field="3" count="1" selected="0">
            <x v="2"/>
          </reference>
          <reference field="12" count="1" selected="0">
            <x v="18"/>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E6CC80-45CE-439E-9E39-01561EC13623}"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O2:P13" firstHeaderRow="1" firstDataRow="3" firstDataCol="1"/>
  <pivotFields count="10">
    <pivotField dataField="1" showAll="0" defaultSubtotal="0"/>
    <pivotField showAll="0" defaultSubtotal="0"/>
    <pivotField showAll="0" defaultSubtotal="0"/>
    <pivotField axis="axisCol" showAll="0" defaultSubtotal="0">
      <items count="45">
        <item h="1" x="43"/>
        <item h="1" x="30"/>
        <item h="1" x="42"/>
        <item h="1" x="1"/>
        <item h="1" x="41"/>
        <item h="1" x="25"/>
        <item x="0"/>
        <item h="1" x="11"/>
        <item h="1" x="2"/>
        <item h="1" x="13"/>
        <item h="1" x="10"/>
        <item h="1" x="26"/>
        <item h="1" x="34"/>
        <item h="1" x="38"/>
        <item h="1" x="40"/>
        <item h="1" x="44"/>
        <item h="1" x="28"/>
        <item h="1" x="3"/>
        <item h="1" x="4"/>
        <item h="1" x="15"/>
        <item h="1" x="22"/>
        <item h="1" x="24"/>
        <item h="1" x="16"/>
        <item h="1" x="14"/>
        <item h="1" x="36"/>
        <item h="1" x="31"/>
        <item h="1" x="39"/>
        <item h="1" x="8"/>
        <item h="1" x="29"/>
        <item h="1" x="19"/>
        <item h="1" x="17"/>
        <item h="1" x="18"/>
        <item h="1" x="21"/>
        <item h="1" x="32"/>
        <item h="1" x="20"/>
        <item h="1" x="33"/>
        <item h="1" x="23"/>
        <item h="1" x="37"/>
        <item h="1" x="27"/>
        <item h="1" x="12"/>
        <item h="1" x="6"/>
        <item h="1" x="5"/>
        <item h="1" x="7"/>
        <item h="1" x="35"/>
        <item h="1" x="9"/>
      </items>
    </pivotField>
    <pivotField axis="axisCol" showAll="0" defaultSubtotal="0">
      <items count="1">
        <item x="0"/>
      </items>
    </pivotField>
    <pivotField axis="axisRow" showAll="0" defaultSubtotal="0">
      <items count="410">
        <item x="0"/>
        <item x="300"/>
        <item x="200"/>
        <item x="372"/>
        <item x="373"/>
        <item x="371"/>
        <item x="366"/>
        <item x="370"/>
        <item x="165"/>
        <item x="369"/>
        <item x="368"/>
        <item x="367"/>
        <item x="365"/>
        <item x="189"/>
        <item x="347"/>
        <item x="363"/>
        <item x="187"/>
        <item x="364"/>
        <item x="156"/>
        <item x="362"/>
        <item x="361"/>
        <item x="357"/>
        <item x="360"/>
        <item x="359"/>
        <item x="358"/>
        <item x="356"/>
        <item x="355"/>
        <item x="354"/>
        <item x="353"/>
        <item x="351"/>
        <item x="352"/>
        <item x="350"/>
        <item x="329"/>
        <item x="336"/>
        <item x="203"/>
        <item x="349"/>
        <item x="346"/>
        <item x="348"/>
        <item x="68"/>
        <item x="344"/>
        <item x="345"/>
        <item x="43"/>
        <item x="28"/>
        <item x="343"/>
        <item x="341"/>
        <item x="342"/>
        <item x="340"/>
        <item x="339"/>
        <item x="312"/>
        <item x="338"/>
        <item x="335"/>
        <item x="306"/>
        <item x="205"/>
        <item x="337"/>
        <item x="334"/>
        <item x="331"/>
        <item x="330"/>
        <item x="333"/>
        <item x="242"/>
        <item x="2"/>
        <item x="327"/>
        <item x="322"/>
        <item x="332"/>
        <item x="282"/>
        <item x="325"/>
        <item x="326"/>
        <item x="323"/>
        <item x="134"/>
        <item x="324"/>
        <item x="204"/>
        <item x="318"/>
        <item x="289"/>
        <item x="321"/>
        <item x="311"/>
        <item x="319"/>
        <item x="320"/>
        <item x="317"/>
        <item x="315"/>
        <item x="316"/>
        <item x="313"/>
        <item x="11"/>
        <item x="131"/>
        <item x="47"/>
        <item x="307"/>
        <item x="308"/>
        <item x="290"/>
        <item x="304"/>
        <item x="310"/>
        <item x="303"/>
        <item x="301"/>
        <item x="302"/>
        <item x="299"/>
        <item x="297"/>
        <item x="206"/>
        <item x="298"/>
        <item x="296"/>
        <item x="295"/>
        <item x="72"/>
        <item x="293"/>
        <item x="287"/>
        <item x="286"/>
        <item x="284"/>
        <item x="142"/>
        <item x="283"/>
        <item x="281"/>
        <item x="263"/>
        <item x="279"/>
        <item x="278"/>
        <item x="277"/>
        <item x="276"/>
        <item x="97"/>
        <item x="275"/>
        <item x="273"/>
        <item x="274"/>
        <item x="101"/>
        <item x="264"/>
        <item x="266"/>
        <item x="272"/>
        <item x="267"/>
        <item x="271"/>
        <item x="269"/>
        <item x="66"/>
        <item x="270"/>
        <item x="268"/>
        <item x="261"/>
        <item x="265"/>
        <item x="138"/>
        <item x="241"/>
        <item x="259"/>
        <item x="120"/>
        <item x="155"/>
        <item x="258"/>
        <item x="231"/>
        <item x="215"/>
        <item x="247"/>
        <item x="239"/>
        <item x="243"/>
        <item x="245"/>
        <item x="185"/>
        <item x="250"/>
        <item x="229"/>
        <item x="249"/>
        <item x="246"/>
        <item x="214"/>
        <item x="234"/>
        <item x="225"/>
        <item x="233"/>
        <item x="210"/>
        <item x="53"/>
        <item x="244"/>
        <item x="254"/>
        <item x="237"/>
        <item x="235"/>
        <item x="212"/>
        <item x="251"/>
        <item x="90"/>
        <item x="236"/>
        <item x="213"/>
        <item x="227"/>
        <item x="211"/>
        <item x="217"/>
        <item x="222"/>
        <item x="184"/>
        <item x="255"/>
        <item x="188"/>
        <item x="193"/>
        <item x="221"/>
        <item x="150"/>
        <item x="223"/>
        <item x="172"/>
        <item x="190"/>
        <item x="191"/>
        <item x="192"/>
        <item x="257"/>
        <item x="194"/>
        <item x="176"/>
        <item x="178"/>
        <item x="5"/>
        <item x="197"/>
        <item x="45"/>
        <item x="171"/>
        <item x="201"/>
        <item x="202"/>
        <item x="177"/>
        <item x="140"/>
        <item x="183"/>
        <item x="145"/>
        <item x="175"/>
        <item x="207"/>
        <item x="181"/>
        <item x="129"/>
        <item x="182"/>
        <item x="163"/>
        <item x="143"/>
        <item x="141"/>
        <item x="260"/>
        <item x="162"/>
        <item x="168"/>
        <item x="88"/>
        <item x="170"/>
        <item x="164"/>
        <item x="128"/>
        <item x="160"/>
        <item x="158"/>
        <item x="153"/>
        <item x="151"/>
        <item x="152"/>
        <item x="161"/>
        <item x="149"/>
        <item x="147"/>
        <item x="31"/>
        <item x="146"/>
        <item x="148"/>
        <item x="137"/>
        <item x="103"/>
        <item x="48"/>
        <item x="139"/>
        <item x="144"/>
        <item x="132"/>
        <item x="127"/>
        <item x="130"/>
        <item x="135"/>
        <item x="98"/>
        <item x="136"/>
        <item x="125"/>
        <item x="123"/>
        <item x="126"/>
        <item x="124"/>
        <item x="112"/>
        <item x="121"/>
        <item x="118"/>
        <item x="119"/>
        <item x="110"/>
        <item x="117"/>
        <item x="114"/>
        <item x="115"/>
        <item x="116"/>
        <item x="113"/>
        <item x="111"/>
        <item x="67"/>
        <item x="106"/>
        <item x="107"/>
        <item x="104"/>
        <item x="49"/>
        <item x="94"/>
        <item x="77"/>
        <item x="99"/>
        <item x="100"/>
        <item x="89"/>
        <item x="96"/>
        <item x="92"/>
        <item x="93"/>
        <item x="95"/>
        <item x="85"/>
        <item x="80"/>
        <item x="82"/>
        <item x="75"/>
        <item x="81"/>
        <item x="78"/>
        <item x="87"/>
        <item x="105"/>
        <item x="84"/>
        <item x="74"/>
        <item x="79"/>
        <item x="109"/>
        <item x="69"/>
        <item x="70"/>
        <item x="65"/>
        <item x="10"/>
        <item x="54"/>
        <item x="63"/>
        <item x="64"/>
        <item x="61"/>
        <item x="41"/>
        <item x="39"/>
        <item x="60"/>
        <item x="57"/>
        <item x="59"/>
        <item x="40"/>
        <item x="51"/>
        <item x="56"/>
        <item x="55"/>
        <item x="36"/>
        <item x="50"/>
        <item x="76"/>
        <item x="44"/>
        <item x="32"/>
        <item x="30"/>
        <item x="42"/>
        <item x="29"/>
        <item x="37"/>
        <item x="27"/>
        <item x="33"/>
        <item x="24"/>
        <item x="25"/>
        <item x="71"/>
        <item x="23"/>
        <item x="21"/>
        <item x="18"/>
        <item x="13"/>
        <item x="17"/>
        <item x="14"/>
        <item x="16"/>
        <item x="19"/>
        <item x="12"/>
        <item x="8"/>
        <item x="9"/>
        <item x="7"/>
        <item x="20"/>
        <item x="22"/>
        <item x="34"/>
        <item x="26"/>
        <item x="38"/>
        <item x="6"/>
        <item x="4"/>
        <item x="3"/>
        <item x="1"/>
        <item x="409"/>
        <item x="408"/>
        <item x="407"/>
        <item x="405"/>
        <item x="406"/>
        <item x="404"/>
        <item x="403"/>
        <item x="402"/>
        <item x="394"/>
        <item x="240"/>
        <item x="179"/>
        <item x="133"/>
        <item x="73"/>
        <item x="83"/>
        <item x="230"/>
        <item x="238"/>
        <item x="196"/>
        <item x="35"/>
        <item x="173"/>
        <item x="392"/>
        <item x="224"/>
        <item x="180"/>
        <item x="157"/>
        <item x="328"/>
        <item x="216"/>
        <item x="209"/>
        <item x="387"/>
        <item x="292"/>
        <item x="232"/>
        <item x="393"/>
        <item x="108"/>
        <item x="167"/>
        <item x="208"/>
        <item x="288"/>
        <item x="314"/>
        <item x="102"/>
        <item x="252"/>
        <item x="280"/>
        <item x="186"/>
        <item x="199"/>
        <item x="253"/>
        <item x="154"/>
        <item x="169"/>
        <item x="218"/>
        <item x="309"/>
        <item x="398"/>
        <item x="159"/>
        <item x="228"/>
        <item x="248"/>
        <item x="198"/>
        <item x="379"/>
        <item x="219"/>
        <item x="378"/>
        <item x="15"/>
        <item x="122"/>
        <item x="166"/>
        <item x="46"/>
        <item x="52"/>
        <item x="401"/>
        <item x="400"/>
        <item x="397"/>
        <item x="399"/>
        <item x="395"/>
        <item x="396"/>
        <item x="174"/>
        <item x="220"/>
        <item x="256"/>
        <item x="391"/>
        <item x="390"/>
        <item x="389"/>
        <item x="388"/>
        <item x="375"/>
        <item x="386"/>
        <item x="385"/>
        <item x="305"/>
        <item x="382"/>
        <item x="384"/>
        <item x="383"/>
        <item x="195"/>
        <item x="380"/>
        <item x="381"/>
        <item x="377"/>
        <item x="91"/>
        <item x="291"/>
        <item x="285"/>
        <item x="294"/>
        <item x="226"/>
        <item x="376"/>
        <item x="86"/>
        <item x="374"/>
        <item x="58"/>
        <item x="62"/>
        <item x="262"/>
      </items>
    </pivotField>
    <pivotField showAll="0" defaultSubtotal="0"/>
    <pivotField showAll="0" defaultSubtotal="0">
      <items count="4">
        <item h="1" x="3"/>
        <item h="1" x="2"/>
        <item x="0"/>
        <item h="1" x="1"/>
      </items>
    </pivotField>
    <pivotField showAll="0" defaultSubtotal="0"/>
    <pivotField showAll="0" defaultSubtotal="0"/>
  </pivotFields>
  <rowFields count="1">
    <field x="5"/>
  </rowFields>
  <rowItems count="9">
    <i>
      <x/>
    </i>
    <i>
      <x v="76"/>
    </i>
    <i>
      <x v="87"/>
    </i>
    <i>
      <x v="190"/>
    </i>
    <i>
      <x v="304"/>
    </i>
    <i>
      <x v="306"/>
    </i>
    <i>
      <x v="307"/>
    </i>
    <i>
      <x v="369"/>
    </i>
    <i t="grand">
      <x/>
    </i>
  </rowItems>
  <colFields count="2">
    <field x="4"/>
    <field x="3"/>
  </colFields>
  <colItems count="1">
    <i>
      <x/>
      <x v="6"/>
    </i>
  </colItems>
  <dataFields count="1">
    <dataField name="Count of STATUS" fld="0" subtotal="count" baseField="0" baseItem="0"/>
  </dataFields>
  <formats count="27">
    <format dxfId="76">
      <pivotArea type="all" dataOnly="0" outline="0" fieldPosition="0"/>
    </format>
    <format dxfId="75">
      <pivotArea outline="0" collapsedLevelsAreSubtotals="1" fieldPosition="0"/>
    </format>
    <format dxfId="74">
      <pivotArea type="origin" dataOnly="0" labelOnly="1" outline="0" fieldPosition="0"/>
    </format>
    <format dxfId="73">
      <pivotArea field="4" type="button" dataOnly="0" labelOnly="1" outline="0" axis="axisCol" fieldPosition="0"/>
    </format>
    <format dxfId="72">
      <pivotArea field="5" type="button" dataOnly="0" labelOnly="1" outline="0" axis="axisRow" fieldPosition="0"/>
    </format>
    <format dxfId="71">
      <pivotArea dataOnly="0" labelOnly="1" fieldPosition="0">
        <references count="1">
          <reference field="5" count="8">
            <x v="0"/>
            <x v="76"/>
            <x v="87"/>
            <x v="190"/>
            <x v="304"/>
            <x v="306"/>
            <x v="307"/>
            <x v="369"/>
          </reference>
        </references>
      </pivotArea>
    </format>
    <format dxfId="70">
      <pivotArea dataOnly="0" labelOnly="1" grandRow="1" outline="0" fieldPosition="0"/>
    </format>
    <format dxfId="69">
      <pivotArea dataOnly="0" labelOnly="1" fieldPosition="0">
        <references count="1">
          <reference field="4" count="0"/>
        </references>
      </pivotArea>
    </format>
    <format dxfId="68">
      <pivotArea dataOnly="0" labelOnly="1" fieldPosition="0">
        <references count="2">
          <reference field="3" count="0"/>
          <reference field="4" count="0" selected="0"/>
        </references>
      </pivotArea>
    </format>
    <format dxfId="67">
      <pivotArea type="all" dataOnly="0" outline="0" fieldPosition="0"/>
    </format>
    <format dxfId="66">
      <pivotArea outline="0" collapsedLevelsAreSubtotals="1" fieldPosition="0"/>
    </format>
    <format dxfId="65">
      <pivotArea type="origin" dataOnly="0" labelOnly="1" outline="0" fieldPosition="0"/>
    </format>
    <format dxfId="64">
      <pivotArea field="4" type="button" dataOnly="0" labelOnly="1" outline="0" axis="axisCol" fieldPosition="0"/>
    </format>
    <format dxfId="63">
      <pivotArea field="5" type="button" dataOnly="0" labelOnly="1" outline="0" axis="axisRow" fieldPosition="0"/>
    </format>
    <format dxfId="62">
      <pivotArea dataOnly="0" labelOnly="1" fieldPosition="0">
        <references count="1">
          <reference field="5" count="8">
            <x v="0"/>
            <x v="76"/>
            <x v="87"/>
            <x v="190"/>
            <x v="304"/>
            <x v="306"/>
            <x v="307"/>
            <x v="369"/>
          </reference>
        </references>
      </pivotArea>
    </format>
    <format dxfId="61">
      <pivotArea dataOnly="0" labelOnly="1" grandRow="1" outline="0" fieldPosition="0"/>
    </format>
    <format dxfId="60">
      <pivotArea dataOnly="0" labelOnly="1" fieldPosition="0">
        <references count="1">
          <reference field="4" count="0"/>
        </references>
      </pivotArea>
    </format>
    <format dxfId="59">
      <pivotArea dataOnly="0" labelOnly="1" fieldPosition="0">
        <references count="2">
          <reference field="3" count="0"/>
          <reference field="4" count="0" selected="0"/>
        </references>
      </pivotArea>
    </format>
    <format dxfId="58">
      <pivotArea type="all" dataOnly="0" outline="0" fieldPosition="0"/>
    </format>
    <format dxfId="57">
      <pivotArea outline="0" collapsedLevelsAreSubtotals="1" fieldPosition="0"/>
    </format>
    <format dxfId="56">
      <pivotArea type="origin" dataOnly="0" labelOnly="1" outline="0" fieldPosition="0"/>
    </format>
    <format dxfId="55">
      <pivotArea field="4" type="button" dataOnly="0" labelOnly="1" outline="0" axis="axisCol" fieldPosition="0"/>
    </format>
    <format dxfId="54">
      <pivotArea field="5" type="button" dataOnly="0" labelOnly="1" outline="0" axis="axisRow" fieldPosition="0"/>
    </format>
    <format dxfId="53">
      <pivotArea dataOnly="0" labelOnly="1" fieldPosition="0">
        <references count="1">
          <reference field="5" count="8">
            <x v="0"/>
            <x v="76"/>
            <x v="87"/>
            <x v="190"/>
            <x v="304"/>
            <x v="306"/>
            <x v="307"/>
            <x v="369"/>
          </reference>
        </references>
      </pivotArea>
    </format>
    <format dxfId="52">
      <pivotArea dataOnly="0" labelOnly="1" grandRow="1" outline="0" fieldPosition="0"/>
    </format>
    <format dxfId="51">
      <pivotArea dataOnly="0" labelOnly="1" fieldPosition="0">
        <references count="1">
          <reference field="4" count="0"/>
        </references>
      </pivotArea>
    </format>
    <format dxfId="50">
      <pivotArea dataOnly="0" labelOnly="1" fieldPosition="0">
        <references count="2">
          <reference field="3"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ASSOCIATE" xr10:uid="{1A6F7096-6A47-4A4C-AF4B-E684FE273F5A}" sourceName="SALES ASSOCIATE">
  <pivotTables>
    <pivotTable tabId="19" name="PivotTable1"/>
  </pivotTables>
  <data>
    <tabular pivotCacheId="1581858346">
      <items count="4">
        <i x="2"/>
        <i x="0" s="1"/>
        <i x="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ASSOCIATE" xr10:uid="{B2A9065A-4A0F-4DA5-9718-9E06AB96FDCA}" cache="Slicer_SALES_ASSOCIATE" caption="SALES ASSOCI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E12576-98BA-4A4E-B2D0-26C84F8C14D3}" name="Table14" displayName="Table14" ref="A1:J510" totalsRowShown="0" headerRowDxfId="49" dataDxfId="47" headerRowBorderDxfId="48" tableBorderDxfId="46" totalsRowBorderDxfId="45">
  <autoFilter ref="A1:J510" xr:uid="{48E12576-98BA-4A4E-B2D0-26C84F8C14D3}"/>
  <tableColumns count="10">
    <tableColumn id="1" xr3:uid="{D4C6E6D8-5281-454C-9F4E-590EE99B9C51}" name="STATUS" dataDxfId="44"/>
    <tableColumn id="2" xr3:uid="{B5A371ED-5810-4200-AFE2-9D71CF594D25}" name="CLIENT FEEDBACK" dataDxfId="43"/>
    <tableColumn id="3" xr3:uid="{EE6F93F3-86FF-4BAE-A674-37B57872682E}" name="REQUEST DATE" dataDxfId="42"/>
    <tableColumn id="4" xr3:uid="{D3054BE8-1F46-41A6-99FA-792F004C4541}" name="REFERENCE" dataDxfId="41"/>
    <tableColumn id="5" xr3:uid="{4F41974C-670A-4B54-9075-5E99480BAB5F}" name="BOUTIQUE" dataDxfId="40"/>
    <tableColumn id="6" xr3:uid="{BB5AE423-F706-464E-89A9-06FB25E106DB}" name="CLIENT ID" dataDxfId="39"/>
    <tableColumn id="7" xr3:uid="{F871ED81-0AC5-4031-AEB2-24004BCD58F0}" name="CLIENT SEGMENT" dataDxfId="38"/>
    <tableColumn id="8" xr3:uid="{F2DC8E8E-52EA-4D16-B3DA-284016E8B0D3}" name="SALES ASSOCIATE" dataDxfId="37"/>
    <tableColumn id="9" xr3:uid="{7CF93A15-F3E5-4907-82FB-AC48F43F1D5D}" name="COMMENTS" dataDxfId="36"/>
    <tableColumn id="10" xr3:uid="{5360BE37-25A2-473B-B938-8C7B8C9C0F66}" name="Avaliblity" dataDxfId="3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F99ABA-15E9-401E-B94B-4408396E9B0A}" name="Table5" displayName="Table5" ref="A1:M478" totalsRowShown="0" headerRowDxfId="34" dataDxfId="32" headerRowBorderDxfId="33" tableBorderDxfId="31">
  <autoFilter ref="A1:M478" xr:uid="{A9F99ABA-15E9-401E-B94B-4408396E9B0A}"/>
  <tableColumns count="13">
    <tableColumn id="1" xr3:uid="{8ECA188D-58C0-4C54-9066-7361B135BA88}" name="STATUS" dataDxfId="30"/>
    <tableColumn id="2" xr3:uid="{9921072B-CE6C-442C-8441-D2D62FFAD8AA}" name="CLIENT FEEDBACK" dataDxfId="29"/>
    <tableColumn id="3" xr3:uid="{F4142591-A895-4233-A034-2D7D386B5AD4}" name="REQUEST DATE" dataDxfId="28"/>
    <tableColumn id="4" xr3:uid="{9E084FF7-6E52-4188-A5A4-ACD954F6E46E}" name="REFERENCE" dataDxfId="27"/>
    <tableColumn id="11" xr3:uid="{7DE18B69-3308-4345-A9A6-1DD0B06268D3}" name="Collection Name" dataDxfId="26">
      <calculatedColumnFormula>IFERROR(VLOOKUP(TRIM(D2), Collection!$B$2:$D$1001, 2, FALSE), "")</calculatedColumnFormula>
    </tableColumn>
    <tableColumn id="13" xr3:uid="{29F98CC2-7EF6-49FF-BA44-12490C623465}" name="Price" dataDxfId="25">
      <calculatedColumnFormula>IFERROR(VLOOKUP(TRIM(D2), Collection!$B$2:$D$1001, 3, FALSE), "")</calculatedColumnFormula>
    </tableColumn>
    <tableColumn id="14" xr3:uid="{279C7181-137A-45C1-86EB-51D23152ECBE}" name="Price 2 " dataDxfId="24">
      <calculatedColumnFormula>IFERROR(VALUE(SUBSTITUTE(SUBSTITUTE(F2, "Price", ""), "AED", "")), "")</calculatedColumnFormula>
    </tableColumn>
    <tableColumn id="5" xr3:uid="{63385E8D-0120-4616-8F3B-97858B5F065D}" name="BOUTIQUE" dataDxfId="23"/>
    <tableColumn id="6" xr3:uid="{FC18507D-8194-4B68-AE0D-D7ED3F61B3BE}" name="CLIENT ID" dataDxfId="22"/>
    <tableColumn id="7" xr3:uid="{5A94D4E3-FEAE-4147-890A-B2C227734CBB}" name="CLIENT SEGMENT" dataDxfId="21"/>
    <tableColumn id="8" xr3:uid="{E6AE2455-E3E6-4FD9-BEEA-3ABBB4E96D05}" name="SALES ASSOCIATE" dataDxfId="20"/>
    <tableColumn id="9" xr3:uid="{53C266B9-4B9B-4F97-ABB9-FAB2B6C6F5EA}" name="COMMENTS" dataDxfId="19"/>
    <tableColumn id="10" xr3:uid="{89D61F14-D942-498C-82B9-EB49FF0336F4}" name="Avalible?" dataDxfId="18">
      <calculatedColumnFormula>IF(COUNTIF($R$3:$R$100, D2) &gt; 0, TRUE, FALSE)</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145C5D-B002-44D1-8C5F-746C6D2EAC18}" name="Table1" displayName="Table1" ref="A1:G333" totalsRowShown="0" headerRowDxfId="16" headerRowBorderDxfId="15" tableBorderDxfId="14" totalsRowBorderDxfId="13">
  <autoFilter ref="A1:G333" xr:uid="{2B145C5D-B002-44D1-8C5F-746C6D2EAC18}"/>
  <tableColumns count="7">
    <tableColumn id="1" xr3:uid="{58EC0A08-1D65-4920-A901-B3C6A7B0B4A1}" name="Ref" dataDxfId="12"/>
    <tableColumn id="2" xr3:uid="{2BDAB78D-9560-4E9F-A288-B9B47CC86BDE}" name="Timepiece Reference " dataDxfId="11"/>
    <tableColumn id="3" xr3:uid="{CD1E4945-AEE9-4812-A99F-AA756B7524DE}" name="Collection name " dataDxfId="10"/>
    <tableColumn id="4" xr3:uid="{6C6A984E-2060-4CD6-B393-42632D9B9CC1}" name="Price" dataDxfId="9"/>
    <tableColumn id="5" xr3:uid="{0215F344-4D98-4BAB-A082-D1422BA9F0BC}" name="CRC STOCK" dataDxfId="8">
      <calculatedColumnFormula>IF(F2, "YES", "No")</calculatedColumnFormula>
    </tableColumn>
    <tableColumn id="6" xr3:uid="{2DDB26FE-5E6A-43E6-B207-B47E4C127D78}" name="Available" dataDxfId="7"/>
    <tableColumn id="7" xr3:uid="{8F987FA8-844A-487E-8593-3507A6D0CE67}" name="Helper " dataDxfId="6">
      <calculatedColumnFormula>IF(COUNTIF($J$3:$J$100, B2) &gt; 0, TRUE,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2" dT="2025-06-11T10:40:36.75" personId="{B30CC94F-FCD8-4228-83F9-E2B58EE29E15}" id="{886921ED-C7A4-4508-AC1B-96CA8D6BDB6E}">
    <text xml:space="preserve">Double check  the QTY per Ref - Sap , BTQ. </text>
  </threadedComment>
</ThreadedComments>
</file>

<file path=xl/webextensions/_rels/taskpanes.xml.rels><?xml version="1.0" encoding="UTF-8" standalone="yes"?>
<Relationships xmlns="http://schemas.openxmlformats.org/package/2006/relationships"><Relationship Id="rId8" Type="http://schemas.microsoft.com/office/2011/relationships/webextension" Target="webextension8.xml"/><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438" row="17">
    <wetp:webextensionref xmlns:r="http://schemas.openxmlformats.org/officeDocument/2006/relationships" r:id="rId1"/>
  </wetp:taskpane>
  <wetp:taskpane dockstate="right" visibility="0" width="438" row="18">
    <wetp:webextensionref xmlns:r="http://schemas.openxmlformats.org/officeDocument/2006/relationships" r:id="rId2"/>
  </wetp:taskpane>
  <wetp:taskpane dockstate="right" visibility="0" width="438" row="19">
    <wetp:webextensionref xmlns:r="http://schemas.openxmlformats.org/officeDocument/2006/relationships" r:id="rId3"/>
  </wetp:taskpane>
  <wetp:taskpane dockstate="right" visibility="0" width="438" row="14">
    <wetp:webextensionref xmlns:r="http://schemas.openxmlformats.org/officeDocument/2006/relationships" r:id="rId4"/>
  </wetp:taskpane>
  <wetp:taskpane dockstate="right" visibility="0" width="438" row="16">
    <wetp:webextensionref xmlns:r="http://schemas.openxmlformats.org/officeDocument/2006/relationships" r:id="rId5"/>
  </wetp:taskpane>
  <wetp:taskpane dockstate="right" visibility="0" width="350" row="14">
    <wetp:webextensionref xmlns:r="http://schemas.openxmlformats.org/officeDocument/2006/relationships" r:id="rId6"/>
  </wetp:taskpane>
  <wetp:taskpane dockstate="right" visibility="0" width="350" row="13">
    <wetp:webextensionref xmlns:r="http://schemas.openxmlformats.org/officeDocument/2006/relationships" r:id="rId7"/>
  </wetp:taskpane>
  <wetp:taskpane dockstate="right" visibility="0" width="350" row="12">
    <wetp:webextensionref xmlns:r="http://schemas.openxmlformats.org/officeDocument/2006/relationships" r:id="rId8"/>
  </wetp:taskpane>
</wetp:taskpanes>
</file>

<file path=xl/webextensions/webextension1.xml><?xml version="1.0" encoding="utf-8"?>
<we:webextension xmlns:we="http://schemas.microsoft.com/office/webextensions/webextension/2010/11" id="{59DDE56B-C1F6-431B-82BD-9BF3BD1E6796}">
  <we:reference id="wa200005502" version="1.0.0.11" store="en-US" storeType="OMEX"/>
  <we:alternateReferences>
    <we:reference id="WA200005502" version="1.0.0.11" store="" storeType="OMEX"/>
  </we:alternateReferences>
  <we:properties>
    <we:property name="docId" value="&quot;ci1EeB2dB9rr3aXhQm9b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248417F2-D57F-439E-AF7B-B0E73F6BE036}">
  <we:reference id="wa200005271" version="2.5.5.0" store="en-U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0403B37E-96C6-4830-9499-38E62AE17A19}">
  <we:reference id="wa200004935" version="6.0.0.0" store="en-US" storeType="OMEX"/>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ebextensions/webextension4.xml><?xml version="1.0" encoding="utf-8"?>
<we:webextension xmlns:we="http://schemas.microsoft.com/office/webextensions/webextension/2010/11" id="{861BEF29-EFB5-41C9-8CBB-DA312F3D8C28}">
  <we:reference id="wa200005429" version="1.0.0.0" store="en-US" storeType="OMEX"/>
  <we:alternateReferences>
    <we:reference id="WA200005429"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_xldudf_FI_GENERATE</we:customFunctionIds>
        <we:customFunctionIds>_xldudf_FI_EXPLAIN</we:customFunctionIds>
        <we:customFunctionIds>_xldudf_FI_SUMMARIZE</we:customFunctionIds>
        <we:customFunctionIds>_xldudf_FI_LOOKUP</we:customFunctionIds>
        <we:customFunctionIds>_xldudf_FI_FINDDUPLICATES</we:customFunctionIds>
        <we:customFunctionIds>_xldudf_FI_TRANSLATE</we:customFunctionIds>
      </we:customFunctionIdList>
    </a:ext>
  </we:extLst>
</we:webextension>
</file>

<file path=xl/webextensions/webextension5.xml><?xml version="1.0" encoding="utf-8"?>
<we:webextension xmlns:we="http://schemas.microsoft.com/office/webextensions/webextension/2010/11" id="{AC1CFBDA-AB5D-42F1-83E7-AFFE59868207}">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6.xml><?xml version="1.0" encoding="utf-8"?>
<we:webextension xmlns:we="http://schemas.microsoft.com/office/webextensions/webextension/2010/11" id="{BF2E74DD-4B5D-40EF-BD0A-6536997CD282}">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_xldudf_GPT_GPTINTERACT</we:customFunctionIds>
        <we:customFunctionIds>_xldudf_GPT_GPTPROMPT</we:customFunctionIds>
        <we:customFunctionIds>_xldudf_GPT_GPTPREDICT</we:customFunctionIds>
      </we:customFunctionIdList>
    </a:ext>
  </we:extLst>
</we:webextension>
</file>

<file path=xl/webextensions/webextension7.xml><?xml version="1.0" encoding="utf-8"?>
<we:webextension xmlns:we="http://schemas.microsoft.com/office/webextensions/webextension/2010/11" id="{EDE18D19-7124-4FA5-99E5-A46DCDE731E4}">
  <we:reference id="wa200005107" version="1.1.0.0" store="en-US" storeType="OMEX"/>
  <we:alternateReferences>
    <we:reference id="WA200005107"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8.xml><?xml version="1.0" encoding="utf-8"?>
<we:webextension xmlns:we="http://schemas.microsoft.com/office/webextensions/webextension/2010/11" id="{BEB66F6D-AD04-41E2-A1C3-E1749A1917A8}">
  <we:reference id="wa200001584" version="3.0.3.6" store="en-US" storeType="OMEX"/>
  <we:alternateReferences>
    <we:reference id="wa200001584" version="3.0.3.6" store="wa200001584" storeType="OMEX"/>
  </we:alternateReferences>
  <we:properties/>
  <we:bindings>
    <we:binding id="anID" type="matrix" appref="{AD0F7A67-E6EF-413B-97CE-25CC01A38899}"/>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2.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A2501-EA57-4F40-8890-07A4C9E53C10}">
  <sheetPr codeName="Sheet7"/>
  <dimension ref="A1:F10"/>
  <sheetViews>
    <sheetView workbookViewId="0">
      <selection activeCell="E18" sqref="E18"/>
    </sheetView>
  </sheetViews>
  <sheetFormatPr defaultRowHeight="14.4" x14ac:dyDescent="0.3"/>
  <cols>
    <col min="1" max="1" width="20.44140625" bestFit="1" customWidth="1"/>
    <col min="2" max="2" width="26.5546875" bestFit="1" customWidth="1"/>
    <col min="3" max="3" width="25.5546875" bestFit="1" customWidth="1"/>
    <col min="4" max="4" width="13.109375" bestFit="1" customWidth="1"/>
    <col min="5" max="5" width="24.6640625" bestFit="1" customWidth="1"/>
    <col min="6" max="6" width="13.5546875" bestFit="1" customWidth="1"/>
    <col min="7" max="7" width="24.6640625" bestFit="1" customWidth="1"/>
    <col min="8" max="8" width="13.5546875" bestFit="1" customWidth="1"/>
    <col min="9" max="9" width="19.44140625" bestFit="1" customWidth="1"/>
    <col min="10" max="10" width="20" bestFit="1" customWidth="1"/>
    <col min="11" max="17" width="20.44140625" bestFit="1" customWidth="1"/>
    <col min="18" max="18" width="11" bestFit="1" customWidth="1"/>
  </cols>
  <sheetData>
    <row r="1" spans="1:6" x14ac:dyDescent="0.3">
      <c r="A1" s="9" t="s">
        <v>0</v>
      </c>
      <c r="B1" s="2" t="s">
        <v>1</v>
      </c>
    </row>
    <row r="2" spans="1:6" x14ac:dyDescent="0.3">
      <c r="A2" s="9" t="s">
        <v>2</v>
      </c>
      <c r="B2" s="2" t="s">
        <v>3</v>
      </c>
    </row>
    <row r="4" spans="1:6" x14ac:dyDescent="0.3">
      <c r="A4" s="2"/>
      <c r="B4" s="2"/>
      <c r="C4" s="47" t="s">
        <v>4</v>
      </c>
      <c r="D4" s="47" t="s">
        <v>5</v>
      </c>
      <c r="E4" s="2"/>
      <c r="F4" s="2"/>
    </row>
    <row r="5" spans="1:6" x14ac:dyDescent="0.3">
      <c r="A5" s="2"/>
      <c r="B5" s="2"/>
      <c r="C5" s="2" t="s">
        <v>6</v>
      </c>
      <c r="D5" s="2"/>
      <c r="E5" s="2" t="s">
        <v>7</v>
      </c>
      <c r="F5" s="2" t="s">
        <v>8</v>
      </c>
    </row>
    <row r="6" spans="1:6" x14ac:dyDescent="0.3">
      <c r="A6" s="9" t="s">
        <v>9</v>
      </c>
      <c r="B6" s="9" t="s">
        <v>10</v>
      </c>
      <c r="C6" s="2" t="s">
        <v>11</v>
      </c>
      <c r="D6" s="2" t="s">
        <v>12</v>
      </c>
      <c r="E6" s="2"/>
      <c r="F6" s="2"/>
    </row>
    <row r="7" spans="1:6" x14ac:dyDescent="0.3">
      <c r="A7" s="46" t="s">
        <v>13</v>
      </c>
      <c r="B7" s="2" t="s">
        <v>14</v>
      </c>
      <c r="C7" s="44">
        <v>1</v>
      </c>
      <c r="D7" s="45">
        <v>62500</v>
      </c>
      <c r="E7" s="44">
        <v>1</v>
      </c>
      <c r="F7" s="45">
        <v>62500</v>
      </c>
    </row>
    <row r="8" spans="1:6" x14ac:dyDescent="0.3">
      <c r="A8" s="46" t="s">
        <v>15</v>
      </c>
      <c r="B8" s="2" t="s">
        <v>16</v>
      </c>
      <c r="C8" s="44">
        <v>0</v>
      </c>
      <c r="D8" s="45">
        <v>135000</v>
      </c>
      <c r="E8" s="44">
        <v>0</v>
      </c>
      <c r="F8" s="44">
        <v>135000</v>
      </c>
    </row>
    <row r="9" spans="1:6" x14ac:dyDescent="0.3">
      <c r="A9" s="46" t="s">
        <v>17</v>
      </c>
      <c r="B9" s="2" t="s">
        <v>14</v>
      </c>
      <c r="C9" s="44">
        <v>0</v>
      </c>
      <c r="D9" s="45">
        <v>62500</v>
      </c>
      <c r="E9" s="44">
        <v>0</v>
      </c>
      <c r="F9" s="45">
        <v>62500</v>
      </c>
    </row>
    <row r="10" spans="1:6" x14ac:dyDescent="0.3">
      <c r="A10" s="44" t="s">
        <v>18</v>
      </c>
      <c r="B10" s="44"/>
      <c r="C10" s="44">
        <v>1</v>
      </c>
      <c r="D10" s="45">
        <v>260000</v>
      </c>
      <c r="E10" s="61">
        <v>1</v>
      </c>
      <c r="F10" s="45">
        <v>260000</v>
      </c>
    </row>
  </sheetData>
  <pageMargins left="0.7" right="0.7" top="0.75" bottom="0.75" header="0.3" footer="0.3"/>
  <extLst>
    <ext xmlns:x15="http://schemas.microsoft.com/office/spreadsheetml/2010/11/main" uri="{F7C9EE02-42E1-4005-9D12-6889AFFD525C}">
      <x15:webExtensions xmlns:xm="http://schemas.microsoft.com/office/excel/2006/main">
        <x15:webExtension appRef="{AD0F7A67-E6EF-413B-97CE-25CC01A38899}">
          <xm:f>#REF!</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4B5-F3A0-4B7F-A86C-232DF775F650}">
  <dimension ref="A1:P510"/>
  <sheetViews>
    <sheetView topLeftCell="H1" workbookViewId="0">
      <selection activeCell="L25" sqref="L14:L28"/>
    </sheetView>
  </sheetViews>
  <sheetFormatPr defaultRowHeight="14.4" x14ac:dyDescent="0.3"/>
  <cols>
    <col min="1" max="1" width="12" bestFit="1" customWidth="1"/>
    <col min="2" max="2" width="22.109375" bestFit="1" customWidth="1"/>
    <col min="3" max="3" width="18.33203125" bestFit="1" customWidth="1"/>
    <col min="4" max="4" width="16.109375" bestFit="1" customWidth="1"/>
    <col min="5" max="5" width="22.109375" bestFit="1" customWidth="1"/>
    <col min="6" max="6" width="13.5546875" bestFit="1" customWidth="1"/>
    <col min="7" max="7" width="20.33203125" bestFit="1" customWidth="1"/>
    <col min="8" max="8" width="20.5546875" bestFit="1" customWidth="1"/>
    <col min="9" max="9" width="15.6640625" style="10" customWidth="1"/>
    <col min="10" max="10" width="13.5546875" bestFit="1" customWidth="1"/>
    <col min="15" max="15" width="17.109375" bestFit="1" customWidth="1"/>
    <col min="16" max="16" width="25" bestFit="1" customWidth="1"/>
    <col min="17" max="17" width="27.109375" bestFit="1" customWidth="1"/>
    <col min="18" max="18" width="11" bestFit="1" customWidth="1"/>
    <col min="19" max="19" width="9.6640625" bestFit="1" customWidth="1"/>
    <col min="20" max="20" width="10.6640625" bestFit="1" customWidth="1"/>
    <col min="21" max="25" width="9.6640625" bestFit="1" customWidth="1"/>
    <col min="26" max="27" width="10.6640625" bestFit="1" customWidth="1"/>
    <col min="28" max="31" width="9.6640625" bestFit="1" customWidth="1"/>
    <col min="32" max="32" width="10.6640625" bestFit="1" customWidth="1"/>
    <col min="33" max="35" width="9.6640625" bestFit="1" customWidth="1"/>
    <col min="36" max="37" width="10.6640625" bestFit="1" customWidth="1"/>
    <col min="38" max="41" width="9.6640625" bestFit="1" customWidth="1"/>
    <col min="42" max="42" width="10.6640625" bestFit="1" customWidth="1"/>
    <col min="43" max="45" width="9.6640625" bestFit="1" customWidth="1"/>
    <col min="46" max="47" width="10.6640625" bestFit="1" customWidth="1"/>
    <col min="48" max="52" width="9.6640625" bestFit="1" customWidth="1"/>
    <col min="53" max="54" width="10.6640625" bestFit="1" customWidth="1"/>
    <col min="55" max="56" width="9.6640625" bestFit="1" customWidth="1"/>
    <col min="57" max="57" width="8.6640625" bestFit="1" customWidth="1"/>
    <col min="58" max="59" width="9.6640625" bestFit="1" customWidth="1"/>
    <col min="60" max="60" width="8.6640625" bestFit="1" customWidth="1"/>
    <col min="61" max="61" width="9.6640625" bestFit="1" customWidth="1"/>
    <col min="62" max="64" width="10.6640625" bestFit="1" customWidth="1"/>
    <col min="65" max="67" width="9.6640625" bestFit="1" customWidth="1"/>
    <col min="68" max="69" width="10.6640625" bestFit="1" customWidth="1"/>
    <col min="70" max="77" width="9.6640625" bestFit="1" customWidth="1"/>
    <col min="78" max="79" width="10.6640625" bestFit="1" customWidth="1"/>
    <col min="80" max="83" width="9.6640625" bestFit="1" customWidth="1"/>
    <col min="84" max="84" width="10.6640625" bestFit="1" customWidth="1"/>
    <col min="85" max="89" width="9.6640625" bestFit="1" customWidth="1"/>
    <col min="90" max="90" width="10.6640625" bestFit="1" customWidth="1"/>
    <col min="91" max="92" width="9.6640625" bestFit="1" customWidth="1"/>
    <col min="93" max="93" width="8.6640625" bestFit="1" customWidth="1"/>
    <col min="94" max="94" width="9.6640625" bestFit="1" customWidth="1"/>
    <col min="95" max="95" width="10.6640625" bestFit="1" customWidth="1"/>
    <col min="96" max="96" width="9.6640625" bestFit="1" customWidth="1"/>
    <col min="97" max="97" width="10.6640625" bestFit="1" customWidth="1"/>
    <col min="98" max="98" width="9.6640625" bestFit="1" customWidth="1"/>
    <col min="99" max="101" width="8.6640625" bestFit="1" customWidth="1"/>
    <col min="102" max="103" width="9.6640625" bestFit="1" customWidth="1"/>
    <col min="104" max="112" width="8.6640625" bestFit="1" customWidth="1"/>
    <col min="113" max="113" width="9.6640625" bestFit="1" customWidth="1"/>
    <col min="114" max="116" width="8.6640625" bestFit="1" customWidth="1"/>
    <col min="117" max="117" width="9.6640625" bestFit="1" customWidth="1"/>
    <col min="118" max="118" width="11" bestFit="1" customWidth="1"/>
  </cols>
  <sheetData>
    <row r="1" spans="1:16" x14ac:dyDescent="0.3">
      <c r="A1" s="6" t="s">
        <v>45</v>
      </c>
      <c r="B1" s="7" t="s">
        <v>46</v>
      </c>
      <c r="C1" s="7" t="s">
        <v>47</v>
      </c>
      <c r="D1" s="7" t="s">
        <v>48</v>
      </c>
      <c r="E1" s="7" t="s">
        <v>49</v>
      </c>
      <c r="F1" s="7" t="s">
        <v>50</v>
      </c>
      <c r="G1" s="7" t="s">
        <v>51</v>
      </c>
      <c r="H1" s="7" t="s">
        <v>52</v>
      </c>
      <c r="I1" s="52" t="s">
        <v>53</v>
      </c>
      <c r="J1" s="7" t="s">
        <v>54</v>
      </c>
    </row>
    <row r="2" spans="1:16" ht="72" x14ac:dyDescent="0.3">
      <c r="A2" s="53" t="s">
        <v>55</v>
      </c>
      <c r="B2" s="54" t="s">
        <v>56</v>
      </c>
      <c r="C2" s="54" t="s">
        <v>57</v>
      </c>
      <c r="D2" s="54" t="s">
        <v>37</v>
      </c>
      <c r="E2" s="54" t="s">
        <v>58</v>
      </c>
      <c r="F2" s="54" t="s">
        <v>56</v>
      </c>
      <c r="G2" s="54" t="s">
        <v>59</v>
      </c>
      <c r="H2" s="54" t="s">
        <v>60</v>
      </c>
      <c r="I2" s="55" t="s">
        <v>61</v>
      </c>
      <c r="J2" s="59"/>
      <c r="O2" s="60" t="s">
        <v>62</v>
      </c>
      <c r="P2" s="60" t="s">
        <v>63</v>
      </c>
    </row>
    <row r="3" spans="1:16" ht="43.2" x14ac:dyDescent="0.3">
      <c r="A3" s="53" t="s">
        <v>55</v>
      </c>
      <c r="B3" s="54" t="s">
        <v>56</v>
      </c>
      <c r="C3" s="54" t="s">
        <v>57</v>
      </c>
      <c r="D3" s="54" t="s">
        <v>43</v>
      </c>
      <c r="E3" s="54" t="s">
        <v>58</v>
      </c>
      <c r="F3" s="54" t="s">
        <v>56</v>
      </c>
      <c r="G3" s="54" t="s">
        <v>59</v>
      </c>
      <c r="H3" s="54" t="s">
        <v>60</v>
      </c>
      <c r="I3" s="55" t="s">
        <v>64</v>
      </c>
      <c r="J3" s="54"/>
      <c r="O3" s="54"/>
      <c r="P3" s="54" t="s">
        <v>58</v>
      </c>
    </row>
    <row r="4" spans="1:16" ht="28.8" x14ac:dyDescent="0.3">
      <c r="A4" s="53" t="s">
        <v>55</v>
      </c>
      <c r="B4" s="54" t="s">
        <v>56</v>
      </c>
      <c r="C4" s="54" t="s">
        <v>65</v>
      </c>
      <c r="D4" s="54" t="s">
        <v>66</v>
      </c>
      <c r="E4" s="54" t="s">
        <v>58</v>
      </c>
      <c r="F4" s="54" t="s">
        <v>56</v>
      </c>
      <c r="G4" s="54" t="s">
        <v>59</v>
      </c>
      <c r="H4" s="54" t="s">
        <v>67</v>
      </c>
      <c r="I4" s="55" t="s">
        <v>68</v>
      </c>
      <c r="J4" s="54"/>
      <c r="O4" s="60" t="s">
        <v>69</v>
      </c>
      <c r="P4" s="54" t="s">
        <v>37</v>
      </c>
    </row>
    <row r="5" spans="1:16" ht="43.2" x14ac:dyDescent="0.3">
      <c r="A5" s="53" t="s">
        <v>55</v>
      </c>
      <c r="B5" s="54" t="s">
        <v>56</v>
      </c>
      <c r="C5" s="54" t="s">
        <v>65</v>
      </c>
      <c r="D5" s="54" t="s">
        <v>35</v>
      </c>
      <c r="E5" s="54" t="s">
        <v>58</v>
      </c>
      <c r="F5" s="54" t="s">
        <v>56</v>
      </c>
      <c r="G5" s="54" t="s">
        <v>56</v>
      </c>
      <c r="H5" s="54" t="s">
        <v>70</v>
      </c>
      <c r="I5" s="55" t="s">
        <v>71</v>
      </c>
      <c r="J5" s="54"/>
      <c r="O5" s="54"/>
      <c r="P5" s="54">
        <v>2</v>
      </c>
    </row>
    <row r="6" spans="1:16" x14ac:dyDescent="0.3">
      <c r="A6" s="53" t="s">
        <v>55</v>
      </c>
      <c r="B6" s="54" t="s">
        <v>56</v>
      </c>
      <c r="C6" s="54" t="s">
        <v>72</v>
      </c>
      <c r="D6" s="54" t="s">
        <v>66</v>
      </c>
      <c r="E6" s="54" t="s">
        <v>58</v>
      </c>
      <c r="F6" s="54" t="s">
        <v>73</v>
      </c>
      <c r="G6" s="54" t="s">
        <v>59</v>
      </c>
      <c r="H6" s="54" t="s">
        <v>67</v>
      </c>
      <c r="I6" s="55" t="s">
        <v>56</v>
      </c>
      <c r="J6" s="54"/>
      <c r="O6" s="54" t="s">
        <v>74</v>
      </c>
      <c r="P6" s="54">
        <v>1</v>
      </c>
    </row>
    <row r="7" spans="1:16" x14ac:dyDescent="0.3">
      <c r="A7" s="53" t="s">
        <v>55</v>
      </c>
      <c r="B7" s="54" t="s">
        <v>56</v>
      </c>
      <c r="C7" s="54" t="s">
        <v>72</v>
      </c>
      <c r="D7" s="54" t="s">
        <v>75</v>
      </c>
      <c r="E7" s="54" t="s">
        <v>58</v>
      </c>
      <c r="F7" s="54" t="s">
        <v>76</v>
      </c>
      <c r="G7" s="54" t="s">
        <v>59</v>
      </c>
      <c r="H7" s="54" t="s">
        <v>60</v>
      </c>
      <c r="I7" s="55" t="s">
        <v>56</v>
      </c>
      <c r="J7" s="54"/>
      <c r="O7" s="54" t="s">
        <v>77</v>
      </c>
      <c r="P7" s="54">
        <v>1</v>
      </c>
    </row>
    <row r="8" spans="1:16" x14ac:dyDescent="0.3">
      <c r="A8" s="53" t="s">
        <v>55</v>
      </c>
      <c r="B8" s="54" t="s">
        <v>56</v>
      </c>
      <c r="C8" s="54" t="s">
        <v>72</v>
      </c>
      <c r="D8" s="54" t="s">
        <v>37</v>
      </c>
      <c r="E8" s="54" t="s">
        <v>58</v>
      </c>
      <c r="F8" s="54" t="s">
        <v>78</v>
      </c>
      <c r="G8" s="54" t="s">
        <v>59</v>
      </c>
      <c r="H8" s="54" t="s">
        <v>67</v>
      </c>
      <c r="I8" s="55" t="s">
        <v>56</v>
      </c>
      <c r="J8" s="54"/>
      <c r="O8" s="54" t="s">
        <v>79</v>
      </c>
      <c r="P8" s="54">
        <v>1</v>
      </c>
    </row>
    <row r="9" spans="1:16" ht="43.2" x14ac:dyDescent="0.3">
      <c r="A9" s="53" t="s">
        <v>55</v>
      </c>
      <c r="B9" s="54" t="s">
        <v>56</v>
      </c>
      <c r="C9" s="54" t="s">
        <v>80</v>
      </c>
      <c r="D9" s="54" t="s">
        <v>66</v>
      </c>
      <c r="E9" s="54" t="s">
        <v>58</v>
      </c>
      <c r="F9" s="54" t="s">
        <v>81</v>
      </c>
      <c r="G9" s="54" t="s">
        <v>59</v>
      </c>
      <c r="H9" s="54" t="s">
        <v>70</v>
      </c>
      <c r="I9" s="55" t="s">
        <v>82</v>
      </c>
      <c r="J9" s="54"/>
      <c r="O9" s="54" t="s">
        <v>83</v>
      </c>
      <c r="P9" s="54">
        <v>1</v>
      </c>
    </row>
    <row r="10" spans="1:16" x14ac:dyDescent="0.3">
      <c r="A10" s="53" t="s">
        <v>55</v>
      </c>
      <c r="B10" s="54" t="s">
        <v>56</v>
      </c>
      <c r="C10" s="54" t="s">
        <v>84</v>
      </c>
      <c r="D10" s="54" t="s">
        <v>35</v>
      </c>
      <c r="E10" s="54" t="s">
        <v>58</v>
      </c>
      <c r="F10" s="54" t="s">
        <v>85</v>
      </c>
      <c r="G10" s="54" t="s">
        <v>59</v>
      </c>
      <c r="H10" s="54" t="s">
        <v>67</v>
      </c>
      <c r="I10" s="55" t="s">
        <v>56</v>
      </c>
      <c r="J10" s="54"/>
      <c r="O10" s="54" t="s">
        <v>86</v>
      </c>
      <c r="P10" s="54">
        <v>1</v>
      </c>
    </row>
    <row r="11" spans="1:16" ht="43.2" x14ac:dyDescent="0.3">
      <c r="A11" s="53" t="s">
        <v>55</v>
      </c>
      <c r="B11" s="54" t="s">
        <v>56</v>
      </c>
      <c r="C11" s="54" t="s">
        <v>87</v>
      </c>
      <c r="D11" s="54" t="s">
        <v>66</v>
      </c>
      <c r="E11" s="54" t="s">
        <v>58</v>
      </c>
      <c r="F11" s="54" t="s">
        <v>88</v>
      </c>
      <c r="G11" s="54" t="s">
        <v>59</v>
      </c>
      <c r="H11" s="54" t="s">
        <v>67</v>
      </c>
      <c r="I11" s="55" t="s">
        <v>89</v>
      </c>
      <c r="J11" s="54"/>
      <c r="O11" s="54" t="s">
        <v>90</v>
      </c>
      <c r="P11" s="54">
        <v>1</v>
      </c>
    </row>
    <row r="12" spans="1:16" ht="43.2" x14ac:dyDescent="0.3">
      <c r="A12" s="53" t="s">
        <v>55</v>
      </c>
      <c r="B12" s="54" t="s">
        <v>56</v>
      </c>
      <c r="C12" s="54" t="s">
        <v>91</v>
      </c>
      <c r="D12" s="54" t="s">
        <v>37</v>
      </c>
      <c r="E12" s="54" t="s">
        <v>58</v>
      </c>
      <c r="F12" s="54" t="s">
        <v>90</v>
      </c>
      <c r="G12" s="54" t="s">
        <v>59</v>
      </c>
      <c r="H12" s="54" t="s">
        <v>60</v>
      </c>
      <c r="I12" s="55" t="s">
        <v>92</v>
      </c>
      <c r="J12" s="54"/>
      <c r="O12" s="54" t="s">
        <v>93</v>
      </c>
      <c r="P12" s="54">
        <v>1</v>
      </c>
    </row>
    <row r="13" spans="1:16" x14ac:dyDescent="0.3">
      <c r="A13" s="53" t="s">
        <v>55</v>
      </c>
      <c r="B13" s="54" t="s">
        <v>56</v>
      </c>
      <c r="C13" s="54" t="s">
        <v>91</v>
      </c>
      <c r="D13" s="54" t="s">
        <v>66</v>
      </c>
      <c r="E13" s="54" t="s">
        <v>58</v>
      </c>
      <c r="F13" s="54" t="s">
        <v>94</v>
      </c>
      <c r="G13" s="54" t="s">
        <v>59</v>
      </c>
      <c r="H13" s="54" t="s">
        <v>67</v>
      </c>
      <c r="I13" s="55" t="s">
        <v>56</v>
      </c>
      <c r="J13" s="54"/>
      <c r="O13" s="54" t="s">
        <v>18</v>
      </c>
      <c r="P13" s="54">
        <v>9</v>
      </c>
    </row>
    <row r="14" spans="1:16" ht="72" x14ac:dyDescent="0.3">
      <c r="A14" s="53" t="s">
        <v>55</v>
      </c>
      <c r="B14" s="54" t="s">
        <v>95</v>
      </c>
      <c r="C14" s="54" t="s">
        <v>96</v>
      </c>
      <c r="D14" s="54" t="s">
        <v>39</v>
      </c>
      <c r="E14" s="54" t="s">
        <v>58</v>
      </c>
      <c r="F14" s="54" t="s">
        <v>86</v>
      </c>
      <c r="G14" s="54" t="s">
        <v>59</v>
      </c>
      <c r="H14" s="54" t="s">
        <v>60</v>
      </c>
      <c r="I14" s="55" t="s">
        <v>97</v>
      </c>
      <c r="J14" s="54"/>
    </row>
    <row r="15" spans="1:16" ht="43.2" x14ac:dyDescent="0.3">
      <c r="A15" s="53" t="s">
        <v>55</v>
      </c>
      <c r="B15" s="54" t="s">
        <v>98</v>
      </c>
      <c r="C15" s="54" t="s">
        <v>99</v>
      </c>
      <c r="D15" s="54" t="s">
        <v>37</v>
      </c>
      <c r="E15" s="54" t="s">
        <v>58</v>
      </c>
      <c r="F15" s="54" t="s">
        <v>100</v>
      </c>
      <c r="G15" s="54" t="s">
        <v>59</v>
      </c>
      <c r="H15" s="54" t="s">
        <v>70</v>
      </c>
      <c r="I15" s="55" t="s">
        <v>101</v>
      </c>
      <c r="J15" s="54"/>
    </row>
    <row r="16" spans="1:16" ht="28.8" x14ac:dyDescent="0.3">
      <c r="A16" s="53" t="s">
        <v>55</v>
      </c>
      <c r="B16" s="54" t="s">
        <v>56</v>
      </c>
      <c r="C16" s="54" t="s">
        <v>99</v>
      </c>
      <c r="D16" s="54" t="s">
        <v>66</v>
      </c>
      <c r="E16" s="54" t="s">
        <v>58</v>
      </c>
      <c r="F16" s="54" t="s">
        <v>100</v>
      </c>
      <c r="G16" s="54" t="s">
        <v>59</v>
      </c>
      <c r="H16" s="54" t="s">
        <v>70</v>
      </c>
      <c r="I16" s="55" t="s">
        <v>102</v>
      </c>
      <c r="J16" s="54"/>
    </row>
    <row r="17" spans="1:10" x14ac:dyDescent="0.3">
      <c r="A17" s="53" t="s">
        <v>25</v>
      </c>
      <c r="B17" s="54" t="s">
        <v>95</v>
      </c>
      <c r="C17" s="54" t="s">
        <v>103</v>
      </c>
      <c r="D17" s="54" t="s">
        <v>41</v>
      </c>
      <c r="E17" s="54" t="s">
        <v>58</v>
      </c>
      <c r="F17" s="54" t="s">
        <v>104</v>
      </c>
      <c r="G17" s="54" t="s">
        <v>59</v>
      </c>
      <c r="H17" s="54" t="s">
        <v>67</v>
      </c>
      <c r="I17" s="55" t="s">
        <v>56</v>
      </c>
      <c r="J17" s="54"/>
    </row>
    <row r="18" spans="1:10" ht="43.2" x14ac:dyDescent="0.3">
      <c r="A18" s="53" t="s">
        <v>55</v>
      </c>
      <c r="B18" s="54" t="s">
        <v>56</v>
      </c>
      <c r="C18" s="54" t="s">
        <v>103</v>
      </c>
      <c r="D18" s="54" t="s">
        <v>37</v>
      </c>
      <c r="E18" s="54" t="s">
        <v>58</v>
      </c>
      <c r="F18" s="54" t="s">
        <v>83</v>
      </c>
      <c r="G18" s="54" t="s">
        <v>59</v>
      </c>
      <c r="H18" s="54" t="s">
        <v>60</v>
      </c>
      <c r="I18" s="55" t="s">
        <v>105</v>
      </c>
      <c r="J18" s="54"/>
    </row>
    <row r="19" spans="1:10" x14ac:dyDescent="0.3">
      <c r="A19" s="53" t="s">
        <v>55</v>
      </c>
      <c r="B19" s="54" t="s">
        <v>56</v>
      </c>
      <c r="C19" s="54" t="s">
        <v>103</v>
      </c>
      <c r="D19" s="54" t="s">
        <v>35</v>
      </c>
      <c r="E19" s="54" t="s">
        <v>58</v>
      </c>
      <c r="F19" s="54" t="s">
        <v>83</v>
      </c>
      <c r="G19" s="54" t="s">
        <v>59</v>
      </c>
      <c r="H19" s="54" t="s">
        <v>60</v>
      </c>
      <c r="I19" s="55" t="s">
        <v>56</v>
      </c>
      <c r="J19" s="54"/>
    </row>
    <row r="20" spans="1:10" x14ac:dyDescent="0.3">
      <c r="A20" s="53" t="s">
        <v>55</v>
      </c>
      <c r="B20" s="54" t="s">
        <v>56</v>
      </c>
      <c r="C20" s="54" t="s">
        <v>103</v>
      </c>
      <c r="D20" s="54" t="s">
        <v>66</v>
      </c>
      <c r="E20" s="54" t="s">
        <v>58</v>
      </c>
      <c r="F20" s="54" t="s">
        <v>83</v>
      </c>
      <c r="G20" s="54" t="s">
        <v>59</v>
      </c>
      <c r="H20" s="54" t="s">
        <v>60</v>
      </c>
      <c r="I20" s="55" t="s">
        <v>56</v>
      </c>
      <c r="J20" s="54"/>
    </row>
    <row r="21" spans="1:10" x14ac:dyDescent="0.3">
      <c r="A21" s="53" t="s">
        <v>55</v>
      </c>
      <c r="B21" s="54" t="s">
        <v>56</v>
      </c>
      <c r="C21" s="54" t="s">
        <v>103</v>
      </c>
      <c r="D21" s="54" t="s">
        <v>38</v>
      </c>
      <c r="E21" s="54" t="s">
        <v>58</v>
      </c>
      <c r="F21" s="54" t="s">
        <v>83</v>
      </c>
      <c r="G21" s="54" t="s">
        <v>59</v>
      </c>
      <c r="H21" s="54" t="s">
        <v>60</v>
      </c>
      <c r="I21" s="55" t="s">
        <v>56</v>
      </c>
      <c r="J21" s="54"/>
    </row>
    <row r="22" spans="1:10" x14ac:dyDescent="0.3">
      <c r="A22" s="53" t="s">
        <v>55</v>
      </c>
      <c r="B22" s="54" t="s">
        <v>56</v>
      </c>
      <c r="C22" s="54" t="s">
        <v>106</v>
      </c>
      <c r="D22" s="54" t="s">
        <v>107</v>
      </c>
      <c r="E22" s="54" t="s">
        <v>58</v>
      </c>
      <c r="F22" s="54" t="s">
        <v>108</v>
      </c>
      <c r="G22" s="54" t="s">
        <v>59</v>
      </c>
      <c r="H22" s="54" t="s">
        <v>67</v>
      </c>
      <c r="I22" s="55" t="s">
        <v>56</v>
      </c>
      <c r="J22" s="54"/>
    </row>
    <row r="23" spans="1:10" ht="28.8" x14ac:dyDescent="0.3">
      <c r="A23" s="53" t="s">
        <v>55</v>
      </c>
      <c r="B23" s="54" t="s">
        <v>56</v>
      </c>
      <c r="C23" s="54" t="s">
        <v>106</v>
      </c>
      <c r="D23" s="54" t="s">
        <v>35</v>
      </c>
      <c r="E23" s="54" t="s">
        <v>58</v>
      </c>
      <c r="F23" s="54" t="s">
        <v>109</v>
      </c>
      <c r="G23" s="54" t="s">
        <v>59</v>
      </c>
      <c r="H23" s="54" t="s">
        <v>70</v>
      </c>
      <c r="I23" s="55" t="s">
        <v>110</v>
      </c>
      <c r="J23" s="54"/>
    </row>
    <row r="24" spans="1:10" ht="57.6" x14ac:dyDescent="0.3">
      <c r="A24" s="53" t="s">
        <v>55</v>
      </c>
      <c r="B24" s="54" t="s">
        <v>56</v>
      </c>
      <c r="C24" s="54" t="s">
        <v>111</v>
      </c>
      <c r="D24" s="54" t="s">
        <v>112</v>
      </c>
      <c r="E24" s="54" t="s">
        <v>58</v>
      </c>
      <c r="F24" s="54" t="s">
        <v>113</v>
      </c>
      <c r="G24" s="54" t="s">
        <v>114</v>
      </c>
      <c r="H24" s="54" t="s">
        <v>70</v>
      </c>
      <c r="I24" s="55" t="s">
        <v>115</v>
      </c>
      <c r="J24" s="54"/>
    </row>
    <row r="25" spans="1:10" ht="28.8" x14ac:dyDescent="0.3">
      <c r="A25" s="53" t="s">
        <v>55</v>
      </c>
      <c r="B25" s="54" t="s">
        <v>56</v>
      </c>
      <c r="C25" s="54" t="s">
        <v>111</v>
      </c>
      <c r="D25" s="54" t="s">
        <v>66</v>
      </c>
      <c r="E25" s="54" t="s">
        <v>58</v>
      </c>
      <c r="F25" s="54" t="s">
        <v>116</v>
      </c>
      <c r="G25" s="54" t="s">
        <v>59</v>
      </c>
      <c r="H25" s="54" t="s">
        <v>60</v>
      </c>
      <c r="I25" s="55" t="s">
        <v>117</v>
      </c>
      <c r="J25" s="54"/>
    </row>
    <row r="26" spans="1:10" ht="72" x14ac:dyDescent="0.3">
      <c r="A26" s="53" t="s">
        <v>55</v>
      </c>
      <c r="B26" s="54" t="s">
        <v>56</v>
      </c>
      <c r="C26" s="54" t="s">
        <v>118</v>
      </c>
      <c r="D26" s="54" t="s">
        <v>35</v>
      </c>
      <c r="E26" s="54" t="s">
        <v>58</v>
      </c>
      <c r="F26" s="54" t="s">
        <v>119</v>
      </c>
      <c r="G26" s="54" t="s">
        <v>59</v>
      </c>
      <c r="H26" s="54" t="s">
        <v>70</v>
      </c>
      <c r="I26" s="55" t="s">
        <v>120</v>
      </c>
      <c r="J26" s="54"/>
    </row>
    <row r="27" spans="1:10" ht="43.2" x14ac:dyDescent="0.3">
      <c r="A27" s="53" t="s">
        <v>55</v>
      </c>
      <c r="B27" s="54" t="s">
        <v>56</v>
      </c>
      <c r="C27" s="54" t="s">
        <v>118</v>
      </c>
      <c r="D27" s="54" t="s">
        <v>66</v>
      </c>
      <c r="E27" s="54" t="s">
        <v>58</v>
      </c>
      <c r="F27" s="54" t="s">
        <v>121</v>
      </c>
      <c r="G27" s="54" t="s">
        <v>59</v>
      </c>
      <c r="H27" s="54" t="s">
        <v>70</v>
      </c>
      <c r="I27" s="55" t="s">
        <v>122</v>
      </c>
      <c r="J27" s="54"/>
    </row>
    <row r="28" spans="1:10" ht="43.2" x14ac:dyDescent="0.3">
      <c r="A28" s="53" t="s">
        <v>55</v>
      </c>
      <c r="B28" s="54" t="s">
        <v>56</v>
      </c>
      <c r="C28" s="54" t="s">
        <v>118</v>
      </c>
      <c r="D28" s="54" t="s">
        <v>123</v>
      </c>
      <c r="E28" s="54" t="s">
        <v>58</v>
      </c>
      <c r="F28" s="54" t="s">
        <v>124</v>
      </c>
      <c r="G28" s="54" t="s">
        <v>59</v>
      </c>
      <c r="H28" s="54" t="s">
        <v>60</v>
      </c>
      <c r="I28" s="55" t="s">
        <v>125</v>
      </c>
      <c r="J28" s="54"/>
    </row>
    <row r="29" spans="1:10" ht="187.2" x14ac:dyDescent="0.3">
      <c r="A29" s="53" t="s">
        <v>55</v>
      </c>
      <c r="B29" s="54" t="s">
        <v>95</v>
      </c>
      <c r="C29" s="54" t="s">
        <v>118</v>
      </c>
      <c r="D29" s="54" t="s">
        <v>42</v>
      </c>
      <c r="E29" s="54" t="s">
        <v>58</v>
      </c>
      <c r="F29" s="54" t="s">
        <v>126</v>
      </c>
      <c r="G29" s="54" t="s">
        <v>59</v>
      </c>
      <c r="H29" s="54" t="s">
        <v>60</v>
      </c>
      <c r="I29" s="55" t="s">
        <v>127</v>
      </c>
      <c r="J29" s="54"/>
    </row>
    <row r="30" spans="1:10" x14ac:dyDescent="0.3">
      <c r="A30" s="53" t="s">
        <v>55</v>
      </c>
      <c r="B30" s="54" t="s">
        <v>56</v>
      </c>
      <c r="C30" s="54" t="s">
        <v>128</v>
      </c>
      <c r="D30" s="54" t="s">
        <v>66</v>
      </c>
      <c r="E30" s="54" t="s">
        <v>58</v>
      </c>
      <c r="F30" s="54" t="s">
        <v>129</v>
      </c>
      <c r="G30" s="54" t="s">
        <v>59</v>
      </c>
      <c r="H30" s="54" t="s">
        <v>67</v>
      </c>
      <c r="I30" s="55" t="s">
        <v>56</v>
      </c>
      <c r="J30" s="54"/>
    </row>
    <row r="31" spans="1:10" ht="28.8" x14ac:dyDescent="0.3">
      <c r="A31" s="53" t="s">
        <v>55</v>
      </c>
      <c r="B31" s="54" t="s">
        <v>56</v>
      </c>
      <c r="C31" s="54" t="s">
        <v>128</v>
      </c>
      <c r="D31" s="54" t="s">
        <v>66</v>
      </c>
      <c r="E31" s="54" t="s">
        <v>58</v>
      </c>
      <c r="F31" s="54" t="s">
        <v>56</v>
      </c>
      <c r="G31" s="54" t="s">
        <v>59</v>
      </c>
      <c r="H31" s="54" t="s">
        <v>67</v>
      </c>
      <c r="I31" s="55" t="s">
        <v>68</v>
      </c>
      <c r="J31" s="54"/>
    </row>
    <row r="32" spans="1:10" x14ac:dyDescent="0.3">
      <c r="A32" s="53" t="s">
        <v>130</v>
      </c>
      <c r="B32" s="54" t="s">
        <v>130</v>
      </c>
      <c r="C32" s="54" t="s">
        <v>131</v>
      </c>
      <c r="D32" s="54" t="s">
        <v>37</v>
      </c>
      <c r="E32" s="54" t="s">
        <v>58</v>
      </c>
      <c r="F32" s="54" t="s">
        <v>86</v>
      </c>
      <c r="G32" s="54" t="s">
        <v>59</v>
      </c>
      <c r="H32" s="54" t="s">
        <v>60</v>
      </c>
      <c r="I32" s="55" t="s">
        <v>56</v>
      </c>
      <c r="J32" s="54"/>
    </row>
    <row r="33" spans="1:10" ht="129.6" x14ac:dyDescent="0.3">
      <c r="A33" s="53" t="s">
        <v>55</v>
      </c>
      <c r="B33" s="54" t="s">
        <v>56</v>
      </c>
      <c r="C33" s="54" t="s">
        <v>131</v>
      </c>
      <c r="D33" s="54" t="s">
        <v>39</v>
      </c>
      <c r="E33" s="54" t="s">
        <v>58</v>
      </c>
      <c r="F33" s="54" t="s">
        <v>132</v>
      </c>
      <c r="G33" s="54" t="s">
        <v>59</v>
      </c>
      <c r="H33" s="54" t="s">
        <v>60</v>
      </c>
      <c r="I33" s="55" t="s">
        <v>133</v>
      </c>
      <c r="J33" s="54"/>
    </row>
    <row r="34" spans="1:10" ht="43.2" x14ac:dyDescent="0.3">
      <c r="A34" s="53" t="s">
        <v>55</v>
      </c>
      <c r="B34" s="54" t="s">
        <v>56</v>
      </c>
      <c r="C34" s="54" t="s">
        <v>134</v>
      </c>
      <c r="D34" s="54" t="s">
        <v>66</v>
      </c>
      <c r="E34" s="54" t="s">
        <v>58</v>
      </c>
      <c r="F34" s="54" t="s">
        <v>135</v>
      </c>
      <c r="G34" s="54" t="s">
        <v>59</v>
      </c>
      <c r="H34" s="54" t="s">
        <v>70</v>
      </c>
      <c r="I34" s="55" t="s">
        <v>136</v>
      </c>
      <c r="J34" s="54"/>
    </row>
    <row r="35" spans="1:10" ht="28.8" x14ac:dyDescent="0.3">
      <c r="A35" s="53" t="s">
        <v>55</v>
      </c>
      <c r="B35" s="54" t="s">
        <v>56</v>
      </c>
      <c r="C35" s="54" t="s">
        <v>137</v>
      </c>
      <c r="D35" s="54" t="s">
        <v>22</v>
      </c>
      <c r="E35" s="54" t="s">
        <v>58</v>
      </c>
      <c r="F35" s="54" t="s">
        <v>138</v>
      </c>
      <c r="G35" s="54" t="s">
        <v>59</v>
      </c>
      <c r="H35" s="54" t="s">
        <v>60</v>
      </c>
      <c r="I35" s="55" t="s">
        <v>139</v>
      </c>
      <c r="J35" s="54"/>
    </row>
    <row r="36" spans="1:10" ht="28.8" x14ac:dyDescent="0.3">
      <c r="A36" s="53" t="s">
        <v>55</v>
      </c>
      <c r="B36" s="54" t="s">
        <v>56</v>
      </c>
      <c r="C36" s="54" t="s">
        <v>137</v>
      </c>
      <c r="D36" s="54" t="s">
        <v>66</v>
      </c>
      <c r="E36" s="54" t="s">
        <v>58</v>
      </c>
      <c r="F36" s="54" t="s">
        <v>140</v>
      </c>
      <c r="G36" s="54" t="s">
        <v>59</v>
      </c>
      <c r="H36" s="54" t="s">
        <v>60</v>
      </c>
      <c r="I36" s="55" t="s">
        <v>141</v>
      </c>
      <c r="J36" s="54"/>
    </row>
    <row r="37" spans="1:10" ht="28.8" x14ac:dyDescent="0.3">
      <c r="A37" s="53" t="s">
        <v>55</v>
      </c>
      <c r="B37" s="54" t="s">
        <v>56</v>
      </c>
      <c r="C37" s="54" t="s">
        <v>137</v>
      </c>
      <c r="D37" s="54" t="s">
        <v>22</v>
      </c>
      <c r="E37" s="54" t="s">
        <v>58</v>
      </c>
      <c r="F37" s="54" t="s">
        <v>76</v>
      </c>
      <c r="G37" s="54" t="s">
        <v>59</v>
      </c>
      <c r="H37" s="54" t="s">
        <v>60</v>
      </c>
      <c r="I37" s="55" t="s">
        <v>142</v>
      </c>
      <c r="J37" s="54"/>
    </row>
    <row r="38" spans="1:10" ht="57.6" x14ac:dyDescent="0.3">
      <c r="A38" s="53" t="s">
        <v>55</v>
      </c>
      <c r="B38" s="54" t="s">
        <v>56</v>
      </c>
      <c r="C38" s="54" t="s">
        <v>143</v>
      </c>
      <c r="D38" s="54" t="s">
        <v>22</v>
      </c>
      <c r="E38" s="54" t="s">
        <v>58</v>
      </c>
      <c r="F38" s="54" t="s">
        <v>76</v>
      </c>
      <c r="G38" s="54" t="s">
        <v>59</v>
      </c>
      <c r="H38" s="54" t="s">
        <v>60</v>
      </c>
      <c r="I38" s="55" t="s">
        <v>144</v>
      </c>
      <c r="J38" s="54"/>
    </row>
    <row r="39" spans="1:10" ht="28.8" x14ac:dyDescent="0.3">
      <c r="A39" s="53" t="s">
        <v>55</v>
      </c>
      <c r="B39" s="54" t="s">
        <v>56</v>
      </c>
      <c r="C39" s="54" t="s">
        <v>145</v>
      </c>
      <c r="D39" s="54" t="s">
        <v>66</v>
      </c>
      <c r="E39" s="54" t="s">
        <v>58</v>
      </c>
      <c r="F39" s="54" t="s">
        <v>146</v>
      </c>
      <c r="G39" s="54" t="s">
        <v>59</v>
      </c>
      <c r="H39" s="54" t="s">
        <v>60</v>
      </c>
      <c r="I39" s="55" t="s">
        <v>147</v>
      </c>
      <c r="J39" s="54"/>
    </row>
    <row r="40" spans="1:10" ht="43.2" x14ac:dyDescent="0.3">
      <c r="A40" s="53" t="s">
        <v>55</v>
      </c>
      <c r="B40" s="54" t="s">
        <v>56</v>
      </c>
      <c r="C40" s="54" t="s">
        <v>148</v>
      </c>
      <c r="D40" s="54" t="s">
        <v>66</v>
      </c>
      <c r="E40" s="54" t="s">
        <v>58</v>
      </c>
      <c r="F40" s="54" t="s">
        <v>149</v>
      </c>
      <c r="G40" s="54" t="s">
        <v>59</v>
      </c>
      <c r="H40" s="54" t="s">
        <v>70</v>
      </c>
      <c r="I40" s="55" t="s">
        <v>150</v>
      </c>
      <c r="J40" s="54"/>
    </row>
    <row r="41" spans="1:10" ht="144" x14ac:dyDescent="0.3">
      <c r="A41" s="53" t="s">
        <v>55</v>
      </c>
      <c r="B41" s="54" t="s">
        <v>56</v>
      </c>
      <c r="C41" s="54" t="s">
        <v>148</v>
      </c>
      <c r="D41" s="54" t="s">
        <v>66</v>
      </c>
      <c r="E41" s="54" t="s">
        <v>58</v>
      </c>
      <c r="F41" s="54" t="s">
        <v>151</v>
      </c>
      <c r="G41" s="54" t="s">
        <v>114</v>
      </c>
      <c r="H41" s="54" t="s">
        <v>67</v>
      </c>
      <c r="I41" s="55" t="s">
        <v>152</v>
      </c>
      <c r="J41" s="54"/>
    </row>
    <row r="42" spans="1:10" x14ac:dyDescent="0.3">
      <c r="A42" s="53" t="s">
        <v>55</v>
      </c>
      <c r="B42" s="54" t="s">
        <v>56</v>
      </c>
      <c r="C42" s="54" t="s">
        <v>153</v>
      </c>
      <c r="D42" s="54" t="s">
        <v>75</v>
      </c>
      <c r="E42" s="54" t="s">
        <v>58</v>
      </c>
      <c r="F42" s="54" t="s">
        <v>154</v>
      </c>
      <c r="G42" s="54" t="s">
        <v>59</v>
      </c>
      <c r="H42" s="54" t="s">
        <v>67</v>
      </c>
      <c r="I42" s="55" t="s">
        <v>56</v>
      </c>
      <c r="J42" s="54"/>
    </row>
    <row r="43" spans="1:10" ht="43.2" x14ac:dyDescent="0.3">
      <c r="A43" s="53" t="s">
        <v>55</v>
      </c>
      <c r="B43" s="54" t="s">
        <v>56</v>
      </c>
      <c r="C43" s="54" t="s">
        <v>153</v>
      </c>
      <c r="D43" s="54" t="s">
        <v>35</v>
      </c>
      <c r="E43" s="54" t="s">
        <v>58</v>
      </c>
      <c r="F43" s="54" t="s">
        <v>155</v>
      </c>
      <c r="G43" s="54" t="s">
        <v>59</v>
      </c>
      <c r="H43" s="54" t="s">
        <v>70</v>
      </c>
      <c r="I43" s="55" t="s">
        <v>156</v>
      </c>
      <c r="J43" s="54"/>
    </row>
    <row r="44" spans="1:10" ht="43.2" x14ac:dyDescent="0.3">
      <c r="A44" s="53" t="s">
        <v>55</v>
      </c>
      <c r="B44" s="54" t="s">
        <v>56</v>
      </c>
      <c r="C44" s="54" t="s">
        <v>153</v>
      </c>
      <c r="D44" s="54" t="s">
        <v>66</v>
      </c>
      <c r="E44" s="54" t="s">
        <v>58</v>
      </c>
      <c r="F44" s="54" t="s">
        <v>157</v>
      </c>
      <c r="G44" s="54" t="s">
        <v>59</v>
      </c>
      <c r="H44" s="54" t="s">
        <v>70</v>
      </c>
      <c r="I44" s="55" t="s">
        <v>158</v>
      </c>
      <c r="J44" s="54"/>
    </row>
    <row r="45" spans="1:10" ht="28.8" x14ac:dyDescent="0.3">
      <c r="A45" s="53" t="s">
        <v>55</v>
      </c>
      <c r="B45" s="54" t="s">
        <v>56</v>
      </c>
      <c r="C45" s="54" t="s">
        <v>153</v>
      </c>
      <c r="D45" s="54" t="s">
        <v>27</v>
      </c>
      <c r="E45" s="54" t="s">
        <v>58</v>
      </c>
      <c r="F45" s="54" t="s">
        <v>159</v>
      </c>
      <c r="G45" s="54" t="s">
        <v>59</v>
      </c>
      <c r="H45" s="54" t="s">
        <v>60</v>
      </c>
      <c r="I45" s="55" t="s">
        <v>147</v>
      </c>
      <c r="J45" s="54"/>
    </row>
    <row r="46" spans="1:10" ht="100.8" x14ac:dyDescent="0.3">
      <c r="A46" s="53" t="s">
        <v>55</v>
      </c>
      <c r="B46" s="54" t="s">
        <v>56</v>
      </c>
      <c r="C46" s="54" t="s">
        <v>153</v>
      </c>
      <c r="D46" s="54" t="s">
        <v>66</v>
      </c>
      <c r="E46" s="54" t="s">
        <v>58</v>
      </c>
      <c r="F46" s="54" t="s">
        <v>160</v>
      </c>
      <c r="G46" s="54" t="s">
        <v>59</v>
      </c>
      <c r="H46" s="54" t="s">
        <v>60</v>
      </c>
      <c r="I46" s="55" t="s">
        <v>161</v>
      </c>
      <c r="J46" s="54"/>
    </row>
    <row r="47" spans="1:10" ht="28.8" x14ac:dyDescent="0.3">
      <c r="A47" s="53" t="s">
        <v>55</v>
      </c>
      <c r="B47" s="54" t="s">
        <v>56</v>
      </c>
      <c r="C47" s="54" t="s">
        <v>153</v>
      </c>
      <c r="D47" s="54" t="s">
        <v>162</v>
      </c>
      <c r="E47" s="54" t="s">
        <v>58</v>
      </c>
      <c r="F47" s="54" t="s">
        <v>163</v>
      </c>
      <c r="G47" s="54" t="s">
        <v>59</v>
      </c>
      <c r="H47" s="54" t="s">
        <v>60</v>
      </c>
      <c r="I47" s="55" t="s">
        <v>164</v>
      </c>
      <c r="J47" s="54"/>
    </row>
    <row r="48" spans="1:10" ht="43.2" x14ac:dyDescent="0.3">
      <c r="A48" s="53" t="s">
        <v>55</v>
      </c>
      <c r="B48" s="54" t="s">
        <v>56</v>
      </c>
      <c r="C48" s="54" t="s">
        <v>165</v>
      </c>
      <c r="D48" s="54" t="s">
        <v>35</v>
      </c>
      <c r="E48" s="54" t="s">
        <v>58</v>
      </c>
      <c r="F48" s="54" t="s">
        <v>166</v>
      </c>
      <c r="G48" s="54" t="s">
        <v>59</v>
      </c>
      <c r="H48" s="54" t="s">
        <v>70</v>
      </c>
      <c r="I48" s="55" t="s">
        <v>167</v>
      </c>
      <c r="J48" s="54"/>
    </row>
    <row r="49" spans="1:10" ht="43.2" x14ac:dyDescent="0.3">
      <c r="A49" s="53" t="s">
        <v>55</v>
      </c>
      <c r="B49" s="54" t="s">
        <v>56</v>
      </c>
      <c r="C49" s="54" t="s">
        <v>165</v>
      </c>
      <c r="D49" s="54" t="s">
        <v>30</v>
      </c>
      <c r="E49" s="54" t="s">
        <v>58</v>
      </c>
      <c r="F49" s="54" t="s">
        <v>168</v>
      </c>
      <c r="G49" s="54" t="s">
        <v>59</v>
      </c>
      <c r="H49" s="54" t="s">
        <v>70</v>
      </c>
      <c r="I49" s="55" t="s">
        <v>169</v>
      </c>
      <c r="J49" s="54"/>
    </row>
    <row r="50" spans="1:10" ht="43.2" x14ac:dyDescent="0.3">
      <c r="A50" s="53" t="s">
        <v>55</v>
      </c>
      <c r="B50" s="54" t="s">
        <v>56</v>
      </c>
      <c r="C50" s="54" t="s">
        <v>165</v>
      </c>
      <c r="D50" s="54" t="s">
        <v>66</v>
      </c>
      <c r="E50" s="54" t="s">
        <v>58</v>
      </c>
      <c r="F50" s="54" t="s">
        <v>170</v>
      </c>
      <c r="G50" s="54" t="s">
        <v>59</v>
      </c>
      <c r="H50" s="54" t="s">
        <v>70</v>
      </c>
      <c r="I50" s="55" t="s">
        <v>171</v>
      </c>
      <c r="J50" s="54"/>
    </row>
    <row r="51" spans="1:10" x14ac:dyDescent="0.3">
      <c r="A51" s="53" t="s">
        <v>55</v>
      </c>
      <c r="B51" s="54" t="s">
        <v>56</v>
      </c>
      <c r="C51" s="54" t="s">
        <v>165</v>
      </c>
      <c r="D51" s="54" t="s">
        <v>172</v>
      </c>
      <c r="E51" s="54" t="s">
        <v>58</v>
      </c>
      <c r="F51" s="54" t="s">
        <v>173</v>
      </c>
      <c r="G51" s="54" t="s">
        <v>59</v>
      </c>
      <c r="H51" s="54" t="s">
        <v>60</v>
      </c>
      <c r="I51" s="55" t="s">
        <v>56</v>
      </c>
      <c r="J51" s="54"/>
    </row>
    <row r="52" spans="1:10" x14ac:dyDescent="0.3">
      <c r="A52" s="53" t="s">
        <v>55</v>
      </c>
      <c r="B52" s="54" t="s">
        <v>56</v>
      </c>
      <c r="C52" s="54" t="s">
        <v>174</v>
      </c>
      <c r="D52" s="54" t="s">
        <v>66</v>
      </c>
      <c r="E52" s="54" t="s">
        <v>58</v>
      </c>
      <c r="F52" s="54" t="s">
        <v>175</v>
      </c>
      <c r="G52" s="54" t="s">
        <v>59</v>
      </c>
      <c r="H52" s="54" t="s">
        <v>67</v>
      </c>
      <c r="I52" s="55" t="s">
        <v>56</v>
      </c>
      <c r="J52" s="54"/>
    </row>
    <row r="53" spans="1:10" ht="86.4" x14ac:dyDescent="0.3">
      <c r="A53" s="53" t="s">
        <v>130</v>
      </c>
      <c r="B53" s="54" t="s">
        <v>130</v>
      </c>
      <c r="C53" s="54" t="s">
        <v>174</v>
      </c>
      <c r="D53" s="54" t="s">
        <v>176</v>
      </c>
      <c r="E53" s="54" t="s">
        <v>58</v>
      </c>
      <c r="F53" s="54" t="s">
        <v>177</v>
      </c>
      <c r="G53" s="54" t="s">
        <v>59</v>
      </c>
      <c r="H53" s="54" t="s">
        <v>67</v>
      </c>
      <c r="I53" s="55" t="s">
        <v>178</v>
      </c>
      <c r="J53" s="54"/>
    </row>
    <row r="54" spans="1:10" x14ac:dyDescent="0.3">
      <c r="A54" s="53" t="s">
        <v>55</v>
      </c>
      <c r="B54" s="54" t="s">
        <v>56</v>
      </c>
      <c r="C54" s="54" t="s">
        <v>174</v>
      </c>
      <c r="D54" s="54" t="s">
        <v>66</v>
      </c>
      <c r="E54" s="54" t="s">
        <v>58</v>
      </c>
      <c r="F54" s="54" t="s">
        <v>179</v>
      </c>
      <c r="G54" s="54" t="s">
        <v>59</v>
      </c>
      <c r="H54" s="54" t="s">
        <v>67</v>
      </c>
      <c r="I54" s="55" t="s">
        <v>56</v>
      </c>
      <c r="J54" s="54"/>
    </row>
    <row r="55" spans="1:10" ht="43.2" x14ac:dyDescent="0.3">
      <c r="A55" s="53" t="s">
        <v>55</v>
      </c>
      <c r="B55" s="54" t="s">
        <v>56</v>
      </c>
      <c r="C55" s="54" t="s">
        <v>174</v>
      </c>
      <c r="D55" s="54" t="s">
        <v>35</v>
      </c>
      <c r="E55" s="54" t="s">
        <v>58</v>
      </c>
      <c r="F55" s="54" t="s">
        <v>180</v>
      </c>
      <c r="G55" s="54" t="s">
        <v>59</v>
      </c>
      <c r="H55" s="54" t="s">
        <v>70</v>
      </c>
      <c r="I55" s="55" t="s">
        <v>181</v>
      </c>
      <c r="J55" s="54"/>
    </row>
    <row r="56" spans="1:10" ht="43.2" x14ac:dyDescent="0.3">
      <c r="A56" s="53" t="s">
        <v>55</v>
      </c>
      <c r="B56" s="54" t="s">
        <v>56</v>
      </c>
      <c r="C56" s="54" t="s">
        <v>182</v>
      </c>
      <c r="D56" s="54" t="s">
        <v>66</v>
      </c>
      <c r="E56" s="54" t="s">
        <v>58</v>
      </c>
      <c r="F56" s="54" t="s">
        <v>183</v>
      </c>
      <c r="G56" s="54" t="s">
        <v>59</v>
      </c>
      <c r="H56" s="54" t="s">
        <v>70</v>
      </c>
      <c r="I56" s="55" t="s">
        <v>184</v>
      </c>
      <c r="J56" s="54"/>
    </row>
    <row r="57" spans="1:10" ht="28.8" x14ac:dyDescent="0.3">
      <c r="A57" s="53" t="s">
        <v>55</v>
      </c>
      <c r="B57" s="54" t="s">
        <v>56</v>
      </c>
      <c r="C57" s="54" t="s">
        <v>182</v>
      </c>
      <c r="D57" s="54" t="s">
        <v>66</v>
      </c>
      <c r="E57" s="54" t="s">
        <v>58</v>
      </c>
      <c r="F57" s="54" t="s">
        <v>185</v>
      </c>
      <c r="G57" s="54" t="s">
        <v>59</v>
      </c>
      <c r="H57" s="54" t="s">
        <v>70</v>
      </c>
      <c r="I57" s="55" t="s">
        <v>186</v>
      </c>
      <c r="J57" s="54"/>
    </row>
    <row r="58" spans="1:10" ht="28.8" x14ac:dyDescent="0.3">
      <c r="A58" s="53" t="s">
        <v>55</v>
      </c>
      <c r="B58" s="54" t="s">
        <v>56</v>
      </c>
      <c r="C58" s="54" t="s">
        <v>182</v>
      </c>
      <c r="D58" s="54" t="s">
        <v>66</v>
      </c>
      <c r="E58" s="54" t="s">
        <v>58</v>
      </c>
      <c r="F58" s="54" t="s">
        <v>187</v>
      </c>
      <c r="G58" s="54" t="s">
        <v>59</v>
      </c>
      <c r="H58" s="54" t="s">
        <v>60</v>
      </c>
      <c r="I58" s="55" t="s">
        <v>188</v>
      </c>
      <c r="J58" s="54"/>
    </row>
    <row r="59" spans="1:10" ht="28.8" x14ac:dyDescent="0.3">
      <c r="A59" s="53" t="s">
        <v>55</v>
      </c>
      <c r="B59" s="54" t="s">
        <v>56</v>
      </c>
      <c r="C59" s="54" t="s">
        <v>182</v>
      </c>
      <c r="D59" s="54" t="s">
        <v>66</v>
      </c>
      <c r="E59" s="54" t="s">
        <v>58</v>
      </c>
      <c r="F59" s="54" t="s">
        <v>90</v>
      </c>
      <c r="G59" s="54" t="s">
        <v>59</v>
      </c>
      <c r="H59" s="54" t="s">
        <v>60</v>
      </c>
      <c r="I59" s="55" t="s">
        <v>147</v>
      </c>
      <c r="J59" s="54"/>
    </row>
    <row r="60" spans="1:10" ht="28.8" x14ac:dyDescent="0.3">
      <c r="A60" s="53" t="s">
        <v>55</v>
      </c>
      <c r="B60" s="54" t="s">
        <v>56</v>
      </c>
      <c r="C60" s="54" t="s">
        <v>182</v>
      </c>
      <c r="D60" s="54" t="s">
        <v>66</v>
      </c>
      <c r="E60" s="54" t="s">
        <v>58</v>
      </c>
      <c r="F60" s="54" t="s">
        <v>189</v>
      </c>
      <c r="G60" s="54" t="s">
        <v>114</v>
      </c>
      <c r="H60" s="54" t="s">
        <v>60</v>
      </c>
      <c r="I60" s="55" t="s">
        <v>190</v>
      </c>
      <c r="J60" s="54"/>
    </row>
    <row r="61" spans="1:10" ht="57.6" x14ac:dyDescent="0.3">
      <c r="A61" s="53" t="s">
        <v>55</v>
      </c>
      <c r="B61" s="54" t="s">
        <v>56</v>
      </c>
      <c r="C61" s="54" t="s">
        <v>182</v>
      </c>
      <c r="D61" s="54" t="s">
        <v>75</v>
      </c>
      <c r="E61" s="54" t="s">
        <v>58</v>
      </c>
      <c r="F61" s="54" t="s">
        <v>191</v>
      </c>
      <c r="G61" s="54" t="s">
        <v>59</v>
      </c>
      <c r="H61" s="54" t="s">
        <v>60</v>
      </c>
      <c r="I61" s="55" t="s">
        <v>192</v>
      </c>
      <c r="J61" s="54"/>
    </row>
    <row r="62" spans="1:10" ht="86.4" x14ac:dyDescent="0.3">
      <c r="A62" s="53" t="s">
        <v>55</v>
      </c>
      <c r="B62" s="54" t="s">
        <v>56</v>
      </c>
      <c r="C62" s="54" t="s">
        <v>182</v>
      </c>
      <c r="D62" s="54" t="s">
        <v>22</v>
      </c>
      <c r="E62" s="54" t="s">
        <v>58</v>
      </c>
      <c r="F62" s="54" t="s">
        <v>193</v>
      </c>
      <c r="G62" s="54" t="s">
        <v>59</v>
      </c>
      <c r="H62" s="54" t="s">
        <v>60</v>
      </c>
      <c r="I62" s="55" t="s">
        <v>194</v>
      </c>
      <c r="J62" s="54"/>
    </row>
    <row r="63" spans="1:10" ht="43.2" x14ac:dyDescent="0.3">
      <c r="A63" s="53" t="s">
        <v>55</v>
      </c>
      <c r="B63" s="54" t="s">
        <v>56</v>
      </c>
      <c r="C63" s="54" t="s">
        <v>182</v>
      </c>
      <c r="D63" s="54" t="s">
        <v>162</v>
      </c>
      <c r="E63" s="54" t="s">
        <v>58</v>
      </c>
      <c r="F63" s="54" t="s">
        <v>126</v>
      </c>
      <c r="G63" s="54" t="s">
        <v>59</v>
      </c>
      <c r="H63" s="54" t="s">
        <v>60</v>
      </c>
      <c r="I63" s="55" t="s">
        <v>195</v>
      </c>
      <c r="J63" s="54"/>
    </row>
    <row r="64" spans="1:10" ht="57.6" x14ac:dyDescent="0.3">
      <c r="A64" s="53" t="s">
        <v>55</v>
      </c>
      <c r="B64" s="54" t="s">
        <v>56</v>
      </c>
      <c r="C64" s="54" t="s">
        <v>196</v>
      </c>
      <c r="D64" s="54" t="s">
        <v>35</v>
      </c>
      <c r="E64" s="54" t="s">
        <v>58</v>
      </c>
      <c r="F64" s="54" t="s">
        <v>197</v>
      </c>
      <c r="G64" s="54" t="s">
        <v>59</v>
      </c>
      <c r="H64" s="54" t="s">
        <v>70</v>
      </c>
      <c r="I64" s="55" t="s">
        <v>198</v>
      </c>
      <c r="J64" s="54"/>
    </row>
    <row r="65" spans="1:10" ht="28.8" x14ac:dyDescent="0.3">
      <c r="A65" s="53" t="s">
        <v>55</v>
      </c>
      <c r="B65" s="54" t="s">
        <v>56</v>
      </c>
      <c r="C65" s="54" t="s">
        <v>199</v>
      </c>
      <c r="D65" s="54" t="s">
        <v>66</v>
      </c>
      <c r="E65" s="54" t="s">
        <v>58</v>
      </c>
      <c r="F65" s="54" t="s">
        <v>200</v>
      </c>
      <c r="G65" s="54" t="s">
        <v>59</v>
      </c>
      <c r="H65" s="54" t="s">
        <v>60</v>
      </c>
      <c r="I65" s="55" t="s">
        <v>147</v>
      </c>
      <c r="J65" s="54"/>
    </row>
    <row r="66" spans="1:10" ht="115.2" x14ac:dyDescent="0.3">
      <c r="A66" s="53" t="s">
        <v>55</v>
      </c>
      <c r="B66" s="54" t="s">
        <v>56</v>
      </c>
      <c r="C66" s="54" t="s">
        <v>33</v>
      </c>
      <c r="D66" s="54" t="s">
        <v>22</v>
      </c>
      <c r="E66" s="54" t="s">
        <v>58</v>
      </c>
      <c r="F66" s="54" t="s">
        <v>201</v>
      </c>
      <c r="G66" s="54" t="s">
        <v>114</v>
      </c>
      <c r="H66" s="54" t="s">
        <v>60</v>
      </c>
      <c r="I66" s="55" t="s">
        <v>202</v>
      </c>
      <c r="J66" s="54"/>
    </row>
    <row r="67" spans="1:10" ht="43.2" x14ac:dyDescent="0.3">
      <c r="A67" s="53" t="s">
        <v>55</v>
      </c>
      <c r="B67" s="54" t="s">
        <v>56</v>
      </c>
      <c r="C67" s="54" t="s">
        <v>33</v>
      </c>
      <c r="D67" s="54" t="s">
        <v>66</v>
      </c>
      <c r="E67" s="54" t="s">
        <v>58</v>
      </c>
      <c r="F67" s="54" t="s">
        <v>203</v>
      </c>
      <c r="G67" s="54" t="s">
        <v>59</v>
      </c>
      <c r="H67" s="54" t="s">
        <v>60</v>
      </c>
      <c r="I67" s="55" t="s">
        <v>204</v>
      </c>
      <c r="J67" s="54"/>
    </row>
    <row r="68" spans="1:10" x14ac:dyDescent="0.3">
      <c r="A68" s="53" t="s">
        <v>55</v>
      </c>
      <c r="B68" s="54" t="s">
        <v>56</v>
      </c>
      <c r="C68" s="54" t="s">
        <v>33</v>
      </c>
      <c r="D68" s="54" t="s">
        <v>66</v>
      </c>
      <c r="E68" s="54" t="s">
        <v>58</v>
      </c>
      <c r="F68" s="54" t="s">
        <v>205</v>
      </c>
      <c r="G68" s="54" t="s">
        <v>59</v>
      </c>
      <c r="H68" s="54" t="s">
        <v>67</v>
      </c>
      <c r="I68" s="55" t="s">
        <v>56</v>
      </c>
      <c r="J68" s="54"/>
    </row>
    <row r="69" spans="1:10" ht="28.8" x14ac:dyDescent="0.3">
      <c r="A69" s="53" t="s">
        <v>55</v>
      </c>
      <c r="B69" s="54" t="s">
        <v>56</v>
      </c>
      <c r="C69" s="54" t="s">
        <v>33</v>
      </c>
      <c r="D69" s="54" t="s">
        <v>66</v>
      </c>
      <c r="E69" s="54" t="s">
        <v>58</v>
      </c>
      <c r="F69" s="54" t="s">
        <v>206</v>
      </c>
      <c r="G69" s="54" t="s">
        <v>59</v>
      </c>
      <c r="H69" s="54" t="s">
        <v>60</v>
      </c>
      <c r="I69" s="55" t="s">
        <v>147</v>
      </c>
      <c r="J69" s="54"/>
    </row>
    <row r="70" spans="1:10" x14ac:dyDescent="0.3">
      <c r="A70" s="53" t="s">
        <v>55</v>
      </c>
      <c r="B70" s="54" t="s">
        <v>56</v>
      </c>
      <c r="C70" s="54" t="s">
        <v>33</v>
      </c>
      <c r="D70" s="54" t="s">
        <v>35</v>
      </c>
      <c r="E70" s="54" t="s">
        <v>58</v>
      </c>
      <c r="F70" s="54" t="s">
        <v>207</v>
      </c>
      <c r="G70" s="54" t="s">
        <v>59</v>
      </c>
      <c r="H70" s="54" t="s">
        <v>67</v>
      </c>
      <c r="I70" s="55" t="s">
        <v>56</v>
      </c>
      <c r="J70" s="54"/>
    </row>
    <row r="71" spans="1:10" x14ac:dyDescent="0.3">
      <c r="A71" s="53" t="s">
        <v>25</v>
      </c>
      <c r="B71" s="54" t="s">
        <v>95</v>
      </c>
      <c r="C71" s="54" t="s">
        <v>33</v>
      </c>
      <c r="D71" s="54" t="s">
        <v>36</v>
      </c>
      <c r="E71" s="54" t="s">
        <v>58</v>
      </c>
      <c r="F71" s="54" t="s">
        <v>177</v>
      </c>
      <c r="G71" s="54" t="s">
        <v>59</v>
      </c>
      <c r="H71" s="54" t="s">
        <v>67</v>
      </c>
      <c r="I71" s="55" t="s">
        <v>56</v>
      </c>
      <c r="J71" s="54"/>
    </row>
    <row r="72" spans="1:10" x14ac:dyDescent="0.3">
      <c r="A72" s="53" t="s">
        <v>55</v>
      </c>
      <c r="B72" s="54" t="s">
        <v>56</v>
      </c>
      <c r="C72" s="54" t="s">
        <v>33</v>
      </c>
      <c r="D72" s="54" t="s">
        <v>16</v>
      </c>
      <c r="E72" s="54" t="s">
        <v>58</v>
      </c>
      <c r="F72" s="54" t="s">
        <v>208</v>
      </c>
      <c r="G72" s="54" t="s">
        <v>59</v>
      </c>
      <c r="H72" s="54" t="s">
        <v>67</v>
      </c>
      <c r="I72" s="55" t="s">
        <v>56</v>
      </c>
      <c r="J72" s="54"/>
    </row>
    <row r="73" spans="1:10" ht="57.6" x14ac:dyDescent="0.3">
      <c r="A73" s="53" t="s">
        <v>55</v>
      </c>
      <c r="B73" s="54" t="s">
        <v>56</v>
      </c>
      <c r="C73" s="54" t="s">
        <v>209</v>
      </c>
      <c r="D73" s="54" t="s">
        <v>66</v>
      </c>
      <c r="E73" s="54" t="s">
        <v>58</v>
      </c>
      <c r="F73" s="54" t="s">
        <v>210</v>
      </c>
      <c r="G73" s="54" t="s">
        <v>59</v>
      </c>
      <c r="H73" s="54" t="s">
        <v>70</v>
      </c>
      <c r="I73" s="55" t="s">
        <v>211</v>
      </c>
      <c r="J73" s="54"/>
    </row>
    <row r="74" spans="1:10" ht="43.2" x14ac:dyDescent="0.3">
      <c r="A74" s="53" t="s">
        <v>55</v>
      </c>
      <c r="B74" s="54" t="s">
        <v>56</v>
      </c>
      <c r="C74" s="54" t="s">
        <v>209</v>
      </c>
      <c r="D74" s="54" t="s">
        <v>66</v>
      </c>
      <c r="E74" s="54" t="s">
        <v>58</v>
      </c>
      <c r="F74" s="54" t="s">
        <v>212</v>
      </c>
      <c r="G74" s="54" t="s">
        <v>59</v>
      </c>
      <c r="H74" s="54" t="s">
        <v>70</v>
      </c>
      <c r="I74" s="55" t="s">
        <v>213</v>
      </c>
      <c r="J74" s="54"/>
    </row>
    <row r="75" spans="1:10" ht="244.8" x14ac:dyDescent="0.3">
      <c r="A75" s="53" t="s">
        <v>55</v>
      </c>
      <c r="B75" s="54" t="s">
        <v>56</v>
      </c>
      <c r="C75" s="54" t="s">
        <v>209</v>
      </c>
      <c r="D75" s="54" t="s">
        <v>41</v>
      </c>
      <c r="E75" s="54" t="s">
        <v>58</v>
      </c>
      <c r="F75" s="54" t="s">
        <v>214</v>
      </c>
      <c r="G75" s="54" t="s">
        <v>59</v>
      </c>
      <c r="H75" s="54" t="s">
        <v>67</v>
      </c>
      <c r="I75" s="55" t="s">
        <v>215</v>
      </c>
      <c r="J75" s="54"/>
    </row>
    <row r="76" spans="1:10" x14ac:dyDescent="0.3">
      <c r="A76" s="53" t="s">
        <v>55</v>
      </c>
      <c r="B76" s="54" t="s">
        <v>56</v>
      </c>
      <c r="C76" s="54" t="s">
        <v>216</v>
      </c>
      <c r="D76" s="54" t="s">
        <v>217</v>
      </c>
      <c r="E76" s="54" t="s">
        <v>58</v>
      </c>
      <c r="F76" s="54" t="s">
        <v>218</v>
      </c>
      <c r="G76" s="54" t="s">
        <v>59</v>
      </c>
      <c r="H76" s="54" t="s">
        <v>67</v>
      </c>
      <c r="I76" s="55" t="s">
        <v>56</v>
      </c>
      <c r="J76" s="54"/>
    </row>
    <row r="77" spans="1:10" x14ac:dyDescent="0.3">
      <c r="A77" s="53" t="s">
        <v>55</v>
      </c>
      <c r="B77" s="54" t="s">
        <v>56</v>
      </c>
      <c r="C77" s="54" t="s">
        <v>219</v>
      </c>
      <c r="D77" s="54" t="s">
        <v>22</v>
      </c>
      <c r="E77" s="54" t="s">
        <v>58</v>
      </c>
      <c r="F77" s="54" t="s">
        <v>179</v>
      </c>
      <c r="G77" s="54" t="s">
        <v>59</v>
      </c>
      <c r="H77" s="54" t="s">
        <v>67</v>
      </c>
      <c r="I77" s="55" t="s">
        <v>56</v>
      </c>
      <c r="J77" s="54"/>
    </row>
    <row r="78" spans="1:10" ht="28.8" x14ac:dyDescent="0.3">
      <c r="A78" s="53" t="s">
        <v>55</v>
      </c>
      <c r="B78" s="54" t="s">
        <v>56</v>
      </c>
      <c r="C78" s="54" t="s">
        <v>220</v>
      </c>
      <c r="D78" s="54" t="s">
        <v>35</v>
      </c>
      <c r="E78" s="54" t="s">
        <v>58</v>
      </c>
      <c r="F78" s="54" t="s">
        <v>221</v>
      </c>
      <c r="G78" s="54" t="s">
        <v>59</v>
      </c>
      <c r="H78" s="54" t="s">
        <v>60</v>
      </c>
      <c r="I78" s="55" t="s">
        <v>222</v>
      </c>
      <c r="J78" s="54"/>
    </row>
    <row r="79" spans="1:10" x14ac:dyDescent="0.3">
      <c r="A79" s="53" t="s">
        <v>55</v>
      </c>
      <c r="B79" s="54" t="s">
        <v>56</v>
      </c>
      <c r="C79" s="54" t="s">
        <v>223</v>
      </c>
      <c r="D79" s="54" t="s">
        <v>66</v>
      </c>
      <c r="E79" s="54" t="s">
        <v>58</v>
      </c>
      <c r="F79" s="54" t="s">
        <v>224</v>
      </c>
      <c r="G79" s="54" t="s">
        <v>59</v>
      </c>
      <c r="H79" s="54" t="s">
        <v>67</v>
      </c>
      <c r="I79" s="55" t="s">
        <v>56</v>
      </c>
      <c r="J79" s="54"/>
    </row>
    <row r="80" spans="1:10" x14ac:dyDescent="0.3">
      <c r="A80" s="53" t="s">
        <v>55</v>
      </c>
      <c r="B80" s="54" t="s">
        <v>56</v>
      </c>
      <c r="C80" s="54" t="s">
        <v>223</v>
      </c>
      <c r="D80" s="54" t="s">
        <v>75</v>
      </c>
      <c r="E80" s="54" t="s">
        <v>58</v>
      </c>
      <c r="F80" s="54" t="s">
        <v>225</v>
      </c>
      <c r="G80" s="54" t="s">
        <v>59</v>
      </c>
      <c r="H80" s="54" t="s">
        <v>67</v>
      </c>
      <c r="I80" s="55" t="s">
        <v>56</v>
      </c>
      <c r="J80" s="54"/>
    </row>
    <row r="81" spans="1:10" ht="28.8" x14ac:dyDescent="0.3">
      <c r="A81" s="53" t="s">
        <v>55</v>
      </c>
      <c r="B81" s="54" t="s">
        <v>56</v>
      </c>
      <c r="C81" s="54" t="s">
        <v>223</v>
      </c>
      <c r="D81" s="54" t="s">
        <v>66</v>
      </c>
      <c r="E81" s="54" t="s">
        <v>58</v>
      </c>
      <c r="F81" s="54" t="s">
        <v>226</v>
      </c>
      <c r="G81" s="54" t="s">
        <v>59</v>
      </c>
      <c r="H81" s="54" t="s">
        <v>60</v>
      </c>
      <c r="I81" s="55" t="s">
        <v>147</v>
      </c>
      <c r="J81" s="54"/>
    </row>
    <row r="82" spans="1:10" ht="43.2" x14ac:dyDescent="0.3">
      <c r="A82" s="53" t="s">
        <v>55</v>
      </c>
      <c r="B82" s="54" t="s">
        <v>56</v>
      </c>
      <c r="C82" s="54" t="s">
        <v>227</v>
      </c>
      <c r="D82" s="54" t="s">
        <v>66</v>
      </c>
      <c r="E82" s="54" t="s">
        <v>58</v>
      </c>
      <c r="F82" s="54" t="s">
        <v>228</v>
      </c>
      <c r="G82" s="54" t="s">
        <v>59</v>
      </c>
      <c r="H82" s="54" t="s">
        <v>70</v>
      </c>
      <c r="I82" s="55" t="s">
        <v>229</v>
      </c>
      <c r="J82" s="54"/>
    </row>
    <row r="83" spans="1:10" x14ac:dyDescent="0.3">
      <c r="A83" s="53" t="s">
        <v>55</v>
      </c>
      <c r="B83" s="54" t="s">
        <v>56</v>
      </c>
      <c r="C83" s="54" t="s">
        <v>227</v>
      </c>
      <c r="D83" s="54" t="s">
        <v>66</v>
      </c>
      <c r="E83" s="54" t="s">
        <v>58</v>
      </c>
      <c r="F83" s="54" t="s">
        <v>230</v>
      </c>
      <c r="G83" s="54" t="s">
        <v>59</v>
      </c>
      <c r="H83" s="54" t="s">
        <v>67</v>
      </c>
      <c r="I83" s="55" t="s">
        <v>56</v>
      </c>
      <c r="J83" s="54"/>
    </row>
    <row r="84" spans="1:10" ht="43.2" x14ac:dyDescent="0.3">
      <c r="A84" s="53" t="s">
        <v>55</v>
      </c>
      <c r="B84" s="54" t="s">
        <v>56</v>
      </c>
      <c r="C84" s="54" t="s">
        <v>227</v>
      </c>
      <c r="D84" s="54" t="s">
        <v>66</v>
      </c>
      <c r="E84" s="54" t="s">
        <v>58</v>
      </c>
      <c r="F84" s="54" t="s">
        <v>231</v>
      </c>
      <c r="G84" s="54" t="s">
        <v>114</v>
      </c>
      <c r="H84" s="54" t="s">
        <v>60</v>
      </c>
      <c r="I84" s="55" t="s">
        <v>232</v>
      </c>
      <c r="J84" s="54"/>
    </row>
    <row r="85" spans="1:10" x14ac:dyDescent="0.3">
      <c r="A85" s="53" t="s">
        <v>55</v>
      </c>
      <c r="B85" s="54" t="s">
        <v>56</v>
      </c>
      <c r="C85" s="54" t="s">
        <v>227</v>
      </c>
      <c r="D85" s="54" t="s">
        <v>66</v>
      </c>
      <c r="E85" s="54" t="s">
        <v>58</v>
      </c>
      <c r="F85" s="54" t="s">
        <v>233</v>
      </c>
      <c r="G85" s="54" t="s">
        <v>59</v>
      </c>
      <c r="H85" s="54" t="s">
        <v>67</v>
      </c>
      <c r="I85" s="55" t="s">
        <v>56</v>
      </c>
      <c r="J85" s="54"/>
    </row>
    <row r="86" spans="1:10" ht="28.8" x14ac:dyDescent="0.3">
      <c r="A86" s="53" t="s">
        <v>55</v>
      </c>
      <c r="B86" s="54" t="s">
        <v>56</v>
      </c>
      <c r="C86" s="54" t="s">
        <v>234</v>
      </c>
      <c r="D86" s="54" t="s">
        <v>66</v>
      </c>
      <c r="E86" s="54" t="s">
        <v>58</v>
      </c>
      <c r="F86" s="54" t="s">
        <v>235</v>
      </c>
      <c r="G86" s="54" t="s">
        <v>59</v>
      </c>
      <c r="H86" s="54" t="s">
        <v>60</v>
      </c>
      <c r="I86" s="55" t="s">
        <v>147</v>
      </c>
      <c r="J86" s="54"/>
    </row>
    <row r="87" spans="1:10" ht="28.8" x14ac:dyDescent="0.3">
      <c r="A87" s="53" t="s">
        <v>55</v>
      </c>
      <c r="B87" s="54" t="s">
        <v>56</v>
      </c>
      <c r="C87" s="54" t="s">
        <v>234</v>
      </c>
      <c r="D87" s="54" t="s">
        <v>236</v>
      </c>
      <c r="E87" s="54" t="s">
        <v>58</v>
      </c>
      <c r="F87" s="54" t="s">
        <v>237</v>
      </c>
      <c r="G87" s="54" t="s">
        <v>59</v>
      </c>
      <c r="H87" s="54" t="s">
        <v>60</v>
      </c>
      <c r="I87" s="55" t="s">
        <v>68</v>
      </c>
      <c r="J87" s="54"/>
    </row>
    <row r="88" spans="1:10" ht="28.8" x14ac:dyDescent="0.3">
      <c r="A88" s="53" t="s">
        <v>55</v>
      </c>
      <c r="B88" s="54" t="s">
        <v>56</v>
      </c>
      <c r="C88" s="54" t="s">
        <v>234</v>
      </c>
      <c r="D88" s="54" t="s">
        <v>39</v>
      </c>
      <c r="E88" s="54" t="s">
        <v>58</v>
      </c>
      <c r="F88" s="54" t="s">
        <v>238</v>
      </c>
      <c r="G88" s="54" t="s">
        <v>59</v>
      </c>
      <c r="H88" s="54" t="s">
        <v>60</v>
      </c>
      <c r="I88" s="55" t="s">
        <v>239</v>
      </c>
      <c r="J88" s="54"/>
    </row>
    <row r="89" spans="1:10" ht="28.8" x14ac:dyDescent="0.3">
      <c r="A89" s="53" t="s">
        <v>55</v>
      </c>
      <c r="B89" s="54" t="s">
        <v>56</v>
      </c>
      <c r="C89" s="54" t="s">
        <v>240</v>
      </c>
      <c r="D89" s="54" t="s">
        <v>66</v>
      </c>
      <c r="E89" s="54" t="s">
        <v>58</v>
      </c>
      <c r="F89" s="54" t="s">
        <v>241</v>
      </c>
      <c r="G89" s="54" t="s">
        <v>59</v>
      </c>
      <c r="H89" s="54" t="s">
        <v>70</v>
      </c>
      <c r="I89" s="55" t="s">
        <v>242</v>
      </c>
      <c r="J89" s="54"/>
    </row>
    <row r="90" spans="1:10" ht="43.2" x14ac:dyDescent="0.3">
      <c r="A90" s="53" t="s">
        <v>55</v>
      </c>
      <c r="B90" s="54" t="s">
        <v>56</v>
      </c>
      <c r="C90" s="54" t="s">
        <v>240</v>
      </c>
      <c r="D90" s="54" t="s">
        <v>66</v>
      </c>
      <c r="E90" s="54" t="s">
        <v>58</v>
      </c>
      <c r="F90" s="54" t="s">
        <v>243</v>
      </c>
      <c r="G90" s="54" t="s">
        <v>59</v>
      </c>
      <c r="H90" s="54" t="s">
        <v>70</v>
      </c>
      <c r="I90" s="55" t="s">
        <v>244</v>
      </c>
      <c r="J90" s="54"/>
    </row>
    <row r="91" spans="1:10" ht="28.8" x14ac:dyDescent="0.3">
      <c r="A91" s="53" t="s">
        <v>55</v>
      </c>
      <c r="B91" s="54" t="s">
        <v>56</v>
      </c>
      <c r="C91" s="54" t="s">
        <v>240</v>
      </c>
      <c r="D91" s="54" t="s">
        <v>66</v>
      </c>
      <c r="E91" s="54" t="s">
        <v>58</v>
      </c>
      <c r="F91" s="54" t="s">
        <v>245</v>
      </c>
      <c r="G91" s="54" t="s">
        <v>59</v>
      </c>
      <c r="H91" s="54" t="s">
        <v>70</v>
      </c>
      <c r="I91" s="55" t="s">
        <v>246</v>
      </c>
      <c r="J91" s="54"/>
    </row>
    <row r="92" spans="1:10" ht="28.8" x14ac:dyDescent="0.3">
      <c r="A92" s="53" t="s">
        <v>55</v>
      </c>
      <c r="B92" s="54" t="s">
        <v>56</v>
      </c>
      <c r="C92" s="54" t="s">
        <v>240</v>
      </c>
      <c r="D92" s="54" t="s">
        <v>66</v>
      </c>
      <c r="E92" s="54" t="s">
        <v>58</v>
      </c>
      <c r="F92" s="54" t="s">
        <v>247</v>
      </c>
      <c r="G92" s="54" t="s">
        <v>59</v>
      </c>
      <c r="H92" s="54" t="s">
        <v>70</v>
      </c>
      <c r="I92" s="55" t="s">
        <v>248</v>
      </c>
      <c r="J92" s="54"/>
    </row>
    <row r="93" spans="1:10" ht="28.8" x14ac:dyDescent="0.3">
      <c r="A93" s="53" t="s">
        <v>55</v>
      </c>
      <c r="B93" s="54" t="s">
        <v>56</v>
      </c>
      <c r="C93" s="54" t="s">
        <v>240</v>
      </c>
      <c r="D93" s="54" t="s">
        <v>66</v>
      </c>
      <c r="E93" s="54" t="s">
        <v>58</v>
      </c>
      <c r="F93" s="54" t="s">
        <v>193</v>
      </c>
      <c r="G93" s="54" t="s">
        <v>59</v>
      </c>
      <c r="H93" s="54" t="s">
        <v>60</v>
      </c>
      <c r="I93" s="55" t="s">
        <v>188</v>
      </c>
      <c r="J93" s="54"/>
    </row>
    <row r="94" spans="1:10" ht="28.8" x14ac:dyDescent="0.3">
      <c r="A94" s="53" t="s">
        <v>55</v>
      </c>
      <c r="B94" s="54" t="s">
        <v>56</v>
      </c>
      <c r="C94" s="54" t="s">
        <v>240</v>
      </c>
      <c r="D94" s="54" t="s">
        <v>66</v>
      </c>
      <c r="E94" s="54" t="s">
        <v>58</v>
      </c>
      <c r="F94" s="54" t="s">
        <v>249</v>
      </c>
      <c r="G94" s="54" t="s">
        <v>59</v>
      </c>
      <c r="H94" s="54" t="s">
        <v>60</v>
      </c>
      <c r="I94" s="55" t="s">
        <v>147</v>
      </c>
      <c r="J94" s="54"/>
    </row>
    <row r="95" spans="1:10" ht="28.8" x14ac:dyDescent="0.3">
      <c r="A95" s="53" t="s">
        <v>55</v>
      </c>
      <c r="B95" s="54" t="s">
        <v>56</v>
      </c>
      <c r="C95" s="54" t="s">
        <v>250</v>
      </c>
      <c r="D95" s="54" t="s">
        <v>35</v>
      </c>
      <c r="E95" s="54" t="s">
        <v>58</v>
      </c>
      <c r="F95" s="54" t="s">
        <v>251</v>
      </c>
      <c r="G95" s="54" t="s">
        <v>59</v>
      </c>
      <c r="H95" s="54" t="s">
        <v>70</v>
      </c>
      <c r="I95" s="55" t="s">
        <v>252</v>
      </c>
      <c r="J95" s="54"/>
    </row>
    <row r="96" spans="1:10" ht="28.8" x14ac:dyDescent="0.3">
      <c r="A96" s="53" t="s">
        <v>55</v>
      </c>
      <c r="B96" s="54" t="s">
        <v>56</v>
      </c>
      <c r="C96" s="54" t="s">
        <v>253</v>
      </c>
      <c r="D96" s="54" t="s">
        <v>66</v>
      </c>
      <c r="E96" s="54" t="s">
        <v>58</v>
      </c>
      <c r="F96" s="54" t="s">
        <v>254</v>
      </c>
      <c r="G96" s="54" t="s">
        <v>59</v>
      </c>
      <c r="H96" s="54" t="s">
        <v>60</v>
      </c>
      <c r="I96" s="55" t="s">
        <v>147</v>
      </c>
      <c r="J96" s="54"/>
    </row>
    <row r="97" spans="1:10" ht="28.8" x14ac:dyDescent="0.3">
      <c r="A97" s="53" t="s">
        <v>55</v>
      </c>
      <c r="B97" s="54" t="s">
        <v>56</v>
      </c>
      <c r="C97" s="54" t="s">
        <v>253</v>
      </c>
      <c r="D97" s="54" t="s">
        <v>66</v>
      </c>
      <c r="E97" s="54" t="s">
        <v>58</v>
      </c>
      <c r="F97" s="54" t="s">
        <v>255</v>
      </c>
      <c r="G97" s="54" t="s">
        <v>59</v>
      </c>
      <c r="H97" s="54" t="s">
        <v>60</v>
      </c>
      <c r="I97" s="55" t="s">
        <v>147</v>
      </c>
      <c r="J97" s="54"/>
    </row>
    <row r="98" spans="1:10" ht="57.6" x14ac:dyDescent="0.3">
      <c r="A98" s="53" t="s">
        <v>55</v>
      </c>
      <c r="B98" s="54" t="s">
        <v>56</v>
      </c>
      <c r="C98" s="54" t="s">
        <v>256</v>
      </c>
      <c r="D98" s="54" t="s">
        <v>66</v>
      </c>
      <c r="E98" s="54" t="s">
        <v>58</v>
      </c>
      <c r="F98" s="54" t="s">
        <v>257</v>
      </c>
      <c r="G98" s="54" t="s">
        <v>59</v>
      </c>
      <c r="H98" s="54" t="s">
        <v>70</v>
      </c>
      <c r="I98" s="55" t="s">
        <v>258</v>
      </c>
      <c r="J98" s="54"/>
    </row>
    <row r="99" spans="1:10" ht="57.6" x14ac:dyDescent="0.3">
      <c r="A99" s="53" t="s">
        <v>55</v>
      </c>
      <c r="B99" s="54" t="s">
        <v>56</v>
      </c>
      <c r="C99" s="54" t="s">
        <v>256</v>
      </c>
      <c r="D99" s="54" t="s">
        <v>40</v>
      </c>
      <c r="E99" s="54" t="s">
        <v>58</v>
      </c>
      <c r="F99" s="54" t="s">
        <v>259</v>
      </c>
      <c r="G99" s="54" t="s">
        <v>59</v>
      </c>
      <c r="H99" s="54" t="s">
        <v>67</v>
      </c>
      <c r="I99" s="55" t="s">
        <v>260</v>
      </c>
      <c r="J99" s="54"/>
    </row>
    <row r="100" spans="1:10" x14ac:dyDescent="0.3">
      <c r="A100" s="53" t="s">
        <v>55</v>
      </c>
      <c r="B100" s="54" t="s">
        <v>56</v>
      </c>
      <c r="C100" s="54" t="s">
        <v>256</v>
      </c>
      <c r="D100" s="54" t="s">
        <v>39</v>
      </c>
      <c r="E100" s="54" t="s">
        <v>58</v>
      </c>
      <c r="F100" s="54" t="s">
        <v>259</v>
      </c>
      <c r="G100" s="54" t="s">
        <v>59</v>
      </c>
      <c r="H100" s="54" t="s">
        <v>67</v>
      </c>
      <c r="I100" s="55" t="s">
        <v>56</v>
      </c>
      <c r="J100" s="54"/>
    </row>
    <row r="101" spans="1:10" x14ac:dyDescent="0.3">
      <c r="A101" s="53" t="s">
        <v>55</v>
      </c>
      <c r="B101" s="54" t="s">
        <v>56</v>
      </c>
      <c r="C101" s="54" t="s">
        <v>256</v>
      </c>
      <c r="D101" s="54" t="s">
        <v>66</v>
      </c>
      <c r="E101" s="54" t="s">
        <v>58</v>
      </c>
      <c r="F101" s="54" t="s">
        <v>261</v>
      </c>
      <c r="G101" s="54" t="s">
        <v>59</v>
      </c>
      <c r="H101" s="54" t="s">
        <v>67</v>
      </c>
      <c r="I101" s="55" t="s">
        <v>56</v>
      </c>
      <c r="J101" s="54"/>
    </row>
    <row r="102" spans="1:10" x14ac:dyDescent="0.3">
      <c r="A102" s="53" t="s">
        <v>55</v>
      </c>
      <c r="B102" s="54" t="s">
        <v>56</v>
      </c>
      <c r="C102" s="54" t="s">
        <v>256</v>
      </c>
      <c r="D102" s="54" t="s">
        <v>66</v>
      </c>
      <c r="E102" s="54" t="s">
        <v>58</v>
      </c>
      <c r="F102" s="54" t="s">
        <v>262</v>
      </c>
      <c r="G102" s="54" t="s">
        <v>59</v>
      </c>
      <c r="H102" s="54" t="s">
        <v>67</v>
      </c>
      <c r="I102" s="55" t="s">
        <v>56</v>
      </c>
      <c r="J102" s="54"/>
    </row>
    <row r="103" spans="1:10" ht="86.4" x14ac:dyDescent="0.3">
      <c r="A103" s="53" t="s">
        <v>55</v>
      </c>
      <c r="B103" s="54" t="s">
        <v>56</v>
      </c>
      <c r="C103" s="54" t="s">
        <v>256</v>
      </c>
      <c r="D103" s="54" t="s">
        <v>41</v>
      </c>
      <c r="E103" s="54" t="s">
        <v>58</v>
      </c>
      <c r="F103" s="54" t="s">
        <v>263</v>
      </c>
      <c r="G103" s="54" t="s">
        <v>59</v>
      </c>
      <c r="H103" s="54" t="s">
        <v>60</v>
      </c>
      <c r="I103" s="55" t="s">
        <v>264</v>
      </c>
      <c r="J103" s="54"/>
    </row>
    <row r="104" spans="1:10" ht="43.2" x14ac:dyDescent="0.3">
      <c r="A104" s="53" t="s">
        <v>55</v>
      </c>
      <c r="B104" s="54" t="s">
        <v>56</v>
      </c>
      <c r="C104" s="54" t="s">
        <v>265</v>
      </c>
      <c r="D104" s="54" t="s">
        <v>66</v>
      </c>
      <c r="E104" s="54" t="s">
        <v>58</v>
      </c>
      <c r="F104" s="54" t="s">
        <v>266</v>
      </c>
      <c r="G104" s="54" t="s">
        <v>59</v>
      </c>
      <c r="H104" s="54" t="s">
        <v>60</v>
      </c>
      <c r="I104" s="55" t="s">
        <v>267</v>
      </c>
      <c r="J104" s="54"/>
    </row>
    <row r="105" spans="1:10" ht="57.6" x14ac:dyDescent="0.3">
      <c r="A105" s="53" t="s">
        <v>55</v>
      </c>
      <c r="B105" s="54" t="s">
        <v>56</v>
      </c>
      <c r="C105" s="54" t="s">
        <v>265</v>
      </c>
      <c r="D105" s="54" t="s">
        <v>27</v>
      </c>
      <c r="E105" s="54" t="s">
        <v>58</v>
      </c>
      <c r="F105" s="54" t="s">
        <v>268</v>
      </c>
      <c r="G105" s="54" t="s">
        <v>59</v>
      </c>
      <c r="H105" s="54" t="s">
        <v>60</v>
      </c>
      <c r="I105" s="55" t="s">
        <v>269</v>
      </c>
      <c r="J105" s="54"/>
    </row>
    <row r="106" spans="1:10" ht="43.2" x14ac:dyDescent="0.3">
      <c r="A106" s="53" t="s">
        <v>55</v>
      </c>
      <c r="B106" s="54" t="s">
        <v>56</v>
      </c>
      <c r="C106" s="54" t="s">
        <v>265</v>
      </c>
      <c r="D106" s="54" t="s">
        <v>66</v>
      </c>
      <c r="E106" s="54" t="s">
        <v>58</v>
      </c>
      <c r="F106" s="54" t="s">
        <v>270</v>
      </c>
      <c r="G106" s="54" t="s">
        <v>59</v>
      </c>
      <c r="H106" s="54" t="s">
        <v>60</v>
      </c>
      <c r="I106" s="55" t="s">
        <v>271</v>
      </c>
      <c r="J106" s="54"/>
    </row>
    <row r="107" spans="1:10" ht="230.4" x14ac:dyDescent="0.3">
      <c r="A107" s="53" t="s">
        <v>55</v>
      </c>
      <c r="B107" s="54" t="s">
        <v>56</v>
      </c>
      <c r="C107" s="54" t="s">
        <v>265</v>
      </c>
      <c r="D107" s="54" t="s">
        <v>272</v>
      </c>
      <c r="E107" s="54" t="s">
        <v>58</v>
      </c>
      <c r="F107" s="54" t="s">
        <v>237</v>
      </c>
      <c r="G107" s="54" t="s">
        <v>59</v>
      </c>
      <c r="H107" s="54" t="s">
        <v>60</v>
      </c>
      <c r="I107" s="55" t="s">
        <v>273</v>
      </c>
      <c r="J107" s="54"/>
    </row>
    <row r="108" spans="1:10" ht="57.6" x14ac:dyDescent="0.3">
      <c r="A108" s="53" t="s">
        <v>55</v>
      </c>
      <c r="B108" s="54" t="s">
        <v>56</v>
      </c>
      <c r="C108" s="54" t="s">
        <v>265</v>
      </c>
      <c r="D108" s="54" t="s">
        <v>35</v>
      </c>
      <c r="E108" s="54" t="s">
        <v>58</v>
      </c>
      <c r="F108" s="54" t="s">
        <v>274</v>
      </c>
      <c r="G108" s="54" t="s">
        <v>59</v>
      </c>
      <c r="H108" s="54" t="s">
        <v>60</v>
      </c>
      <c r="I108" s="55" t="s">
        <v>275</v>
      </c>
      <c r="J108" s="54"/>
    </row>
    <row r="109" spans="1:10" ht="43.2" x14ac:dyDescent="0.3">
      <c r="A109" s="53" t="s">
        <v>55</v>
      </c>
      <c r="B109" s="54" t="s">
        <v>56</v>
      </c>
      <c r="C109" s="54" t="s">
        <v>276</v>
      </c>
      <c r="D109" s="54" t="s">
        <v>66</v>
      </c>
      <c r="E109" s="54" t="s">
        <v>58</v>
      </c>
      <c r="F109" s="54" t="s">
        <v>277</v>
      </c>
      <c r="G109" s="54" t="s">
        <v>56</v>
      </c>
      <c r="H109" s="54" t="s">
        <v>60</v>
      </c>
      <c r="I109" s="55" t="s">
        <v>232</v>
      </c>
      <c r="J109" s="54"/>
    </row>
    <row r="110" spans="1:10" ht="28.8" x14ac:dyDescent="0.3">
      <c r="A110" s="53" t="s">
        <v>55</v>
      </c>
      <c r="B110" s="54" t="s">
        <v>56</v>
      </c>
      <c r="C110" s="54" t="s">
        <v>276</v>
      </c>
      <c r="D110" s="54" t="s">
        <v>66</v>
      </c>
      <c r="E110" s="54" t="s">
        <v>58</v>
      </c>
      <c r="F110" s="54" t="s">
        <v>278</v>
      </c>
      <c r="G110" s="54" t="s">
        <v>59</v>
      </c>
      <c r="H110" s="54" t="s">
        <v>60</v>
      </c>
      <c r="I110" s="55" t="s">
        <v>147</v>
      </c>
      <c r="J110" s="54"/>
    </row>
    <row r="111" spans="1:10" x14ac:dyDescent="0.3">
      <c r="A111" s="53" t="s">
        <v>55</v>
      </c>
      <c r="B111" s="54" t="s">
        <v>56</v>
      </c>
      <c r="C111" s="54" t="s">
        <v>276</v>
      </c>
      <c r="D111" s="54" t="s">
        <v>38</v>
      </c>
      <c r="E111" s="54" t="s">
        <v>58</v>
      </c>
      <c r="F111" s="54" t="s">
        <v>279</v>
      </c>
      <c r="G111" s="54" t="s">
        <v>59</v>
      </c>
      <c r="H111" s="54" t="s">
        <v>60</v>
      </c>
      <c r="I111" s="55" t="s">
        <v>56</v>
      </c>
      <c r="J111" s="54"/>
    </row>
    <row r="112" spans="1:10" ht="28.8" x14ac:dyDescent="0.3">
      <c r="A112" s="53" t="s">
        <v>55</v>
      </c>
      <c r="B112" s="54" t="s">
        <v>56</v>
      </c>
      <c r="C112" s="54" t="s">
        <v>276</v>
      </c>
      <c r="D112" s="54" t="s">
        <v>66</v>
      </c>
      <c r="E112" s="54" t="s">
        <v>58</v>
      </c>
      <c r="F112" s="54" t="s">
        <v>279</v>
      </c>
      <c r="G112" s="54" t="s">
        <v>59</v>
      </c>
      <c r="H112" s="54" t="s">
        <v>60</v>
      </c>
      <c r="I112" s="55" t="s">
        <v>147</v>
      </c>
      <c r="J112" s="54"/>
    </row>
    <row r="113" spans="1:10" ht="28.8" x14ac:dyDescent="0.3">
      <c r="A113" s="53" t="s">
        <v>55</v>
      </c>
      <c r="B113" s="54" t="s">
        <v>56</v>
      </c>
      <c r="C113" s="54" t="s">
        <v>280</v>
      </c>
      <c r="D113" s="54" t="s">
        <v>22</v>
      </c>
      <c r="E113" s="54" t="s">
        <v>58</v>
      </c>
      <c r="F113" s="54" t="s">
        <v>281</v>
      </c>
      <c r="G113" s="54" t="s">
        <v>56</v>
      </c>
      <c r="H113" s="54" t="s">
        <v>60</v>
      </c>
      <c r="I113" s="55" t="s">
        <v>282</v>
      </c>
      <c r="J113" s="54"/>
    </row>
    <row r="114" spans="1:10" ht="43.2" x14ac:dyDescent="0.3">
      <c r="A114" s="53" t="s">
        <v>55</v>
      </c>
      <c r="B114" s="54" t="s">
        <v>56</v>
      </c>
      <c r="C114" s="54" t="s">
        <v>280</v>
      </c>
      <c r="D114" s="54" t="s">
        <v>66</v>
      </c>
      <c r="E114" s="54" t="s">
        <v>58</v>
      </c>
      <c r="F114" s="54" t="s">
        <v>283</v>
      </c>
      <c r="G114" s="54" t="s">
        <v>56</v>
      </c>
      <c r="H114" s="54" t="s">
        <v>70</v>
      </c>
      <c r="I114" s="55" t="s">
        <v>284</v>
      </c>
      <c r="J114" s="54"/>
    </row>
    <row r="115" spans="1:10" ht="43.2" x14ac:dyDescent="0.3">
      <c r="A115" s="53" t="s">
        <v>55</v>
      </c>
      <c r="B115" s="54" t="s">
        <v>56</v>
      </c>
      <c r="C115" s="54" t="s">
        <v>280</v>
      </c>
      <c r="D115" s="54" t="s">
        <v>35</v>
      </c>
      <c r="E115" s="54" t="s">
        <v>58</v>
      </c>
      <c r="F115" s="54" t="s">
        <v>285</v>
      </c>
      <c r="G115" s="54" t="s">
        <v>56</v>
      </c>
      <c r="H115" s="54" t="s">
        <v>70</v>
      </c>
      <c r="I115" s="55" t="s">
        <v>286</v>
      </c>
      <c r="J115" s="54"/>
    </row>
    <row r="116" spans="1:10" ht="28.8" x14ac:dyDescent="0.3">
      <c r="A116" s="53" t="s">
        <v>55</v>
      </c>
      <c r="B116" s="54" t="s">
        <v>56</v>
      </c>
      <c r="C116" s="54" t="s">
        <v>280</v>
      </c>
      <c r="D116" s="54" t="s">
        <v>66</v>
      </c>
      <c r="E116" s="54" t="s">
        <v>58</v>
      </c>
      <c r="F116" s="54" t="s">
        <v>287</v>
      </c>
      <c r="G116" s="54" t="s">
        <v>56</v>
      </c>
      <c r="H116" s="54" t="s">
        <v>60</v>
      </c>
      <c r="I116" s="55" t="s">
        <v>288</v>
      </c>
      <c r="J116" s="54"/>
    </row>
    <row r="117" spans="1:10" ht="86.4" x14ac:dyDescent="0.3">
      <c r="A117" s="53" t="s">
        <v>55</v>
      </c>
      <c r="B117" s="54" t="s">
        <v>56</v>
      </c>
      <c r="C117" s="54" t="s">
        <v>280</v>
      </c>
      <c r="D117" s="54" t="s">
        <v>66</v>
      </c>
      <c r="E117" s="54" t="s">
        <v>58</v>
      </c>
      <c r="F117" s="54" t="s">
        <v>289</v>
      </c>
      <c r="G117" s="54" t="s">
        <v>56</v>
      </c>
      <c r="H117" s="54" t="s">
        <v>60</v>
      </c>
      <c r="I117" s="55" t="s">
        <v>290</v>
      </c>
      <c r="J117" s="54"/>
    </row>
    <row r="118" spans="1:10" ht="43.2" x14ac:dyDescent="0.3">
      <c r="A118" s="53" t="s">
        <v>55</v>
      </c>
      <c r="B118" s="54" t="s">
        <v>56</v>
      </c>
      <c r="C118" s="54" t="s">
        <v>280</v>
      </c>
      <c r="D118" s="54" t="s">
        <v>66</v>
      </c>
      <c r="E118" s="54" t="s">
        <v>58</v>
      </c>
      <c r="F118" s="54" t="s">
        <v>291</v>
      </c>
      <c r="G118" s="54" t="s">
        <v>56</v>
      </c>
      <c r="H118" s="54" t="s">
        <v>60</v>
      </c>
      <c r="I118" s="55" t="s">
        <v>292</v>
      </c>
      <c r="J118" s="54"/>
    </row>
    <row r="119" spans="1:10" ht="28.8" x14ac:dyDescent="0.3">
      <c r="A119" s="53" t="s">
        <v>55</v>
      </c>
      <c r="B119" s="54" t="s">
        <v>56</v>
      </c>
      <c r="C119" s="54" t="s">
        <v>280</v>
      </c>
      <c r="D119" s="54" t="s">
        <v>66</v>
      </c>
      <c r="E119" s="54" t="s">
        <v>58</v>
      </c>
      <c r="F119" s="54" t="s">
        <v>200</v>
      </c>
      <c r="G119" s="54" t="s">
        <v>59</v>
      </c>
      <c r="H119" s="54" t="s">
        <v>60</v>
      </c>
      <c r="I119" s="55" t="s">
        <v>147</v>
      </c>
      <c r="J119" s="54"/>
    </row>
    <row r="120" spans="1:10" ht="28.8" x14ac:dyDescent="0.3">
      <c r="A120" s="53" t="s">
        <v>55</v>
      </c>
      <c r="B120" s="54" t="s">
        <v>56</v>
      </c>
      <c r="C120" s="54" t="s">
        <v>293</v>
      </c>
      <c r="D120" s="54" t="s">
        <v>66</v>
      </c>
      <c r="E120" s="54" t="s">
        <v>58</v>
      </c>
      <c r="F120" s="54" t="s">
        <v>294</v>
      </c>
      <c r="G120" s="54" t="s">
        <v>56</v>
      </c>
      <c r="H120" s="54" t="s">
        <v>60</v>
      </c>
      <c r="I120" s="55" t="s">
        <v>147</v>
      </c>
      <c r="J120" s="54"/>
    </row>
    <row r="121" spans="1:10" ht="28.8" x14ac:dyDescent="0.3">
      <c r="A121" s="53" t="s">
        <v>55</v>
      </c>
      <c r="B121" s="54" t="s">
        <v>56</v>
      </c>
      <c r="C121" s="54" t="s">
        <v>293</v>
      </c>
      <c r="D121" s="54" t="s">
        <v>66</v>
      </c>
      <c r="E121" s="54" t="s">
        <v>58</v>
      </c>
      <c r="F121" s="54" t="s">
        <v>295</v>
      </c>
      <c r="G121" s="54" t="s">
        <v>56</v>
      </c>
      <c r="H121" s="54" t="s">
        <v>60</v>
      </c>
      <c r="I121" s="55" t="s">
        <v>147</v>
      </c>
      <c r="J121" s="54"/>
    </row>
    <row r="122" spans="1:10" ht="28.8" x14ac:dyDescent="0.3">
      <c r="A122" s="53" t="s">
        <v>55</v>
      </c>
      <c r="B122" s="54" t="s">
        <v>56</v>
      </c>
      <c r="C122" s="54" t="s">
        <v>293</v>
      </c>
      <c r="D122" s="54" t="s">
        <v>66</v>
      </c>
      <c r="E122" s="54" t="s">
        <v>58</v>
      </c>
      <c r="F122" s="54" t="s">
        <v>296</v>
      </c>
      <c r="G122" s="54" t="s">
        <v>56</v>
      </c>
      <c r="H122" s="54" t="s">
        <v>60</v>
      </c>
      <c r="I122" s="55" t="s">
        <v>297</v>
      </c>
      <c r="J122" s="54"/>
    </row>
    <row r="123" spans="1:10" ht="28.8" x14ac:dyDescent="0.3">
      <c r="A123" s="53" t="s">
        <v>55</v>
      </c>
      <c r="B123" s="54" t="s">
        <v>56</v>
      </c>
      <c r="C123" s="54" t="s">
        <v>293</v>
      </c>
      <c r="D123" s="54" t="s">
        <v>66</v>
      </c>
      <c r="E123" s="54" t="s">
        <v>58</v>
      </c>
      <c r="F123" s="54" t="s">
        <v>298</v>
      </c>
      <c r="G123" s="54" t="s">
        <v>56</v>
      </c>
      <c r="H123" s="54" t="s">
        <v>60</v>
      </c>
      <c r="I123" s="55" t="s">
        <v>147</v>
      </c>
      <c r="J123" s="54"/>
    </row>
    <row r="124" spans="1:10" ht="43.2" x14ac:dyDescent="0.3">
      <c r="A124" s="53" t="s">
        <v>55</v>
      </c>
      <c r="B124" s="54" t="s">
        <v>56</v>
      </c>
      <c r="C124" s="54" t="s">
        <v>299</v>
      </c>
      <c r="D124" s="54" t="s">
        <v>66</v>
      </c>
      <c r="E124" s="54" t="s">
        <v>58</v>
      </c>
      <c r="F124" s="54" t="s">
        <v>300</v>
      </c>
      <c r="G124" s="54" t="s">
        <v>114</v>
      </c>
      <c r="H124" s="54" t="s">
        <v>70</v>
      </c>
      <c r="I124" s="55" t="s">
        <v>301</v>
      </c>
      <c r="J124" s="54"/>
    </row>
    <row r="125" spans="1:10" ht="43.2" x14ac:dyDescent="0.3">
      <c r="A125" s="53" t="s">
        <v>55</v>
      </c>
      <c r="B125" s="54" t="s">
        <v>56</v>
      </c>
      <c r="C125" s="54" t="s">
        <v>302</v>
      </c>
      <c r="D125" s="54" t="s">
        <v>66</v>
      </c>
      <c r="E125" s="54" t="s">
        <v>58</v>
      </c>
      <c r="F125" s="54" t="s">
        <v>303</v>
      </c>
      <c r="G125" s="54" t="s">
        <v>59</v>
      </c>
      <c r="H125" s="54" t="s">
        <v>60</v>
      </c>
      <c r="I125" s="55" t="s">
        <v>232</v>
      </c>
      <c r="J125" s="54"/>
    </row>
    <row r="126" spans="1:10" ht="57.6" x14ac:dyDescent="0.3">
      <c r="A126" s="53" t="s">
        <v>55</v>
      </c>
      <c r="B126" s="54" t="s">
        <v>56</v>
      </c>
      <c r="C126" s="54" t="s">
        <v>304</v>
      </c>
      <c r="D126" s="54" t="s">
        <v>35</v>
      </c>
      <c r="E126" s="54" t="s">
        <v>58</v>
      </c>
      <c r="F126" s="54" t="s">
        <v>305</v>
      </c>
      <c r="G126" s="54" t="s">
        <v>59</v>
      </c>
      <c r="H126" s="54" t="s">
        <v>70</v>
      </c>
      <c r="I126" s="55" t="s">
        <v>306</v>
      </c>
      <c r="J126" s="54"/>
    </row>
    <row r="127" spans="1:10" x14ac:dyDescent="0.3">
      <c r="A127" s="53" t="s">
        <v>55</v>
      </c>
      <c r="B127" s="54" t="s">
        <v>56</v>
      </c>
      <c r="C127" s="54" t="s">
        <v>304</v>
      </c>
      <c r="D127" s="54" t="s">
        <v>66</v>
      </c>
      <c r="E127" s="54" t="s">
        <v>58</v>
      </c>
      <c r="F127" s="54" t="s">
        <v>298</v>
      </c>
      <c r="G127" s="54" t="s">
        <v>56</v>
      </c>
      <c r="H127" s="54" t="s">
        <v>60</v>
      </c>
      <c r="I127" s="55" t="s">
        <v>56</v>
      </c>
      <c r="J127" s="54"/>
    </row>
    <row r="128" spans="1:10" ht="72" x14ac:dyDescent="0.3">
      <c r="A128" s="53" t="s">
        <v>55</v>
      </c>
      <c r="B128" s="54" t="s">
        <v>56</v>
      </c>
      <c r="C128" s="54" t="s">
        <v>304</v>
      </c>
      <c r="D128" s="54" t="s">
        <v>36</v>
      </c>
      <c r="E128" s="54" t="s">
        <v>58</v>
      </c>
      <c r="F128" s="54" t="s">
        <v>307</v>
      </c>
      <c r="G128" s="54" t="s">
        <v>59</v>
      </c>
      <c r="H128" s="54" t="s">
        <v>60</v>
      </c>
      <c r="I128" s="55" t="s">
        <v>308</v>
      </c>
      <c r="J128" s="54"/>
    </row>
    <row r="129" spans="1:10" ht="43.2" x14ac:dyDescent="0.3">
      <c r="A129" s="53" t="s">
        <v>55</v>
      </c>
      <c r="B129" s="54" t="s">
        <v>56</v>
      </c>
      <c r="C129" s="54" t="s">
        <v>309</v>
      </c>
      <c r="D129" s="54" t="s">
        <v>66</v>
      </c>
      <c r="E129" s="54" t="s">
        <v>58</v>
      </c>
      <c r="F129" s="54" t="s">
        <v>310</v>
      </c>
      <c r="G129" s="54" t="s">
        <v>59</v>
      </c>
      <c r="H129" s="54" t="s">
        <v>70</v>
      </c>
      <c r="I129" s="55" t="s">
        <v>311</v>
      </c>
      <c r="J129" s="54"/>
    </row>
    <row r="130" spans="1:10" ht="43.2" x14ac:dyDescent="0.3">
      <c r="A130" s="53" t="s">
        <v>55</v>
      </c>
      <c r="B130" s="54" t="s">
        <v>56</v>
      </c>
      <c r="C130" s="54" t="s">
        <v>309</v>
      </c>
      <c r="D130" s="54" t="s">
        <v>66</v>
      </c>
      <c r="E130" s="54" t="s">
        <v>58</v>
      </c>
      <c r="F130" s="54" t="s">
        <v>312</v>
      </c>
      <c r="G130" s="54" t="s">
        <v>59</v>
      </c>
      <c r="H130" s="54" t="s">
        <v>70</v>
      </c>
      <c r="I130" s="55" t="s">
        <v>313</v>
      </c>
      <c r="J130" s="54"/>
    </row>
    <row r="131" spans="1:10" ht="43.2" x14ac:dyDescent="0.3">
      <c r="A131" s="53" t="s">
        <v>55</v>
      </c>
      <c r="B131" s="54" t="s">
        <v>56</v>
      </c>
      <c r="C131" s="54" t="s">
        <v>309</v>
      </c>
      <c r="D131" s="54" t="s">
        <v>66</v>
      </c>
      <c r="E131" s="54" t="s">
        <v>58</v>
      </c>
      <c r="F131" s="54" t="s">
        <v>314</v>
      </c>
      <c r="G131" s="54" t="s">
        <v>59</v>
      </c>
      <c r="H131" s="54" t="s">
        <v>70</v>
      </c>
      <c r="I131" s="55" t="s">
        <v>315</v>
      </c>
      <c r="J131" s="54"/>
    </row>
    <row r="132" spans="1:10" ht="129.6" x14ac:dyDescent="0.3">
      <c r="A132" s="53" t="s">
        <v>55</v>
      </c>
      <c r="B132" s="54" t="s">
        <v>56</v>
      </c>
      <c r="C132" s="54" t="s">
        <v>316</v>
      </c>
      <c r="D132" s="54" t="s">
        <v>107</v>
      </c>
      <c r="E132" s="54" t="s">
        <v>58</v>
      </c>
      <c r="F132" s="54" t="s">
        <v>317</v>
      </c>
      <c r="G132" s="54" t="s">
        <v>59</v>
      </c>
      <c r="H132" s="54" t="s">
        <v>60</v>
      </c>
      <c r="I132" s="55" t="s">
        <v>318</v>
      </c>
      <c r="J132" s="54"/>
    </row>
    <row r="133" spans="1:10" x14ac:dyDescent="0.3">
      <c r="A133" s="53" t="s">
        <v>55</v>
      </c>
      <c r="B133" s="54" t="s">
        <v>56</v>
      </c>
      <c r="C133" s="54" t="s">
        <v>319</v>
      </c>
      <c r="D133" s="54" t="s">
        <v>66</v>
      </c>
      <c r="E133" s="54" t="s">
        <v>58</v>
      </c>
      <c r="F133" s="54" t="s">
        <v>320</v>
      </c>
      <c r="G133" s="54" t="s">
        <v>59</v>
      </c>
      <c r="H133" s="54" t="s">
        <v>67</v>
      </c>
      <c r="I133" s="55" t="s">
        <v>56</v>
      </c>
      <c r="J133" s="54"/>
    </row>
    <row r="134" spans="1:10" ht="28.8" x14ac:dyDescent="0.3">
      <c r="A134" s="53" t="s">
        <v>55</v>
      </c>
      <c r="B134" s="54" t="s">
        <v>56</v>
      </c>
      <c r="C134" s="54" t="s">
        <v>319</v>
      </c>
      <c r="D134" s="54" t="s">
        <v>66</v>
      </c>
      <c r="E134" s="54" t="s">
        <v>58</v>
      </c>
      <c r="F134" s="54" t="s">
        <v>321</v>
      </c>
      <c r="G134" s="54" t="s">
        <v>59</v>
      </c>
      <c r="H134" s="54" t="s">
        <v>70</v>
      </c>
      <c r="I134" s="55" t="s">
        <v>322</v>
      </c>
      <c r="J134" s="54"/>
    </row>
    <row r="135" spans="1:10" x14ac:dyDescent="0.3">
      <c r="A135" s="53" t="s">
        <v>55</v>
      </c>
      <c r="B135" s="54" t="s">
        <v>56</v>
      </c>
      <c r="C135" s="54" t="s">
        <v>323</v>
      </c>
      <c r="D135" s="54" t="s">
        <v>66</v>
      </c>
      <c r="E135" s="54" t="s">
        <v>58</v>
      </c>
      <c r="F135" s="54" t="s">
        <v>324</v>
      </c>
      <c r="G135" s="54" t="s">
        <v>59</v>
      </c>
      <c r="H135" s="54" t="s">
        <v>67</v>
      </c>
      <c r="I135" s="55" t="s">
        <v>56</v>
      </c>
      <c r="J135" s="54"/>
    </row>
    <row r="136" spans="1:10" ht="28.8" x14ac:dyDescent="0.3">
      <c r="A136" s="53" t="s">
        <v>55</v>
      </c>
      <c r="B136" s="54" t="s">
        <v>56</v>
      </c>
      <c r="C136" s="54" t="s">
        <v>323</v>
      </c>
      <c r="D136" s="54" t="s">
        <v>66</v>
      </c>
      <c r="E136" s="54" t="s">
        <v>58</v>
      </c>
      <c r="F136" s="54" t="s">
        <v>325</v>
      </c>
      <c r="G136" s="54" t="s">
        <v>59</v>
      </c>
      <c r="H136" s="54" t="s">
        <v>70</v>
      </c>
      <c r="I136" s="55" t="s">
        <v>326</v>
      </c>
      <c r="J136" s="54"/>
    </row>
    <row r="137" spans="1:10" x14ac:dyDescent="0.3">
      <c r="A137" s="53" t="s">
        <v>55</v>
      </c>
      <c r="B137" s="54" t="s">
        <v>56</v>
      </c>
      <c r="C137" s="54" t="s">
        <v>327</v>
      </c>
      <c r="D137" s="54" t="s">
        <v>66</v>
      </c>
      <c r="E137" s="54" t="s">
        <v>58</v>
      </c>
      <c r="F137" s="54" t="s">
        <v>328</v>
      </c>
      <c r="G137" s="54" t="s">
        <v>59</v>
      </c>
      <c r="H137" s="54" t="s">
        <v>67</v>
      </c>
      <c r="I137" s="55" t="s">
        <v>56</v>
      </c>
      <c r="J137" s="54"/>
    </row>
    <row r="138" spans="1:10" x14ac:dyDescent="0.3">
      <c r="A138" s="53" t="s">
        <v>130</v>
      </c>
      <c r="B138" s="54" t="s">
        <v>130</v>
      </c>
      <c r="C138" s="54" t="s">
        <v>327</v>
      </c>
      <c r="D138" s="54" t="s">
        <v>22</v>
      </c>
      <c r="E138" s="54" t="s">
        <v>58</v>
      </c>
      <c r="F138" s="54" t="s">
        <v>328</v>
      </c>
      <c r="G138" s="54" t="s">
        <v>59</v>
      </c>
      <c r="H138" s="54" t="s">
        <v>67</v>
      </c>
      <c r="I138" s="55" t="s">
        <v>56</v>
      </c>
      <c r="J138" s="54"/>
    </row>
    <row r="139" spans="1:10" ht="43.2" x14ac:dyDescent="0.3">
      <c r="A139" s="53" t="s">
        <v>55</v>
      </c>
      <c r="B139" s="54" t="s">
        <v>56</v>
      </c>
      <c r="C139" s="54" t="s">
        <v>327</v>
      </c>
      <c r="D139" s="54" t="s">
        <v>66</v>
      </c>
      <c r="E139" s="54" t="s">
        <v>58</v>
      </c>
      <c r="F139" s="54" t="s">
        <v>329</v>
      </c>
      <c r="G139" s="54" t="s">
        <v>59</v>
      </c>
      <c r="H139" s="54" t="s">
        <v>70</v>
      </c>
      <c r="I139" s="55" t="s">
        <v>330</v>
      </c>
      <c r="J139" s="54"/>
    </row>
    <row r="140" spans="1:10" ht="43.2" x14ac:dyDescent="0.3">
      <c r="A140" s="53" t="s">
        <v>55</v>
      </c>
      <c r="B140" s="54" t="s">
        <v>56</v>
      </c>
      <c r="C140" s="54" t="s">
        <v>327</v>
      </c>
      <c r="D140" s="54" t="s">
        <v>107</v>
      </c>
      <c r="E140" s="54" t="s">
        <v>58</v>
      </c>
      <c r="F140" s="54" t="s">
        <v>331</v>
      </c>
      <c r="G140" s="54" t="s">
        <v>59</v>
      </c>
      <c r="H140" s="54" t="s">
        <v>70</v>
      </c>
      <c r="I140" s="55" t="s">
        <v>332</v>
      </c>
      <c r="J140" s="54"/>
    </row>
    <row r="141" spans="1:10" x14ac:dyDescent="0.3">
      <c r="A141" s="53" t="s">
        <v>55</v>
      </c>
      <c r="B141" s="54" t="s">
        <v>56</v>
      </c>
      <c r="C141" s="54" t="s">
        <v>327</v>
      </c>
      <c r="D141" s="54" t="s">
        <v>66</v>
      </c>
      <c r="E141" s="54" t="s">
        <v>58</v>
      </c>
      <c r="F141" s="54" t="s">
        <v>333</v>
      </c>
      <c r="G141" s="54" t="s">
        <v>59</v>
      </c>
      <c r="H141" s="54" t="s">
        <v>67</v>
      </c>
      <c r="I141" s="55" t="s">
        <v>56</v>
      </c>
      <c r="J141" s="54"/>
    </row>
    <row r="142" spans="1:10" x14ac:dyDescent="0.3">
      <c r="A142" s="53" t="s">
        <v>55</v>
      </c>
      <c r="B142" s="54" t="s">
        <v>56</v>
      </c>
      <c r="C142" s="54" t="s">
        <v>334</v>
      </c>
      <c r="D142" s="54" t="s">
        <v>66</v>
      </c>
      <c r="E142" s="54" t="s">
        <v>58</v>
      </c>
      <c r="F142" s="54" t="s">
        <v>335</v>
      </c>
      <c r="G142" s="54" t="s">
        <v>59</v>
      </c>
      <c r="H142" s="54" t="s">
        <v>67</v>
      </c>
      <c r="I142" s="55" t="s">
        <v>56</v>
      </c>
      <c r="J142" s="54"/>
    </row>
    <row r="143" spans="1:10" x14ac:dyDescent="0.3">
      <c r="A143" s="53" t="s">
        <v>55</v>
      </c>
      <c r="B143" s="54" t="s">
        <v>56</v>
      </c>
      <c r="C143" s="54" t="s">
        <v>334</v>
      </c>
      <c r="D143" s="54" t="s">
        <v>66</v>
      </c>
      <c r="E143" s="54" t="s">
        <v>58</v>
      </c>
      <c r="F143" s="54" t="s">
        <v>336</v>
      </c>
      <c r="G143" s="54" t="s">
        <v>59</v>
      </c>
      <c r="H143" s="54" t="s">
        <v>67</v>
      </c>
      <c r="I143" s="55" t="s">
        <v>56</v>
      </c>
      <c r="J143" s="54"/>
    </row>
    <row r="144" spans="1:10" x14ac:dyDescent="0.3">
      <c r="A144" s="53" t="s">
        <v>55</v>
      </c>
      <c r="B144" s="54" t="s">
        <v>56</v>
      </c>
      <c r="C144" s="54" t="s">
        <v>334</v>
      </c>
      <c r="D144" s="54" t="s">
        <v>107</v>
      </c>
      <c r="E144" s="54" t="s">
        <v>58</v>
      </c>
      <c r="F144" s="54" t="s">
        <v>337</v>
      </c>
      <c r="G144" s="54" t="s">
        <v>59</v>
      </c>
      <c r="H144" s="54" t="s">
        <v>60</v>
      </c>
      <c r="I144" s="55" t="s">
        <v>56</v>
      </c>
      <c r="J144" s="54"/>
    </row>
    <row r="145" spans="1:10" ht="43.2" x14ac:dyDescent="0.3">
      <c r="A145" s="53" t="s">
        <v>55</v>
      </c>
      <c r="B145" s="54" t="s">
        <v>56</v>
      </c>
      <c r="C145" s="54" t="s">
        <v>338</v>
      </c>
      <c r="D145" s="54" t="s">
        <v>35</v>
      </c>
      <c r="E145" s="54" t="s">
        <v>58</v>
      </c>
      <c r="F145" s="54" t="s">
        <v>339</v>
      </c>
      <c r="G145" s="54" t="s">
        <v>59</v>
      </c>
      <c r="H145" s="54" t="s">
        <v>70</v>
      </c>
      <c r="I145" s="55" t="s">
        <v>340</v>
      </c>
      <c r="J145" s="54"/>
    </row>
    <row r="146" spans="1:10" x14ac:dyDescent="0.3">
      <c r="A146" s="53" t="s">
        <v>55</v>
      </c>
      <c r="B146" s="54" t="s">
        <v>56</v>
      </c>
      <c r="C146" s="54" t="s">
        <v>338</v>
      </c>
      <c r="D146" s="54" t="s">
        <v>66</v>
      </c>
      <c r="E146" s="54" t="s">
        <v>58</v>
      </c>
      <c r="F146" s="54" t="s">
        <v>341</v>
      </c>
      <c r="G146" s="54" t="s">
        <v>114</v>
      </c>
      <c r="H146" s="54" t="s">
        <v>67</v>
      </c>
      <c r="I146" s="55" t="s">
        <v>56</v>
      </c>
      <c r="J146" s="54"/>
    </row>
    <row r="147" spans="1:10" ht="28.8" x14ac:dyDescent="0.3">
      <c r="A147" s="53" t="s">
        <v>55</v>
      </c>
      <c r="B147" s="54" t="s">
        <v>56</v>
      </c>
      <c r="C147" s="54" t="s">
        <v>338</v>
      </c>
      <c r="D147" s="54" t="s">
        <v>36</v>
      </c>
      <c r="E147" s="54" t="s">
        <v>58</v>
      </c>
      <c r="F147" s="54" t="s">
        <v>307</v>
      </c>
      <c r="G147" s="54" t="s">
        <v>59</v>
      </c>
      <c r="H147" s="54" t="s">
        <v>60</v>
      </c>
      <c r="I147" s="55" t="s">
        <v>68</v>
      </c>
      <c r="J147" s="54"/>
    </row>
    <row r="148" spans="1:10" ht="43.2" x14ac:dyDescent="0.3">
      <c r="A148" s="53" t="s">
        <v>55</v>
      </c>
      <c r="B148" s="54" t="s">
        <v>56</v>
      </c>
      <c r="C148" s="54" t="s">
        <v>342</v>
      </c>
      <c r="D148" s="54" t="s">
        <v>22</v>
      </c>
      <c r="E148" s="54" t="s">
        <v>58</v>
      </c>
      <c r="F148" s="54" t="s">
        <v>343</v>
      </c>
      <c r="G148" s="54" t="s">
        <v>59</v>
      </c>
      <c r="H148" s="54" t="s">
        <v>70</v>
      </c>
      <c r="I148" s="55" t="s">
        <v>344</v>
      </c>
      <c r="J148" s="54"/>
    </row>
    <row r="149" spans="1:10" ht="72" x14ac:dyDescent="0.3">
      <c r="A149" s="53" t="s">
        <v>55</v>
      </c>
      <c r="B149" s="54" t="s">
        <v>56</v>
      </c>
      <c r="C149" s="54" t="s">
        <v>342</v>
      </c>
      <c r="D149" s="54" t="s">
        <v>29</v>
      </c>
      <c r="E149" s="54" t="s">
        <v>58</v>
      </c>
      <c r="F149" s="54" t="s">
        <v>345</v>
      </c>
      <c r="G149" s="54" t="s">
        <v>59</v>
      </c>
      <c r="H149" s="54" t="s">
        <v>70</v>
      </c>
      <c r="I149" s="55" t="s">
        <v>346</v>
      </c>
      <c r="J149" s="54"/>
    </row>
    <row r="150" spans="1:10" ht="43.2" x14ac:dyDescent="0.3">
      <c r="A150" s="53" t="s">
        <v>55</v>
      </c>
      <c r="B150" s="54" t="s">
        <v>56</v>
      </c>
      <c r="C150" s="54" t="s">
        <v>342</v>
      </c>
      <c r="D150" s="54" t="s">
        <v>66</v>
      </c>
      <c r="E150" s="54" t="s">
        <v>58</v>
      </c>
      <c r="F150" s="54" t="s">
        <v>345</v>
      </c>
      <c r="G150" s="54" t="s">
        <v>59</v>
      </c>
      <c r="H150" s="54" t="s">
        <v>70</v>
      </c>
      <c r="I150" s="55" t="s">
        <v>347</v>
      </c>
      <c r="J150" s="54"/>
    </row>
    <row r="151" spans="1:10" x14ac:dyDescent="0.3">
      <c r="A151" s="53" t="s">
        <v>55</v>
      </c>
      <c r="B151" s="54" t="s">
        <v>56</v>
      </c>
      <c r="C151" s="54" t="s">
        <v>342</v>
      </c>
      <c r="D151" s="54" t="s">
        <v>29</v>
      </c>
      <c r="E151" s="54" t="s">
        <v>58</v>
      </c>
      <c r="F151" s="54" t="s">
        <v>324</v>
      </c>
      <c r="G151" s="54" t="s">
        <v>59</v>
      </c>
      <c r="H151" s="54" t="s">
        <v>67</v>
      </c>
      <c r="I151" s="55" t="s">
        <v>56</v>
      </c>
      <c r="J151" s="54"/>
    </row>
    <row r="152" spans="1:10" x14ac:dyDescent="0.3">
      <c r="A152" s="53" t="s">
        <v>55</v>
      </c>
      <c r="B152" s="54" t="s">
        <v>56</v>
      </c>
      <c r="C152" s="54" t="s">
        <v>342</v>
      </c>
      <c r="D152" s="54" t="s">
        <v>66</v>
      </c>
      <c r="E152" s="54" t="s">
        <v>58</v>
      </c>
      <c r="F152" s="54" t="s">
        <v>348</v>
      </c>
      <c r="G152" s="54" t="s">
        <v>59</v>
      </c>
      <c r="H152" s="54" t="s">
        <v>67</v>
      </c>
      <c r="I152" s="55" t="s">
        <v>56</v>
      </c>
      <c r="J152" s="54"/>
    </row>
    <row r="153" spans="1:10" x14ac:dyDescent="0.3">
      <c r="A153" s="53" t="s">
        <v>55</v>
      </c>
      <c r="B153" s="54" t="s">
        <v>56</v>
      </c>
      <c r="C153" s="54" t="s">
        <v>342</v>
      </c>
      <c r="D153" s="54" t="s">
        <v>66</v>
      </c>
      <c r="E153" s="54" t="s">
        <v>58</v>
      </c>
      <c r="F153" s="54" t="s">
        <v>349</v>
      </c>
      <c r="G153" s="54" t="s">
        <v>59</v>
      </c>
      <c r="H153" s="54" t="s">
        <v>67</v>
      </c>
      <c r="I153" s="55" t="s">
        <v>56</v>
      </c>
      <c r="J153" s="54"/>
    </row>
    <row r="154" spans="1:10" x14ac:dyDescent="0.3">
      <c r="A154" s="53" t="s">
        <v>55</v>
      </c>
      <c r="B154" s="54" t="s">
        <v>56</v>
      </c>
      <c r="C154" s="54" t="s">
        <v>342</v>
      </c>
      <c r="D154" s="54" t="s">
        <v>66</v>
      </c>
      <c r="E154" s="54" t="s">
        <v>58</v>
      </c>
      <c r="F154" s="54" t="s">
        <v>350</v>
      </c>
      <c r="G154" s="54" t="s">
        <v>59</v>
      </c>
      <c r="H154" s="54" t="s">
        <v>67</v>
      </c>
      <c r="I154" s="55" t="s">
        <v>56</v>
      </c>
      <c r="J154" s="54"/>
    </row>
    <row r="155" spans="1:10" ht="100.8" x14ac:dyDescent="0.3">
      <c r="A155" s="53" t="s">
        <v>55</v>
      </c>
      <c r="B155" s="54" t="s">
        <v>56</v>
      </c>
      <c r="C155" s="54" t="s">
        <v>342</v>
      </c>
      <c r="D155" s="54" t="s">
        <v>351</v>
      </c>
      <c r="E155" s="54" t="s">
        <v>58</v>
      </c>
      <c r="F155" s="54" t="s">
        <v>352</v>
      </c>
      <c r="G155" s="54" t="s">
        <v>59</v>
      </c>
      <c r="H155" s="54" t="s">
        <v>60</v>
      </c>
      <c r="I155" s="55" t="s">
        <v>353</v>
      </c>
      <c r="J155" s="54"/>
    </row>
    <row r="156" spans="1:10" ht="43.2" x14ac:dyDescent="0.3">
      <c r="A156" s="53" t="s">
        <v>55</v>
      </c>
      <c r="B156" s="54" t="s">
        <v>56</v>
      </c>
      <c r="C156" s="54" t="s">
        <v>342</v>
      </c>
      <c r="D156" s="54" t="s">
        <v>27</v>
      </c>
      <c r="E156" s="54" t="s">
        <v>58</v>
      </c>
      <c r="F156" s="54" t="s">
        <v>352</v>
      </c>
      <c r="G156" s="54" t="s">
        <v>59</v>
      </c>
      <c r="H156" s="54" t="s">
        <v>60</v>
      </c>
      <c r="I156" s="55" t="s">
        <v>354</v>
      </c>
      <c r="J156" s="54"/>
    </row>
    <row r="157" spans="1:10" ht="72" x14ac:dyDescent="0.3">
      <c r="A157" s="53" t="s">
        <v>55</v>
      </c>
      <c r="B157" s="54" t="s">
        <v>56</v>
      </c>
      <c r="C157" s="54" t="s">
        <v>342</v>
      </c>
      <c r="D157" s="54" t="s">
        <v>37</v>
      </c>
      <c r="E157" s="54" t="s">
        <v>58</v>
      </c>
      <c r="F157" s="54" t="s">
        <v>79</v>
      </c>
      <c r="G157" s="54" t="s">
        <v>59</v>
      </c>
      <c r="H157" s="54" t="s">
        <v>60</v>
      </c>
      <c r="I157" s="55" t="s">
        <v>355</v>
      </c>
      <c r="J157" s="54"/>
    </row>
    <row r="158" spans="1:10" x14ac:dyDescent="0.3">
      <c r="A158" s="53" t="s">
        <v>55</v>
      </c>
      <c r="B158" s="54" t="s">
        <v>56</v>
      </c>
      <c r="C158" s="54" t="s">
        <v>356</v>
      </c>
      <c r="D158" s="54" t="s">
        <v>66</v>
      </c>
      <c r="E158" s="54" t="s">
        <v>58</v>
      </c>
      <c r="F158" s="54" t="s">
        <v>357</v>
      </c>
      <c r="G158" s="54" t="s">
        <v>59</v>
      </c>
      <c r="H158" s="54" t="s">
        <v>67</v>
      </c>
      <c r="I158" s="55" t="s">
        <v>56</v>
      </c>
      <c r="J158" s="54"/>
    </row>
    <row r="159" spans="1:10" ht="72" x14ac:dyDescent="0.3">
      <c r="A159" s="53" t="s">
        <v>55</v>
      </c>
      <c r="B159" s="54" t="s">
        <v>56</v>
      </c>
      <c r="C159" s="54" t="s">
        <v>356</v>
      </c>
      <c r="D159" s="54" t="s">
        <v>75</v>
      </c>
      <c r="E159" s="54" t="s">
        <v>58</v>
      </c>
      <c r="F159" s="54" t="s">
        <v>358</v>
      </c>
      <c r="G159" s="54" t="s">
        <v>59</v>
      </c>
      <c r="H159" s="54" t="s">
        <v>67</v>
      </c>
      <c r="I159" s="55" t="s">
        <v>359</v>
      </c>
      <c r="J159" s="54"/>
    </row>
    <row r="160" spans="1:10" x14ac:dyDescent="0.3">
      <c r="A160" s="53" t="s">
        <v>55</v>
      </c>
      <c r="B160" s="54" t="s">
        <v>56</v>
      </c>
      <c r="C160" s="54" t="s">
        <v>360</v>
      </c>
      <c r="D160" s="54" t="s">
        <v>66</v>
      </c>
      <c r="E160" s="54" t="s">
        <v>58</v>
      </c>
      <c r="F160" s="54" t="s">
        <v>361</v>
      </c>
      <c r="G160" s="54" t="s">
        <v>59</v>
      </c>
      <c r="H160" s="54" t="s">
        <v>67</v>
      </c>
      <c r="I160" s="55" t="s">
        <v>56</v>
      </c>
      <c r="J160" s="54"/>
    </row>
    <row r="161" spans="1:10" ht="43.2" x14ac:dyDescent="0.3">
      <c r="A161" s="53" t="s">
        <v>25</v>
      </c>
      <c r="B161" s="54" t="s">
        <v>95</v>
      </c>
      <c r="C161" s="54" t="s">
        <v>360</v>
      </c>
      <c r="D161" s="54" t="s">
        <v>22</v>
      </c>
      <c r="E161" s="54" t="s">
        <v>58</v>
      </c>
      <c r="F161" s="54" t="s">
        <v>362</v>
      </c>
      <c r="G161" s="54" t="s">
        <v>59</v>
      </c>
      <c r="H161" s="54" t="s">
        <v>70</v>
      </c>
      <c r="I161" s="55" t="s">
        <v>363</v>
      </c>
      <c r="J161" s="54"/>
    </row>
    <row r="162" spans="1:10" x14ac:dyDescent="0.3">
      <c r="A162" s="53" t="s">
        <v>55</v>
      </c>
      <c r="B162" s="54" t="s">
        <v>56</v>
      </c>
      <c r="C162" s="54" t="s">
        <v>360</v>
      </c>
      <c r="D162" s="54" t="s">
        <v>66</v>
      </c>
      <c r="E162" s="54" t="s">
        <v>58</v>
      </c>
      <c r="F162" s="54" t="s">
        <v>303</v>
      </c>
      <c r="G162" s="54" t="s">
        <v>59</v>
      </c>
      <c r="H162" s="54" t="s">
        <v>60</v>
      </c>
      <c r="I162" s="55" t="s">
        <v>56</v>
      </c>
      <c r="J162" s="54"/>
    </row>
    <row r="163" spans="1:10" ht="72" x14ac:dyDescent="0.3">
      <c r="A163" s="53" t="s">
        <v>130</v>
      </c>
      <c r="B163" s="54" t="s">
        <v>130</v>
      </c>
      <c r="C163" s="54" t="s">
        <v>360</v>
      </c>
      <c r="D163" s="54" t="s">
        <v>27</v>
      </c>
      <c r="E163" s="54" t="s">
        <v>58</v>
      </c>
      <c r="F163" s="54" t="s">
        <v>364</v>
      </c>
      <c r="G163" s="54" t="s">
        <v>59</v>
      </c>
      <c r="H163" s="54" t="s">
        <v>70</v>
      </c>
      <c r="I163" s="55" t="s">
        <v>365</v>
      </c>
      <c r="J163" s="54"/>
    </row>
    <row r="164" spans="1:10" ht="86.4" x14ac:dyDescent="0.3">
      <c r="A164" s="53" t="s">
        <v>55</v>
      </c>
      <c r="B164" s="54" t="s">
        <v>56</v>
      </c>
      <c r="C164" s="54" t="s">
        <v>366</v>
      </c>
      <c r="D164" s="54" t="s">
        <v>367</v>
      </c>
      <c r="E164" s="54" t="s">
        <v>58</v>
      </c>
      <c r="F164" s="54" t="s">
        <v>368</v>
      </c>
      <c r="G164" s="54" t="s">
        <v>59</v>
      </c>
      <c r="H164" s="54" t="s">
        <v>60</v>
      </c>
      <c r="I164" s="55" t="s">
        <v>369</v>
      </c>
      <c r="J164" s="54"/>
    </row>
    <row r="165" spans="1:10" ht="244.8" x14ac:dyDescent="0.3">
      <c r="A165" s="53" t="s">
        <v>55</v>
      </c>
      <c r="B165" s="54" t="s">
        <v>56</v>
      </c>
      <c r="C165" s="54" t="s">
        <v>366</v>
      </c>
      <c r="D165" s="54" t="s">
        <v>22</v>
      </c>
      <c r="E165" s="54" t="s">
        <v>58</v>
      </c>
      <c r="F165" s="54" t="s">
        <v>370</v>
      </c>
      <c r="G165" s="54" t="s">
        <v>59</v>
      </c>
      <c r="H165" s="54" t="s">
        <v>60</v>
      </c>
      <c r="I165" s="55" t="s">
        <v>371</v>
      </c>
      <c r="J165" s="54"/>
    </row>
    <row r="166" spans="1:10" ht="201.6" x14ac:dyDescent="0.3">
      <c r="A166" s="53" t="s">
        <v>55</v>
      </c>
      <c r="B166" s="54" t="s">
        <v>56</v>
      </c>
      <c r="C166" s="54" t="s">
        <v>366</v>
      </c>
      <c r="D166" s="54" t="s">
        <v>41</v>
      </c>
      <c r="E166" s="54" t="s">
        <v>58</v>
      </c>
      <c r="F166" s="54" t="s">
        <v>370</v>
      </c>
      <c r="G166" s="54" t="s">
        <v>59</v>
      </c>
      <c r="H166" s="54" t="s">
        <v>60</v>
      </c>
      <c r="I166" s="55" t="s">
        <v>372</v>
      </c>
      <c r="J166" s="54"/>
    </row>
    <row r="167" spans="1:10" x14ac:dyDescent="0.3">
      <c r="A167" s="53" t="s">
        <v>55</v>
      </c>
      <c r="B167" s="54" t="s">
        <v>56</v>
      </c>
      <c r="C167" s="54" t="s">
        <v>366</v>
      </c>
      <c r="D167" s="54" t="s">
        <v>66</v>
      </c>
      <c r="E167" s="54" t="s">
        <v>58</v>
      </c>
      <c r="F167" s="54" t="s">
        <v>370</v>
      </c>
      <c r="G167" s="54" t="s">
        <v>59</v>
      </c>
      <c r="H167" s="54" t="s">
        <v>60</v>
      </c>
      <c r="I167" s="55" t="s">
        <v>56</v>
      </c>
      <c r="J167" s="54"/>
    </row>
    <row r="168" spans="1:10" x14ac:dyDescent="0.3">
      <c r="A168" s="53" t="s">
        <v>55</v>
      </c>
      <c r="B168" s="54" t="s">
        <v>56</v>
      </c>
      <c r="C168" s="54" t="s">
        <v>373</v>
      </c>
      <c r="D168" s="54" t="s">
        <v>66</v>
      </c>
      <c r="E168" s="54" t="s">
        <v>58</v>
      </c>
      <c r="F168" s="54" t="s">
        <v>374</v>
      </c>
      <c r="G168" s="54" t="s">
        <v>59</v>
      </c>
      <c r="H168" s="54" t="s">
        <v>67</v>
      </c>
      <c r="I168" s="55" t="s">
        <v>56</v>
      </c>
      <c r="J168" s="54"/>
    </row>
    <row r="169" spans="1:10" x14ac:dyDescent="0.3">
      <c r="A169" s="53" t="s">
        <v>55</v>
      </c>
      <c r="B169" s="54" t="s">
        <v>56</v>
      </c>
      <c r="C169" s="54" t="s">
        <v>373</v>
      </c>
      <c r="D169" s="54" t="s">
        <v>35</v>
      </c>
      <c r="E169" s="54" t="s">
        <v>58</v>
      </c>
      <c r="F169" s="54" t="s">
        <v>375</v>
      </c>
      <c r="G169" s="54" t="s">
        <v>59</v>
      </c>
      <c r="H169" s="54" t="s">
        <v>67</v>
      </c>
      <c r="I169" s="55" t="s">
        <v>56</v>
      </c>
      <c r="J169" s="54"/>
    </row>
    <row r="170" spans="1:10" x14ac:dyDescent="0.3">
      <c r="A170" s="53" t="s">
        <v>55</v>
      </c>
      <c r="B170" s="54" t="s">
        <v>56</v>
      </c>
      <c r="C170" s="54" t="s">
        <v>373</v>
      </c>
      <c r="D170" s="54" t="s">
        <v>66</v>
      </c>
      <c r="E170" s="54" t="s">
        <v>58</v>
      </c>
      <c r="F170" s="54" t="s">
        <v>376</v>
      </c>
      <c r="G170" s="54" t="s">
        <v>59</v>
      </c>
      <c r="H170" s="54" t="s">
        <v>67</v>
      </c>
      <c r="I170" s="55" t="s">
        <v>56</v>
      </c>
      <c r="J170" s="54"/>
    </row>
    <row r="171" spans="1:10" x14ac:dyDescent="0.3">
      <c r="A171" s="53" t="s">
        <v>55</v>
      </c>
      <c r="B171" s="54" t="s">
        <v>56</v>
      </c>
      <c r="C171" s="54" t="s">
        <v>373</v>
      </c>
      <c r="D171" s="54" t="s">
        <v>22</v>
      </c>
      <c r="E171" s="54" t="s">
        <v>58</v>
      </c>
      <c r="F171" s="54" t="s">
        <v>377</v>
      </c>
      <c r="G171" s="54" t="s">
        <v>59</v>
      </c>
      <c r="H171" s="54" t="s">
        <v>67</v>
      </c>
      <c r="I171" s="55" t="s">
        <v>56</v>
      </c>
      <c r="J171" s="54"/>
    </row>
    <row r="172" spans="1:10" x14ac:dyDescent="0.3">
      <c r="A172" s="53" t="s">
        <v>55</v>
      </c>
      <c r="B172" s="54" t="s">
        <v>56</v>
      </c>
      <c r="C172" s="54" t="s">
        <v>373</v>
      </c>
      <c r="D172" s="54" t="s">
        <v>66</v>
      </c>
      <c r="E172" s="54" t="s">
        <v>58</v>
      </c>
      <c r="F172" s="54" t="s">
        <v>378</v>
      </c>
      <c r="G172" s="54" t="s">
        <v>59</v>
      </c>
      <c r="H172" s="54" t="s">
        <v>67</v>
      </c>
      <c r="I172" s="55" t="s">
        <v>56</v>
      </c>
      <c r="J172" s="54"/>
    </row>
    <row r="173" spans="1:10" x14ac:dyDescent="0.3">
      <c r="A173" s="53" t="s">
        <v>55</v>
      </c>
      <c r="B173" s="54" t="s">
        <v>56</v>
      </c>
      <c r="C173" s="54" t="s">
        <v>379</v>
      </c>
      <c r="D173" s="54" t="s">
        <v>32</v>
      </c>
      <c r="E173" s="54" t="s">
        <v>58</v>
      </c>
      <c r="F173" s="54" t="s">
        <v>380</v>
      </c>
      <c r="G173" s="54" t="s">
        <v>59</v>
      </c>
      <c r="H173" s="54" t="s">
        <v>67</v>
      </c>
      <c r="I173" s="55" t="s">
        <v>56</v>
      </c>
      <c r="J173" s="54"/>
    </row>
    <row r="174" spans="1:10" x14ac:dyDescent="0.3">
      <c r="A174" s="53" t="s">
        <v>55</v>
      </c>
      <c r="B174" s="54" t="s">
        <v>56</v>
      </c>
      <c r="C174" s="54" t="s">
        <v>379</v>
      </c>
      <c r="D174" s="54" t="s">
        <v>66</v>
      </c>
      <c r="E174" s="54" t="s">
        <v>58</v>
      </c>
      <c r="F174" s="54" t="s">
        <v>381</v>
      </c>
      <c r="G174" s="54" t="s">
        <v>59</v>
      </c>
      <c r="H174" s="54" t="s">
        <v>60</v>
      </c>
      <c r="I174" s="55" t="s">
        <v>56</v>
      </c>
      <c r="J174" s="54"/>
    </row>
    <row r="175" spans="1:10" x14ac:dyDescent="0.3">
      <c r="A175" s="53" t="s">
        <v>55</v>
      </c>
      <c r="B175" s="54" t="s">
        <v>56</v>
      </c>
      <c r="C175" s="54" t="s">
        <v>379</v>
      </c>
      <c r="D175" s="54" t="s">
        <v>66</v>
      </c>
      <c r="E175" s="54" t="s">
        <v>58</v>
      </c>
      <c r="F175" s="54" t="s">
        <v>382</v>
      </c>
      <c r="G175" s="54" t="s">
        <v>59</v>
      </c>
      <c r="H175" s="54" t="s">
        <v>60</v>
      </c>
      <c r="I175" s="55" t="s">
        <v>56</v>
      </c>
      <c r="J175" s="54"/>
    </row>
    <row r="176" spans="1:10" x14ac:dyDescent="0.3">
      <c r="A176" s="53" t="s">
        <v>55</v>
      </c>
      <c r="B176" s="54" t="s">
        <v>56</v>
      </c>
      <c r="C176" s="54" t="s">
        <v>383</v>
      </c>
      <c r="D176" s="54" t="s">
        <v>66</v>
      </c>
      <c r="E176" s="54" t="s">
        <v>58</v>
      </c>
      <c r="F176" s="54" t="s">
        <v>384</v>
      </c>
      <c r="G176" s="54" t="s">
        <v>59</v>
      </c>
      <c r="H176" s="54" t="s">
        <v>67</v>
      </c>
      <c r="I176" s="55" t="s">
        <v>56</v>
      </c>
      <c r="J176" s="54"/>
    </row>
    <row r="177" spans="1:10" x14ac:dyDescent="0.3">
      <c r="A177" s="53" t="s">
        <v>55</v>
      </c>
      <c r="B177" s="54" t="s">
        <v>56</v>
      </c>
      <c r="C177" s="54" t="s">
        <v>383</v>
      </c>
      <c r="D177" s="54" t="s">
        <v>66</v>
      </c>
      <c r="E177" s="54" t="s">
        <v>58</v>
      </c>
      <c r="F177" s="54" t="s">
        <v>385</v>
      </c>
      <c r="G177" s="54" t="s">
        <v>59</v>
      </c>
      <c r="H177" s="54" t="s">
        <v>60</v>
      </c>
      <c r="I177" s="55" t="s">
        <v>56</v>
      </c>
      <c r="J177" s="54"/>
    </row>
    <row r="178" spans="1:10" ht="43.2" x14ac:dyDescent="0.3">
      <c r="A178" s="53" t="s">
        <v>55</v>
      </c>
      <c r="B178" s="54" t="s">
        <v>56</v>
      </c>
      <c r="C178" s="54" t="s">
        <v>383</v>
      </c>
      <c r="D178" s="54" t="s">
        <v>66</v>
      </c>
      <c r="E178" s="54" t="s">
        <v>58</v>
      </c>
      <c r="F178" s="54" t="s">
        <v>386</v>
      </c>
      <c r="G178" s="54" t="s">
        <v>59</v>
      </c>
      <c r="H178" s="54" t="s">
        <v>70</v>
      </c>
      <c r="I178" s="55" t="s">
        <v>387</v>
      </c>
      <c r="J178" s="54"/>
    </row>
    <row r="179" spans="1:10" ht="43.2" x14ac:dyDescent="0.3">
      <c r="A179" s="53" t="s">
        <v>55</v>
      </c>
      <c r="B179" s="54" t="s">
        <v>56</v>
      </c>
      <c r="C179" s="54" t="s">
        <v>383</v>
      </c>
      <c r="D179" s="54" t="s">
        <v>66</v>
      </c>
      <c r="E179" s="54" t="s">
        <v>58</v>
      </c>
      <c r="F179" s="54" t="s">
        <v>388</v>
      </c>
      <c r="G179" s="54" t="s">
        <v>59</v>
      </c>
      <c r="H179" s="54" t="s">
        <v>70</v>
      </c>
      <c r="I179" s="55" t="s">
        <v>389</v>
      </c>
      <c r="J179" s="54"/>
    </row>
    <row r="180" spans="1:10" x14ac:dyDescent="0.3">
      <c r="A180" s="53" t="s">
        <v>55</v>
      </c>
      <c r="B180" s="54" t="s">
        <v>56</v>
      </c>
      <c r="C180" s="54" t="s">
        <v>390</v>
      </c>
      <c r="D180" s="54" t="s">
        <v>22</v>
      </c>
      <c r="E180" s="54" t="s">
        <v>58</v>
      </c>
      <c r="F180" s="54" t="s">
        <v>391</v>
      </c>
      <c r="G180" s="54" t="s">
        <v>59</v>
      </c>
      <c r="H180" s="54" t="s">
        <v>60</v>
      </c>
      <c r="I180" s="55" t="s">
        <v>56</v>
      </c>
      <c r="J180" s="54"/>
    </row>
    <row r="181" spans="1:10" x14ac:dyDescent="0.3">
      <c r="A181" s="53" t="s">
        <v>55</v>
      </c>
      <c r="B181" s="54" t="s">
        <v>56</v>
      </c>
      <c r="C181" s="54" t="s">
        <v>392</v>
      </c>
      <c r="D181" s="54" t="s">
        <v>66</v>
      </c>
      <c r="E181" s="54" t="s">
        <v>58</v>
      </c>
      <c r="F181" s="54" t="s">
        <v>393</v>
      </c>
      <c r="G181" s="54" t="s">
        <v>59</v>
      </c>
      <c r="H181" s="54" t="s">
        <v>67</v>
      </c>
      <c r="I181" s="55" t="s">
        <v>56</v>
      </c>
      <c r="J181" s="54"/>
    </row>
    <row r="182" spans="1:10" ht="43.2" x14ac:dyDescent="0.3">
      <c r="A182" s="53" t="s">
        <v>55</v>
      </c>
      <c r="B182" s="54" t="s">
        <v>56</v>
      </c>
      <c r="C182" s="54" t="s">
        <v>392</v>
      </c>
      <c r="D182" s="54" t="s">
        <v>66</v>
      </c>
      <c r="E182" s="54" t="s">
        <v>58</v>
      </c>
      <c r="F182" s="54" t="s">
        <v>394</v>
      </c>
      <c r="G182" s="54" t="s">
        <v>59</v>
      </c>
      <c r="H182" s="54" t="s">
        <v>70</v>
      </c>
      <c r="I182" s="55" t="s">
        <v>395</v>
      </c>
      <c r="J182" s="54"/>
    </row>
    <row r="183" spans="1:10" ht="86.4" x14ac:dyDescent="0.3">
      <c r="A183" s="53" t="s">
        <v>55</v>
      </c>
      <c r="B183" s="54" t="s">
        <v>56</v>
      </c>
      <c r="C183" s="54" t="s">
        <v>392</v>
      </c>
      <c r="D183" s="54" t="s">
        <v>27</v>
      </c>
      <c r="E183" s="54" t="s">
        <v>58</v>
      </c>
      <c r="F183" s="54" t="s">
        <v>396</v>
      </c>
      <c r="G183" s="54" t="s">
        <v>59</v>
      </c>
      <c r="H183" s="54" t="s">
        <v>60</v>
      </c>
      <c r="I183" s="55" t="s">
        <v>397</v>
      </c>
      <c r="J183" s="54"/>
    </row>
    <row r="184" spans="1:10" ht="43.2" x14ac:dyDescent="0.3">
      <c r="A184" s="53" t="s">
        <v>55</v>
      </c>
      <c r="B184" s="54" t="s">
        <v>56</v>
      </c>
      <c r="C184" s="54" t="s">
        <v>392</v>
      </c>
      <c r="D184" s="54" t="s">
        <v>66</v>
      </c>
      <c r="E184" s="54" t="s">
        <v>58</v>
      </c>
      <c r="F184" s="54" t="s">
        <v>398</v>
      </c>
      <c r="G184" s="54" t="s">
        <v>59</v>
      </c>
      <c r="H184" s="54" t="s">
        <v>70</v>
      </c>
      <c r="I184" s="55" t="s">
        <v>399</v>
      </c>
      <c r="J184" s="54"/>
    </row>
    <row r="185" spans="1:10" x14ac:dyDescent="0.3">
      <c r="A185" s="53" t="s">
        <v>55</v>
      </c>
      <c r="B185" s="54" t="s">
        <v>56</v>
      </c>
      <c r="C185" s="54" t="s">
        <v>400</v>
      </c>
      <c r="D185" s="54" t="s">
        <v>66</v>
      </c>
      <c r="E185" s="54" t="s">
        <v>58</v>
      </c>
      <c r="F185" s="54" t="s">
        <v>401</v>
      </c>
      <c r="G185" s="54" t="s">
        <v>59</v>
      </c>
      <c r="H185" s="54" t="s">
        <v>67</v>
      </c>
      <c r="I185" s="55" t="s">
        <v>56</v>
      </c>
      <c r="J185" s="54"/>
    </row>
    <row r="186" spans="1:10" ht="86.4" x14ac:dyDescent="0.3">
      <c r="A186" s="53" t="s">
        <v>55</v>
      </c>
      <c r="B186" s="54" t="s">
        <v>56</v>
      </c>
      <c r="C186" s="54" t="s">
        <v>400</v>
      </c>
      <c r="D186" s="54" t="s">
        <v>38</v>
      </c>
      <c r="E186" s="54" t="s">
        <v>58</v>
      </c>
      <c r="F186" s="54" t="s">
        <v>402</v>
      </c>
      <c r="G186" s="54" t="s">
        <v>114</v>
      </c>
      <c r="H186" s="54" t="s">
        <v>60</v>
      </c>
      <c r="I186" s="55" t="s">
        <v>403</v>
      </c>
      <c r="J186" s="54"/>
    </row>
    <row r="187" spans="1:10" x14ac:dyDescent="0.3">
      <c r="A187" s="53" t="s">
        <v>55</v>
      </c>
      <c r="B187" s="54" t="s">
        <v>56</v>
      </c>
      <c r="C187" s="54" t="s">
        <v>400</v>
      </c>
      <c r="D187" s="54" t="s">
        <v>66</v>
      </c>
      <c r="E187" s="54" t="s">
        <v>58</v>
      </c>
      <c r="F187" s="54" t="s">
        <v>404</v>
      </c>
      <c r="G187" s="54" t="s">
        <v>59</v>
      </c>
      <c r="H187" s="54" t="s">
        <v>67</v>
      </c>
      <c r="I187" s="55" t="s">
        <v>56</v>
      </c>
      <c r="J187" s="54"/>
    </row>
    <row r="188" spans="1:10" ht="43.2" x14ac:dyDescent="0.3">
      <c r="A188" s="53" t="s">
        <v>55</v>
      </c>
      <c r="B188" s="54" t="s">
        <v>56</v>
      </c>
      <c r="C188" s="54" t="s">
        <v>400</v>
      </c>
      <c r="D188" s="54" t="s">
        <v>66</v>
      </c>
      <c r="E188" s="54" t="s">
        <v>58</v>
      </c>
      <c r="F188" s="54" t="s">
        <v>405</v>
      </c>
      <c r="G188" s="54" t="s">
        <v>59</v>
      </c>
      <c r="H188" s="54" t="s">
        <v>70</v>
      </c>
      <c r="I188" s="55" t="s">
        <v>406</v>
      </c>
      <c r="J188" s="54"/>
    </row>
    <row r="189" spans="1:10" ht="43.2" x14ac:dyDescent="0.3">
      <c r="A189" s="53" t="s">
        <v>55</v>
      </c>
      <c r="B189" s="54" t="s">
        <v>56</v>
      </c>
      <c r="C189" s="54" t="s">
        <v>400</v>
      </c>
      <c r="D189" s="54" t="s">
        <v>66</v>
      </c>
      <c r="E189" s="54" t="s">
        <v>58</v>
      </c>
      <c r="F189" s="54" t="s">
        <v>407</v>
      </c>
      <c r="G189" s="54" t="s">
        <v>59</v>
      </c>
      <c r="H189" s="54" t="s">
        <v>70</v>
      </c>
      <c r="I189" s="55" t="s">
        <v>408</v>
      </c>
      <c r="J189" s="54"/>
    </row>
    <row r="190" spans="1:10" x14ac:dyDescent="0.3">
      <c r="A190" s="53" t="s">
        <v>55</v>
      </c>
      <c r="B190" s="54" t="s">
        <v>56</v>
      </c>
      <c r="C190" s="54" t="s">
        <v>409</v>
      </c>
      <c r="D190" s="54" t="s">
        <v>66</v>
      </c>
      <c r="E190" s="54" t="s">
        <v>58</v>
      </c>
      <c r="F190" s="54" t="s">
        <v>410</v>
      </c>
      <c r="G190" s="54" t="s">
        <v>59</v>
      </c>
      <c r="H190" s="54" t="s">
        <v>60</v>
      </c>
      <c r="I190" s="55" t="s">
        <v>56</v>
      </c>
      <c r="J190" s="54"/>
    </row>
    <row r="191" spans="1:10" x14ac:dyDescent="0.3">
      <c r="A191" s="53" t="s">
        <v>55</v>
      </c>
      <c r="B191" s="54" t="s">
        <v>56</v>
      </c>
      <c r="C191" s="54" t="s">
        <v>409</v>
      </c>
      <c r="D191" s="54" t="s">
        <v>66</v>
      </c>
      <c r="E191" s="54" t="s">
        <v>58</v>
      </c>
      <c r="F191" s="54" t="s">
        <v>411</v>
      </c>
      <c r="G191" s="54" t="s">
        <v>59</v>
      </c>
      <c r="H191" s="54" t="s">
        <v>60</v>
      </c>
      <c r="I191" s="55" t="s">
        <v>56</v>
      </c>
      <c r="J191" s="54"/>
    </row>
    <row r="192" spans="1:10" ht="43.2" x14ac:dyDescent="0.3">
      <c r="A192" s="53" t="s">
        <v>55</v>
      </c>
      <c r="B192" s="54" t="s">
        <v>56</v>
      </c>
      <c r="C192" s="54" t="s">
        <v>409</v>
      </c>
      <c r="D192" s="54" t="s">
        <v>66</v>
      </c>
      <c r="E192" s="54" t="s">
        <v>58</v>
      </c>
      <c r="F192" s="54" t="s">
        <v>412</v>
      </c>
      <c r="G192" s="54" t="s">
        <v>59</v>
      </c>
      <c r="H192" s="54" t="s">
        <v>60</v>
      </c>
      <c r="I192" s="55" t="s">
        <v>413</v>
      </c>
      <c r="J192" s="54"/>
    </row>
    <row r="193" spans="1:10" x14ac:dyDescent="0.3">
      <c r="A193" s="53" t="s">
        <v>55</v>
      </c>
      <c r="B193" s="54" t="s">
        <v>56</v>
      </c>
      <c r="C193" s="54" t="s">
        <v>414</v>
      </c>
      <c r="D193" s="54" t="s">
        <v>66</v>
      </c>
      <c r="E193" s="54" t="s">
        <v>58</v>
      </c>
      <c r="F193" s="54" t="s">
        <v>415</v>
      </c>
      <c r="G193" s="54" t="s">
        <v>59</v>
      </c>
      <c r="H193" s="54" t="s">
        <v>67</v>
      </c>
      <c r="I193" s="55" t="s">
        <v>56</v>
      </c>
      <c r="J193" s="54"/>
    </row>
    <row r="194" spans="1:10" ht="43.2" x14ac:dyDescent="0.3">
      <c r="A194" s="53" t="s">
        <v>55</v>
      </c>
      <c r="B194" s="54" t="s">
        <v>56</v>
      </c>
      <c r="C194" s="54" t="s">
        <v>414</v>
      </c>
      <c r="D194" s="54" t="s">
        <v>66</v>
      </c>
      <c r="E194" s="54" t="s">
        <v>58</v>
      </c>
      <c r="F194" s="54" t="s">
        <v>416</v>
      </c>
      <c r="G194" s="54" t="s">
        <v>59</v>
      </c>
      <c r="H194" s="54" t="s">
        <v>70</v>
      </c>
      <c r="I194" s="55" t="s">
        <v>417</v>
      </c>
      <c r="J194" s="54"/>
    </row>
    <row r="195" spans="1:10" x14ac:dyDescent="0.3">
      <c r="A195" s="53" t="s">
        <v>55</v>
      </c>
      <c r="B195" s="54" t="s">
        <v>56</v>
      </c>
      <c r="C195" s="54" t="s">
        <v>414</v>
      </c>
      <c r="D195" s="54" t="s">
        <v>66</v>
      </c>
      <c r="E195" s="54" t="s">
        <v>58</v>
      </c>
      <c r="F195" s="54" t="s">
        <v>268</v>
      </c>
      <c r="G195" s="54" t="s">
        <v>59</v>
      </c>
      <c r="H195" s="54" t="s">
        <v>60</v>
      </c>
      <c r="I195" s="55" t="s">
        <v>56</v>
      </c>
      <c r="J195" s="54"/>
    </row>
    <row r="196" spans="1:10" x14ac:dyDescent="0.3">
      <c r="A196" s="53" t="s">
        <v>55</v>
      </c>
      <c r="B196" s="54" t="s">
        <v>56</v>
      </c>
      <c r="C196" s="54" t="s">
        <v>414</v>
      </c>
      <c r="D196" s="54" t="s">
        <v>66</v>
      </c>
      <c r="E196" s="54" t="s">
        <v>58</v>
      </c>
      <c r="F196" s="54" t="s">
        <v>410</v>
      </c>
      <c r="G196" s="54" t="s">
        <v>59</v>
      </c>
      <c r="H196" s="54" t="s">
        <v>60</v>
      </c>
      <c r="I196" s="55" t="s">
        <v>56</v>
      </c>
      <c r="J196" s="54"/>
    </row>
    <row r="197" spans="1:10" ht="28.8" x14ac:dyDescent="0.3">
      <c r="A197" s="53" t="s">
        <v>55</v>
      </c>
      <c r="B197" s="54" t="s">
        <v>56</v>
      </c>
      <c r="C197" s="54" t="s">
        <v>414</v>
      </c>
      <c r="D197" s="54" t="s">
        <v>66</v>
      </c>
      <c r="E197" s="54" t="s">
        <v>58</v>
      </c>
      <c r="F197" s="54" t="s">
        <v>418</v>
      </c>
      <c r="G197" s="54" t="s">
        <v>59</v>
      </c>
      <c r="H197" s="54" t="s">
        <v>60</v>
      </c>
      <c r="I197" s="55" t="s">
        <v>419</v>
      </c>
      <c r="J197" s="54"/>
    </row>
    <row r="198" spans="1:10" x14ac:dyDescent="0.3">
      <c r="A198" s="53" t="s">
        <v>55</v>
      </c>
      <c r="B198" s="54" t="s">
        <v>56</v>
      </c>
      <c r="C198" s="54" t="s">
        <v>414</v>
      </c>
      <c r="D198" s="54" t="s">
        <v>35</v>
      </c>
      <c r="E198" s="54" t="s">
        <v>58</v>
      </c>
      <c r="F198" s="54" t="s">
        <v>420</v>
      </c>
      <c r="G198" s="54" t="s">
        <v>59</v>
      </c>
      <c r="H198" s="54" t="s">
        <v>67</v>
      </c>
      <c r="I198" s="55" t="s">
        <v>56</v>
      </c>
      <c r="J198" s="54"/>
    </row>
    <row r="199" spans="1:10" x14ac:dyDescent="0.3">
      <c r="A199" s="53" t="s">
        <v>55</v>
      </c>
      <c r="B199" s="54" t="s">
        <v>56</v>
      </c>
      <c r="C199" s="54" t="s">
        <v>414</v>
      </c>
      <c r="D199" s="54" t="s">
        <v>66</v>
      </c>
      <c r="E199" s="54" t="s">
        <v>58</v>
      </c>
      <c r="F199" s="54" t="s">
        <v>421</v>
      </c>
      <c r="G199" s="54" t="s">
        <v>114</v>
      </c>
      <c r="H199" s="54" t="s">
        <v>60</v>
      </c>
      <c r="I199" s="55" t="s">
        <v>56</v>
      </c>
      <c r="J199" s="54"/>
    </row>
    <row r="200" spans="1:10" x14ac:dyDescent="0.3">
      <c r="A200" s="53" t="s">
        <v>55</v>
      </c>
      <c r="B200" s="54" t="s">
        <v>56</v>
      </c>
      <c r="C200" s="54" t="s">
        <v>414</v>
      </c>
      <c r="D200" s="54" t="s">
        <v>66</v>
      </c>
      <c r="E200" s="54" t="s">
        <v>58</v>
      </c>
      <c r="F200" s="54" t="s">
        <v>420</v>
      </c>
      <c r="G200" s="54" t="s">
        <v>59</v>
      </c>
      <c r="H200" s="54" t="s">
        <v>67</v>
      </c>
      <c r="I200" s="55" t="s">
        <v>56</v>
      </c>
      <c r="J200" s="54"/>
    </row>
    <row r="201" spans="1:10" x14ac:dyDescent="0.3">
      <c r="A201" s="53" t="s">
        <v>55</v>
      </c>
      <c r="B201" s="54" t="s">
        <v>56</v>
      </c>
      <c r="C201" s="54" t="s">
        <v>414</v>
      </c>
      <c r="D201" s="54" t="s">
        <v>107</v>
      </c>
      <c r="E201" s="54" t="s">
        <v>58</v>
      </c>
      <c r="F201" s="54" t="s">
        <v>420</v>
      </c>
      <c r="G201" s="54" t="s">
        <v>59</v>
      </c>
      <c r="H201" s="54" t="s">
        <v>67</v>
      </c>
      <c r="I201" s="55" t="s">
        <v>56</v>
      </c>
      <c r="J201" s="54"/>
    </row>
    <row r="202" spans="1:10" x14ac:dyDescent="0.3">
      <c r="A202" s="53" t="s">
        <v>55</v>
      </c>
      <c r="B202" s="54" t="s">
        <v>56</v>
      </c>
      <c r="C202" s="54" t="s">
        <v>414</v>
      </c>
      <c r="D202" s="54" t="s">
        <v>66</v>
      </c>
      <c r="E202" s="54" t="s">
        <v>58</v>
      </c>
      <c r="F202" s="54" t="s">
        <v>422</v>
      </c>
      <c r="G202" s="54" t="s">
        <v>59</v>
      </c>
      <c r="H202" s="54" t="s">
        <v>60</v>
      </c>
      <c r="I202" s="55" t="s">
        <v>56</v>
      </c>
      <c r="J202" s="54"/>
    </row>
    <row r="203" spans="1:10" x14ac:dyDescent="0.3">
      <c r="A203" s="53" t="s">
        <v>55</v>
      </c>
      <c r="B203" s="54" t="s">
        <v>56</v>
      </c>
      <c r="C203" s="54" t="s">
        <v>414</v>
      </c>
      <c r="D203" s="54" t="s">
        <v>66</v>
      </c>
      <c r="E203" s="54" t="s">
        <v>58</v>
      </c>
      <c r="F203" s="54" t="s">
        <v>274</v>
      </c>
      <c r="G203" s="54" t="s">
        <v>59</v>
      </c>
      <c r="H203" s="54" t="s">
        <v>60</v>
      </c>
      <c r="I203" s="55" t="s">
        <v>56</v>
      </c>
      <c r="J203" s="54"/>
    </row>
    <row r="204" spans="1:10" x14ac:dyDescent="0.3">
      <c r="A204" s="53" t="s">
        <v>55</v>
      </c>
      <c r="B204" s="54" t="s">
        <v>56</v>
      </c>
      <c r="C204" s="54" t="s">
        <v>414</v>
      </c>
      <c r="D204" s="54" t="s">
        <v>66</v>
      </c>
      <c r="E204" s="54" t="s">
        <v>58</v>
      </c>
      <c r="F204" s="54" t="s">
        <v>268</v>
      </c>
      <c r="G204" s="54" t="s">
        <v>59</v>
      </c>
      <c r="H204" s="54" t="s">
        <v>60</v>
      </c>
      <c r="I204" s="55" t="s">
        <v>56</v>
      </c>
      <c r="J204" s="54"/>
    </row>
    <row r="205" spans="1:10" x14ac:dyDescent="0.3">
      <c r="A205" s="53" t="s">
        <v>55</v>
      </c>
      <c r="B205" s="54" t="s">
        <v>56</v>
      </c>
      <c r="C205" s="54" t="s">
        <v>414</v>
      </c>
      <c r="D205" s="54" t="s">
        <v>66</v>
      </c>
      <c r="E205" s="54" t="s">
        <v>58</v>
      </c>
      <c r="F205" s="54" t="s">
        <v>423</v>
      </c>
      <c r="G205" s="54" t="s">
        <v>59</v>
      </c>
      <c r="H205" s="54" t="s">
        <v>60</v>
      </c>
      <c r="I205" s="55" t="s">
        <v>56</v>
      </c>
      <c r="J205" s="54"/>
    </row>
    <row r="206" spans="1:10" x14ac:dyDescent="0.3">
      <c r="A206" s="53" t="s">
        <v>55</v>
      </c>
      <c r="B206" s="54" t="s">
        <v>56</v>
      </c>
      <c r="C206" s="54" t="s">
        <v>414</v>
      </c>
      <c r="D206" s="54" t="s">
        <v>66</v>
      </c>
      <c r="E206" s="54" t="s">
        <v>58</v>
      </c>
      <c r="F206" s="54" t="s">
        <v>424</v>
      </c>
      <c r="G206" s="54" t="s">
        <v>59</v>
      </c>
      <c r="H206" s="54" t="s">
        <v>60</v>
      </c>
      <c r="I206" s="55" t="s">
        <v>56</v>
      </c>
      <c r="J206" s="54"/>
    </row>
    <row r="207" spans="1:10" x14ac:dyDescent="0.3">
      <c r="A207" s="53" t="s">
        <v>55</v>
      </c>
      <c r="B207" s="54" t="s">
        <v>56</v>
      </c>
      <c r="C207" s="54" t="s">
        <v>414</v>
      </c>
      <c r="D207" s="54" t="s">
        <v>66</v>
      </c>
      <c r="E207" s="54" t="s">
        <v>58</v>
      </c>
      <c r="F207" s="54" t="s">
        <v>425</v>
      </c>
      <c r="G207" s="54" t="s">
        <v>59</v>
      </c>
      <c r="H207" s="54" t="s">
        <v>60</v>
      </c>
      <c r="I207" s="55" t="s">
        <v>56</v>
      </c>
      <c r="J207" s="54"/>
    </row>
    <row r="208" spans="1:10" x14ac:dyDescent="0.3">
      <c r="A208" s="53" t="s">
        <v>55</v>
      </c>
      <c r="B208" s="54" t="s">
        <v>56</v>
      </c>
      <c r="C208" s="54" t="s">
        <v>414</v>
      </c>
      <c r="D208" s="54" t="s">
        <v>66</v>
      </c>
      <c r="E208" s="54" t="s">
        <v>58</v>
      </c>
      <c r="F208" s="54" t="s">
        <v>426</v>
      </c>
      <c r="G208" s="54" t="s">
        <v>59</v>
      </c>
      <c r="H208" s="54" t="s">
        <v>67</v>
      </c>
      <c r="I208" s="55" t="s">
        <v>56</v>
      </c>
      <c r="J208" s="54"/>
    </row>
    <row r="209" spans="1:10" x14ac:dyDescent="0.3">
      <c r="A209" s="53" t="s">
        <v>130</v>
      </c>
      <c r="B209" s="54" t="s">
        <v>130</v>
      </c>
      <c r="C209" s="54" t="s">
        <v>427</v>
      </c>
      <c r="D209" s="54" t="s">
        <v>66</v>
      </c>
      <c r="E209" s="54" t="s">
        <v>58</v>
      </c>
      <c r="F209" s="54" t="s">
        <v>428</v>
      </c>
      <c r="G209" s="54" t="s">
        <v>59</v>
      </c>
      <c r="H209" s="54" t="s">
        <v>67</v>
      </c>
      <c r="I209" s="55" t="s">
        <v>56</v>
      </c>
      <c r="J209" s="54"/>
    </row>
    <row r="210" spans="1:10" x14ac:dyDescent="0.3">
      <c r="A210" s="53" t="s">
        <v>55</v>
      </c>
      <c r="B210" s="54" t="s">
        <v>56</v>
      </c>
      <c r="C210" s="54" t="s">
        <v>427</v>
      </c>
      <c r="D210" s="54" t="s">
        <v>66</v>
      </c>
      <c r="E210" s="54" t="s">
        <v>58</v>
      </c>
      <c r="F210" s="54" t="s">
        <v>429</v>
      </c>
      <c r="G210" s="54" t="s">
        <v>59</v>
      </c>
      <c r="H210" s="54" t="s">
        <v>67</v>
      </c>
      <c r="I210" s="55" t="s">
        <v>56</v>
      </c>
      <c r="J210" s="54"/>
    </row>
    <row r="211" spans="1:10" x14ac:dyDescent="0.3">
      <c r="A211" s="53" t="s">
        <v>55</v>
      </c>
      <c r="B211" s="54" t="s">
        <v>56</v>
      </c>
      <c r="C211" s="54" t="s">
        <v>427</v>
      </c>
      <c r="D211" s="54" t="s">
        <v>66</v>
      </c>
      <c r="E211" s="54" t="s">
        <v>58</v>
      </c>
      <c r="F211" s="54" t="s">
        <v>430</v>
      </c>
      <c r="G211" s="54" t="s">
        <v>59</v>
      </c>
      <c r="H211" s="54" t="s">
        <v>67</v>
      </c>
      <c r="I211" s="55" t="s">
        <v>56</v>
      </c>
      <c r="J211" s="54"/>
    </row>
    <row r="212" spans="1:10" x14ac:dyDescent="0.3">
      <c r="A212" s="53" t="s">
        <v>55</v>
      </c>
      <c r="B212" s="54" t="s">
        <v>56</v>
      </c>
      <c r="C212" s="54" t="s">
        <v>427</v>
      </c>
      <c r="D212" s="54" t="s">
        <v>35</v>
      </c>
      <c r="E212" s="54" t="s">
        <v>58</v>
      </c>
      <c r="F212" s="54" t="s">
        <v>377</v>
      </c>
      <c r="G212" s="54" t="s">
        <v>59</v>
      </c>
      <c r="H212" s="54" t="s">
        <v>67</v>
      </c>
      <c r="I212" s="55" t="s">
        <v>56</v>
      </c>
      <c r="J212" s="54"/>
    </row>
    <row r="213" spans="1:10" x14ac:dyDescent="0.3">
      <c r="A213" s="53" t="s">
        <v>55</v>
      </c>
      <c r="B213" s="54" t="s">
        <v>56</v>
      </c>
      <c r="C213" s="54" t="s">
        <v>427</v>
      </c>
      <c r="D213" s="54" t="s">
        <v>66</v>
      </c>
      <c r="E213" s="54" t="s">
        <v>58</v>
      </c>
      <c r="F213" s="54" t="s">
        <v>431</v>
      </c>
      <c r="G213" s="54" t="s">
        <v>59</v>
      </c>
      <c r="H213" s="54" t="s">
        <v>67</v>
      </c>
      <c r="I213" s="55" t="s">
        <v>56</v>
      </c>
      <c r="J213" s="54"/>
    </row>
    <row r="214" spans="1:10" ht="28.8" x14ac:dyDescent="0.3">
      <c r="A214" s="53" t="s">
        <v>55</v>
      </c>
      <c r="B214" s="54" t="s">
        <v>56</v>
      </c>
      <c r="C214" s="54" t="s">
        <v>427</v>
      </c>
      <c r="D214" s="54" t="s">
        <v>66</v>
      </c>
      <c r="E214" s="54" t="s">
        <v>58</v>
      </c>
      <c r="F214" s="54" t="s">
        <v>432</v>
      </c>
      <c r="G214" s="54" t="s">
        <v>59</v>
      </c>
      <c r="H214" s="54" t="s">
        <v>70</v>
      </c>
      <c r="I214" s="55" t="s">
        <v>433</v>
      </c>
      <c r="J214" s="54"/>
    </row>
    <row r="215" spans="1:10" ht="43.2" x14ac:dyDescent="0.3">
      <c r="A215" s="53" t="s">
        <v>55</v>
      </c>
      <c r="B215" s="54" t="s">
        <v>56</v>
      </c>
      <c r="C215" s="54" t="s">
        <v>427</v>
      </c>
      <c r="D215" s="54" t="s">
        <v>66</v>
      </c>
      <c r="E215" s="54" t="s">
        <v>58</v>
      </c>
      <c r="F215" s="54" t="s">
        <v>434</v>
      </c>
      <c r="G215" s="54" t="s">
        <v>59</v>
      </c>
      <c r="H215" s="54" t="s">
        <v>70</v>
      </c>
      <c r="I215" s="55" t="s">
        <v>435</v>
      </c>
      <c r="J215" s="54"/>
    </row>
    <row r="216" spans="1:10" ht="43.2" x14ac:dyDescent="0.3">
      <c r="A216" s="53" t="s">
        <v>55</v>
      </c>
      <c r="B216" s="54" t="s">
        <v>56</v>
      </c>
      <c r="C216" s="54" t="s">
        <v>427</v>
      </c>
      <c r="D216" s="54" t="s">
        <v>66</v>
      </c>
      <c r="E216" s="54" t="s">
        <v>58</v>
      </c>
      <c r="F216" s="54" t="s">
        <v>436</v>
      </c>
      <c r="G216" s="54" t="s">
        <v>59</v>
      </c>
      <c r="H216" s="54" t="s">
        <v>70</v>
      </c>
      <c r="I216" s="55" t="s">
        <v>437</v>
      </c>
      <c r="J216" s="54"/>
    </row>
    <row r="217" spans="1:10" ht="28.8" x14ac:dyDescent="0.3">
      <c r="A217" s="53" t="s">
        <v>55</v>
      </c>
      <c r="B217" s="54" t="s">
        <v>56</v>
      </c>
      <c r="C217" s="54" t="s">
        <v>427</v>
      </c>
      <c r="D217" s="54" t="s">
        <v>66</v>
      </c>
      <c r="E217" s="54" t="s">
        <v>58</v>
      </c>
      <c r="F217" s="54" t="s">
        <v>438</v>
      </c>
      <c r="G217" s="54" t="s">
        <v>59</v>
      </c>
      <c r="H217" s="54" t="s">
        <v>70</v>
      </c>
      <c r="I217" s="55" t="s">
        <v>439</v>
      </c>
      <c r="J217" s="54"/>
    </row>
    <row r="218" spans="1:10" ht="28.8" x14ac:dyDescent="0.3">
      <c r="A218" s="53" t="s">
        <v>55</v>
      </c>
      <c r="B218" s="54" t="s">
        <v>56</v>
      </c>
      <c r="C218" s="54" t="s">
        <v>427</v>
      </c>
      <c r="D218" s="54" t="s">
        <v>66</v>
      </c>
      <c r="E218" s="54" t="s">
        <v>58</v>
      </c>
      <c r="F218" s="54" t="s">
        <v>440</v>
      </c>
      <c r="G218" s="54" t="s">
        <v>59</v>
      </c>
      <c r="H218" s="54" t="s">
        <v>70</v>
      </c>
      <c r="I218" s="55" t="s">
        <v>441</v>
      </c>
      <c r="J218" s="54"/>
    </row>
    <row r="219" spans="1:10" ht="28.8" x14ac:dyDescent="0.3">
      <c r="A219" s="53" t="s">
        <v>55</v>
      </c>
      <c r="B219" s="54" t="s">
        <v>56</v>
      </c>
      <c r="C219" s="54" t="s">
        <v>427</v>
      </c>
      <c r="D219" s="54" t="s">
        <v>66</v>
      </c>
      <c r="E219" s="54" t="s">
        <v>58</v>
      </c>
      <c r="F219" s="54" t="s">
        <v>442</v>
      </c>
      <c r="G219" s="54" t="s">
        <v>59</v>
      </c>
      <c r="H219" s="54" t="s">
        <v>70</v>
      </c>
      <c r="I219" s="55" t="s">
        <v>443</v>
      </c>
      <c r="J219" s="54"/>
    </row>
    <row r="220" spans="1:10" x14ac:dyDescent="0.3">
      <c r="A220" s="53" t="s">
        <v>55</v>
      </c>
      <c r="B220" s="54" t="s">
        <v>56</v>
      </c>
      <c r="C220" s="54" t="s">
        <v>427</v>
      </c>
      <c r="D220" s="54" t="s">
        <v>38</v>
      </c>
      <c r="E220" s="54" t="s">
        <v>58</v>
      </c>
      <c r="F220" s="54" t="s">
        <v>444</v>
      </c>
      <c r="G220" s="54" t="s">
        <v>59</v>
      </c>
      <c r="H220" s="54" t="s">
        <v>67</v>
      </c>
      <c r="I220" s="55" t="s">
        <v>56</v>
      </c>
      <c r="J220" s="54"/>
    </row>
    <row r="221" spans="1:10" x14ac:dyDescent="0.3">
      <c r="A221" s="53" t="s">
        <v>55</v>
      </c>
      <c r="B221" s="54" t="s">
        <v>56</v>
      </c>
      <c r="C221" s="54" t="s">
        <v>427</v>
      </c>
      <c r="D221" s="54" t="s">
        <v>66</v>
      </c>
      <c r="E221" s="54" t="s">
        <v>58</v>
      </c>
      <c r="F221" s="54" t="s">
        <v>444</v>
      </c>
      <c r="G221" s="54" t="s">
        <v>59</v>
      </c>
      <c r="H221" s="54" t="s">
        <v>67</v>
      </c>
      <c r="I221" s="55" t="s">
        <v>56</v>
      </c>
      <c r="J221" s="54"/>
    </row>
    <row r="222" spans="1:10" x14ac:dyDescent="0.3">
      <c r="A222" s="53" t="s">
        <v>55</v>
      </c>
      <c r="B222" s="54" t="s">
        <v>56</v>
      </c>
      <c r="C222" s="54" t="s">
        <v>427</v>
      </c>
      <c r="D222" s="54" t="s">
        <v>66</v>
      </c>
      <c r="E222" s="54" t="s">
        <v>58</v>
      </c>
      <c r="F222" s="54" t="s">
        <v>445</v>
      </c>
      <c r="G222" s="54" t="s">
        <v>59</v>
      </c>
      <c r="H222" s="54" t="s">
        <v>67</v>
      </c>
      <c r="I222" s="55" t="s">
        <v>56</v>
      </c>
      <c r="J222" s="54"/>
    </row>
    <row r="223" spans="1:10" x14ac:dyDescent="0.3">
      <c r="A223" s="53" t="s">
        <v>55</v>
      </c>
      <c r="B223" s="54" t="s">
        <v>56</v>
      </c>
      <c r="C223" s="54" t="s">
        <v>427</v>
      </c>
      <c r="D223" s="54" t="s">
        <v>66</v>
      </c>
      <c r="E223" s="54" t="s">
        <v>58</v>
      </c>
      <c r="F223" s="54" t="s">
        <v>446</v>
      </c>
      <c r="G223" s="54" t="s">
        <v>59</v>
      </c>
      <c r="H223" s="54" t="s">
        <v>67</v>
      </c>
      <c r="I223" s="55" t="s">
        <v>56</v>
      </c>
      <c r="J223" s="54"/>
    </row>
    <row r="224" spans="1:10" x14ac:dyDescent="0.3">
      <c r="A224" s="53" t="s">
        <v>55</v>
      </c>
      <c r="B224" s="54" t="s">
        <v>56</v>
      </c>
      <c r="C224" s="54" t="s">
        <v>427</v>
      </c>
      <c r="D224" s="54" t="s">
        <v>66</v>
      </c>
      <c r="E224" s="54" t="s">
        <v>58</v>
      </c>
      <c r="F224" s="54" t="s">
        <v>447</v>
      </c>
      <c r="G224" s="54" t="s">
        <v>59</v>
      </c>
      <c r="H224" s="54" t="s">
        <v>60</v>
      </c>
      <c r="I224" s="55" t="s">
        <v>56</v>
      </c>
      <c r="J224" s="54"/>
    </row>
    <row r="225" spans="1:10" x14ac:dyDescent="0.3">
      <c r="A225" s="53" t="s">
        <v>55</v>
      </c>
      <c r="B225" s="54" t="s">
        <v>56</v>
      </c>
      <c r="C225" s="54" t="s">
        <v>427</v>
      </c>
      <c r="D225" s="54" t="s">
        <v>66</v>
      </c>
      <c r="E225" s="54" t="s">
        <v>58</v>
      </c>
      <c r="F225" s="54" t="s">
        <v>448</v>
      </c>
      <c r="G225" s="54" t="s">
        <v>59</v>
      </c>
      <c r="H225" s="54" t="s">
        <v>60</v>
      </c>
      <c r="I225" s="55" t="s">
        <v>56</v>
      </c>
      <c r="J225" s="54"/>
    </row>
    <row r="226" spans="1:10" x14ac:dyDescent="0.3">
      <c r="A226" s="53" t="s">
        <v>55</v>
      </c>
      <c r="B226" s="54" t="s">
        <v>56</v>
      </c>
      <c r="C226" s="54" t="s">
        <v>427</v>
      </c>
      <c r="D226" s="54" t="s">
        <v>66</v>
      </c>
      <c r="E226" s="54" t="s">
        <v>58</v>
      </c>
      <c r="F226" s="54" t="s">
        <v>79</v>
      </c>
      <c r="G226" s="54" t="s">
        <v>59</v>
      </c>
      <c r="H226" s="54" t="s">
        <v>60</v>
      </c>
      <c r="I226" s="55" t="s">
        <v>56</v>
      </c>
      <c r="J226" s="54"/>
    </row>
    <row r="227" spans="1:10" ht="28.8" x14ac:dyDescent="0.3">
      <c r="A227" s="53" t="s">
        <v>55</v>
      </c>
      <c r="B227" s="54" t="s">
        <v>56</v>
      </c>
      <c r="C227" s="54" t="s">
        <v>427</v>
      </c>
      <c r="D227" s="54" t="s">
        <v>66</v>
      </c>
      <c r="E227" s="54" t="s">
        <v>58</v>
      </c>
      <c r="F227" s="54" t="s">
        <v>449</v>
      </c>
      <c r="G227" s="54" t="s">
        <v>450</v>
      </c>
      <c r="H227" s="54" t="s">
        <v>60</v>
      </c>
      <c r="I227" s="55" t="s">
        <v>68</v>
      </c>
      <c r="J227" s="54"/>
    </row>
    <row r="228" spans="1:10" x14ac:dyDescent="0.3">
      <c r="A228" s="53" t="s">
        <v>55</v>
      </c>
      <c r="B228" s="54" t="s">
        <v>56</v>
      </c>
      <c r="C228" s="54" t="s">
        <v>451</v>
      </c>
      <c r="D228" s="54" t="s">
        <v>66</v>
      </c>
      <c r="E228" s="54" t="s">
        <v>58</v>
      </c>
      <c r="F228" s="54" t="s">
        <v>428</v>
      </c>
      <c r="G228" s="54" t="s">
        <v>59</v>
      </c>
      <c r="H228" s="54" t="s">
        <v>67</v>
      </c>
      <c r="I228" s="55" t="s">
        <v>56</v>
      </c>
      <c r="J228" s="54"/>
    </row>
    <row r="229" spans="1:10" x14ac:dyDescent="0.3">
      <c r="A229" s="53" t="s">
        <v>55</v>
      </c>
      <c r="B229" s="54" t="s">
        <v>56</v>
      </c>
      <c r="C229" s="54" t="s">
        <v>451</v>
      </c>
      <c r="D229" s="54" t="s">
        <v>66</v>
      </c>
      <c r="E229" s="54" t="s">
        <v>58</v>
      </c>
      <c r="F229" s="54" t="s">
        <v>452</v>
      </c>
      <c r="G229" s="54" t="s">
        <v>59</v>
      </c>
      <c r="H229" s="54" t="s">
        <v>67</v>
      </c>
      <c r="I229" s="55" t="s">
        <v>56</v>
      </c>
      <c r="J229" s="54"/>
    </row>
    <row r="230" spans="1:10" ht="57.6" x14ac:dyDescent="0.3">
      <c r="A230" s="53" t="s">
        <v>55</v>
      </c>
      <c r="B230" s="54" t="s">
        <v>56</v>
      </c>
      <c r="C230" s="54" t="s">
        <v>451</v>
      </c>
      <c r="D230" s="54" t="s">
        <v>66</v>
      </c>
      <c r="E230" s="54" t="s">
        <v>58</v>
      </c>
      <c r="F230" s="54" t="s">
        <v>453</v>
      </c>
      <c r="G230" s="54" t="s">
        <v>59</v>
      </c>
      <c r="H230" s="54" t="s">
        <v>70</v>
      </c>
      <c r="I230" s="55" t="s">
        <v>454</v>
      </c>
      <c r="J230" s="54"/>
    </row>
    <row r="231" spans="1:10" x14ac:dyDescent="0.3">
      <c r="A231" s="53" t="s">
        <v>55</v>
      </c>
      <c r="B231" s="54" t="s">
        <v>56</v>
      </c>
      <c r="C231" s="54" t="s">
        <v>451</v>
      </c>
      <c r="D231" s="54" t="s">
        <v>66</v>
      </c>
      <c r="E231" s="54" t="s">
        <v>58</v>
      </c>
      <c r="F231" s="54" t="s">
        <v>455</v>
      </c>
      <c r="G231" s="54" t="s">
        <v>59</v>
      </c>
      <c r="H231" s="54" t="s">
        <v>67</v>
      </c>
      <c r="I231" s="55" t="s">
        <v>56</v>
      </c>
      <c r="J231" s="54"/>
    </row>
    <row r="232" spans="1:10" x14ac:dyDescent="0.3">
      <c r="A232" s="53" t="s">
        <v>55</v>
      </c>
      <c r="B232" s="54" t="s">
        <v>56</v>
      </c>
      <c r="C232" s="54" t="s">
        <v>451</v>
      </c>
      <c r="D232" s="54" t="s">
        <v>66</v>
      </c>
      <c r="E232" s="54" t="s">
        <v>58</v>
      </c>
      <c r="F232" s="54" t="s">
        <v>456</v>
      </c>
      <c r="G232" s="54" t="s">
        <v>59</v>
      </c>
      <c r="H232" s="54" t="s">
        <v>67</v>
      </c>
      <c r="I232" s="55" t="s">
        <v>56</v>
      </c>
      <c r="J232" s="54"/>
    </row>
    <row r="233" spans="1:10" x14ac:dyDescent="0.3">
      <c r="A233" s="53" t="s">
        <v>55</v>
      </c>
      <c r="B233" s="54" t="s">
        <v>56</v>
      </c>
      <c r="C233" s="54" t="s">
        <v>451</v>
      </c>
      <c r="D233" s="54" t="s">
        <v>66</v>
      </c>
      <c r="E233" s="54" t="s">
        <v>58</v>
      </c>
      <c r="F233" s="54" t="s">
        <v>457</v>
      </c>
      <c r="G233" s="54" t="s">
        <v>59</v>
      </c>
      <c r="H233" s="54" t="s">
        <v>67</v>
      </c>
      <c r="I233" s="55" t="s">
        <v>56</v>
      </c>
      <c r="J233" s="54"/>
    </row>
    <row r="234" spans="1:10" x14ac:dyDescent="0.3">
      <c r="A234" s="53" t="s">
        <v>55</v>
      </c>
      <c r="B234" s="54" t="s">
        <v>56</v>
      </c>
      <c r="C234" s="54" t="s">
        <v>451</v>
      </c>
      <c r="D234" s="54" t="s">
        <v>66</v>
      </c>
      <c r="E234" s="54" t="s">
        <v>58</v>
      </c>
      <c r="F234" s="54" t="s">
        <v>458</v>
      </c>
      <c r="G234" s="54" t="s">
        <v>59</v>
      </c>
      <c r="H234" s="54" t="s">
        <v>67</v>
      </c>
      <c r="I234" s="55" t="s">
        <v>56</v>
      </c>
      <c r="J234" s="54"/>
    </row>
    <row r="235" spans="1:10" ht="43.2" x14ac:dyDescent="0.3">
      <c r="A235" s="53" t="s">
        <v>55</v>
      </c>
      <c r="B235" s="54" t="s">
        <v>56</v>
      </c>
      <c r="C235" s="54" t="s">
        <v>451</v>
      </c>
      <c r="D235" s="54" t="s">
        <v>66</v>
      </c>
      <c r="E235" s="54" t="s">
        <v>58</v>
      </c>
      <c r="F235" s="54" t="s">
        <v>459</v>
      </c>
      <c r="G235" s="54" t="s">
        <v>59</v>
      </c>
      <c r="H235" s="54" t="s">
        <v>60</v>
      </c>
      <c r="I235" s="55" t="s">
        <v>460</v>
      </c>
      <c r="J235" s="54"/>
    </row>
    <row r="236" spans="1:10" ht="57.6" x14ac:dyDescent="0.3">
      <c r="A236" s="53" t="s">
        <v>55</v>
      </c>
      <c r="B236" s="54" t="s">
        <v>56</v>
      </c>
      <c r="C236" s="54" t="s">
        <v>451</v>
      </c>
      <c r="D236" s="54" t="s">
        <v>66</v>
      </c>
      <c r="E236" s="54" t="s">
        <v>58</v>
      </c>
      <c r="F236" s="54" t="s">
        <v>461</v>
      </c>
      <c r="G236" s="54" t="s">
        <v>462</v>
      </c>
      <c r="H236" s="54" t="s">
        <v>60</v>
      </c>
      <c r="I236" s="55" t="s">
        <v>463</v>
      </c>
      <c r="J236" s="54"/>
    </row>
    <row r="237" spans="1:10" ht="28.8" x14ac:dyDescent="0.3">
      <c r="A237" s="53" t="s">
        <v>55</v>
      </c>
      <c r="B237" s="54" t="s">
        <v>56</v>
      </c>
      <c r="C237" s="54" t="s">
        <v>451</v>
      </c>
      <c r="D237" s="54" t="s">
        <v>66</v>
      </c>
      <c r="E237" s="54" t="s">
        <v>58</v>
      </c>
      <c r="F237" s="54" t="s">
        <v>464</v>
      </c>
      <c r="G237" s="54" t="s">
        <v>450</v>
      </c>
      <c r="H237" s="54" t="s">
        <v>60</v>
      </c>
      <c r="I237" s="55" t="s">
        <v>68</v>
      </c>
      <c r="J237" s="54"/>
    </row>
    <row r="238" spans="1:10" x14ac:dyDescent="0.3">
      <c r="A238" s="53" t="s">
        <v>55</v>
      </c>
      <c r="B238" s="54" t="s">
        <v>56</v>
      </c>
      <c r="C238" s="54" t="s">
        <v>451</v>
      </c>
      <c r="D238" s="54" t="s">
        <v>66</v>
      </c>
      <c r="E238" s="54" t="s">
        <v>58</v>
      </c>
      <c r="F238" s="54" t="s">
        <v>465</v>
      </c>
      <c r="G238" s="54" t="s">
        <v>59</v>
      </c>
      <c r="H238" s="54" t="s">
        <v>67</v>
      </c>
      <c r="I238" s="55" t="s">
        <v>56</v>
      </c>
      <c r="J238" s="54"/>
    </row>
    <row r="239" spans="1:10" x14ac:dyDescent="0.3">
      <c r="A239" s="53" t="s">
        <v>55</v>
      </c>
      <c r="B239" s="54" t="s">
        <v>56</v>
      </c>
      <c r="C239" s="54" t="s">
        <v>451</v>
      </c>
      <c r="D239" s="54" t="s">
        <v>66</v>
      </c>
      <c r="E239" s="54" t="s">
        <v>58</v>
      </c>
      <c r="F239" s="54" t="s">
        <v>466</v>
      </c>
      <c r="G239" s="54" t="s">
        <v>59</v>
      </c>
      <c r="H239" s="54" t="s">
        <v>67</v>
      </c>
      <c r="I239" s="55" t="s">
        <v>56</v>
      </c>
      <c r="J239" s="54"/>
    </row>
    <row r="240" spans="1:10" x14ac:dyDescent="0.3">
      <c r="A240" s="53" t="s">
        <v>55</v>
      </c>
      <c r="B240" s="54" t="s">
        <v>56</v>
      </c>
      <c r="C240" s="54" t="s">
        <v>451</v>
      </c>
      <c r="D240" s="54" t="s">
        <v>66</v>
      </c>
      <c r="E240" s="54" t="s">
        <v>58</v>
      </c>
      <c r="F240" s="54" t="s">
        <v>467</v>
      </c>
      <c r="G240" s="54" t="s">
        <v>59</v>
      </c>
      <c r="H240" s="54" t="s">
        <v>67</v>
      </c>
      <c r="I240" s="55" t="s">
        <v>56</v>
      </c>
      <c r="J240" s="54"/>
    </row>
    <row r="241" spans="1:10" x14ac:dyDescent="0.3">
      <c r="A241" s="53" t="s">
        <v>55</v>
      </c>
      <c r="B241" s="54" t="s">
        <v>56</v>
      </c>
      <c r="C241" s="54" t="s">
        <v>451</v>
      </c>
      <c r="D241" s="54" t="s">
        <v>66</v>
      </c>
      <c r="E241" s="54" t="s">
        <v>58</v>
      </c>
      <c r="F241" s="54" t="s">
        <v>468</v>
      </c>
      <c r="G241" s="54" t="s">
        <v>59</v>
      </c>
      <c r="H241" s="54" t="s">
        <v>67</v>
      </c>
      <c r="I241" s="55" t="s">
        <v>56</v>
      </c>
      <c r="J241" s="54"/>
    </row>
    <row r="242" spans="1:10" x14ac:dyDescent="0.3">
      <c r="A242" s="53" t="s">
        <v>55</v>
      </c>
      <c r="B242" s="54" t="s">
        <v>56</v>
      </c>
      <c r="C242" s="54" t="s">
        <v>451</v>
      </c>
      <c r="D242" s="54" t="s">
        <v>66</v>
      </c>
      <c r="E242" s="54" t="s">
        <v>58</v>
      </c>
      <c r="F242" s="54" t="s">
        <v>469</v>
      </c>
      <c r="G242" s="54" t="s">
        <v>59</v>
      </c>
      <c r="H242" s="54" t="s">
        <v>67</v>
      </c>
      <c r="I242" s="55" t="s">
        <v>56</v>
      </c>
      <c r="J242" s="54"/>
    </row>
    <row r="243" spans="1:10" x14ac:dyDescent="0.3">
      <c r="A243" s="53" t="s">
        <v>55</v>
      </c>
      <c r="B243" s="54" t="s">
        <v>56</v>
      </c>
      <c r="C243" s="54" t="s">
        <v>451</v>
      </c>
      <c r="D243" s="54" t="s">
        <v>66</v>
      </c>
      <c r="E243" s="54" t="s">
        <v>58</v>
      </c>
      <c r="F243" s="54" t="s">
        <v>470</v>
      </c>
      <c r="G243" s="54" t="s">
        <v>59</v>
      </c>
      <c r="H243" s="54" t="s">
        <v>67</v>
      </c>
      <c r="I243" s="55" t="s">
        <v>56</v>
      </c>
      <c r="J243" s="54"/>
    </row>
    <row r="244" spans="1:10" x14ac:dyDescent="0.3">
      <c r="A244" s="53" t="s">
        <v>55</v>
      </c>
      <c r="B244" s="54" t="s">
        <v>56</v>
      </c>
      <c r="C244" s="54" t="s">
        <v>451</v>
      </c>
      <c r="D244" s="54" t="s">
        <v>66</v>
      </c>
      <c r="E244" s="54" t="s">
        <v>58</v>
      </c>
      <c r="F244" s="54" t="s">
        <v>471</v>
      </c>
      <c r="G244" s="54" t="s">
        <v>59</v>
      </c>
      <c r="H244" s="54" t="s">
        <v>67</v>
      </c>
      <c r="I244" s="55" t="s">
        <v>56</v>
      </c>
      <c r="J244" s="54"/>
    </row>
    <row r="245" spans="1:10" x14ac:dyDescent="0.3">
      <c r="A245" s="53" t="s">
        <v>55</v>
      </c>
      <c r="B245" s="54" t="s">
        <v>56</v>
      </c>
      <c r="C245" s="54" t="s">
        <v>451</v>
      </c>
      <c r="D245" s="54" t="s">
        <v>66</v>
      </c>
      <c r="E245" s="54" t="s">
        <v>58</v>
      </c>
      <c r="F245" s="54" t="s">
        <v>472</v>
      </c>
      <c r="G245" s="54" t="s">
        <v>59</v>
      </c>
      <c r="H245" s="54" t="s">
        <v>67</v>
      </c>
      <c r="I245" s="55" t="s">
        <v>56</v>
      </c>
      <c r="J245" s="54"/>
    </row>
    <row r="246" spans="1:10" x14ac:dyDescent="0.3">
      <c r="A246" s="53" t="s">
        <v>55</v>
      </c>
      <c r="B246" s="54" t="s">
        <v>56</v>
      </c>
      <c r="C246" s="54" t="s">
        <v>451</v>
      </c>
      <c r="D246" s="54" t="s">
        <v>66</v>
      </c>
      <c r="E246" s="54" t="s">
        <v>58</v>
      </c>
      <c r="F246" s="54" t="s">
        <v>473</v>
      </c>
      <c r="G246" s="54" t="s">
        <v>59</v>
      </c>
      <c r="H246" s="54" t="s">
        <v>60</v>
      </c>
      <c r="I246" s="55" t="s">
        <v>56</v>
      </c>
      <c r="J246" s="54"/>
    </row>
    <row r="247" spans="1:10" x14ac:dyDescent="0.3">
      <c r="A247" s="53" t="s">
        <v>55</v>
      </c>
      <c r="B247" s="54" t="s">
        <v>56</v>
      </c>
      <c r="C247" s="54" t="s">
        <v>451</v>
      </c>
      <c r="D247" s="54" t="s">
        <v>66</v>
      </c>
      <c r="E247" s="54" t="s">
        <v>58</v>
      </c>
      <c r="F247" s="54" t="s">
        <v>474</v>
      </c>
      <c r="G247" s="54" t="s">
        <v>59</v>
      </c>
      <c r="H247" s="54" t="s">
        <v>67</v>
      </c>
      <c r="I247" s="55" t="s">
        <v>56</v>
      </c>
      <c r="J247" s="54"/>
    </row>
    <row r="248" spans="1:10" x14ac:dyDescent="0.3">
      <c r="A248" s="53" t="s">
        <v>55</v>
      </c>
      <c r="B248" s="54" t="s">
        <v>56</v>
      </c>
      <c r="C248" s="54" t="s">
        <v>451</v>
      </c>
      <c r="D248" s="54" t="s">
        <v>66</v>
      </c>
      <c r="E248" s="54" t="s">
        <v>58</v>
      </c>
      <c r="F248" s="54" t="s">
        <v>475</v>
      </c>
      <c r="G248" s="54" t="s">
        <v>59</v>
      </c>
      <c r="H248" s="54" t="s">
        <v>60</v>
      </c>
      <c r="I248" s="55" t="s">
        <v>56</v>
      </c>
      <c r="J248" s="54"/>
    </row>
    <row r="249" spans="1:10" x14ac:dyDescent="0.3">
      <c r="A249" s="53" t="s">
        <v>55</v>
      </c>
      <c r="B249" s="54" t="s">
        <v>56</v>
      </c>
      <c r="C249" s="54" t="s">
        <v>451</v>
      </c>
      <c r="D249" s="54" t="s">
        <v>66</v>
      </c>
      <c r="E249" s="54" t="s">
        <v>58</v>
      </c>
      <c r="F249" s="54" t="s">
        <v>476</v>
      </c>
      <c r="G249" s="54" t="s">
        <v>59</v>
      </c>
      <c r="H249" s="54" t="s">
        <v>60</v>
      </c>
      <c r="I249" s="55" t="s">
        <v>56</v>
      </c>
      <c r="J249" s="54"/>
    </row>
    <row r="250" spans="1:10" x14ac:dyDescent="0.3">
      <c r="A250" s="53" t="s">
        <v>55</v>
      </c>
      <c r="B250" s="54" t="s">
        <v>56</v>
      </c>
      <c r="C250" s="54" t="s">
        <v>451</v>
      </c>
      <c r="D250" s="54" t="s">
        <v>66</v>
      </c>
      <c r="E250" s="54" t="s">
        <v>58</v>
      </c>
      <c r="F250" s="54" t="s">
        <v>477</v>
      </c>
      <c r="G250" s="54" t="s">
        <v>59</v>
      </c>
      <c r="H250" s="54" t="s">
        <v>60</v>
      </c>
      <c r="I250" s="55" t="s">
        <v>56</v>
      </c>
      <c r="J250" s="54"/>
    </row>
    <row r="251" spans="1:10" x14ac:dyDescent="0.3">
      <c r="A251" s="53" t="s">
        <v>55</v>
      </c>
      <c r="B251" s="54" t="s">
        <v>56</v>
      </c>
      <c r="C251" s="54" t="s">
        <v>478</v>
      </c>
      <c r="D251" s="54" t="s">
        <v>66</v>
      </c>
      <c r="E251" s="54" t="s">
        <v>58</v>
      </c>
      <c r="F251" s="54" t="s">
        <v>479</v>
      </c>
      <c r="G251" s="54" t="s">
        <v>59</v>
      </c>
      <c r="H251" s="54" t="s">
        <v>67</v>
      </c>
      <c r="I251" s="55" t="s">
        <v>56</v>
      </c>
      <c r="J251" s="54"/>
    </row>
    <row r="252" spans="1:10" ht="43.2" x14ac:dyDescent="0.3">
      <c r="A252" s="53" t="s">
        <v>55</v>
      </c>
      <c r="B252" s="54" t="s">
        <v>56</v>
      </c>
      <c r="C252" s="54" t="s">
        <v>478</v>
      </c>
      <c r="D252" s="54" t="s">
        <v>66</v>
      </c>
      <c r="E252" s="54" t="s">
        <v>58</v>
      </c>
      <c r="F252" s="54" t="s">
        <v>480</v>
      </c>
      <c r="G252" s="54" t="s">
        <v>59</v>
      </c>
      <c r="H252" s="54" t="s">
        <v>70</v>
      </c>
      <c r="I252" s="55" t="s">
        <v>481</v>
      </c>
      <c r="J252" s="54"/>
    </row>
    <row r="253" spans="1:10" ht="57.6" x14ac:dyDescent="0.3">
      <c r="A253" s="53" t="s">
        <v>55</v>
      </c>
      <c r="B253" s="54" t="s">
        <v>56</v>
      </c>
      <c r="C253" s="54" t="s">
        <v>478</v>
      </c>
      <c r="D253" s="54" t="s">
        <v>66</v>
      </c>
      <c r="E253" s="54" t="s">
        <v>58</v>
      </c>
      <c r="F253" s="54" t="s">
        <v>482</v>
      </c>
      <c r="G253" s="54" t="s">
        <v>59</v>
      </c>
      <c r="H253" s="54" t="s">
        <v>67</v>
      </c>
      <c r="I253" s="55" t="s">
        <v>483</v>
      </c>
      <c r="J253" s="54"/>
    </row>
    <row r="254" spans="1:10" ht="28.8" x14ac:dyDescent="0.3">
      <c r="A254" s="53" t="s">
        <v>55</v>
      </c>
      <c r="B254" s="54" t="s">
        <v>56</v>
      </c>
      <c r="C254" s="54" t="s">
        <v>478</v>
      </c>
      <c r="D254" s="54" t="s">
        <v>66</v>
      </c>
      <c r="E254" s="54" t="s">
        <v>58</v>
      </c>
      <c r="F254" s="54" t="s">
        <v>484</v>
      </c>
      <c r="G254" s="54" t="s">
        <v>59</v>
      </c>
      <c r="H254" s="54" t="s">
        <v>70</v>
      </c>
      <c r="I254" s="55" t="s">
        <v>485</v>
      </c>
      <c r="J254" s="54"/>
    </row>
    <row r="255" spans="1:10" ht="57.6" x14ac:dyDescent="0.3">
      <c r="A255" s="53" t="s">
        <v>55</v>
      </c>
      <c r="B255" s="54" t="s">
        <v>56</v>
      </c>
      <c r="C255" s="54" t="s">
        <v>478</v>
      </c>
      <c r="D255" s="54" t="s">
        <v>66</v>
      </c>
      <c r="E255" s="54" t="s">
        <v>58</v>
      </c>
      <c r="F255" s="54" t="s">
        <v>486</v>
      </c>
      <c r="G255" s="54" t="s">
        <v>59</v>
      </c>
      <c r="H255" s="54" t="s">
        <v>60</v>
      </c>
      <c r="I255" s="55" t="s">
        <v>487</v>
      </c>
      <c r="J255" s="54"/>
    </row>
    <row r="256" spans="1:10" ht="57.6" x14ac:dyDescent="0.3">
      <c r="A256" s="53" t="s">
        <v>55</v>
      </c>
      <c r="B256" s="54" t="s">
        <v>56</v>
      </c>
      <c r="C256" s="54" t="s">
        <v>478</v>
      </c>
      <c r="D256" s="54" t="s">
        <v>66</v>
      </c>
      <c r="E256" s="54" t="s">
        <v>58</v>
      </c>
      <c r="F256" s="54" t="s">
        <v>488</v>
      </c>
      <c r="G256" s="54" t="s">
        <v>59</v>
      </c>
      <c r="H256" s="54" t="s">
        <v>60</v>
      </c>
      <c r="I256" s="55" t="s">
        <v>489</v>
      </c>
      <c r="J256" s="54"/>
    </row>
    <row r="257" spans="1:10" ht="43.2" x14ac:dyDescent="0.3">
      <c r="A257" s="53" t="s">
        <v>55</v>
      </c>
      <c r="B257" s="54" t="s">
        <v>56</v>
      </c>
      <c r="C257" s="54" t="s">
        <v>478</v>
      </c>
      <c r="D257" s="54" t="s">
        <v>66</v>
      </c>
      <c r="E257" s="54" t="s">
        <v>58</v>
      </c>
      <c r="F257" s="54" t="s">
        <v>490</v>
      </c>
      <c r="G257" s="54" t="s">
        <v>59</v>
      </c>
      <c r="H257" s="54" t="s">
        <v>67</v>
      </c>
      <c r="I257" s="55" t="s">
        <v>491</v>
      </c>
      <c r="J257" s="54"/>
    </row>
    <row r="258" spans="1:10" x14ac:dyDescent="0.3">
      <c r="A258" s="53" t="s">
        <v>55</v>
      </c>
      <c r="B258" s="54" t="s">
        <v>56</v>
      </c>
      <c r="C258" s="54" t="s">
        <v>478</v>
      </c>
      <c r="D258" s="54" t="s">
        <v>66</v>
      </c>
      <c r="E258" s="54" t="s">
        <v>58</v>
      </c>
      <c r="F258" s="54" t="s">
        <v>492</v>
      </c>
      <c r="G258" s="54" t="s">
        <v>59</v>
      </c>
      <c r="H258" s="54" t="s">
        <v>67</v>
      </c>
      <c r="I258" s="55" t="s">
        <v>56</v>
      </c>
      <c r="J258" s="54"/>
    </row>
    <row r="259" spans="1:10" x14ac:dyDescent="0.3">
      <c r="A259" s="53" t="s">
        <v>55</v>
      </c>
      <c r="B259" s="54" t="s">
        <v>56</v>
      </c>
      <c r="C259" s="54" t="s">
        <v>478</v>
      </c>
      <c r="D259" s="54" t="s">
        <v>66</v>
      </c>
      <c r="E259" s="54" t="s">
        <v>58</v>
      </c>
      <c r="F259" s="54" t="s">
        <v>493</v>
      </c>
      <c r="G259" s="54" t="s">
        <v>59</v>
      </c>
      <c r="H259" s="54" t="s">
        <v>67</v>
      </c>
      <c r="I259" s="55" t="s">
        <v>56</v>
      </c>
      <c r="J259" s="54"/>
    </row>
    <row r="260" spans="1:10" x14ac:dyDescent="0.3">
      <c r="A260" s="53" t="s">
        <v>55</v>
      </c>
      <c r="B260" s="54" t="s">
        <v>56</v>
      </c>
      <c r="C260" s="54" t="s">
        <v>478</v>
      </c>
      <c r="D260" s="54" t="s">
        <v>66</v>
      </c>
      <c r="E260" s="54" t="s">
        <v>58</v>
      </c>
      <c r="F260" s="54" t="s">
        <v>494</v>
      </c>
      <c r="G260" s="54" t="s">
        <v>59</v>
      </c>
      <c r="H260" s="54" t="s">
        <v>67</v>
      </c>
      <c r="I260" s="55" t="s">
        <v>56</v>
      </c>
      <c r="J260" s="54"/>
    </row>
    <row r="261" spans="1:10" x14ac:dyDescent="0.3">
      <c r="A261" s="53" t="s">
        <v>55</v>
      </c>
      <c r="B261" s="54" t="s">
        <v>56</v>
      </c>
      <c r="C261" s="54" t="s">
        <v>478</v>
      </c>
      <c r="D261" s="54" t="s">
        <v>66</v>
      </c>
      <c r="E261" s="54" t="s">
        <v>58</v>
      </c>
      <c r="F261" s="54" t="s">
        <v>495</v>
      </c>
      <c r="G261" s="54" t="s">
        <v>59</v>
      </c>
      <c r="H261" s="54" t="s">
        <v>60</v>
      </c>
      <c r="I261" s="55" t="s">
        <v>56</v>
      </c>
      <c r="J261" s="54"/>
    </row>
    <row r="262" spans="1:10" x14ac:dyDescent="0.3">
      <c r="A262" s="53" t="s">
        <v>55</v>
      </c>
      <c r="B262" s="54" t="s">
        <v>56</v>
      </c>
      <c r="C262" s="54" t="s">
        <v>478</v>
      </c>
      <c r="D262" s="54" t="s">
        <v>66</v>
      </c>
      <c r="E262" s="54" t="s">
        <v>58</v>
      </c>
      <c r="F262" s="54" t="s">
        <v>496</v>
      </c>
      <c r="G262" s="54" t="s">
        <v>59</v>
      </c>
      <c r="H262" s="54" t="s">
        <v>67</v>
      </c>
      <c r="I262" s="55" t="s">
        <v>56</v>
      </c>
      <c r="J262" s="54"/>
    </row>
    <row r="263" spans="1:10" ht="43.2" x14ac:dyDescent="0.3">
      <c r="A263" s="53" t="s">
        <v>55</v>
      </c>
      <c r="B263" s="54" t="s">
        <v>56</v>
      </c>
      <c r="C263" s="54" t="s">
        <v>478</v>
      </c>
      <c r="D263" s="54" t="s">
        <v>66</v>
      </c>
      <c r="E263" s="54" t="s">
        <v>58</v>
      </c>
      <c r="F263" s="54" t="s">
        <v>497</v>
      </c>
      <c r="G263" s="54" t="s">
        <v>59</v>
      </c>
      <c r="H263" s="54" t="s">
        <v>70</v>
      </c>
      <c r="I263" s="55" t="s">
        <v>498</v>
      </c>
      <c r="J263" s="54"/>
    </row>
    <row r="264" spans="1:10" x14ac:dyDescent="0.3">
      <c r="A264" s="53" t="s">
        <v>130</v>
      </c>
      <c r="B264" s="54" t="s">
        <v>130</v>
      </c>
      <c r="C264" s="54" t="s">
        <v>478</v>
      </c>
      <c r="D264" s="54" t="s">
        <v>499</v>
      </c>
      <c r="E264" s="54" t="s">
        <v>58</v>
      </c>
      <c r="F264" s="54" t="s">
        <v>500</v>
      </c>
      <c r="G264" s="54" t="s">
        <v>59</v>
      </c>
      <c r="H264" s="54" t="s">
        <v>67</v>
      </c>
      <c r="I264" s="55" t="s">
        <v>56</v>
      </c>
      <c r="J264" s="54"/>
    </row>
    <row r="265" spans="1:10" x14ac:dyDescent="0.3">
      <c r="A265" s="53" t="s">
        <v>55</v>
      </c>
      <c r="B265" s="54" t="s">
        <v>56</v>
      </c>
      <c r="C265" s="54" t="s">
        <v>478</v>
      </c>
      <c r="D265" s="54" t="s">
        <v>66</v>
      </c>
      <c r="E265" s="54" t="s">
        <v>58</v>
      </c>
      <c r="F265" s="54" t="s">
        <v>501</v>
      </c>
      <c r="G265" s="54" t="s">
        <v>59</v>
      </c>
      <c r="H265" s="54" t="s">
        <v>67</v>
      </c>
      <c r="I265" s="55" t="s">
        <v>56</v>
      </c>
      <c r="J265" s="54"/>
    </row>
    <row r="266" spans="1:10" x14ac:dyDescent="0.3">
      <c r="A266" s="53" t="s">
        <v>55</v>
      </c>
      <c r="B266" s="54" t="s">
        <v>56</v>
      </c>
      <c r="C266" s="54" t="s">
        <v>478</v>
      </c>
      <c r="D266" s="54" t="s">
        <v>66</v>
      </c>
      <c r="E266" s="54" t="s">
        <v>58</v>
      </c>
      <c r="F266" s="54" t="s">
        <v>502</v>
      </c>
      <c r="G266" s="54" t="s">
        <v>59</v>
      </c>
      <c r="H266" s="54" t="s">
        <v>67</v>
      </c>
      <c r="I266" s="55" t="s">
        <v>56</v>
      </c>
      <c r="J266" s="54"/>
    </row>
    <row r="267" spans="1:10" x14ac:dyDescent="0.3">
      <c r="A267" s="53" t="s">
        <v>55</v>
      </c>
      <c r="B267" s="54" t="s">
        <v>56</v>
      </c>
      <c r="C267" s="54" t="s">
        <v>478</v>
      </c>
      <c r="D267" s="54" t="s">
        <v>66</v>
      </c>
      <c r="E267" s="54" t="s">
        <v>58</v>
      </c>
      <c r="F267" s="54" t="s">
        <v>503</v>
      </c>
      <c r="G267" s="54" t="s">
        <v>59</v>
      </c>
      <c r="H267" s="54" t="s">
        <v>60</v>
      </c>
      <c r="I267" s="55" t="s">
        <v>56</v>
      </c>
      <c r="J267" s="54"/>
    </row>
    <row r="268" spans="1:10" ht="43.2" x14ac:dyDescent="0.3">
      <c r="A268" s="53" t="s">
        <v>55</v>
      </c>
      <c r="B268" s="54" t="s">
        <v>56</v>
      </c>
      <c r="C268" s="54" t="s">
        <v>478</v>
      </c>
      <c r="D268" s="54" t="s">
        <v>66</v>
      </c>
      <c r="E268" s="54" t="s">
        <v>58</v>
      </c>
      <c r="F268" s="54" t="s">
        <v>504</v>
      </c>
      <c r="G268" s="54" t="s">
        <v>59</v>
      </c>
      <c r="H268" s="54" t="s">
        <v>70</v>
      </c>
      <c r="I268" s="55" t="s">
        <v>505</v>
      </c>
      <c r="J268" s="54"/>
    </row>
    <row r="269" spans="1:10" x14ac:dyDescent="0.3">
      <c r="A269" s="53" t="s">
        <v>55</v>
      </c>
      <c r="B269" s="54" t="s">
        <v>56</v>
      </c>
      <c r="C269" s="54" t="s">
        <v>478</v>
      </c>
      <c r="D269" s="54" t="s">
        <v>66</v>
      </c>
      <c r="E269" s="54" t="s">
        <v>58</v>
      </c>
      <c r="F269" s="54" t="s">
        <v>506</v>
      </c>
      <c r="G269" s="54" t="s">
        <v>59</v>
      </c>
      <c r="H269" s="54" t="s">
        <v>60</v>
      </c>
      <c r="I269" s="55" t="s">
        <v>56</v>
      </c>
      <c r="J269" s="54"/>
    </row>
    <row r="270" spans="1:10" x14ac:dyDescent="0.3">
      <c r="A270" s="53" t="s">
        <v>55</v>
      </c>
      <c r="B270" s="54" t="s">
        <v>56</v>
      </c>
      <c r="C270" s="54" t="s">
        <v>478</v>
      </c>
      <c r="D270" s="54" t="s">
        <v>66</v>
      </c>
      <c r="E270" s="54" t="s">
        <v>58</v>
      </c>
      <c r="F270" s="54" t="s">
        <v>507</v>
      </c>
      <c r="G270" s="54" t="s">
        <v>59</v>
      </c>
      <c r="H270" s="54" t="s">
        <v>60</v>
      </c>
      <c r="I270" s="55" t="s">
        <v>56</v>
      </c>
      <c r="J270" s="54"/>
    </row>
    <row r="271" spans="1:10" x14ac:dyDescent="0.3">
      <c r="A271" s="53" t="s">
        <v>55</v>
      </c>
      <c r="B271" s="54" t="s">
        <v>56</v>
      </c>
      <c r="C271" s="54" t="s">
        <v>478</v>
      </c>
      <c r="D271" s="54" t="s">
        <v>66</v>
      </c>
      <c r="E271" s="54" t="s">
        <v>58</v>
      </c>
      <c r="F271" s="54" t="s">
        <v>508</v>
      </c>
      <c r="G271" s="54" t="s">
        <v>59</v>
      </c>
      <c r="H271" s="54" t="s">
        <v>60</v>
      </c>
      <c r="I271" s="55" t="s">
        <v>56</v>
      </c>
      <c r="J271" s="54"/>
    </row>
    <row r="272" spans="1:10" x14ac:dyDescent="0.3">
      <c r="A272" s="53" t="s">
        <v>55</v>
      </c>
      <c r="B272" s="54" t="s">
        <v>56</v>
      </c>
      <c r="C272" s="54" t="s">
        <v>478</v>
      </c>
      <c r="D272" s="54" t="s">
        <v>66</v>
      </c>
      <c r="E272" s="54" t="s">
        <v>58</v>
      </c>
      <c r="F272" s="54" t="s">
        <v>509</v>
      </c>
      <c r="G272" s="54" t="s">
        <v>59</v>
      </c>
      <c r="H272" s="54" t="s">
        <v>60</v>
      </c>
      <c r="I272" s="55" t="s">
        <v>56</v>
      </c>
      <c r="J272" s="54"/>
    </row>
    <row r="273" spans="1:10" x14ac:dyDescent="0.3">
      <c r="A273" s="53" t="s">
        <v>55</v>
      </c>
      <c r="B273" s="54" t="s">
        <v>56</v>
      </c>
      <c r="C273" s="54" t="s">
        <v>478</v>
      </c>
      <c r="D273" s="54" t="s">
        <v>66</v>
      </c>
      <c r="E273" s="54" t="s">
        <v>58</v>
      </c>
      <c r="F273" s="54" t="s">
        <v>510</v>
      </c>
      <c r="G273" s="54" t="s">
        <v>59</v>
      </c>
      <c r="H273" s="54" t="s">
        <v>60</v>
      </c>
      <c r="I273" s="55" t="s">
        <v>56</v>
      </c>
      <c r="J273" s="54"/>
    </row>
    <row r="274" spans="1:10" x14ac:dyDescent="0.3">
      <c r="A274" s="53" t="s">
        <v>55</v>
      </c>
      <c r="B274" s="54" t="s">
        <v>56</v>
      </c>
      <c r="C274" s="54" t="s">
        <v>478</v>
      </c>
      <c r="D274" s="54" t="s">
        <v>66</v>
      </c>
      <c r="E274" s="54" t="s">
        <v>58</v>
      </c>
      <c r="F274" s="54" t="s">
        <v>511</v>
      </c>
      <c r="G274" s="54" t="s">
        <v>59</v>
      </c>
      <c r="H274" s="54" t="s">
        <v>60</v>
      </c>
      <c r="I274" s="55" t="s">
        <v>56</v>
      </c>
      <c r="J274" s="54"/>
    </row>
    <row r="275" spans="1:10" x14ac:dyDescent="0.3">
      <c r="A275" s="53" t="s">
        <v>55</v>
      </c>
      <c r="B275" s="54" t="s">
        <v>56</v>
      </c>
      <c r="C275" s="54" t="s">
        <v>478</v>
      </c>
      <c r="D275" s="54" t="s">
        <v>66</v>
      </c>
      <c r="E275" s="54" t="s">
        <v>58</v>
      </c>
      <c r="F275" s="54" t="s">
        <v>512</v>
      </c>
      <c r="G275" s="54" t="s">
        <v>59</v>
      </c>
      <c r="H275" s="54" t="s">
        <v>60</v>
      </c>
      <c r="I275" s="55" t="s">
        <v>56</v>
      </c>
      <c r="J275" s="54"/>
    </row>
    <row r="276" spans="1:10" x14ac:dyDescent="0.3">
      <c r="A276" s="53" t="s">
        <v>55</v>
      </c>
      <c r="B276" s="54" t="s">
        <v>56</v>
      </c>
      <c r="C276" s="54" t="s">
        <v>478</v>
      </c>
      <c r="D276" s="54" t="s">
        <v>66</v>
      </c>
      <c r="E276" s="54" t="s">
        <v>58</v>
      </c>
      <c r="F276" s="54" t="s">
        <v>513</v>
      </c>
      <c r="G276" s="54" t="s">
        <v>59</v>
      </c>
      <c r="H276" s="54" t="s">
        <v>60</v>
      </c>
      <c r="I276" s="55" t="s">
        <v>56</v>
      </c>
      <c r="J276" s="54"/>
    </row>
    <row r="277" spans="1:10" x14ac:dyDescent="0.3">
      <c r="A277" s="53" t="s">
        <v>55</v>
      </c>
      <c r="B277" s="54" t="s">
        <v>56</v>
      </c>
      <c r="C277" s="54" t="s">
        <v>478</v>
      </c>
      <c r="D277" s="54" t="s">
        <v>66</v>
      </c>
      <c r="E277" s="54" t="s">
        <v>58</v>
      </c>
      <c r="F277" s="54" t="s">
        <v>514</v>
      </c>
      <c r="G277" s="54" t="s">
        <v>59</v>
      </c>
      <c r="H277" s="54" t="s">
        <v>60</v>
      </c>
      <c r="I277" s="55" t="s">
        <v>56</v>
      </c>
      <c r="J277" s="54"/>
    </row>
    <row r="278" spans="1:10" x14ac:dyDescent="0.3">
      <c r="A278" s="53" t="s">
        <v>55</v>
      </c>
      <c r="B278" s="54" t="s">
        <v>56</v>
      </c>
      <c r="C278" s="54" t="s">
        <v>478</v>
      </c>
      <c r="D278" s="54" t="s">
        <v>66</v>
      </c>
      <c r="E278" s="54" t="s">
        <v>58</v>
      </c>
      <c r="F278" s="54" t="s">
        <v>515</v>
      </c>
      <c r="G278" s="54" t="s">
        <v>59</v>
      </c>
      <c r="H278" s="54" t="s">
        <v>60</v>
      </c>
      <c r="I278" s="55" t="s">
        <v>56</v>
      </c>
      <c r="J278" s="54"/>
    </row>
    <row r="279" spans="1:10" x14ac:dyDescent="0.3">
      <c r="A279" s="53" t="s">
        <v>55</v>
      </c>
      <c r="B279" s="54" t="s">
        <v>56</v>
      </c>
      <c r="C279" s="54" t="s">
        <v>478</v>
      </c>
      <c r="D279" s="54" t="s">
        <v>66</v>
      </c>
      <c r="E279" s="54" t="s">
        <v>58</v>
      </c>
      <c r="F279" s="54" t="s">
        <v>516</v>
      </c>
      <c r="G279" s="54" t="s">
        <v>59</v>
      </c>
      <c r="H279" s="54" t="s">
        <v>60</v>
      </c>
      <c r="I279" s="55" t="s">
        <v>56</v>
      </c>
      <c r="J279" s="54"/>
    </row>
    <row r="280" spans="1:10" x14ac:dyDescent="0.3">
      <c r="A280" s="53" t="s">
        <v>55</v>
      </c>
      <c r="B280" s="54" t="s">
        <v>56</v>
      </c>
      <c r="C280" s="54" t="s">
        <v>478</v>
      </c>
      <c r="D280" s="54" t="s">
        <v>66</v>
      </c>
      <c r="E280" s="54" t="s">
        <v>58</v>
      </c>
      <c r="F280" s="54" t="s">
        <v>448</v>
      </c>
      <c r="G280" s="54" t="s">
        <v>59</v>
      </c>
      <c r="H280" s="54" t="s">
        <v>60</v>
      </c>
      <c r="I280" s="55" t="s">
        <v>56</v>
      </c>
      <c r="J280" s="54"/>
    </row>
    <row r="281" spans="1:10" ht="43.2" x14ac:dyDescent="0.3">
      <c r="A281" s="53" t="s">
        <v>55</v>
      </c>
      <c r="B281" s="54" t="s">
        <v>56</v>
      </c>
      <c r="C281" s="54" t="s">
        <v>517</v>
      </c>
      <c r="D281" s="54" t="s">
        <v>66</v>
      </c>
      <c r="E281" s="54" t="s">
        <v>58</v>
      </c>
      <c r="F281" s="54" t="s">
        <v>518</v>
      </c>
      <c r="G281" s="54" t="s">
        <v>59</v>
      </c>
      <c r="H281" s="54" t="s">
        <v>67</v>
      </c>
      <c r="I281" s="55" t="s">
        <v>519</v>
      </c>
      <c r="J281" s="54"/>
    </row>
    <row r="282" spans="1:10" ht="57.6" x14ac:dyDescent="0.3">
      <c r="A282" s="53" t="s">
        <v>55</v>
      </c>
      <c r="B282" s="54" t="s">
        <v>56</v>
      </c>
      <c r="C282" s="54" t="s">
        <v>517</v>
      </c>
      <c r="D282" s="54" t="s">
        <v>66</v>
      </c>
      <c r="E282" s="54" t="s">
        <v>58</v>
      </c>
      <c r="F282" s="54" t="s">
        <v>520</v>
      </c>
      <c r="G282" s="54" t="s">
        <v>114</v>
      </c>
      <c r="H282" s="54" t="s">
        <v>70</v>
      </c>
      <c r="I282" s="55" t="s">
        <v>521</v>
      </c>
      <c r="J282" s="54"/>
    </row>
    <row r="283" spans="1:10" ht="86.4" x14ac:dyDescent="0.3">
      <c r="A283" s="53" t="s">
        <v>55</v>
      </c>
      <c r="B283" s="54" t="s">
        <v>56</v>
      </c>
      <c r="C283" s="54" t="s">
        <v>517</v>
      </c>
      <c r="D283" s="54" t="s">
        <v>66</v>
      </c>
      <c r="E283" s="54" t="s">
        <v>58</v>
      </c>
      <c r="F283" s="54" t="s">
        <v>522</v>
      </c>
      <c r="G283" s="54" t="s">
        <v>59</v>
      </c>
      <c r="H283" s="54" t="s">
        <v>60</v>
      </c>
      <c r="I283" s="55" t="s">
        <v>523</v>
      </c>
      <c r="J283" s="54"/>
    </row>
    <row r="284" spans="1:10" ht="43.2" x14ac:dyDescent="0.3">
      <c r="A284" s="53" t="s">
        <v>55</v>
      </c>
      <c r="B284" s="54" t="s">
        <v>56</v>
      </c>
      <c r="C284" s="54" t="s">
        <v>517</v>
      </c>
      <c r="D284" s="54" t="s">
        <v>66</v>
      </c>
      <c r="E284" s="54" t="s">
        <v>58</v>
      </c>
      <c r="F284" s="54" t="s">
        <v>402</v>
      </c>
      <c r="G284" s="54" t="s">
        <v>59</v>
      </c>
      <c r="H284" s="54" t="s">
        <v>60</v>
      </c>
      <c r="I284" s="55" t="s">
        <v>524</v>
      </c>
      <c r="J284" s="54"/>
    </row>
    <row r="285" spans="1:10" x14ac:dyDescent="0.3">
      <c r="A285" s="53" t="s">
        <v>55</v>
      </c>
      <c r="B285" s="54" t="s">
        <v>56</v>
      </c>
      <c r="C285" s="54" t="s">
        <v>517</v>
      </c>
      <c r="D285" s="54" t="s">
        <v>66</v>
      </c>
      <c r="E285" s="54" t="s">
        <v>58</v>
      </c>
      <c r="F285" s="54" t="s">
        <v>525</v>
      </c>
      <c r="G285" s="54" t="s">
        <v>59</v>
      </c>
      <c r="H285" s="54" t="s">
        <v>67</v>
      </c>
      <c r="I285" s="55" t="s">
        <v>56</v>
      </c>
      <c r="J285" s="54"/>
    </row>
    <row r="286" spans="1:10" ht="28.8" x14ac:dyDescent="0.3">
      <c r="A286" s="53" t="s">
        <v>55</v>
      </c>
      <c r="B286" s="54" t="s">
        <v>56</v>
      </c>
      <c r="C286" s="54" t="s">
        <v>517</v>
      </c>
      <c r="D286" s="54" t="s">
        <v>66</v>
      </c>
      <c r="E286" s="54" t="s">
        <v>58</v>
      </c>
      <c r="F286" s="54" t="s">
        <v>526</v>
      </c>
      <c r="G286" s="54" t="s">
        <v>59</v>
      </c>
      <c r="H286" s="54" t="s">
        <v>70</v>
      </c>
      <c r="I286" s="55" t="s">
        <v>527</v>
      </c>
      <c r="J286" s="54"/>
    </row>
    <row r="287" spans="1:10" x14ac:dyDescent="0.3">
      <c r="A287" s="53" t="s">
        <v>55</v>
      </c>
      <c r="B287" s="54" t="s">
        <v>56</v>
      </c>
      <c r="C287" s="54" t="s">
        <v>517</v>
      </c>
      <c r="D287" s="54" t="s">
        <v>66</v>
      </c>
      <c r="E287" s="54" t="s">
        <v>58</v>
      </c>
      <c r="F287" s="54" t="s">
        <v>528</v>
      </c>
      <c r="G287" s="54" t="s">
        <v>59</v>
      </c>
      <c r="H287" s="54" t="s">
        <v>67</v>
      </c>
      <c r="I287" s="55" t="s">
        <v>56</v>
      </c>
      <c r="J287" s="54"/>
    </row>
    <row r="288" spans="1:10" ht="43.2" x14ac:dyDescent="0.3">
      <c r="A288" s="53" t="s">
        <v>55</v>
      </c>
      <c r="B288" s="54" t="s">
        <v>56</v>
      </c>
      <c r="C288" s="54" t="s">
        <v>517</v>
      </c>
      <c r="D288" s="54" t="s">
        <v>66</v>
      </c>
      <c r="E288" s="54" t="s">
        <v>58</v>
      </c>
      <c r="F288" s="54" t="s">
        <v>529</v>
      </c>
      <c r="G288" s="54" t="s">
        <v>59</v>
      </c>
      <c r="H288" s="54" t="s">
        <v>70</v>
      </c>
      <c r="I288" s="55" t="s">
        <v>530</v>
      </c>
      <c r="J288" s="54"/>
    </row>
    <row r="289" spans="1:10" ht="28.8" x14ac:dyDescent="0.3">
      <c r="A289" s="53" t="s">
        <v>55</v>
      </c>
      <c r="B289" s="54" t="s">
        <v>56</v>
      </c>
      <c r="C289" s="54" t="s">
        <v>517</v>
      </c>
      <c r="D289" s="54" t="s">
        <v>66</v>
      </c>
      <c r="E289" s="54" t="s">
        <v>58</v>
      </c>
      <c r="F289" s="54" t="s">
        <v>531</v>
      </c>
      <c r="G289" s="54" t="s">
        <v>59</v>
      </c>
      <c r="H289" s="54" t="s">
        <v>70</v>
      </c>
      <c r="I289" s="55" t="s">
        <v>532</v>
      </c>
      <c r="J289" s="54"/>
    </row>
    <row r="290" spans="1:10" ht="43.2" x14ac:dyDescent="0.3">
      <c r="A290" s="53" t="s">
        <v>55</v>
      </c>
      <c r="B290" s="54" t="s">
        <v>56</v>
      </c>
      <c r="C290" s="54" t="s">
        <v>517</v>
      </c>
      <c r="D290" s="54" t="s">
        <v>66</v>
      </c>
      <c r="E290" s="54" t="s">
        <v>58</v>
      </c>
      <c r="F290" s="54" t="s">
        <v>533</v>
      </c>
      <c r="G290" s="54" t="s">
        <v>59</v>
      </c>
      <c r="H290" s="54" t="s">
        <v>67</v>
      </c>
      <c r="I290" s="55" t="s">
        <v>534</v>
      </c>
      <c r="J290" s="54"/>
    </row>
    <row r="291" spans="1:10" x14ac:dyDescent="0.3">
      <c r="A291" s="53" t="s">
        <v>55</v>
      </c>
      <c r="B291" s="54" t="s">
        <v>56</v>
      </c>
      <c r="C291" s="54" t="s">
        <v>517</v>
      </c>
      <c r="D291" s="54" t="s">
        <v>66</v>
      </c>
      <c r="E291" s="54" t="s">
        <v>58</v>
      </c>
      <c r="F291" s="54" t="s">
        <v>535</v>
      </c>
      <c r="G291" s="54" t="s">
        <v>59</v>
      </c>
      <c r="H291" s="54" t="s">
        <v>67</v>
      </c>
      <c r="I291" s="55" t="s">
        <v>56</v>
      </c>
      <c r="J291" s="54"/>
    </row>
    <row r="292" spans="1:10" x14ac:dyDescent="0.3">
      <c r="A292" s="53" t="s">
        <v>55</v>
      </c>
      <c r="B292" s="54" t="s">
        <v>56</v>
      </c>
      <c r="C292" s="54" t="s">
        <v>517</v>
      </c>
      <c r="D292" s="54" t="s">
        <v>66</v>
      </c>
      <c r="E292" s="54" t="s">
        <v>58</v>
      </c>
      <c r="F292" s="54" t="s">
        <v>536</v>
      </c>
      <c r="G292" s="54" t="s">
        <v>59</v>
      </c>
      <c r="H292" s="54" t="s">
        <v>67</v>
      </c>
      <c r="I292" s="55" t="s">
        <v>56</v>
      </c>
      <c r="J292" s="54"/>
    </row>
    <row r="293" spans="1:10" x14ac:dyDescent="0.3">
      <c r="A293" s="53" t="s">
        <v>55</v>
      </c>
      <c r="B293" s="54" t="s">
        <v>56</v>
      </c>
      <c r="C293" s="54" t="s">
        <v>517</v>
      </c>
      <c r="D293" s="54" t="s">
        <v>66</v>
      </c>
      <c r="E293" s="54" t="s">
        <v>58</v>
      </c>
      <c r="F293" s="54" t="s">
        <v>537</v>
      </c>
      <c r="G293" s="54" t="s">
        <v>59</v>
      </c>
      <c r="H293" s="54" t="s">
        <v>67</v>
      </c>
      <c r="I293" s="55" t="s">
        <v>56</v>
      </c>
      <c r="J293" s="54"/>
    </row>
    <row r="294" spans="1:10" x14ac:dyDescent="0.3">
      <c r="A294" s="53" t="s">
        <v>55</v>
      </c>
      <c r="B294" s="54" t="s">
        <v>56</v>
      </c>
      <c r="C294" s="54" t="s">
        <v>517</v>
      </c>
      <c r="D294" s="54" t="s">
        <v>66</v>
      </c>
      <c r="E294" s="54" t="s">
        <v>58</v>
      </c>
      <c r="F294" s="54" t="s">
        <v>538</v>
      </c>
      <c r="G294" s="54" t="s">
        <v>59</v>
      </c>
      <c r="H294" s="54" t="s">
        <v>67</v>
      </c>
      <c r="I294" s="55" t="s">
        <v>56</v>
      </c>
      <c r="J294" s="54"/>
    </row>
    <row r="295" spans="1:10" x14ac:dyDescent="0.3">
      <c r="A295" s="53" t="s">
        <v>55</v>
      </c>
      <c r="B295" s="54" t="s">
        <v>56</v>
      </c>
      <c r="C295" s="54" t="s">
        <v>517</v>
      </c>
      <c r="D295" s="54" t="s">
        <v>66</v>
      </c>
      <c r="E295" s="54" t="s">
        <v>58</v>
      </c>
      <c r="F295" s="54" t="s">
        <v>539</v>
      </c>
      <c r="G295" s="54" t="s">
        <v>114</v>
      </c>
      <c r="H295" s="54" t="s">
        <v>67</v>
      </c>
      <c r="I295" s="55" t="s">
        <v>56</v>
      </c>
      <c r="J295" s="54"/>
    </row>
    <row r="296" spans="1:10" ht="43.2" x14ac:dyDescent="0.3">
      <c r="A296" s="53" t="s">
        <v>55</v>
      </c>
      <c r="B296" s="54" t="s">
        <v>56</v>
      </c>
      <c r="C296" s="54" t="s">
        <v>517</v>
      </c>
      <c r="D296" s="54" t="s">
        <v>66</v>
      </c>
      <c r="E296" s="54" t="s">
        <v>58</v>
      </c>
      <c r="F296" s="54" t="s">
        <v>402</v>
      </c>
      <c r="G296" s="54" t="s">
        <v>59</v>
      </c>
      <c r="H296" s="54" t="s">
        <v>60</v>
      </c>
      <c r="I296" s="55" t="s">
        <v>540</v>
      </c>
      <c r="J296" s="54"/>
    </row>
    <row r="297" spans="1:10" x14ac:dyDescent="0.3">
      <c r="A297" s="53" t="s">
        <v>55</v>
      </c>
      <c r="B297" s="54" t="s">
        <v>56</v>
      </c>
      <c r="C297" s="54" t="s">
        <v>517</v>
      </c>
      <c r="D297" s="54" t="s">
        <v>66</v>
      </c>
      <c r="E297" s="54" t="s">
        <v>58</v>
      </c>
      <c r="F297" s="54" t="s">
        <v>541</v>
      </c>
      <c r="G297" s="54" t="s">
        <v>59</v>
      </c>
      <c r="H297" s="54" t="s">
        <v>60</v>
      </c>
      <c r="I297" s="55" t="s">
        <v>56</v>
      </c>
      <c r="J297" s="54"/>
    </row>
    <row r="298" spans="1:10" x14ac:dyDescent="0.3">
      <c r="A298" s="53" t="s">
        <v>55</v>
      </c>
      <c r="B298" s="54" t="s">
        <v>56</v>
      </c>
      <c r="C298" s="54" t="s">
        <v>517</v>
      </c>
      <c r="D298" s="54" t="s">
        <v>66</v>
      </c>
      <c r="E298" s="54" t="s">
        <v>58</v>
      </c>
      <c r="F298" s="54" t="s">
        <v>542</v>
      </c>
      <c r="G298" s="54" t="s">
        <v>59</v>
      </c>
      <c r="H298" s="54" t="s">
        <v>60</v>
      </c>
      <c r="I298" s="55" t="s">
        <v>56</v>
      </c>
      <c r="J298" s="54"/>
    </row>
    <row r="299" spans="1:10" x14ac:dyDescent="0.3">
      <c r="A299" s="53" t="s">
        <v>55</v>
      </c>
      <c r="B299" s="54" t="s">
        <v>56</v>
      </c>
      <c r="C299" s="54" t="s">
        <v>517</v>
      </c>
      <c r="D299" s="54" t="s">
        <v>66</v>
      </c>
      <c r="E299" s="54" t="s">
        <v>58</v>
      </c>
      <c r="F299" s="54" t="s">
        <v>543</v>
      </c>
      <c r="G299" s="54" t="s">
        <v>59</v>
      </c>
      <c r="H299" s="54" t="s">
        <v>60</v>
      </c>
      <c r="I299" s="55" t="s">
        <v>56</v>
      </c>
      <c r="J299" s="54"/>
    </row>
    <row r="300" spans="1:10" x14ac:dyDescent="0.3">
      <c r="A300" s="53" t="s">
        <v>55</v>
      </c>
      <c r="B300" s="54" t="s">
        <v>56</v>
      </c>
      <c r="C300" s="54" t="s">
        <v>517</v>
      </c>
      <c r="D300" s="54" t="s">
        <v>66</v>
      </c>
      <c r="E300" s="54" t="s">
        <v>58</v>
      </c>
      <c r="F300" s="54" t="s">
        <v>544</v>
      </c>
      <c r="G300" s="54" t="s">
        <v>59</v>
      </c>
      <c r="H300" s="54" t="s">
        <v>60</v>
      </c>
      <c r="I300" s="55" t="s">
        <v>56</v>
      </c>
      <c r="J300" s="54"/>
    </row>
    <row r="301" spans="1:10" x14ac:dyDescent="0.3">
      <c r="A301" s="53" t="s">
        <v>55</v>
      </c>
      <c r="B301" s="54" t="s">
        <v>56</v>
      </c>
      <c r="C301" s="54" t="s">
        <v>517</v>
      </c>
      <c r="D301" s="54" t="s">
        <v>66</v>
      </c>
      <c r="E301" s="54" t="s">
        <v>58</v>
      </c>
      <c r="F301" s="54" t="s">
        <v>511</v>
      </c>
      <c r="G301" s="54" t="s">
        <v>59</v>
      </c>
      <c r="H301" s="54" t="s">
        <v>60</v>
      </c>
      <c r="I301" s="55" t="s">
        <v>56</v>
      </c>
      <c r="J301" s="54"/>
    </row>
    <row r="302" spans="1:10" x14ac:dyDescent="0.3">
      <c r="A302" s="53" t="s">
        <v>55</v>
      </c>
      <c r="B302" s="54" t="s">
        <v>56</v>
      </c>
      <c r="C302" s="54" t="s">
        <v>517</v>
      </c>
      <c r="D302" s="54" t="s">
        <v>66</v>
      </c>
      <c r="E302" s="54" t="s">
        <v>58</v>
      </c>
      <c r="F302" s="54" t="s">
        <v>545</v>
      </c>
      <c r="G302" s="54" t="s">
        <v>59</v>
      </c>
      <c r="H302" s="54" t="s">
        <v>60</v>
      </c>
      <c r="I302" s="55" t="s">
        <v>56</v>
      </c>
      <c r="J302" s="54"/>
    </row>
    <row r="303" spans="1:10" ht="129.6" x14ac:dyDescent="0.3">
      <c r="A303" s="53" t="s">
        <v>55</v>
      </c>
      <c r="B303" s="54" t="s">
        <v>56</v>
      </c>
      <c r="C303" s="54" t="s">
        <v>546</v>
      </c>
      <c r="D303" s="54" t="s">
        <v>22</v>
      </c>
      <c r="E303" s="54" t="s">
        <v>58</v>
      </c>
      <c r="F303" s="54" t="s">
        <v>547</v>
      </c>
      <c r="G303" s="54" t="s">
        <v>59</v>
      </c>
      <c r="H303" s="54" t="s">
        <v>60</v>
      </c>
      <c r="I303" s="55" t="s">
        <v>548</v>
      </c>
      <c r="J303" s="54"/>
    </row>
    <row r="304" spans="1:10" ht="57.6" x14ac:dyDescent="0.3">
      <c r="A304" s="53" t="s">
        <v>55</v>
      </c>
      <c r="B304" s="54" t="s">
        <v>56</v>
      </c>
      <c r="C304" s="54" t="s">
        <v>549</v>
      </c>
      <c r="D304" s="54" t="s">
        <v>29</v>
      </c>
      <c r="E304" s="54" t="s">
        <v>58</v>
      </c>
      <c r="F304" s="54" t="s">
        <v>522</v>
      </c>
      <c r="G304" s="54" t="s">
        <v>59</v>
      </c>
      <c r="H304" s="54" t="s">
        <v>60</v>
      </c>
      <c r="I304" s="55" t="s">
        <v>550</v>
      </c>
      <c r="J304" s="54"/>
    </row>
    <row r="305" spans="1:10" ht="28.8" x14ac:dyDescent="0.3">
      <c r="A305" s="53" t="s">
        <v>130</v>
      </c>
      <c r="B305" s="54" t="s">
        <v>130</v>
      </c>
      <c r="C305" s="54" t="s">
        <v>551</v>
      </c>
      <c r="D305" s="54" t="s">
        <v>552</v>
      </c>
      <c r="E305" s="54" t="s">
        <v>58</v>
      </c>
      <c r="F305" s="54" t="s">
        <v>553</v>
      </c>
      <c r="G305" s="54" t="s">
        <v>59</v>
      </c>
      <c r="H305" s="54" t="s">
        <v>70</v>
      </c>
      <c r="I305" s="55" t="s">
        <v>554</v>
      </c>
      <c r="J305" s="54"/>
    </row>
    <row r="306" spans="1:10" ht="345.6" x14ac:dyDescent="0.3">
      <c r="A306" s="53" t="s">
        <v>55</v>
      </c>
      <c r="B306" s="54" t="s">
        <v>56</v>
      </c>
      <c r="C306" s="54" t="s">
        <v>551</v>
      </c>
      <c r="D306" s="54" t="s">
        <v>22</v>
      </c>
      <c r="E306" s="54" t="s">
        <v>58</v>
      </c>
      <c r="F306" s="54" t="s">
        <v>522</v>
      </c>
      <c r="G306" s="54" t="s">
        <v>59</v>
      </c>
      <c r="H306" s="54" t="s">
        <v>60</v>
      </c>
      <c r="I306" s="55" t="s">
        <v>555</v>
      </c>
      <c r="J306" s="54"/>
    </row>
    <row r="307" spans="1:10" ht="86.4" x14ac:dyDescent="0.3">
      <c r="A307" s="53" t="s">
        <v>55</v>
      </c>
      <c r="B307" s="54" t="s">
        <v>56</v>
      </c>
      <c r="C307" s="54" t="s">
        <v>556</v>
      </c>
      <c r="D307" s="54" t="s">
        <v>39</v>
      </c>
      <c r="E307" s="54" t="s">
        <v>58</v>
      </c>
      <c r="F307" s="54" t="s">
        <v>557</v>
      </c>
      <c r="G307" s="54" t="s">
        <v>59</v>
      </c>
      <c r="H307" s="54" t="s">
        <v>60</v>
      </c>
      <c r="I307" s="55" t="s">
        <v>558</v>
      </c>
      <c r="J307" s="54"/>
    </row>
    <row r="308" spans="1:10" ht="115.2" x14ac:dyDescent="0.3">
      <c r="A308" s="53" t="s">
        <v>55</v>
      </c>
      <c r="B308" s="54" t="s">
        <v>56</v>
      </c>
      <c r="C308" s="54" t="s">
        <v>556</v>
      </c>
      <c r="D308" s="54" t="s">
        <v>37</v>
      </c>
      <c r="E308" s="54" t="s">
        <v>58</v>
      </c>
      <c r="F308" s="54" t="s">
        <v>56</v>
      </c>
      <c r="G308" s="54" t="s">
        <v>59</v>
      </c>
      <c r="H308" s="54" t="s">
        <v>60</v>
      </c>
      <c r="I308" s="55" t="s">
        <v>559</v>
      </c>
      <c r="J308" s="54"/>
    </row>
    <row r="309" spans="1:10" ht="43.2" x14ac:dyDescent="0.3">
      <c r="A309" s="53" t="s">
        <v>25</v>
      </c>
      <c r="B309" s="54" t="s">
        <v>95</v>
      </c>
      <c r="C309" s="54" t="s">
        <v>560</v>
      </c>
      <c r="D309" s="54" t="s">
        <v>107</v>
      </c>
      <c r="E309" s="54" t="s">
        <v>58</v>
      </c>
      <c r="F309" s="54" t="s">
        <v>241</v>
      </c>
      <c r="G309" s="54" t="s">
        <v>59</v>
      </c>
      <c r="H309" s="54" t="s">
        <v>70</v>
      </c>
      <c r="I309" s="55" t="s">
        <v>561</v>
      </c>
      <c r="J309" s="54"/>
    </row>
    <row r="310" spans="1:10" x14ac:dyDescent="0.3">
      <c r="A310" s="53" t="s">
        <v>55</v>
      </c>
      <c r="B310" s="54" t="s">
        <v>56</v>
      </c>
      <c r="C310" s="54" t="s">
        <v>562</v>
      </c>
      <c r="D310" s="54" t="s">
        <v>35</v>
      </c>
      <c r="E310" s="54" t="s">
        <v>58</v>
      </c>
      <c r="F310" s="54" t="s">
        <v>563</v>
      </c>
      <c r="G310" s="54" t="s">
        <v>59</v>
      </c>
      <c r="H310" s="54" t="s">
        <v>67</v>
      </c>
      <c r="I310" s="55" t="s">
        <v>56</v>
      </c>
      <c r="J310" s="54"/>
    </row>
    <row r="311" spans="1:10" ht="144" x14ac:dyDescent="0.3">
      <c r="A311" s="53" t="s">
        <v>55</v>
      </c>
      <c r="B311" s="54" t="s">
        <v>564</v>
      </c>
      <c r="C311" s="54" t="s">
        <v>562</v>
      </c>
      <c r="D311" s="54" t="s">
        <v>75</v>
      </c>
      <c r="E311" s="54" t="s">
        <v>58</v>
      </c>
      <c r="F311" s="54" t="s">
        <v>565</v>
      </c>
      <c r="G311" s="54" t="s">
        <v>59</v>
      </c>
      <c r="H311" s="54" t="s">
        <v>67</v>
      </c>
      <c r="I311" s="55" t="s">
        <v>566</v>
      </c>
      <c r="J311" s="54"/>
    </row>
    <row r="312" spans="1:10" ht="244.8" x14ac:dyDescent="0.3">
      <c r="A312" s="53" t="s">
        <v>55</v>
      </c>
      <c r="B312" s="54" t="s">
        <v>95</v>
      </c>
      <c r="C312" s="54" t="s">
        <v>567</v>
      </c>
      <c r="D312" s="54" t="s">
        <v>107</v>
      </c>
      <c r="E312" s="54" t="s">
        <v>58</v>
      </c>
      <c r="F312" s="54" t="s">
        <v>568</v>
      </c>
      <c r="G312" s="54" t="s">
        <v>59</v>
      </c>
      <c r="H312" s="54" t="s">
        <v>60</v>
      </c>
      <c r="I312" s="55" t="s">
        <v>569</v>
      </c>
      <c r="J312" s="54"/>
    </row>
    <row r="313" spans="1:10" ht="43.2" x14ac:dyDescent="0.3">
      <c r="A313" s="53" t="s">
        <v>55</v>
      </c>
      <c r="B313" s="54" t="s">
        <v>56</v>
      </c>
      <c r="C313" s="54" t="s">
        <v>570</v>
      </c>
      <c r="D313" s="54" t="s">
        <v>22</v>
      </c>
      <c r="E313" s="54" t="s">
        <v>58</v>
      </c>
      <c r="F313" s="54" t="s">
        <v>571</v>
      </c>
      <c r="G313" s="54" t="s">
        <v>59</v>
      </c>
      <c r="H313" s="54" t="s">
        <v>60</v>
      </c>
      <c r="I313" s="55" t="s">
        <v>572</v>
      </c>
      <c r="J313" s="54"/>
    </row>
    <row r="314" spans="1:10" x14ac:dyDescent="0.3">
      <c r="A314" s="53" t="s">
        <v>55</v>
      </c>
      <c r="B314" s="54" t="s">
        <v>56</v>
      </c>
      <c r="C314" s="54" t="s">
        <v>570</v>
      </c>
      <c r="D314" s="54" t="s">
        <v>35</v>
      </c>
      <c r="E314" s="54" t="s">
        <v>58</v>
      </c>
      <c r="F314" s="54" t="s">
        <v>573</v>
      </c>
      <c r="G314" s="54" t="s">
        <v>59</v>
      </c>
      <c r="H314" s="54" t="s">
        <v>67</v>
      </c>
      <c r="I314" s="55" t="s">
        <v>56</v>
      </c>
      <c r="J314" s="54"/>
    </row>
    <row r="315" spans="1:10" x14ac:dyDescent="0.3">
      <c r="A315" s="53" t="s">
        <v>55</v>
      </c>
      <c r="B315" s="54" t="s">
        <v>56</v>
      </c>
      <c r="C315" s="54" t="s">
        <v>574</v>
      </c>
      <c r="D315" s="54" t="s">
        <v>75</v>
      </c>
      <c r="E315" s="54" t="s">
        <v>58</v>
      </c>
      <c r="F315" s="54" t="s">
        <v>575</v>
      </c>
      <c r="G315" s="54" t="s">
        <v>59</v>
      </c>
      <c r="H315" s="54" t="s">
        <v>67</v>
      </c>
      <c r="I315" s="55" t="s">
        <v>56</v>
      </c>
      <c r="J315" s="54"/>
    </row>
    <row r="316" spans="1:10" ht="72" x14ac:dyDescent="0.3">
      <c r="A316" s="53" t="s">
        <v>55</v>
      </c>
      <c r="B316" s="54" t="s">
        <v>564</v>
      </c>
      <c r="C316" s="54" t="s">
        <v>576</v>
      </c>
      <c r="D316" s="54" t="s">
        <v>552</v>
      </c>
      <c r="E316" s="54" t="s">
        <v>58</v>
      </c>
      <c r="F316" s="54" t="s">
        <v>568</v>
      </c>
      <c r="G316" s="54" t="s">
        <v>59</v>
      </c>
      <c r="H316" s="54" t="s">
        <v>60</v>
      </c>
      <c r="I316" s="55" t="s">
        <v>577</v>
      </c>
      <c r="J316" s="54"/>
    </row>
    <row r="317" spans="1:10" ht="86.4" x14ac:dyDescent="0.3">
      <c r="A317" s="53" t="s">
        <v>55</v>
      </c>
      <c r="B317" s="54" t="s">
        <v>95</v>
      </c>
      <c r="C317" s="54" t="s">
        <v>576</v>
      </c>
      <c r="D317" s="54" t="s">
        <v>41</v>
      </c>
      <c r="E317" s="54" t="s">
        <v>58</v>
      </c>
      <c r="F317" s="54" t="s">
        <v>571</v>
      </c>
      <c r="G317" s="54" t="s">
        <v>59</v>
      </c>
      <c r="H317" s="54" t="s">
        <v>60</v>
      </c>
      <c r="I317" s="55" t="s">
        <v>578</v>
      </c>
      <c r="J317" s="54"/>
    </row>
    <row r="318" spans="1:10" x14ac:dyDescent="0.3">
      <c r="A318" s="53" t="s">
        <v>25</v>
      </c>
      <c r="B318" s="54" t="s">
        <v>95</v>
      </c>
      <c r="C318" s="54" t="s">
        <v>576</v>
      </c>
      <c r="D318" s="54" t="s">
        <v>107</v>
      </c>
      <c r="E318" s="54" t="s">
        <v>58</v>
      </c>
      <c r="F318" s="54" t="s">
        <v>579</v>
      </c>
      <c r="G318" s="54" t="s">
        <v>59</v>
      </c>
      <c r="H318" s="54" t="s">
        <v>67</v>
      </c>
      <c r="I318" s="55" t="s">
        <v>56</v>
      </c>
      <c r="J318" s="54"/>
    </row>
    <row r="319" spans="1:10" ht="86.4" x14ac:dyDescent="0.3">
      <c r="A319" s="53" t="s">
        <v>55</v>
      </c>
      <c r="B319" s="54" t="s">
        <v>56</v>
      </c>
      <c r="C319" s="54" t="s">
        <v>580</v>
      </c>
      <c r="D319" s="54" t="s">
        <v>35</v>
      </c>
      <c r="E319" s="54" t="s">
        <v>58</v>
      </c>
      <c r="F319" s="54" t="s">
        <v>581</v>
      </c>
      <c r="G319" s="54" t="s">
        <v>59</v>
      </c>
      <c r="H319" s="54" t="s">
        <v>67</v>
      </c>
      <c r="I319" s="55" t="s">
        <v>582</v>
      </c>
      <c r="J319" s="54"/>
    </row>
    <row r="320" spans="1:10" ht="86.4" x14ac:dyDescent="0.3">
      <c r="A320" s="53" t="s">
        <v>130</v>
      </c>
      <c r="B320" s="54" t="s">
        <v>130</v>
      </c>
      <c r="C320" s="54" t="s">
        <v>580</v>
      </c>
      <c r="D320" s="54" t="s">
        <v>40</v>
      </c>
      <c r="E320" s="54" t="s">
        <v>58</v>
      </c>
      <c r="F320" s="54" t="s">
        <v>230</v>
      </c>
      <c r="G320" s="54" t="s">
        <v>59</v>
      </c>
      <c r="H320" s="54" t="s">
        <v>67</v>
      </c>
      <c r="I320" s="55" t="s">
        <v>583</v>
      </c>
      <c r="J320" s="54"/>
    </row>
    <row r="321" spans="1:10" x14ac:dyDescent="0.3">
      <c r="A321" s="53" t="s">
        <v>130</v>
      </c>
      <c r="B321" s="54" t="s">
        <v>130</v>
      </c>
      <c r="C321" s="54" t="s">
        <v>580</v>
      </c>
      <c r="D321" s="54" t="s">
        <v>27</v>
      </c>
      <c r="E321" s="54" t="s">
        <v>58</v>
      </c>
      <c r="F321" s="54" t="s">
        <v>230</v>
      </c>
      <c r="G321" s="54" t="s">
        <v>59</v>
      </c>
      <c r="H321" s="54" t="s">
        <v>67</v>
      </c>
      <c r="I321" s="55" t="s">
        <v>56</v>
      </c>
      <c r="J321" s="54"/>
    </row>
    <row r="322" spans="1:10" x14ac:dyDescent="0.3">
      <c r="A322" s="53" t="s">
        <v>130</v>
      </c>
      <c r="B322" s="54" t="s">
        <v>130</v>
      </c>
      <c r="C322" s="54" t="s">
        <v>584</v>
      </c>
      <c r="D322" s="54" t="s">
        <v>29</v>
      </c>
      <c r="E322" s="54" t="s">
        <v>58</v>
      </c>
      <c r="F322" s="54" t="s">
        <v>585</v>
      </c>
      <c r="G322" s="54" t="s">
        <v>59</v>
      </c>
      <c r="H322" s="54" t="s">
        <v>67</v>
      </c>
      <c r="I322" s="55" t="s">
        <v>56</v>
      </c>
      <c r="J322" s="54"/>
    </row>
    <row r="323" spans="1:10" ht="259.2" x14ac:dyDescent="0.3">
      <c r="A323" s="53" t="s">
        <v>55</v>
      </c>
      <c r="B323" s="54" t="s">
        <v>95</v>
      </c>
      <c r="C323" s="54" t="s">
        <v>584</v>
      </c>
      <c r="D323" s="54" t="s">
        <v>367</v>
      </c>
      <c r="E323" s="54" t="s">
        <v>58</v>
      </c>
      <c r="F323" s="54" t="s">
        <v>586</v>
      </c>
      <c r="G323" s="54" t="s">
        <v>59</v>
      </c>
      <c r="H323" s="54" t="s">
        <v>60</v>
      </c>
      <c r="I323" s="55" t="s">
        <v>587</v>
      </c>
      <c r="J323" s="54"/>
    </row>
    <row r="324" spans="1:10" ht="100.8" x14ac:dyDescent="0.3">
      <c r="A324" s="53" t="s">
        <v>130</v>
      </c>
      <c r="B324" s="54" t="s">
        <v>130</v>
      </c>
      <c r="C324" s="54" t="s">
        <v>588</v>
      </c>
      <c r="D324" s="54" t="s">
        <v>22</v>
      </c>
      <c r="E324" s="54" t="s">
        <v>58</v>
      </c>
      <c r="F324" s="54" t="s">
        <v>579</v>
      </c>
      <c r="G324" s="54" t="s">
        <v>59</v>
      </c>
      <c r="H324" s="54" t="s">
        <v>67</v>
      </c>
      <c r="I324" s="55" t="s">
        <v>589</v>
      </c>
      <c r="J324" s="54"/>
    </row>
    <row r="325" spans="1:10" ht="158.4" x14ac:dyDescent="0.3">
      <c r="A325" s="53" t="s">
        <v>55</v>
      </c>
      <c r="B325" s="54" t="s">
        <v>56</v>
      </c>
      <c r="C325" s="54" t="s">
        <v>588</v>
      </c>
      <c r="D325" s="54" t="s">
        <v>35</v>
      </c>
      <c r="E325" s="54" t="s">
        <v>58</v>
      </c>
      <c r="F325" s="54" t="s">
        <v>590</v>
      </c>
      <c r="G325" s="54" t="s">
        <v>59</v>
      </c>
      <c r="H325" s="54" t="s">
        <v>67</v>
      </c>
      <c r="I325" s="55" t="s">
        <v>591</v>
      </c>
      <c r="J325" s="54"/>
    </row>
    <row r="326" spans="1:10" ht="172.8" x14ac:dyDescent="0.3">
      <c r="A326" s="53" t="s">
        <v>130</v>
      </c>
      <c r="B326" s="54" t="s">
        <v>130</v>
      </c>
      <c r="C326" s="54" t="s">
        <v>592</v>
      </c>
      <c r="D326" s="54" t="s">
        <v>499</v>
      </c>
      <c r="E326" s="54" t="s">
        <v>58</v>
      </c>
      <c r="F326" s="54" t="s">
        <v>593</v>
      </c>
      <c r="G326" s="54" t="s">
        <v>59</v>
      </c>
      <c r="H326" s="54" t="s">
        <v>67</v>
      </c>
      <c r="I326" s="55" t="s">
        <v>594</v>
      </c>
      <c r="J326" s="54"/>
    </row>
    <row r="327" spans="1:10" x14ac:dyDescent="0.3">
      <c r="A327" s="53" t="s">
        <v>55</v>
      </c>
      <c r="B327" s="54" t="s">
        <v>56</v>
      </c>
      <c r="C327" s="54" t="s">
        <v>595</v>
      </c>
      <c r="D327" s="54" t="s">
        <v>35</v>
      </c>
      <c r="E327" s="54" t="s">
        <v>58</v>
      </c>
      <c r="F327" s="54" t="s">
        <v>596</v>
      </c>
      <c r="G327" s="54" t="s">
        <v>59</v>
      </c>
      <c r="H327" s="54" t="s">
        <v>67</v>
      </c>
      <c r="I327" s="55" t="s">
        <v>56</v>
      </c>
      <c r="J327" s="54"/>
    </row>
    <row r="328" spans="1:10" x14ac:dyDescent="0.3">
      <c r="A328" s="53" t="s">
        <v>25</v>
      </c>
      <c r="B328" s="54" t="s">
        <v>95</v>
      </c>
      <c r="C328" s="54" t="s">
        <v>595</v>
      </c>
      <c r="D328" s="54" t="s">
        <v>35</v>
      </c>
      <c r="E328" s="54" t="s">
        <v>58</v>
      </c>
      <c r="F328" s="54" t="s">
        <v>597</v>
      </c>
      <c r="G328" s="54" t="s">
        <v>59</v>
      </c>
      <c r="H328" s="54" t="s">
        <v>67</v>
      </c>
      <c r="I328" s="55" t="s">
        <v>56</v>
      </c>
      <c r="J328" s="54"/>
    </row>
    <row r="329" spans="1:10" ht="72" x14ac:dyDescent="0.3">
      <c r="A329" s="53" t="s">
        <v>55</v>
      </c>
      <c r="B329" s="54" t="s">
        <v>564</v>
      </c>
      <c r="C329" s="54" t="s">
        <v>598</v>
      </c>
      <c r="D329" s="54" t="s">
        <v>40</v>
      </c>
      <c r="E329" s="54" t="s">
        <v>58</v>
      </c>
      <c r="F329" s="54" t="s">
        <v>599</v>
      </c>
      <c r="G329" s="54" t="s">
        <v>59</v>
      </c>
      <c r="H329" s="54" t="s">
        <v>70</v>
      </c>
      <c r="I329" s="55" t="s">
        <v>600</v>
      </c>
      <c r="J329" s="54"/>
    </row>
    <row r="330" spans="1:10" ht="86.4" x14ac:dyDescent="0.3">
      <c r="A330" s="53" t="s">
        <v>55</v>
      </c>
      <c r="B330" s="54" t="s">
        <v>564</v>
      </c>
      <c r="C330" s="54" t="s">
        <v>598</v>
      </c>
      <c r="D330" s="54" t="s">
        <v>27</v>
      </c>
      <c r="E330" s="54" t="s">
        <v>58</v>
      </c>
      <c r="F330" s="54" t="s">
        <v>599</v>
      </c>
      <c r="G330" s="54" t="s">
        <v>59</v>
      </c>
      <c r="H330" s="54" t="s">
        <v>70</v>
      </c>
      <c r="I330" s="55" t="s">
        <v>601</v>
      </c>
      <c r="J330" s="54"/>
    </row>
    <row r="331" spans="1:10" ht="86.4" x14ac:dyDescent="0.3">
      <c r="A331" s="53" t="s">
        <v>55</v>
      </c>
      <c r="B331" s="54" t="s">
        <v>56</v>
      </c>
      <c r="C331" s="54" t="s">
        <v>602</v>
      </c>
      <c r="D331" s="54" t="s">
        <v>35</v>
      </c>
      <c r="E331" s="54" t="s">
        <v>58</v>
      </c>
      <c r="F331" s="54" t="s">
        <v>603</v>
      </c>
      <c r="G331" s="54" t="s">
        <v>59</v>
      </c>
      <c r="H331" s="54" t="s">
        <v>60</v>
      </c>
      <c r="I331" s="55" t="s">
        <v>604</v>
      </c>
      <c r="J331" s="54"/>
    </row>
    <row r="332" spans="1:10" ht="28.8" x14ac:dyDescent="0.3">
      <c r="A332" s="53" t="s">
        <v>55</v>
      </c>
      <c r="B332" s="54" t="s">
        <v>56</v>
      </c>
      <c r="C332" s="54" t="s">
        <v>605</v>
      </c>
      <c r="D332" s="54" t="s">
        <v>22</v>
      </c>
      <c r="E332" s="54" t="s">
        <v>58</v>
      </c>
      <c r="F332" s="54" t="s">
        <v>606</v>
      </c>
      <c r="G332" s="54" t="s">
        <v>59</v>
      </c>
      <c r="H332" s="54" t="s">
        <v>70</v>
      </c>
      <c r="I332" s="55" t="s">
        <v>607</v>
      </c>
      <c r="J332" s="54"/>
    </row>
    <row r="333" spans="1:10" ht="72" x14ac:dyDescent="0.3">
      <c r="A333" s="53" t="s">
        <v>55</v>
      </c>
      <c r="B333" s="54" t="s">
        <v>56</v>
      </c>
      <c r="C333" s="54" t="s">
        <v>608</v>
      </c>
      <c r="D333" s="54" t="s">
        <v>22</v>
      </c>
      <c r="E333" s="54" t="s">
        <v>58</v>
      </c>
      <c r="F333" s="54" t="s">
        <v>609</v>
      </c>
      <c r="G333" s="54" t="s">
        <v>59</v>
      </c>
      <c r="H333" s="54" t="s">
        <v>70</v>
      </c>
      <c r="I333" s="55" t="s">
        <v>610</v>
      </c>
      <c r="J333" s="54"/>
    </row>
    <row r="334" spans="1:10" ht="115.2" x14ac:dyDescent="0.3">
      <c r="A334" s="53" t="s">
        <v>55</v>
      </c>
      <c r="B334" s="54" t="s">
        <v>56</v>
      </c>
      <c r="C334" s="54" t="s">
        <v>611</v>
      </c>
      <c r="D334" s="54" t="s">
        <v>35</v>
      </c>
      <c r="E334" s="54" t="s">
        <v>58</v>
      </c>
      <c r="F334" s="54" t="s">
        <v>612</v>
      </c>
      <c r="G334" s="54" t="s">
        <v>59</v>
      </c>
      <c r="H334" s="54" t="s">
        <v>70</v>
      </c>
      <c r="I334" s="55" t="s">
        <v>613</v>
      </c>
      <c r="J334" s="54"/>
    </row>
    <row r="335" spans="1:10" ht="158.4" x14ac:dyDescent="0.3">
      <c r="A335" s="53" t="s">
        <v>130</v>
      </c>
      <c r="B335" s="54" t="s">
        <v>130</v>
      </c>
      <c r="C335" s="54" t="s">
        <v>614</v>
      </c>
      <c r="D335" s="54" t="s">
        <v>37</v>
      </c>
      <c r="E335" s="54" t="s">
        <v>58</v>
      </c>
      <c r="F335" s="54" t="s">
        <v>615</v>
      </c>
      <c r="G335" s="54" t="s">
        <v>59</v>
      </c>
      <c r="H335" s="54" t="s">
        <v>70</v>
      </c>
      <c r="I335" s="55" t="s">
        <v>616</v>
      </c>
      <c r="J335" s="54"/>
    </row>
    <row r="336" spans="1:10" ht="86.4" x14ac:dyDescent="0.3">
      <c r="A336" s="53" t="s">
        <v>55</v>
      </c>
      <c r="B336" s="54" t="s">
        <v>56</v>
      </c>
      <c r="C336" s="54" t="s">
        <v>617</v>
      </c>
      <c r="D336" s="54" t="s">
        <v>35</v>
      </c>
      <c r="E336" s="54" t="s">
        <v>58</v>
      </c>
      <c r="F336" s="54" t="s">
        <v>472</v>
      </c>
      <c r="G336" s="54" t="s">
        <v>59</v>
      </c>
      <c r="H336" s="54" t="s">
        <v>67</v>
      </c>
      <c r="I336" s="55" t="s">
        <v>618</v>
      </c>
      <c r="J336" s="54"/>
    </row>
    <row r="337" spans="1:10" ht="115.2" x14ac:dyDescent="0.3">
      <c r="A337" s="53" t="s">
        <v>55</v>
      </c>
      <c r="B337" s="54" t="s">
        <v>56</v>
      </c>
      <c r="C337" s="54" t="s">
        <v>619</v>
      </c>
      <c r="D337" s="54" t="s">
        <v>14</v>
      </c>
      <c r="E337" s="54" t="s">
        <v>58</v>
      </c>
      <c r="F337" s="54" t="s">
        <v>620</v>
      </c>
      <c r="G337" s="54" t="s">
        <v>59</v>
      </c>
      <c r="H337" s="54" t="s">
        <v>60</v>
      </c>
      <c r="I337" s="55" t="s">
        <v>621</v>
      </c>
      <c r="J337" s="54"/>
    </row>
    <row r="338" spans="1:10" ht="144" x14ac:dyDescent="0.3">
      <c r="A338" s="53" t="s">
        <v>55</v>
      </c>
      <c r="B338" s="54" t="s">
        <v>95</v>
      </c>
      <c r="C338" s="54" t="s">
        <v>619</v>
      </c>
      <c r="D338" s="54" t="s">
        <v>22</v>
      </c>
      <c r="E338" s="54" t="s">
        <v>58</v>
      </c>
      <c r="F338" s="54" t="s">
        <v>622</v>
      </c>
      <c r="G338" s="54" t="s">
        <v>59</v>
      </c>
      <c r="H338" s="54" t="s">
        <v>60</v>
      </c>
      <c r="I338" s="55" t="s">
        <v>623</v>
      </c>
      <c r="J338" s="54"/>
    </row>
    <row r="339" spans="1:10" ht="158.4" x14ac:dyDescent="0.3">
      <c r="A339" s="53" t="s">
        <v>55</v>
      </c>
      <c r="B339" s="54" t="s">
        <v>56</v>
      </c>
      <c r="C339" s="54" t="s">
        <v>619</v>
      </c>
      <c r="D339" s="54" t="s">
        <v>35</v>
      </c>
      <c r="E339" s="54" t="s">
        <v>58</v>
      </c>
      <c r="F339" s="54" t="s">
        <v>624</v>
      </c>
      <c r="G339" s="54" t="s">
        <v>114</v>
      </c>
      <c r="H339" s="54" t="s">
        <v>67</v>
      </c>
      <c r="I339" s="55" t="s">
        <v>625</v>
      </c>
      <c r="J339" s="54"/>
    </row>
    <row r="340" spans="1:10" ht="115.2" x14ac:dyDescent="0.3">
      <c r="A340" s="53" t="s">
        <v>55</v>
      </c>
      <c r="B340" s="54" t="s">
        <v>564</v>
      </c>
      <c r="C340" s="54" t="s">
        <v>619</v>
      </c>
      <c r="D340" s="54" t="s">
        <v>22</v>
      </c>
      <c r="E340" s="54" t="s">
        <v>58</v>
      </c>
      <c r="F340" s="54" t="s">
        <v>568</v>
      </c>
      <c r="G340" s="54" t="s">
        <v>59</v>
      </c>
      <c r="H340" s="54" t="s">
        <v>60</v>
      </c>
      <c r="I340" s="55" t="s">
        <v>626</v>
      </c>
      <c r="J340" s="54"/>
    </row>
    <row r="341" spans="1:10" ht="28.8" x14ac:dyDescent="0.3">
      <c r="A341" s="53" t="s">
        <v>55</v>
      </c>
      <c r="B341" s="54" t="s">
        <v>56</v>
      </c>
      <c r="C341" s="54" t="s">
        <v>627</v>
      </c>
      <c r="D341" s="54" t="s">
        <v>35</v>
      </c>
      <c r="E341" s="54" t="s">
        <v>58</v>
      </c>
      <c r="F341" s="54" t="s">
        <v>380</v>
      </c>
      <c r="G341" s="54" t="s">
        <v>59</v>
      </c>
      <c r="H341" s="54" t="s">
        <v>67</v>
      </c>
      <c r="I341" s="55" t="s">
        <v>68</v>
      </c>
      <c r="J341" s="54"/>
    </row>
    <row r="342" spans="1:10" x14ac:dyDescent="0.3">
      <c r="A342" s="53" t="s">
        <v>130</v>
      </c>
      <c r="B342" s="54" t="s">
        <v>130</v>
      </c>
      <c r="C342" s="54" t="s">
        <v>627</v>
      </c>
      <c r="D342" s="54" t="s">
        <v>499</v>
      </c>
      <c r="E342" s="54" t="s">
        <v>58</v>
      </c>
      <c r="F342" s="54" t="s">
        <v>380</v>
      </c>
      <c r="G342" s="54" t="s">
        <v>59</v>
      </c>
      <c r="H342" s="54" t="s">
        <v>67</v>
      </c>
      <c r="I342" s="55" t="s">
        <v>56</v>
      </c>
      <c r="J342" s="54"/>
    </row>
    <row r="343" spans="1:10" ht="86.4" x14ac:dyDescent="0.3">
      <c r="A343" s="53" t="s">
        <v>55</v>
      </c>
      <c r="B343" s="54" t="s">
        <v>98</v>
      </c>
      <c r="C343" s="54" t="s">
        <v>628</v>
      </c>
      <c r="D343" s="54" t="s">
        <v>629</v>
      </c>
      <c r="E343" s="54" t="s">
        <v>58</v>
      </c>
      <c r="F343" s="54" t="s">
        <v>630</v>
      </c>
      <c r="G343" s="54" t="s">
        <v>59</v>
      </c>
      <c r="H343" s="54" t="s">
        <v>60</v>
      </c>
      <c r="I343" s="55" t="s">
        <v>631</v>
      </c>
      <c r="J343" s="54"/>
    </row>
    <row r="344" spans="1:10" ht="72" x14ac:dyDescent="0.3">
      <c r="A344" s="53" t="s">
        <v>55</v>
      </c>
      <c r="B344" s="54" t="s">
        <v>95</v>
      </c>
      <c r="C344" s="54" t="s">
        <v>632</v>
      </c>
      <c r="D344" s="54" t="s">
        <v>35</v>
      </c>
      <c r="E344" s="54" t="s">
        <v>58</v>
      </c>
      <c r="F344" s="54" t="s">
        <v>633</v>
      </c>
      <c r="G344" s="54" t="s">
        <v>59</v>
      </c>
      <c r="H344" s="54" t="s">
        <v>60</v>
      </c>
      <c r="I344" s="55" t="s">
        <v>634</v>
      </c>
      <c r="J344" s="54"/>
    </row>
    <row r="345" spans="1:10" ht="129.6" x14ac:dyDescent="0.3">
      <c r="A345" s="53" t="s">
        <v>55</v>
      </c>
      <c r="B345" s="54" t="s">
        <v>98</v>
      </c>
      <c r="C345" s="54" t="s">
        <v>632</v>
      </c>
      <c r="D345" s="54" t="s">
        <v>635</v>
      </c>
      <c r="E345" s="54" t="s">
        <v>58</v>
      </c>
      <c r="F345" s="54" t="s">
        <v>633</v>
      </c>
      <c r="G345" s="54" t="s">
        <v>59</v>
      </c>
      <c r="H345" s="54" t="s">
        <v>60</v>
      </c>
      <c r="I345" s="55" t="s">
        <v>636</v>
      </c>
      <c r="J345" s="54"/>
    </row>
    <row r="346" spans="1:10" ht="316.8" x14ac:dyDescent="0.3">
      <c r="A346" s="53" t="s">
        <v>55</v>
      </c>
      <c r="B346" s="54" t="s">
        <v>56</v>
      </c>
      <c r="C346" s="54" t="s">
        <v>637</v>
      </c>
      <c r="D346" s="54" t="s">
        <v>35</v>
      </c>
      <c r="E346" s="54" t="s">
        <v>58</v>
      </c>
      <c r="F346" s="54" t="s">
        <v>638</v>
      </c>
      <c r="G346" s="54" t="s">
        <v>59</v>
      </c>
      <c r="H346" s="54" t="s">
        <v>60</v>
      </c>
      <c r="I346" s="55" t="s">
        <v>639</v>
      </c>
      <c r="J346" s="54"/>
    </row>
    <row r="347" spans="1:10" ht="129.6" x14ac:dyDescent="0.3">
      <c r="A347" s="53" t="s">
        <v>130</v>
      </c>
      <c r="B347" s="54" t="s">
        <v>130</v>
      </c>
      <c r="C347" s="54" t="s">
        <v>640</v>
      </c>
      <c r="D347" s="54" t="s">
        <v>39</v>
      </c>
      <c r="E347" s="54" t="s">
        <v>58</v>
      </c>
      <c r="F347" s="54" t="s">
        <v>641</v>
      </c>
      <c r="G347" s="54" t="s">
        <v>59</v>
      </c>
      <c r="H347" s="54" t="s">
        <v>67</v>
      </c>
      <c r="I347" s="55" t="s">
        <v>642</v>
      </c>
      <c r="J347" s="54"/>
    </row>
    <row r="348" spans="1:10" x14ac:dyDescent="0.3">
      <c r="A348" s="53" t="s">
        <v>130</v>
      </c>
      <c r="B348" s="54" t="s">
        <v>130</v>
      </c>
      <c r="C348" s="54" t="s">
        <v>643</v>
      </c>
      <c r="D348" s="54" t="s">
        <v>22</v>
      </c>
      <c r="E348" s="54" t="s">
        <v>58</v>
      </c>
      <c r="F348" s="54" t="s">
        <v>644</v>
      </c>
      <c r="G348" s="54" t="s">
        <v>59</v>
      </c>
      <c r="H348" s="54" t="s">
        <v>67</v>
      </c>
      <c r="I348" s="55" t="s">
        <v>56</v>
      </c>
      <c r="J348" s="54"/>
    </row>
    <row r="349" spans="1:10" x14ac:dyDescent="0.3">
      <c r="A349" s="53" t="s">
        <v>130</v>
      </c>
      <c r="B349" s="54" t="s">
        <v>130</v>
      </c>
      <c r="C349" s="54" t="s">
        <v>645</v>
      </c>
      <c r="D349" s="54" t="s">
        <v>41</v>
      </c>
      <c r="E349" s="54" t="s">
        <v>58</v>
      </c>
      <c r="F349" s="54" t="s">
        <v>646</v>
      </c>
      <c r="G349" s="54" t="s">
        <v>59</v>
      </c>
      <c r="H349" s="54" t="s">
        <v>67</v>
      </c>
      <c r="I349" s="55" t="s">
        <v>56</v>
      </c>
      <c r="J349" s="54"/>
    </row>
    <row r="350" spans="1:10" x14ac:dyDescent="0.3">
      <c r="A350" s="53" t="s">
        <v>130</v>
      </c>
      <c r="B350" s="54" t="s">
        <v>130</v>
      </c>
      <c r="C350" s="54" t="s">
        <v>647</v>
      </c>
      <c r="D350" s="54" t="s">
        <v>22</v>
      </c>
      <c r="E350" s="54" t="s">
        <v>58</v>
      </c>
      <c r="F350" s="54" t="s">
        <v>648</v>
      </c>
      <c r="G350" s="54" t="s">
        <v>59</v>
      </c>
      <c r="H350" s="54" t="s">
        <v>67</v>
      </c>
      <c r="I350" s="55" t="s">
        <v>56</v>
      </c>
      <c r="J350" s="54"/>
    </row>
    <row r="351" spans="1:10" ht="244.8" x14ac:dyDescent="0.3">
      <c r="A351" s="53" t="s">
        <v>55</v>
      </c>
      <c r="B351" s="54" t="s">
        <v>56</v>
      </c>
      <c r="C351" s="54" t="s">
        <v>649</v>
      </c>
      <c r="D351" s="54" t="s">
        <v>22</v>
      </c>
      <c r="E351" s="54" t="s">
        <v>58</v>
      </c>
      <c r="F351" s="54" t="s">
        <v>650</v>
      </c>
      <c r="G351" s="54" t="s">
        <v>462</v>
      </c>
      <c r="H351" s="54" t="s">
        <v>60</v>
      </c>
      <c r="I351" s="55" t="s">
        <v>651</v>
      </c>
      <c r="J351" s="54"/>
    </row>
    <row r="352" spans="1:10" ht="86.4" x14ac:dyDescent="0.3">
      <c r="A352" s="53" t="s">
        <v>130</v>
      </c>
      <c r="B352" s="54" t="s">
        <v>130</v>
      </c>
      <c r="C352" s="54" t="s">
        <v>649</v>
      </c>
      <c r="D352" s="54" t="s">
        <v>22</v>
      </c>
      <c r="E352" s="54" t="s">
        <v>58</v>
      </c>
      <c r="F352" s="54" t="s">
        <v>652</v>
      </c>
      <c r="G352" s="54" t="s">
        <v>59</v>
      </c>
      <c r="H352" s="54" t="s">
        <v>70</v>
      </c>
      <c r="I352" s="55" t="s">
        <v>653</v>
      </c>
      <c r="J352" s="54"/>
    </row>
    <row r="353" spans="1:10" ht="72" x14ac:dyDescent="0.3">
      <c r="A353" s="53" t="s">
        <v>130</v>
      </c>
      <c r="B353" s="54" t="s">
        <v>130</v>
      </c>
      <c r="C353" s="54" t="s">
        <v>649</v>
      </c>
      <c r="D353" s="54" t="s">
        <v>41</v>
      </c>
      <c r="E353" s="54" t="s">
        <v>58</v>
      </c>
      <c r="F353" s="54" t="s">
        <v>654</v>
      </c>
      <c r="G353" s="54" t="s">
        <v>59</v>
      </c>
      <c r="H353" s="54" t="s">
        <v>70</v>
      </c>
      <c r="I353" s="55" t="s">
        <v>655</v>
      </c>
      <c r="J353" s="54"/>
    </row>
    <row r="354" spans="1:10" ht="100.8" x14ac:dyDescent="0.3">
      <c r="A354" s="53" t="s">
        <v>55</v>
      </c>
      <c r="B354" s="54" t="s">
        <v>56</v>
      </c>
      <c r="C354" s="54" t="s">
        <v>649</v>
      </c>
      <c r="D354" s="54" t="s">
        <v>75</v>
      </c>
      <c r="E354" s="54" t="s">
        <v>58</v>
      </c>
      <c r="F354" s="54" t="s">
        <v>656</v>
      </c>
      <c r="G354" s="54" t="s">
        <v>59</v>
      </c>
      <c r="H354" s="54" t="s">
        <v>60</v>
      </c>
      <c r="I354" s="55" t="s">
        <v>657</v>
      </c>
      <c r="J354" s="54"/>
    </row>
    <row r="355" spans="1:10" ht="72" x14ac:dyDescent="0.3">
      <c r="A355" s="53" t="s">
        <v>55</v>
      </c>
      <c r="B355" s="54" t="s">
        <v>56</v>
      </c>
      <c r="C355" s="54" t="s">
        <v>658</v>
      </c>
      <c r="D355" s="54" t="s">
        <v>35</v>
      </c>
      <c r="E355" s="54" t="s">
        <v>58</v>
      </c>
      <c r="F355" s="54" t="s">
        <v>659</v>
      </c>
      <c r="G355" s="54" t="s">
        <v>59</v>
      </c>
      <c r="H355" s="54" t="s">
        <v>60</v>
      </c>
      <c r="I355" s="55" t="s">
        <v>660</v>
      </c>
      <c r="J355" s="54"/>
    </row>
    <row r="356" spans="1:10" ht="72" x14ac:dyDescent="0.3">
      <c r="A356" s="53" t="s">
        <v>55</v>
      </c>
      <c r="B356" s="54" t="s">
        <v>56</v>
      </c>
      <c r="C356" s="54" t="s">
        <v>658</v>
      </c>
      <c r="D356" s="54" t="s">
        <v>22</v>
      </c>
      <c r="E356" s="54" t="s">
        <v>58</v>
      </c>
      <c r="F356" s="54" t="s">
        <v>661</v>
      </c>
      <c r="G356" s="54" t="s">
        <v>59</v>
      </c>
      <c r="H356" s="54" t="s">
        <v>60</v>
      </c>
      <c r="I356" s="55" t="s">
        <v>662</v>
      </c>
      <c r="J356" s="54"/>
    </row>
    <row r="357" spans="1:10" ht="72" x14ac:dyDescent="0.3">
      <c r="A357" s="53" t="s">
        <v>130</v>
      </c>
      <c r="B357" s="54" t="s">
        <v>130</v>
      </c>
      <c r="C357" s="54" t="s">
        <v>663</v>
      </c>
      <c r="D357" s="54" t="s">
        <v>35</v>
      </c>
      <c r="E357" s="54" t="s">
        <v>58</v>
      </c>
      <c r="F357" s="54" t="s">
        <v>664</v>
      </c>
      <c r="G357" s="54" t="s">
        <v>59</v>
      </c>
      <c r="H357" s="54" t="s">
        <v>60</v>
      </c>
      <c r="I357" s="55" t="s">
        <v>665</v>
      </c>
      <c r="J357" s="54"/>
    </row>
    <row r="358" spans="1:10" x14ac:dyDescent="0.3">
      <c r="A358" s="53" t="s">
        <v>130</v>
      </c>
      <c r="B358" s="54" t="s">
        <v>130</v>
      </c>
      <c r="C358" s="54" t="s">
        <v>666</v>
      </c>
      <c r="D358" s="54" t="s">
        <v>107</v>
      </c>
      <c r="E358" s="54" t="s">
        <v>58</v>
      </c>
      <c r="F358" s="54" t="s">
        <v>667</v>
      </c>
      <c r="G358" s="54" t="s">
        <v>59</v>
      </c>
      <c r="H358" s="54" t="s">
        <v>67</v>
      </c>
      <c r="I358" s="55" t="s">
        <v>56</v>
      </c>
      <c r="J358" s="54"/>
    </row>
    <row r="359" spans="1:10" x14ac:dyDescent="0.3">
      <c r="A359" s="53" t="s">
        <v>55</v>
      </c>
      <c r="B359" s="54" t="s">
        <v>56</v>
      </c>
      <c r="C359" s="54" t="s">
        <v>666</v>
      </c>
      <c r="D359" s="54" t="s">
        <v>22</v>
      </c>
      <c r="E359" s="54" t="s">
        <v>58</v>
      </c>
      <c r="F359" s="54" t="s">
        <v>667</v>
      </c>
      <c r="G359" s="54" t="s">
        <v>59</v>
      </c>
      <c r="H359" s="54" t="s">
        <v>67</v>
      </c>
      <c r="I359" s="55" t="s">
        <v>56</v>
      </c>
      <c r="J359" s="54"/>
    </row>
    <row r="360" spans="1:10" x14ac:dyDescent="0.3">
      <c r="A360" s="53" t="s">
        <v>55</v>
      </c>
      <c r="B360" s="54" t="s">
        <v>56</v>
      </c>
      <c r="C360" s="54" t="s">
        <v>666</v>
      </c>
      <c r="D360" s="54" t="s">
        <v>35</v>
      </c>
      <c r="E360" s="54" t="s">
        <v>58</v>
      </c>
      <c r="F360" s="54" t="s">
        <v>664</v>
      </c>
      <c r="G360" s="54" t="s">
        <v>59</v>
      </c>
      <c r="H360" s="54" t="s">
        <v>60</v>
      </c>
      <c r="I360" s="55" t="s">
        <v>56</v>
      </c>
      <c r="J360" s="54"/>
    </row>
    <row r="361" spans="1:10" ht="86.4" x14ac:dyDescent="0.3">
      <c r="A361" s="53" t="s">
        <v>130</v>
      </c>
      <c r="B361" s="54" t="s">
        <v>130</v>
      </c>
      <c r="C361" s="54" t="s">
        <v>666</v>
      </c>
      <c r="D361" s="54" t="s">
        <v>668</v>
      </c>
      <c r="E361" s="54" t="s">
        <v>58</v>
      </c>
      <c r="F361" s="54" t="s">
        <v>669</v>
      </c>
      <c r="G361" s="54" t="s">
        <v>59</v>
      </c>
      <c r="H361" s="54" t="s">
        <v>60</v>
      </c>
      <c r="I361" s="55" t="s">
        <v>670</v>
      </c>
      <c r="J361" s="54"/>
    </row>
    <row r="362" spans="1:10" ht="129.6" x14ac:dyDescent="0.3">
      <c r="A362" s="53" t="s">
        <v>55</v>
      </c>
      <c r="B362" s="54" t="s">
        <v>56</v>
      </c>
      <c r="C362" s="54" t="s">
        <v>671</v>
      </c>
      <c r="D362" s="54" t="s">
        <v>35</v>
      </c>
      <c r="E362" s="54" t="s">
        <v>58</v>
      </c>
      <c r="F362" s="54" t="s">
        <v>672</v>
      </c>
      <c r="G362" s="54" t="s">
        <v>59</v>
      </c>
      <c r="H362" s="54" t="s">
        <v>60</v>
      </c>
      <c r="I362" s="55" t="s">
        <v>673</v>
      </c>
      <c r="J362" s="54"/>
    </row>
    <row r="363" spans="1:10" ht="115.2" x14ac:dyDescent="0.3">
      <c r="A363" s="53" t="s">
        <v>55</v>
      </c>
      <c r="B363" s="54" t="s">
        <v>56</v>
      </c>
      <c r="C363" s="54" t="s">
        <v>674</v>
      </c>
      <c r="D363" s="54" t="s">
        <v>35</v>
      </c>
      <c r="E363" s="54" t="s">
        <v>58</v>
      </c>
      <c r="F363" s="54" t="s">
        <v>669</v>
      </c>
      <c r="G363" s="54" t="s">
        <v>59</v>
      </c>
      <c r="H363" s="54" t="s">
        <v>60</v>
      </c>
      <c r="I363" s="55" t="s">
        <v>675</v>
      </c>
      <c r="J363" s="54"/>
    </row>
    <row r="364" spans="1:10" x14ac:dyDescent="0.3">
      <c r="A364" s="53" t="s">
        <v>130</v>
      </c>
      <c r="B364" s="54" t="s">
        <v>130</v>
      </c>
      <c r="C364" s="54" t="s">
        <v>674</v>
      </c>
      <c r="D364" s="54" t="s">
        <v>499</v>
      </c>
      <c r="E364" s="54" t="s">
        <v>58</v>
      </c>
      <c r="F364" s="54" t="s">
        <v>358</v>
      </c>
      <c r="G364" s="54" t="s">
        <v>59</v>
      </c>
      <c r="H364" s="54" t="s">
        <v>67</v>
      </c>
      <c r="I364" s="55" t="s">
        <v>56</v>
      </c>
      <c r="J364" s="54"/>
    </row>
    <row r="365" spans="1:10" x14ac:dyDescent="0.3">
      <c r="A365" s="53" t="s">
        <v>130</v>
      </c>
      <c r="B365" s="54" t="s">
        <v>130</v>
      </c>
      <c r="C365" s="54" t="s">
        <v>676</v>
      </c>
      <c r="D365" s="54" t="s">
        <v>22</v>
      </c>
      <c r="E365" s="54" t="s">
        <v>58</v>
      </c>
      <c r="F365" s="54" t="s">
        <v>358</v>
      </c>
      <c r="G365" s="54" t="s">
        <v>59</v>
      </c>
      <c r="H365" s="54" t="s">
        <v>67</v>
      </c>
      <c r="I365" s="55" t="s">
        <v>56</v>
      </c>
      <c r="J365" s="54"/>
    </row>
    <row r="366" spans="1:10" x14ac:dyDescent="0.3">
      <c r="A366" s="53" t="s">
        <v>130</v>
      </c>
      <c r="B366" s="54" t="s">
        <v>130</v>
      </c>
      <c r="C366" s="54" t="s">
        <v>676</v>
      </c>
      <c r="D366" s="54" t="s">
        <v>35</v>
      </c>
      <c r="E366" s="54" t="s">
        <v>58</v>
      </c>
      <c r="F366" s="54" t="s">
        <v>358</v>
      </c>
      <c r="G366" s="54" t="s">
        <v>59</v>
      </c>
      <c r="H366" s="54" t="s">
        <v>67</v>
      </c>
      <c r="I366" s="55" t="s">
        <v>56</v>
      </c>
      <c r="J366" s="54"/>
    </row>
    <row r="367" spans="1:10" x14ac:dyDescent="0.3">
      <c r="A367" s="53" t="s">
        <v>55</v>
      </c>
      <c r="B367" s="54" t="s">
        <v>56</v>
      </c>
      <c r="C367" s="54" t="s">
        <v>677</v>
      </c>
      <c r="D367" s="54" t="s">
        <v>35</v>
      </c>
      <c r="E367" s="54" t="s">
        <v>58</v>
      </c>
      <c r="F367" s="54" t="s">
        <v>678</v>
      </c>
      <c r="G367" s="54" t="s">
        <v>59</v>
      </c>
      <c r="H367" s="54" t="s">
        <v>67</v>
      </c>
      <c r="I367" s="55" t="s">
        <v>56</v>
      </c>
      <c r="J367" s="54"/>
    </row>
    <row r="368" spans="1:10" x14ac:dyDescent="0.3">
      <c r="A368" s="53" t="s">
        <v>25</v>
      </c>
      <c r="B368" s="54" t="s">
        <v>95</v>
      </c>
      <c r="C368" s="54" t="s">
        <v>677</v>
      </c>
      <c r="D368" s="54" t="s">
        <v>552</v>
      </c>
      <c r="E368" s="54" t="s">
        <v>58</v>
      </c>
      <c r="F368" s="54" t="s">
        <v>679</v>
      </c>
      <c r="G368" s="54" t="s">
        <v>59</v>
      </c>
      <c r="H368" s="54" t="s">
        <v>70</v>
      </c>
      <c r="I368" s="55" t="s">
        <v>56</v>
      </c>
      <c r="J368" s="54"/>
    </row>
    <row r="369" spans="1:10" ht="129.6" x14ac:dyDescent="0.3">
      <c r="A369" s="53" t="s">
        <v>55</v>
      </c>
      <c r="B369" s="54" t="s">
        <v>95</v>
      </c>
      <c r="C369" s="54" t="s">
        <v>680</v>
      </c>
      <c r="D369" s="54" t="s">
        <v>22</v>
      </c>
      <c r="E369" s="54" t="s">
        <v>58</v>
      </c>
      <c r="F369" s="54" t="s">
        <v>656</v>
      </c>
      <c r="G369" s="54" t="s">
        <v>59</v>
      </c>
      <c r="H369" s="54" t="s">
        <v>60</v>
      </c>
      <c r="I369" s="55" t="s">
        <v>681</v>
      </c>
      <c r="J369" s="54"/>
    </row>
    <row r="370" spans="1:10" ht="100.8" x14ac:dyDescent="0.3">
      <c r="A370" s="53" t="s">
        <v>55</v>
      </c>
      <c r="B370" s="54" t="s">
        <v>56</v>
      </c>
      <c r="C370" s="54" t="s">
        <v>682</v>
      </c>
      <c r="D370" s="54" t="s">
        <v>35</v>
      </c>
      <c r="E370" s="54" t="s">
        <v>58</v>
      </c>
      <c r="F370" s="54" t="s">
        <v>672</v>
      </c>
      <c r="G370" s="54" t="s">
        <v>59</v>
      </c>
      <c r="H370" s="54" t="s">
        <v>60</v>
      </c>
      <c r="I370" s="55" t="s">
        <v>683</v>
      </c>
      <c r="J370" s="54"/>
    </row>
    <row r="371" spans="1:10" x14ac:dyDescent="0.3">
      <c r="A371" s="53" t="s">
        <v>55</v>
      </c>
      <c r="B371" s="54" t="s">
        <v>56</v>
      </c>
      <c r="C371" s="54" t="s">
        <v>682</v>
      </c>
      <c r="D371" s="54" t="s">
        <v>35</v>
      </c>
      <c r="E371" s="54" t="s">
        <v>58</v>
      </c>
      <c r="F371" s="54" t="s">
        <v>684</v>
      </c>
      <c r="G371" s="54" t="s">
        <v>59</v>
      </c>
      <c r="H371" s="54" t="s">
        <v>67</v>
      </c>
      <c r="I371" s="55" t="s">
        <v>56</v>
      </c>
      <c r="J371" s="54"/>
    </row>
    <row r="372" spans="1:10" x14ac:dyDescent="0.3">
      <c r="A372" s="53" t="s">
        <v>685</v>
      </c>
      <c r="B372" s="54" t="s">
        <v>95</v>
      </c>
      <c r="C372" s="54" t="s">
        <v>686</v>
      </c>
      <c r="D372" s="54" t="s">
        <v>687</v>
      </c>
      <c r="E372" s="54" t="s">
        <v>58</v>
      </c>
      <c r="F372" s="54" t="s">
        <v>688</v>
      </c>
      <c r="G372" s="54" t="s">
        <v>59</v>
      </c>
      <c r="H372" s="54" t="s">
        <v>67</v>
      </c>
      <c r="I372" s="55" t="s">
        <v>56</v>
      </c>
      <c r="J372" s="54"/>
    </row>
    <row r="373" spans="1:10" ht="43.2" x14ac:dyDescent="0.3">
      <c r="A373" s="53" t="s">
        <v>130</v>
      </c>
      <c r="B373" s="54" t="s">
        <v>130</v>
      </c>
      <c r="C373" s="54" t="s">
        <v>689</v>
      </c>
      <c r="D373" s="54" t="s">
        <v>107</v>
      </c>
      <c r="E373" s="54" t="s">
        <v>58</v>
      </c>
      <c r="F373" s="54" t="s">
        <v>690</v>
      </c>
      <c r="G373" s="54" t="s">
        <v>59</v>
      </c>
      <c r="H373" s="54" t="s">
        <v>70</v>
      </c>
      <c r="I373" s="55" t="s">
        <v>691</v>
      </c>
      <c r="J373" s="54"/>
    </row>
    <row r="374" spans="1:10" x14ac:dyDescent="0.3">
      <c r="A374" s="53" t="s">
        <v>25</v>
      </c>
      <c r="B374" s="54" t="s">
        <v>95</v>
      </c>
      <c r="C374" s="54" t="s">
        <v>689</v>
      </c>
      <c r="D374" s="54" t="s">
        <v>29</v>
      </c>
      <c r="E374" s="54" t="s">
        <v>58</v>
      </c>
      <c r="F374" s="54" t="s">
        <v>692</v>
      </c>
      <c r="G374" s="54" t="s">
        <v>59</v>
      </c>
      <c r="H374" s="54" t="s">
        <v>67</v>
      </c>
      <c r="I374" s="55" t="s">
        <v>56</v>
      </c>
      <c r="J374" s="54"/>
    </row>
    <row r="375" spans="1:10" ht="302.39999999999998" x14ac:dyDescent="0.3">
      <c r="A375" s="53" t="s">
        <v>25</v>
      </c>
      <c r="B375" s="54" t="s">
        <v>95</v>
      </c>
      <c r="C375" s="54" t="s">
        <v>689</v>
      </c>
      <c r="D375" s="54" t="s">
        <v>36</v>
      </c>
      <c r="E375" s="54" t="s">
        <v>58</v>
      </c>
      <c r="F375" s="54" t="s">
        <v>693</v>
      </c>
      <c r="G375" s="54" t="s">
        <v>59</v>
      </c>
      <c r="H375" s="54" t="s">
        <v>60</v>
      </c>
      <c r="I375" s="55" t="s">
        <v>694</v>
      </c>
      <c r="J375" s="54"/>
    </row>
    <row r="376" spans="1:10" ht="100.8" x14ac:dyDescent="0.3">
      <c r="A376" s="53" t="s">
        <v>130</v>
      </c>
      <c r="B376" s="54" t="s">
        <v>130</v>
      </c>
      <c r="C376" s="54" t="s">
        <v>689</v>
      </c>
      <c r="D376" s="54" t="s">
        <v>39</v>
      </c>
      <c r="E376" s="54" t="s">
        <v>58</v>
      </c>
      <c r="F376" s="54" t="s">
        <v>693</v>
      </c>
      <c r="G376" s="54" t="s">
        <v>59</v>
      </c>
      <c r="H376" s="54" t="s">
        <v>60</v>
      </c>
      <c r="I376" s="55" t="s">
        <v>695</v>
      </c>
      <c r="J376" s="54"/>
    </row>
    <row r="377" spans="1:10" ht="86.4" x14ac:dyDescent="0.3">
      <c r="A377" s="53" t="s">
        <v>130</v>
      </c>
      <c r="B377" s="54" t="s">
        <v>130</v>
      </c>
      <c r="C377" s="54" t="s">
        <v>689</v>
      </c>
      <c r="D377" s="54" t="s">
        <v>696</v>
      </c>
      <c r="E377" s="54" t="s">
        <v>58</v>
      </c>
      <c r="F377" s="54" t="s">
        <v>697</v>
      </c>
      <c r="G377" s="54" t="s">
        <v>59</v>
      </c>
      <c r="H377" s="54" t="s">
        <v>60</v>
      </c>
      <c r="I377" s="55" t="s">
        <v>698</v>
      </c>
      <c r="J377" s="54"/>
    </row>
    <row r="378" spans="1:10" x14ac:dyDescent="0.3">
      <c r="A378" s="53" t="s">
        <v>55</v>
      </c>
      <c r="B378" s="54" t="s">
        <v>56</v>
      </c>
      <c r="C378" s="54" t="s">
        <v>699</v>
      </c>
      <c r="D378" s="54" t="s">
        <v>22</v>
      </c>
      <c r="E378" s="54" t="s">
        <v>58</v>
      </c>
      <c r="F378" s="54" t="s">
        <v>700</v>
      </c>
      <c r="G378" s="54" t="s">
        <v>59</v>
      </c>
      <c r="H378" s="54" t="s">
        <v>67</v>
      </c>
      <c r="I378" s="55" t="s">
        <v>56</v>
      </c>
      <c r="J378" s="54"/>
    </row>
    <row r="379" spans="1:10" ht="158.4" x14ac:dyDescent="0.3">
      <c r="A379" s="53" t="s">
        <v>55</v>
      </c>
      <c r="B379" s="54" t="s">
        <v>98</v>
      </c>
      <c r="C379" s="54" t="s">
        <v>699</v>
      </c>
      <c r="D379" s="54" t="s">
        <v>37</v>
      </c>
      <c r="E379" s="54" t="s">
        <v>58</v>
      </c>
      <c r="F379" s="54" t="s">
        <v>77</v>
      </c>
      <c r="G379" s="54" t="s">
        <v>59</v>
      </c>
      <c r="H379" s="54" t="s">
        <v>60</v>
      </c>
      <c r="I379" s="55" t="s">
        <v>701</v>
      </c>
      <c r="J379" s="54"/>
    </row>
    <row r="380" spans="1:10" ht="86.4" x14ac:dyDescent="0.3">
      <c r="A380" s="53" t="s">
        <v>25</v>
      </c>
      <c r="B380" s="54" t="s">
        <v>95</v>
      </c>
      <c r="C380" s="54" t="s">
        <v>702</v>
      </c>
      <c r="D380" s="54" t="s">
        <v>35</v>
      </c>
      <c r="E380" s="54" t="s">
        <v>58</v>
      </c>
      <c r="F380" s="54" t="s">
        <v>703</v>
      </c>
      <c r="G380" s="54" t="s">
        <v>59</v>
      </c>
      <c r="H380" s="54" t="s">
        <v>67</v>
      </c>
      <c r="I380" s="55" t="s">
        <v>704</v>
      </c>
      <c r="J380" s="54"/>
    </row>
    <row r="381" spans="1:10" ht="144" x14ac:dyDescent="0.3">
      <c r="A381" s="53" t="s">
        <v>130</v>
      </c>
      <c r="B381" s="54" t="s">
        <v>130</v>
      </c>
      <c r="C381" s="54" t="s">
        <v>702</v>
      </c>
      <c r="D381" s="54" t="s">
        <v>16</v>
      </c>
      <c r="E381" s="54" t="s">
        <v>58</v>
      </c>
      <c r="F381" s="54" t="s">
        <v>705</v>
      </c>
      <c r="G381" s="54" t="s">
        <v>59</v>
      </c>
      <c r="H381" s="54" t="s">
        <v>70</v>
      </c>
      <c r="I381" s="55" t="s">
        <v>706</v>
      </c>
      <c r="J381" s="54"/>
    </row>
    <row r="382" spans="1:10" ht="72" x14ac:dyDescent="0.3">
      <c r="A382" s="53" t="s">
        <v>130</v>
      </c>
      <c r="B382" s="54" t="s">
        <v>130</v>
      </c>
      <c r="C382" s="54" t="s">
        <v>702</v>
      </c>
      <c r="D382" s="54" t="s">
        <v>35</v>
      </c>
      <c r="E382" s="54" t="s">
        <v>58</v>
      </c>
      <c r="F382" s="54" t="s">
        <v>648</v>
      </c>
      <c r="G382" s="54" t="s">
        <v>59</v>
      </c>
      <c r="H382" s="54" t="s">
        <v>67</v>
      </c>
      <c r="I382" s="55" t="s">
        <v>707</v>
      </c>
      <c r="J382" s="54"/>
    </row>
    <row r="383" spans="1:10" x14ac:dyDescent="0.3">
      <c r="A383" s="53" t="s">
        <v>130</v>
      </c>
      <c r="B383" s="54" t="s">
        <v>130</v>
      </c>
      <c r="C383" s="54" t="s">
        <v>708</v>
      </c>
      <c r="D383" s="54" t="s">
        <v>35</v>
      </c>
      <c r="E383" s="54" t="s">
        <v>58</v>
      </c>
      <c r="F383" s="54" t="s">
        <v>358</v>
      </c>
      <c r="G383" s="54" t="s">
        <v>59</v>
      </c>
      <c r="H383" s="54" t="s">
        <v>67</v>
      </c>
      <c r="I383" s="55" t="s">
        <v>56</v>
      </c>
      <c r="J383" s="54"/>
    </row>
    <row r="384" spans="1:10" x14ac:dyDescent="0.3">
      <c r="A384" s="53" t="s">
        <v>55</v>
      </c>
      <c r="B384" s="54" t="s">
        <v>56</v>
      </c>
      <c r="C384" s="54" t="s">
        <v>708</v>
      </c>
      <c r="D384" s="54" t="s">
        <v>22</v>
      </c>
      <c r="E384" s="54" t="s">
        <v>58</v>
      </c>
      <c r="F384" s="54" t="s">
        <v>358</v>
      </c>
      <c r="G384" s="54" t="s">
        <v>59</v>
      </c>
      <c r="H384" s="54" t="s">
        <v>67</v>
      </c>
      <c r="I384" s="55" t="s">
        <v>56</v>
      </c>
      <c r="J384" s="54"/>
    </row>
    <row r="385" spans="1:10" ht="57.6" x14ac:dyDescent="0.3">
      <c r="A385" s="53" t="s">
        <v>130</v>
      </c>
      <c r="B385" s="54" t="s">
        <v>130</v>
      </c>
      <c r="C385" s="54" t="s">
        <v>709</v>
      </c>
      <c r="D385" s="54" t="s">
        <v>35</v>
      </c>
      <c r="E385" s="54" t="s">
        <v>58</v>
      </c>
      <c r="F385" s="54" t="s">
        <v>710</v>
      </c>
      <c r="G385" s="54" t="s">
        <v>59</v>
      </c>
      <c r="H385" s="54" t="s">
        <v>60</v>
      </c>
      <c r="I385" s="55" t="s">
        <v>711</v>
      </c>
      <c r="J385" s="54"/>
    </row>
    <row r="386" spans="1:10" ht="72" x14ac:dyDescent="0.3">
      <c r="A386" s="53" t="s">
        <v>55</v>
      </c>
      <c r="B386" s="54" t="s">
        <v>56</v>
      </c>
      <c r="C386" s="54" t="s">
        <v>709</v>
      </c>
      <c r="D386" s="54" t="s">
        <v>32</v>
      </c>
      <c r="E386" s="54" t="s">
        <v>58</v>
      </c>
      <c r="F386" s="54" t="s">
        <v>700</v>
      </c>
      <c r="G386" s="54" t="s">
        <v>114</v>
      </c>
      <c r="H386" s="54" t="s">
        <v>67</v>
      </c>
      <c r="I386" s="55" t="s">
        <v>712</v>
      </c>
      <c r="J386" s="54"/>
    </row>
    <row r="387" spans="1:10" ht="72" x14ac:dyDescent="0.3">
      <c r="A387" s="53" t="s">
        <v>55</v>
      </c>
      <c r="B387" s="54" t="s">
        <v>564</v>
      </c>
      <c r="C387" s="54" t="s">
        <v>709</v>
      </c>
      <c r="D387" s="54" t="s">
        <v>30</v>
      </c>
      <c r="E387" s="54" t="s">
        <v>58</v>
      </c>
      <c r="F387" s="54" t="s">
        <v>713</v>
      </c>
      <c r="G387" s="54" t="s">
        <v>114</v>
      </c>
      <c r="H387" s="54" t="s">
        <v>67</v>
      </c>
      <c r="I387" s="55" t="s">
        <v>714</v>
      </c>
      <c r="J387" s="54"/>
    </row>
    <row r="388" spans="1:10" ht="72" x14ac:dyDescent="0.3">
      <c r="A388" s="53" t="s">
        <v>130</v>
      </c>
      <c r="B388" s="54" t="s">
        <v>130</v>
      </c>
      <c r="C388" s="54" t="s">
        <v>715</v>
      </c>
      <c r="D388" s="54" t="s">
        <v>35</v>
      </c>
      <c r="E388" s="54" t="s">
        <v>58</v>
      </c>
      <c r="F388" s="54" t="s">
        <v>716</v>
      </c>
      <c r="G388" s="54" t="s">
        <v>59</v>
      </c>
      <c r="H388" s="54" t="s">
        <v>60</v>
      </c>
      <c r="I388" s="55" t="s">
        <v>717</v>
      </c>
      <c r="J388" s="54"/>
    </row>
    <row r="389" spans="1:10" ht="57.6" x14ac:dyDescent="0.3">
      <c r="A389" s="53" t="s">
        <v>25</v>
      </c>
      <c r="B389" s="54" t="s">
        <v>98</v>
      </c>
      <c r="C389" s="54" t="s">
        <v>715</v>
      </c>
      <c r="D389" s="54" t="s">
        <v>367</v>
      </c>
      <c r="E389" s="54" t="s">
        <v>58</v>
      </c>
      <c r="F389" s="54" t="s">
        <v>716</v>
      </c>
      <c r="G389" s="54" t="s">
        <v>59</v>
      </c>
      <c r="H389" s="54" t="s">
        <v>60</v>
      </c>
      <c r="I389" s="55" t="s">
        <v>718</v>
      </c>
      <c r="J389" s="54"/>
    </row>
    <row r="390" spans="1:10" x14ac:dyDescent="0.3">
      <c r="A390" s="53" t="s">
        <v>130</v>
      </c>
      <c r="B390" s="54" t="s">
        <v>130</v>
      </c>
      <c r="C390" s="54" t="s">
        <v>715</v>
      </c>
      <c r="D390" s="54" t="s">
        <v>499</v>
      </c>
      <c r="E390" s="54" t="s">
        <v>58</v>
      </c>
      <c r="F390" s="54" t="s">
        <v>710</v>
      </c>
      <c r="G390" s="54" t="s">
        <v>59</v>
      </c>
      <c r="H390" s="54" t="s">
        <v>60</v>
      </c>
      <c r="I390" s="55" t="s">
        <v>56</v>
      </c>
      <c r="J390" s="54"/>
    </row>
    <row r="391" spans="1:10" x14ac:dyDescent="0.3">
      <c r="A391" s="53" t="s">
        <v>55</v>
      </c>
      <c r="B391" s="54" t="s">
        <v>564</v>
      </c>
      <c r="C391" s="54" t="s">
        <v>719</v>
      </c>
      <c r="D391" s="54" t="s">
        <v>75</v>
      </c>
      <c r="E391" s="54" t="s">
        <v>58</v>
      </c>
      <c r="F391" s="54" t="s">
        <v>720</v>
      </c>
      <c r="G391" s="54" t="s">
        <v>59</v>
      </c>
      <c r="H391" s="54" t="s">
        <v>67</v>
      </c>
      <c r="I391" s="55" t="s">
        <v>56</v>
      </c>
      <c r="J391" s="54"/>
    </row>
    <row r="392" spans="1:10" x14ac:dyDescent="0.3">
      <c r="A392" s="53" t="s">
        <v>130</v>
      </c>
      <c r="B392" s="54" t="s">
        <v>130</v>
      </c>
      <c r="C392" s="54" t="s">
        <v>719</v>
      </c>
      <c r="D392" s="54" t="s">
        <v>22</v>
      </c>
      <c r="E392" s="54" t="s">
        <v>58</v>
      </c>
      <c r="F392" s="54" t="s">
        <v>104</v>
      </c>
      <c r="G392" s="54" t="s">
        <v>59</v>
      </c>
      <c r="H392" s="54" t="s">
        <v>67</v>
      </c>
      <c r="I392" s="55" t="s">
        <v>56</v>
      </c>
      <c r="J392" s="54"/>
    </row>
    <row r="393" spans="1:10" x14ac:dyDescent="0.3">
      <c r="A393" s="53" t="s">
        <v>130</v>
      </c>
      <c r="B393" s="54" t="s">
        <v>130</v>
      </c>
      <c r="C393" s="54" t="s">
        <v>719</v>
      </c>
      <c r="D393" s="54" t="s">
        <v>107</v>
      </c>
      <c r="E393" s="54" t="s">
        <v>58</v>
      </c>
      <c r="F393" s="54" t="s">
        <v>104</v>
      </c>
      <c r="G393" s="54" t="s">
        <v>59</v>
      </c>
      <c r="H393" s="54" t="s">
        <v>67</v>
      </c>
      <c r="I393" s="55" t="s">
        <v>56</v>
      </c>
      <c r="J393" s="54"/>
    </row>
    <row r="394" spans="1:10" ht="100.8" x14ac:dyDescent="0.3">
      <c r="A394" s="53" t="s">
        <v>25</v>
      </c>
      <c r="B394" s="54" t="s">
        <v>98</v>
      </c>
      <c r="C394" s="54" t="s">
        <v>721</v>
      </c>
      <c r="D394" s="54" t="s">
        <v>22</v>
      </c>
      <c r="E394" s="54" t="s">
        <v>58</v>
      </c>
      <c r="F394" s="54" t="s">
        <v>716</v>
      </c>
      <c r="G394" s="54" t="s">
        <v>59</v>
      </c>
      <c r="H394" s="54" t="s">
        <v>60</v>
      </c>
      <c r="I394" s="55" t="s">
        <v>722</v>
      </c>
      <c r="J394" s="54"/>
    </row>
    <row r="395" spans="1:10" ht="273.60000000000002" x14ac:dyDescent="0.3">
      <c r="A395" s="53" t="s">
        <v>55</v>
      </c>
      <c r="B395" s="54" t="s">
        <v>95</v>
      </c>
      <c r="C395" s="54" t="s">
        <v>723</v>
      </c>
      <c r="D395" s="54" t="s">
        <v>37</v>
      </c>
      <c r="E395" s="54" t="s">
        <v>58</v>
      </c>
      <c r="F395" s="54" t="s">
        <v>74</v>
      </c>
      <c r="G395" s="54" t="s">
        <v>59</v>
      </c>
      <c r="H395" s="54" t="s">
        <v>60</v>
      </c>
      <c r="I395" s="55" t="s">
        <v>724</v>
      </c>
      <c r="J395" s="54"/>
    </row>
    <row r="396" spans="1:10" ht="72" x14ac:dyDescent="0.3">
      <c r="A396" s="53" t="s">
        <v>55</v>
      </c>
      <c r="B396" s="54" t="s">
        <v>56</v>
      </c>
      <c r="C396" s="54" t="s">
        <v>725</v>
      </c>
      <c r="D396" s="54" t="s">
        <v>22</v>
      </c>
      <c r="E396" s="54" t="s">
        <v>58</v>
      </c>
      <c r="F396" s="54" t="s">
        <v>726</v>
      </c>
      <c r="G396" s="54" t="s">
        <v>59</v>
      </c>
      <c r="H396" s="54" t="s">
        <v>70</v>
      </c>
      <c r="I396" s="55" t="s">
        <v>727</v>
      </c>
      <c r="J396" s="54"/>
    </row>
    <row r="397" spans="1:10" x14ac:dyDescent="0.3">
      <c r="A397" s="53" t="s">
        <v>130</v>
      </c>
      <c r="B397" s="54" t="s">
        <v>130</v>
      </c>
      <c r="C397" s="54" t="s">
        <v>728</v>
      </c>
      <c r="D397" s="54" t="s">
        <v>172</v>
      </c>
      <c r="E397" s="54" t="s">
        <v>58</v>
      </c>
      <c r="F397" s="54" t="s">
        <v>729</v>
      </c>
      <c r="G397" s="54" t="s">
        <v>59</v>
      </c>
      <c r="H397" s="54" t="s">
        <v>67</v>
      </c>
      <c r="I397" s="55" t="s">
        <v>56</v>
      </c>
      <c r="J397" s="54"/>
    </row>
    <row r="398" spans="1:10" x14ac:dyDescent="0.3">
      <c r="A398" s="53" t="s">
        <v>55</v>
      </c>
      <c r="B398" s="54" t="s">
        <v>56</v>
      </c>
      <c r="C398" s="54" t="s">
        <v>728</v>
      </c>
      <c r="D398" s="54" t="s">
        <v>27</v>
      </c>
      <c r="E398" s="54" t="s">
        <v>58</v>
      </c>
      <c r="F398" s="54" t="s">
        <v>730</v>
      </c>
      <c r="G398" s="54" t="s">
        <v>59</v>
      </c>
      <c r="H398" s="54" t="s">
        <v>67</v>
      </c>
      <c r="I398" s="55" t="s">
        <v>56</v>
      </c>
      <c r="J398" s="54"/>
    </row>
    <row r="399" spans="1:10" ht="216" x14ac:dyDescent="0.3">
      <c r="A399" s="53" t="s">
        <v>55</v>
      </c>
      <c r="B399" s="54" t="s">
        <v>56</v>
      </c>
      <c r="C399" s="54" t="s">
        <v>731</v>
      </c>
      <c r="D399" s="54" t="s">
        <v>14</v>
      </c>
      <c r="E399" s="54" t="s">
        <v>58</v>
      </c>
      <c r="F399" s="54" t="s">
        <v>732</v>
      </c>
      <c r="G399" s="54" t="s">
        <v>59</v>
      </c>
      <c r="H399" s="54" t="s">
        <v>60</v>
      </c>
      <c r="I399" s="55" t="s">
        <v>733</v>
      </c>
      <c r="J399" s="54"/>
    </row>
    <row r="400" spans="1:10" ht="172.8" x14ac:dyDescent="0.3">
      <c r="A400" s="53" t="s">
        <v>55</v>
      </c>
      <c r="B400" s="54" t="s">
        <v>56</v>
      </c>
      <c r="C400" s="54" t="s">
        <v>731</v>
      </c>
      <c r="D400" s="54" t="s">
        <v>22</v>
      </c>
      <c r="E400" s="54" t="s">
        <v>58</v>
      </c>
      <c r="F400" s="54" t="s">
        <v>734</v>
      </c>
      <c r="G400" s="54" t="s">
        <v>59</v>
      </c>
      <c r="H400" s="54" t="s">
        <v>60</v>
      </c>
      <c r="I400" s="55" t="s">
        <v>735</v>
      </c>
      <c r="J400" s="54"/>
    </row>
    <row r="401" spans="1:10" ht="86.4" x14ac:dyDescent="0.3">
      <c r="A401" s="53" t="s">
        <v>130</v>
      </c>
      <c r="B401" s="54" t="s">
        <v>130</v>
      </c>
      <c r="C401" s="54" t="s">
        <v>736</v>
      </c>
      <c r="D401" s="54" t="s">
        <v>75</v>
      </c>
      <c r="E401" s="54" t="s">
        <v>58</v>
      </c>
      <c r="F401" s="54" t="s">
        <v>646</v>
      </c>
      <c r="G401" s="54" t="s">
        <v>59</v>
      </c>
      <c r="H401" s="54" t="s">
        <v>67</v>
      </c>
      <c r="I401" s="55" t="s">
        <v>737</v>
      </c>
      <c r="J401" s="54"/>
    </row>
    <row r="402" spans="1:10" x14ac:dyDescent="0.3">
      <c r="A402" s="53" t="s">
        <v>130</v>
      </c>
      <c r="B402" s="54" t="s">
        <v>130</v>
      </c>
      <c r="C402" s="54" t="s">
        <v>738</v>
      </c>
      <c r="D402" s="54" t="s">
        <v>37</v>
      </c>
      <c r="E402" s="54" t="s">
        <v>58</v>
      </c>
      <c r="F402" s="54" t="s">
        <v>472</v>
      </c>
      <c r="G402" s="54" t="s">
        <v>59</v>
      </c>
      <c r="H402" s="54" t="s">
        <v>67</v>
      </c>
      <c r="I402" s="55" t="s">
        <v>56</v>
      </c>
      <c r="J402" s="54"/>
    </row>
    <row r="403" spans="1:10" ht="100.8" x14ac:dyDescent="0.3">
      <c r="A403" s="53" t="s">
        <v>55</v>
      </c>
      <c r="B403" s="54" t="s">
        <v>56</v>
      </c>
      <c r="C403" s="54" t="s">
        <v>739</v>
      </c>
      <c r="D403" s="54" t="s">
        <v>35</v>
      </c>
      <c r="E403" s="54" t="s">
        <v>58</v>
      </c>
      <c r="F403" s="54" t="s">
        <v>740</v>
      </c>
      <c r="G403" s="54" t="s">
        <v>59</v>
      </c>
      <c r="H403" s="54" t="s">
        <v>67</v>
      </c>
      <c r="I403" s="55" t="s">
        <v>741</v>
      </c>
      <c r="J403" s="54"/>
    </row>
    <row r="404" spans="1:10" x14ac:dyDescent="0.3">
      <c r="A404" s="53" t="s">
        <v>55</v>
      </c>
      <c r="B404" s="54" t="s">
        <v>564</v>
      </c>
      <c r="C404" s="54" t="s">
        <v>739</v>
      </c>
      <c r="D404" s="54" t="s">
        <v>36</v>
      </c>
      <c r="E404" s="54" t="s">
        <v>58</v>
      </c>
      <c r="F404" s="54" t="s">
        <v>742</v>
      </c>
      <c r="G404" s="54" t="s">
        <v>59</v>
      </c>
      <c r="H404" s="54" t="s">
        <v>67</v>
      </c>
      <c r="I404" s="55" t="s">
        <v>56</v>
      </c>
      <c r="J404" s="54"/>
    </row>
    <row r="405" spans="1:10" x14ac:dyDescent="0.3">
      <c r="A405" s="53" t="s">
        <v>55</v>
      </c>
      <c r="B405" s="54" t="s">
        <v>56</v>
      </c>
      <c r="C405" s="54" t="s">
        <v>743</v>
      </c>
      <c r="D405" s="54" t="s">
        <v>35</v>
      </c>
      <c r="E405" s="54" t="s">
        <v>58</v>
      </c>
      <c r="F405" s="54" t="s">
        <v>744</v>
      </c>
      <c r="G405" s="54" t="s">
        <v>59</v>
      </c>
      <c r="H405" s="54" t="s">
        <v>70</v>
      </c>
      <c r="I405" s="55" t="s">
        <v>56</v>
      </c>
      <c r="J405" s="54"/>
    </row>
    <row r="406" spans="1:10" ht="72" x14ac:dyDescent="0.3">
      <c r="A406" s="53" t="s">
        <v>55</v>
      </c>
      <c r="B406" s="54" t="s">
        <v>56</v>
      </c>
      <c r="C406" s="54" t="s">
        <v>745</v>
      </c>
      <c r="D406" s="54" t="s">
        <v>35</v>
      </c>
      <c r="E406" s="54" t="s">
        <v>58</v>
      </c>
      <c r="F406" s="54" t="s">
        <v>746</v>
      </c>
      <c r="G406" s="54" t="s">
        <v>59</v>
      </c>
      <c r="H406" s="54" t="s">
        <v>60</v>
      </c>
      <c r="I406" s="55" t="s">
        <v>747</v>
      </c>
      <c r="J406" s="54"/>
    </row>
    <row r="407" spans="1:10" ht="201.6" x14ac:dyDescent="0.3">
      <c r="A407" s="53" t="s">
        <v>130</v>
      </c>
      <c r="B407" s="54" t="s">
        <v>130</v>
      </c>
      <c r="C407" s="54" t="s">
        <v>748</v>
      </c>
      <c r="D407" s="54" t="s">
        <v>16</v>
      </c>
      <c r="E407" s="54" t="s">
        <v>58</v>
      </c>
      <c r="F407" s="54" t="s">
        <v>749</v>
      </c>
      <c r="G407" s="54" t="s">
        <v>59</v>
      </c>
      <c r="H407" s="54" t="s">
        <v>67</v>
      </c>
      <c r="I407" s="55" t="s">
        <v>750</v>
      </c>
      <c r="J407" s="54"/>
    </row>
    <row r="408" spans="1:10" x14ac:dyDescent="0.3">
      <c r="A408" s="53" t="s">
        <v>55</v>
      </c>
      <c r="B408" s="54" t="s">
        <v>56</v>
      </c>
      <c r="C408" s="54" t="s">
        <v>751</v>
      </c>
      <c r="D408" s="54" t="s">
        <v>22</v>
      </c>
      <c r="E408" s="54" t="s">
        <v>58</v>
      </c>
      <c r="F408" s="54" t="s">
        <v>752</v>
      </c>
      <c r="G408" s="54" t="s">
        <v>114</v>
      </c>
      <c r="H408" s="54" t="s">
        <v>67</v>
      </c>
      <c r="I408" s="55" t="s">
        <v>56</v>
      </c>
      <c r="J408" s="54"/>
    </row>
    <row r="409" spans="1:10" ht="100.8" x14ac:dyDescent="0.3">
      <c r="A409" s="53" t="s">
        <v>55</v>
      </c>
      <c r="B409" s="54" t="s">
        <v>564</v>
      </c>
      <c r="C409" s="54" t="s">
        <v>753</v>
      </c>
      <c r="D409" s="54" t="s">
        <v>22</v>
      </c>
      <c r="E409" s="54" t="s">
        <v>58</v>
      </c>
      <c r="F409" s="54" t="s">
        <v>692</v>
      </c>
      <c r="G409" s="54" t="s">
        <v>59</v>
      </c>
      <c r="H409" s="54" t="s">
        <v>67</v>
      </c>
      <c r="I409" s="55" t="s">
        <v>754</v>
      </c>
      <c r="J409" s="54"/>
    </row>
    <row r="410" spans="1:10" ht="115.2" x14ac:dyDescent="0.3">
      <c r="A410" s="53" t="s">
        <v>55</v>
      </c>
      <c r="B410" s="54" t="s">
        <v>56</v>
      </c>
      <c r="C410" s="54" t="s">
        <v>753</v>
      </c>
      <c r="D410" s="54" t="s">
        <v>30</v>
      </c>
      <c r="E410" s="54" t="s">
        <v>58</v>
      </c>
      <c r="F410" s="54" t="s">
        <v>755</v>
      </c>
      <c r="G410" s="54" t="s">
        <v>59</v>
      </c>
      <c r="H410" s="54" t="s">
        <v>60</v>
      </c>
      <c r="I410" s="55" t="s">
        <v>756</v>
      </c>
      <c r="J410" s="54"/>
    </row>
    <row r="411" spans="1:10" ht="86.4" x14ac:dyDescent="0.3">
      <c r="A411" s="53" t="s">
        <v>55</v>
      </c>
      <c r="B411" s="54" t="s">
        <v>56</v>
      </c>
      <c r="C411" s="54" t="s">
        <v>753</v>
      </c>
      <c r="D411" s="54" t="s">
        <v>35</v>
      </c>
      <c r="E411" s="54" t="s">
        <v>58</v>
      </c>
      <c r="F411" s="54" t="s">
        <v>755</v>
      </c>
      <c r="G411" s="54" t="s">
        <v>59</v>
      </c>
      <c r="H411" s="54" t="s">
        <v>60</v>
      </c>
      <c r="I411" s="55" t="s">
        <v>757</v>
      </c>
      <c r="J411" s="54"/>
    </row>
    <row r="412" spans="1:10" x14ac:dyDescent="0.3">
      <c r="A412" s="53" t="s">
        <v>55</v>
      </c>
      <c r="B412" s="54" t="s">
        <v>56</v>
      </c>
      <c r="C412" s="54" t="s">
        <v>753</v>
      </c>
      <c r="D412" s="54" t="s">
        <v>22</v>
      </c>
      <c r="E412" s="54" t="s">
        <v>58</v>
      </c>
      <c r="F412" s="54" t="s">
        <v>758</v>
      </c>
      <c r="G412" s="54" t="s">
        <v>59</v>
      </c>
      <c r="H412" s="54" t="s">
        <v>70</v>
      </c>
      <c r="I412" s="55" t="s">
        <v>56</v>
      </c>
      <c r="J412" s="54"/>
    </row>
    <row r="413" spans="1:10" ht="57.6" x14ac:dyDescent="0.3">
      <c r="A413" s="53" t="s">
        <v>55</v>
      </c>
      <c r="B413" s="54" t="s">
        <v>56</v>
      </c>
      <c r="C413" s="54" t="s">
        <v>753</v>
      </c>
      <c r="D413" s="54" t="s">
        <v>35</v>
      </c>
      <c r="E413" s="54" t="s">
        <v>58</v>
      </c>
      <c r="F413" s="54" t="s">
        <v>759</v>
      </c>
      <c r="G413" s="54" t="s">
        <v>59</v>
      </c>
      <c r="H413" s="54" t="s">
        <v>60</v>
      </c>
      <c r="I413" s="55" t="s">
        <v>760</v>
      </c>
      <c r="J413" s="54"/>
    </row>
    <row r="414" spans="1:10" ht="72" x14ac:dyDescent="0.3">
      <c r="A414" s="53" t="s">
        <v>55</v>
      </c>
      <c r="B414" s="54" t="s">
        <v>56</v>
      </c>
      <c r="C414" s="54" t="s">
        <v>753</v>
      </c>
      <c r="D414" s="54" t="s">
        <v>761</v>
      </c>
      <c r="E414" s="54" t="s">
        <v>58</v>
      </c>
      <c r="F414" s="54" t="s">
        <v>759</v>
      </c>
      <c r="G414" s="54" t="s">
        <v>59</v>
      </c>
      <c r="H414" s="54" t="s">
        <v>60</v>
      </c>
      <c r="I414" s="55" t="s">
        <v>762</v>
      </c>
      <c r="J414" s="54"/>
    </row>
    <row r="415" spans="1:10" ht="86.4" x14ac:dyDescent="0.3">
      <c r="A415" s="53" t="s">
        <v>55</v>
      </c>
      <c r="B415" s="54" t="s">
        <v>56</v>
      </c>
      <c r="C415" s="54" t="s">
        <v>753</v>
      </c>
      <c r="D415" s="54" t="s">
        <v>75</v>
      </c>
      <c r="E415" s="54" t="s">
        <v>58</v>
      </c>
      <c r="F415" s="54" t="s">
        <v>759</v>
      </c>
      <c r="G415" s="54" t="s">
        <v>59</v>
      </c>
      <c r="H415" s="54" t="s">
        <v>60</v>
      </c>
      <c r="I415" s="55" t="s">
        <v>763</v>
      </c>
      <c r="J415" s="54"/>
    </row>
    <row r="416" spans="1:10" ht="72" x14ac:dyDescent="0.3">
      <c r="A416" s="53" t="s">
        <v>55</v>
      </c>
      <c r="B416" s="54" t="s">
        <v>56</v>
      </c>
      <c r="C416" s="54" t="s">
        <v>753</v>
      </c>
      <c r="D416" s="54" t="s">
        <v>75</v>
      </c>
      <c r="E416" s="54" t="s">
        <v>58</v>
      </c>
      <c r="F416" s="54" t="s">
        <v>759</v>
      </c>
      <c r="G416" s="54" t="s">
        <v>59</v>
      </c>
      <c r="H416" s="54" t="s">
        <v>60</v>
      </c>
      <c r="I416" s="55" t="s">
        <v>764</v>
      </c>
      <c r="J416" s="54"/>
    </row>
    <row r="417" spans="1:10" ht="72" x14ac:dyDescent="0.3">
      <c r="A417" s="53" t="s">
        <v>55</v>
      </c>
      <c r="B417" s="54" t="s">
        <v>56</v>
      </c>
      <c r="C417" s="54" t="s">
        <v>753</v>
      </c>
      <c r="D417" s="54" t="s">
        <v>35</v>
      </c>
      <c r="E417" s="54" t="s">
        <v>58</v>
      </c>
      <c r="F417" s="54" t="s">
        <v>76</v>
      </c>
      <c r="G417" s="54" t="s">
        <v>59</v>
      </c>
      <c r="H417" s="54" t="s">
        <v>60</v>
      </c>
      <c r="I417" s="55" t="s">
        <v>765</v>
      </c>
      <c r="J417" s="54"/>
    </row>
    <row r="418" spans="1:10" ht="57.6" x14ac:dyDescent="0.3">
      <c r="A418" s="53" t="s">
        <v>55</v>
      </c>
      <c r="B418" s="54" t="s">
        <v>95</v>
      </c>
      <c r="C418" s="54" t="s">
        <v>753</v>
      </c>
      <c r="D418" s="54" t="s">
        <v>162</v>
      </c>
      <c r="E418" s="54" t="s">
        <v>58</v>
      </c>
      <c r="F418" s="54" t="s">
        <v>766</v>
      </c>
      <c r="G418" s="54" t="s">
        <v>59</v>
      </c>
      <c r="H418" s="54" t="s">
        <v>60</v>
      </c>
      <c r="I418" s="55" t="s">
        <v>767</v>
      </c>
      <c r="J418" s="54"/>
    </row>
    <row r="419" spans="1:10" x14ac:dyDescent="0.3">
      <c r="A419" s="53" t="s">
        <v>55</v>
      </c>
      <c r="B419" s="54" t="s">
        <v>56</v>
      </c>
      <c r="C419" s="54" t="s">
        <v>768</v>
      </c>
      <c r="D419" s="54" t="s">
        <v>22</v>
      </c>
      <c r="E419" s="54" t="s">
        <v>58</v>
      </c>
      <c r="F419" s="54" t="s">
        <v>769</v>
      </c>
      <c r="G419" s="54" t="s">
        <v>59</v>
      </c>
      <c r="H419" s="54" t="s">
        <v>67</v>
      </c>
      <c r="I419" s="55" t="s">
        <v>56</v>
      </c>
      <c r="J419" s="54"/>
    </row>
    <row r="420" spans="1:10" x14ac:dyDescent="0.3">
      <c r="A420" s="53" t="s">
        <v>55</v>
      </c>
      <c r="B420" s="54" t="s">
        <v>56</v>
      </c>
      <c r="C420" s="54" t="s">
        <v>768</v>
      </c>
      <c r="D420" s="54" t="s">
        <v>35</v>
      </c>
      <c r="E420" s="54" t="s">
        <v>58</v>
      </c>
      <c r="F420" s="54" t="s">
        <v>769</v>
      </c>
      <c r="G420" s="54" t="s">
        <v>59</v>
      </c>
      <c r="H420" s="54" t="s">
        <v>67</v>
      </c>
      <c r="I420" s="55" t="s">
        <v>56</v>
      </c>
      <c r="J420" s="54"/>
    </row>
    <row r="421" spans="1:10" ht="72" x14ac:dyDescent="0.3">
      <c r="A421" s="53" t="s">
        <v>55</v>
      </c>
      <c r="B421" s="54" t="s">
        <v>56</v>
      </c>
      <c r="C421" s="54" t="s">
        <v>770</v>
      </c>
      <c r="D421" s="54" t="s">
        <v>29</v>
      </c>
      <c r="E421" s="54" t="s">
        <v>58</v>
      </c>
      <c r="F421" s="54" t="s">
        <v>771</v>
      </c>
      <c r="G421" s="54" t="s">
        <v>59</v>
      </c>
      <c r="H421" s="54" t="s">
        <v>60</v>
      </c>
      <c r="I421" s="55" t="s">
        <v>772</v>
      </c>
      <c r="J421" s="54"/>
    </row>
    <row r="422" spans="1:10" ht="100.8" x14ac:dyDescent="0.3">
      <c r="A422" s="53" t="s">
        <v>55</v>
      </c>
      <c r="B422" s="54" t="s">
        <v>56</v>
      </c>
      <c r="C422" s="54" t="s">
        <v>773</v>
      </c>
      <c r="D422" s="54" t="s">
        <v>75</v>
      </c>
      <c r="E422" s="54" t="s">
        <v>58</v>
      </c>
      <c r="F422" s="54" t="s">
        <v>774</v>
      </c>
      <c r="G422" s="54" t="s">
        <v>59</v>
      </c>
      <c r="H422" s="54" t="s">
        <v>60</v>
      </c>
      <c r="I422" s="55" t="s">
        <v>775</v>
      </c>
      <c r="J422" s="54"/>
    </row>
    <row r="423" spans="1:10" ht="187.2" x14ac:dyDescent="0.3">
      <c r="A423" s="53" t="s">
        <v>55</v>
      </c>
      <c r="B423" s="54" t="s">
        <v>95</v>
      </c>
      <c r="C423" s="54" t="s">
        <v>773</v>
      </c>
      <c r="D423" s="54" t="s">
        <v>162</v>
      </c>
      <c r="E423" s="54" t="s">
        <v>58</v>
      </c>
      <c r="F423" s="54" t="s">
        <v>774</v>
      </c>
      <c r="G423" s="54" t="s">
        <v>59</v>
      </c>
      <c r="H423" s="54" t="s">
        <v>60</v>
      </c>
      <c r="I423" s="55" t="s">
        <v>776</v>
      </c>
      <c r="J423" s="54"/>
    </row>
    <row r="424" spans="1:10" x14ac:dyDescent="0.3">
      <c r="A424" s="53" t="s">
        <v>130</v>
      </c>
      <c r="B424" s="54" t="s">
        <v>130</v>
      </c>
      <c r="C424" s="54" t="s">
        <v>773</v>
      </c>
      <c r="D424" s="54" t="s">
        <v>29</v>
      </c>
      <c r="E424" s="54" t="s">
        <v>58</v>
      </c>
      <c r="F424" s="54" t="s">
        <v>777</v>
      </c>
      <c r="G424" s="54" t="s">
        <v>59</v>
      </c>
      <c r="H424" s="54" t="s">
        <v>67</v>
      </c>
      <c r="I424" s="55" t="s">
        <v>56</v>
      </c>
      <c r="J424" s="54"/>
    </row>
    <row r="425" spans="1:10" x14ac:dyDescent="0.3">
      <c r="A425" s="53" t="s">
        <v>130</v>
      </c>
      <c r="B425" s="54" t="s">
        <v>130</v>
      </c>
      <c r="C425" s="54" t="s">
        <v>778</v>
      </c>
      <c r="D425" s="54" t="s">
        <v>22</v>
      </c>
      <c r="E425" s="54" t="s">
        <v>58</v>
      </c>
      <c r="F425" s="54" t="s">
        <v>779</v>
      </c>
      <c r="G425" s="54" t="s">
        <v>59</v>
      </c>
      <c r="H425" s="54" t="s">
        <v>67</v>
      </c>
      <c r="I425" s="55" t="s">
        <v>56</v>
      </c>
      <c r="J425" s="54"/>
    </row>
    <row r="426" spans="1:10" ht="72" x14ac:dyDescent="0.3">
      <c r="A426" s="53" t="s">
        <v>55</v>
      </c>
      <c r="B426" s="54" t="s">
        <v>56</v>
      </c>
      <c r="C426" s="54" t="s">
        <v>780</v>
      </c>
      <c r="D426" s="54" t="s">
        <v>75</v>
      </c>
      <c r="E426" s="54" t="s">
        <v>58</v>
      </c>
      <c r="F426" s="54" t="s">
        <v>774</v>
      </c>
      <c r="G426" s="54" t="s">
        <v>59</v>
      </c>
      <c r="H426" s="54" t="s">
        <v>60</v>
      </c>
      <c r="I426" s="55" t="s">
        <v>781</v>
      </c>
      <c r="J426" s="54"/>
    </row>
    <row r="427" spans="1:10" ht="28.8" x14ac:dyDescent="0.3">
      <c r="A427" s="53" t="s">
        <v>55</v>
      </c>
      <c r="B427" s="54" t="s">
        <v>56</v>
      </c>
      <c r="C427" s="54" t="s">
        <v>782</v>
      </c>
      <c r="D427" s="54" t="s">
        <v>22</v>
      </c>
      <c r="E427" s="54" t="s">
        <v>58</v>
      </c>
      <c r="F427" s="54" t="s">
        <v>783</v>
      </c>
      <c r="G427" s="54" t="s">
        <v>59</v>
      </c>
      <c r="H427" s="54" t="s">
        <v>67</v>
      </c>
      <c r="I427" s="55" t="s">
        <v>68</v>
      </c>
      <c r="J427" s="54"/>
    </row>
    <row r="428" spans="1:10" ht="57.6" x14ac:dyDescent="0.3">
      <c r="A428" s="53" t="s">
        <v>55</v>
      </c>
      <c r="B428" s="54" t="s">
        <v>56</v>
      </c>
      <c r="C428" s="54" t="s">
        <v>784</v>
      </c>
      <c r="D428" s="54" t="s">
        <v>35</v>
      </c>
      <c r="E428" s="54" t="s">
        <v>58</v>
      </c>
      <c r="F428" s="54" t="s">
        <v>785</v>
      </c>
      <c r="G428" s="54" t="s">
        <v>59</v>
      </c>
      <c r="H428" s="54" t="s">
        <v>70</v>
      </c>
      <c r="I428" s="55" t="s">
        <v>786</v>
      </c>
      <c r="J428" s="54"/>
    </row>
    <row r="429" spans="1:10" ht="57.6" x14ac:dyDescent="0.3">
      <c r="A429" s="53" t="s">
        <v>130</v>
      </c>
      <c r="B429" s="54" t="s">
        <v>130</v>
      </c>
      <c r="C429" s="54" t="s">
        <v>787</v>
      </c>
      <c r="D429" s="54" t="s">
        <v>14</v>
      </c>
      <c r="E429" s="54" t="s">
        <v>58</v>
      </c>
      <c r="F429" s="54" t="s">
        <v>788</v>
      </c>
      <c r="G429" s="54" t="s">
        <v>59</v>
      </c>
      <c r="H429" s="54" t="s">
        <v>60</v>
      </c>
      <c r="I429" s="55" t="s">
        <v>789</v>
      </c>
      <c r="J429" s="54"/>
    </row>
    <row r="430" spans="1:10" ht="115.2" x14ac:dyDescent="0.3">
      <c r="A430" s="53" t="s">
        <v>55</v>
      </c>
      <c r="B430" s="54" t="s">
        <v>56</v>
      </c>
      <c r="C430" s="54" t="s">
        <v>790</v>
      </c>
      <c r="D430" s="54" t="s">
        <v>35</v>
      </c>
      <c r="E430" s="54" t="s">
        <v>58</v>
      </c>
      <c r="F430" s="54" t="s">
        <v>791</v>
      </c>
      <c r="G430" s="54" t="s">
        <v>59</v>
      </c>
      <c r="H430" s="54" t="s">
        <v>60</v>
      </c>
      <c r="I430" s="55" t="s">
        <v>792</v>
      </c>
      <c r="J430" s="54"/>
    </row>
    <row r="431" spans="1:10" ht="28.8" x14ac:dyDescent="0.3">
      <c r="A431" s="53" t="s">
        <v>55</v>
      </c>
      <c r="B431" s="54" t="s">
        <v>56</v>
      </c>
      <c r="C431" s="54" t="s">
        <v>793</v>
      </c>
      <c r="D431" s="54" t="s">
        <v>35</v>
      </c>
      <c r="E431" s="54" t="s">
        <v>58</v>
      </c>
      <c r="F431" s="54" t="s">
        <v>794</v>
      </c>
      <c r="G431" s="54" t="s">
        <v>59</v>
      </c>
      <c r="H431" s="54" t="s">
        <v>67</v>
      </c>
      <c r="I431" s="55" t="s">
        <v>68</v>
      </c>
      <c r="J431" s="54"/>
    </row>
    <row r="432" spans="1:10" ht="115.2" x14ac:dyDescent="0.3">
      <c r="A432" s="53" t="s">
        <v>55</v>
      </c>
      <c r="B432" s="54" t="s">
        <v>95</v>
      </c>
      <c r="C432" s="54" t="s">
        <v>795</v>
      </c>
      <c r="D432" s="54" t="s">
        <v>36</v>
      </c>
      <c r="E432" s="54" t="s">
        <v>58</v>
      </c>
      <c r="F432" s="54" t="s">
        <v>796</v>
      </c>
      <c r="G432" s="54" t="s">
        <v>59</v>
      </c>
      <c r="H432" s="54" t="s">
        <v>60</v>
      </c>
      <c r="I432" s="55" t="s">
        <v>797</v>
      </c>
      <c r="J432" s="54"/>
    </row>
    <row r="433" spans="1:10" ht="100.8" x14ac:dyDescent="0.3">
      <c r="A433" s="53" t="s">
        <v>55</v>
      </c>
      <c r="B433" s="54" t="s">
        <v>56</v>
      </c>
      <c r="C433" s="54" t="s">
        <v>798</v>
      </c>
      <c r="D433" s="54" t="s">
        <v>552</v>
      </c>
      <c r="E433" s="54" t="s">
        <v>58</v>
      </c>
      <c r="F433" s="54" t="s">
        <v>799</v>
      </c>
      <c r="G433" s="54" t="s">
        <v>59</v>
      </c>
      <c r="H433" s="54" t="s">
        <v>60</v>
      </c>
      <c r="I433" s="55" t="s">
        <v>800</v>
      </c>
      <c r="J433" s="54"/>
    </row>
    <row r="434" spans="1:10" ht="144" x14ac:dyDescent="0.3">
      <c r="A434" s="53" t="s">
        <v>130</v>
      </c>
      <c r="B434" s="54" t="s">
        <v>130</v>
      </c>
      <c r="C434" s="54" t="s">
        <v>798</v>
      </c>
      <c r="D434" s="54" t="s">
        <v>22</v>
      </c>
      <c r="E434" s="54" t="s">
        <v>58</v>
      </c>
      <c r="F434" s="54" t="s">
        <v>801</v>
      </c>
      <c r="G434" s="54" t="s">
        <v>59</v>
      </c>
      <c r="H434" s="54" t="s">
        <v>67</v>
      </c>
      <c r="I434" s="55" t="s">
        <v>802</v>
      </c>
      <c r="J434" s="54"/>
    </row>
    <row r="435" spans="1:10" ht="144" x14ac:dyDescent="0.3">
      <c r="A435" s="53" t="s">
        <v>130</v>
      </c>
      <c r="B435" s="54" t="s">
        <v>130</v>
      </c>
      <c r="C435" s="54" t="s">
        <v>798</v>
      </c>
      <c r="D435" s="54" t="s">
        <v>107</v>
      </c>
      <c r="E435" s="54" t="s">
        <v>58</v>
      </c>
      <c r="F435" s="54" t="s">
        <v>801</v>
      </c>
      <c r="G435" s="54" t="s">
        <v>59</v>
      </c>
      <c r="H435" s="54" t="s">
        <v>67</v>
      </c>
      <c r="I435" s="55" t="s">
        <v>802</v>
      </c>
      <c r="J435" s="54"/>
    </row>
    <row r="436" spans="1:10" ht="100.8" x14ac:dyDescent="0.3">
      <c r="A436" s="53" t="s">
        <v>130</v>
      </c>
      <c r="B436" s="54" t="s">
        <v>130</v>
      </c>
      <c r="C436" s="54" t="s">
        <v>803</v>
      </c>
      <c r="D436" s="54" t="s">
        <v>37</v>
      </c>
      <c r="E436" s="54" t="s">
        <v>58</v>
      </c>
      <c r="F436" s="54" t="s">
        <v>233</v>
      </c>
      <c r="G436" s="54" t="s">
        <v>59</v>
      </c>
      <c r="H436" s="54" t="s">
        <v>67</v>
      </c>
      <c r="I436" s="55" t="s">
        <v>804</v>
      </c>
      <c r="J436" s="54"/>
    </row>
    <row r="437" spans="1:10" ht="172.8" x14ac:dyDescent="0.3">
      <c r="A437" s="53" t="s">
        <v>130</v>
      </c>
      <c r="B437" s="54" t="s">
        <v>130</v>
      </c>
      <c r="C437" s="54" t="s">
        <v>805</v>
      </c>
      <c r="D437" s="54" t="s">
        <v>40</v>
      </c>
      <c r="E437" s="54" t="s">
        <v>58</v>
      </c>
      <c r="F437" s="54" t="s">
        <v>471</v>
      </c>
      <c r="G437" s="54" t="s">
        <v>59</v>
      </c>
      <c r="H437" s="54" t="s">
        <v>67</v>
      </c>
      <c r="I437" s="55" t="s">
        <v>806</v>
      </c>
      <c r="J437" s="54"/>
    </row>
    <row r="438" spans="1:10" ht="172.8" x14ac:dyDescent="0.3">
      <c r="A438" s="53" t="s">
        <v>130</v>
      </c>
      <c r="B438" s="54" t="s">
        <v>130</v>
      </c>
      <c r="C438" s="54" t="s">
        <v>805</v>
      </c>
      <c r="D438" s="54" t="s">
        <v>39</v>
      </c>
      <c r="E438" s="54" t="s">
        <v>58</v>
      </c>
      <c r="F438" s="54" t="s">
        <v>471</v>
      </c>
      <c r="G438" s="54" t="s">
        <v>59</v>
      </c>
      <c r="H438" s="54" t="s">
        <v>67</v>
      </c>
      <c r="I438" s="55" t="s">
        <v>806</v>
      </c>
      <c r="J438" s="54"/>
    </row>
    <row r="439" spans="1:10" ht="28.8" x14ac:dyDescent="0.3">
      <c r="A439" s="53" t="s">
        <v>130</v>
      </c>
      <c r="B439" s="54" t="s">
        <v>130</v>
      </c>
      <c r="C439" s="54" t="s">
        <v>805</v>
      </c>
      <c r="D439" s="54" t="s">
        <v>176</v>
      </c>
      <c r="E439" s="54" t="s">
        <v>58</v>
      </c>
      <c r="F439" s="54" t="s">
        <v>807</v>
      </c>
      <c r="G439" s="54" t="s">
        <v>59</v>
      </c>
      <c r="H439" s="54" t="s">
        <v>67</v>
      </c>
      <c r="I439" s="55" t="s">
        <v>68</v>
      </c>
      <c r="J439" s="54"/>
    </row>
    <row r="440" spans="1:10" ht="100.8" x14ac:dyDescent="0.3">
      <c r="A440" s="53" t="s">
        <v>25</v>
      </c>
      <c r="B440" s="54" t="s">
        <v>95</v>
      </c>
      <c r="C440" s="54" t="s">
        <v>805</v>
      </c>
      <c r="D440" s="54" t="s">
        <v>39</v>
      </c>
      <c r="E440" s="54" t="s">
        <v>58</v>
      </c>
      <c r="F440" s="54" t="s">
        <v>808</v>
      </c>
      <c r="G440" s="54" t="s">
        <v>59</v>
      </c>
      <c r="H440" s="54" t="s">
        <v>70</v>
      </c>
      <c r="I440" s="55" t="s">
        <v>809</v>
      </c>
      <c r="J440" s="54"/>
    </row>
    <row r="441" spans="1:10" ht="86.4" x14ac:dyDescent="0.3">
      <c r="A441" s="53" t="s">
        <v>55</v>
      </c>
      <c r="B441" s="54" t="s">
        <v>56</v>
      </c>
      <c r="C441" s="54" t="s">
        <v>805</v>
      </c>
      <c r="D441" s="54" t="s">
        <v>810</v>
      </c>
      <c r="E441" s="54" t="s">
        <v>58</v>
      </c>
      <c r="F441" s="54" t="s">
        <v>811</v>
      </c>
      <c r="G441" s="54" t="s">
        <v>59</v>
      </c>
      <c r="H441" s="54" t="s">
        <v>60</v>
      </c>
      <c r="I441" s="55" t="s">
        <v>812</v>
      </c>
      <c r="J441" s="54"/>
    </row>
    <row r="442" spans="1:10" ht="86.4" x14ac:dyDescent="0.3">
      <c r="A442" s="53" t="s">
        <v>130</v>
      </c>
      <c r="B442" s="54" t="s">
        <v>130</v>
      </c>
      <c r="C442" s="54" t="s">
        <v>813</v>
      </c>
      <c r="D442" s="54" t="s">
        <v>22</v>
      </c>
      <c r="E442" s="54" t="s">
        <v>58</v>
      </c>
      <c r="F442" s="54" t="s">
        <v>814</v>
      </c>
      <c r="G442" s="54" t="s">
        <v>59</v>
      </c>
      <c r="H442" s="54" t="s">
        <v>67</v>
      </c>
      <c r="I442" s="55" t="s">
        <v>815</v>
      </c>
      <c r="J442" s="54"/>
    </row>
    <row r="443" spans="1:10" ht="100.8" x14ac:dyDescent="0.3">
      <c r="A443" s="53" t="s">
        <v>130</v>
      </c>
      <c r="B443" s="54" t="s">
        <v>130</v>
      </c>
      <c r="C443" s="54" t="s">
        <v>813</v>
      </c>
      <c r="D443" s="54" t="s">
        <v>41</v>
      </c>
      <c r="E443" s="54" t="s">
        <v>58</v>
      </c>
      <c r="F443" s="54" t="s">
        <v>814</v>
      </c>
      <c r="G443" s="54" t="s">
        <v>59</v>
      </c>
      <c r="H443" s="54" t="s">
        <v>67</v>
      </c>
      <c r="I443" s="55" t="s">
        <v>816</v>
      </c>
      <c r="J443" s="54"/>
    </row>
    <row r="444" spans="1:10" ht="72" x14ac:dyDescent="0.3">
      <c r="A444" s="53" t="s">
        <v>130</v>
      </c>
      <c r="B444" s="54" t="s">
        <v>130</v>
      </c>
      <c r="C444" s="54" t="s">
        <v>817</v>
      </c>
      <c r="D444" s="54" t="s">
        <v>35</v>
      </c>
      <c r="E444" s="54" t="s">
        <v>58</v>
      </c>
      <c r="F444" s="54" t="s">
        <v>471</v>
      </c>
      <c r="G444" s="54" t="s">
        <v>59</v>
      </c>
      <c r="H444" s="54" t="s">
        <v>67</v>
      </c>
      <c r="I444" s="55" t="s">
        <v>818</v>
      </c>
      <c r="J444" s="54"/>
    </row>
    <row r="445" spans="1:10" ht="72" x14ac:dyDescent="0.3">
      <c r="A445" s="53" t="s">
        <v>55</v>
      </c>
      <c r="B445" s="54" t="s">
        <v>564</v>
      </c>
      <c r="C445" s="54" t="s">
        <v>817</v>
      </c>
      <c r="D445" s="54" t="s">
        <v>30</v>
      </c>
      <c r="E445" s="54" t="s">
        <v>58</v>
      </c>
      <c r="F445" s="54" t="s">
        <v>471</v>
      </c>
      <c r="G445" s="54" t="s">
        <v>59</v>
      </c>
      <c r="H445" s="54" t="s">
        <v>67</v>
      </c>
      <c r="I445" s="55" t="s">
        <v>819</v>
      </c>
      <c r="J445" s="54"/>
    </row>
    <row r="446" spans="1:10" ht="72" x14ac:dyDescent="0.3">
      <c r="A446" s="53" t="s">
        <v>130</v>
      </c>
      <c r="B446" s="54" t="s">
        <v>130</v>
      </c>
      <c r="C446" s="54" t="s">
        <v>817</v>
      </c>
      <c r="D446" s="54" t="s">
        <v>30</v>
      </c>
      <c r="E446" s="54" t="s">
        <v>58</v>
      </c>
      <c r="F446" s="54" t="s">
        <v>820</v>
      </c>
      <c r="G446" s="54" t="s">
        <v>59</v>
      </c>
      <c r="H446" s="54" t="s">
        <v>67</v>
      </c>
      <c r="I446" s="55" t="s">
        <v>821</v>
      </c>
      <c r="J446" s="54"/>
    </row>
    <row r="447" spans="1:10" ht="72" x14ac:dyDescent="0.3">
      <c r="A447" s="53" t="s">
        <v>130</v>
      </c>
      <c r="B447" s="54" t="s">
        <v>130</v>
      </c>
      <c r="C447" s="54" t="s">
        <v>817</v>
      </c>
      <c r="D447" s="54" t="s">
        <v>822</v>
      </c>
      <c r="E447" s="54" t="s">
        <v>58</v>
      </c>
      <c r="F447" s="54" t="s">
        <v>820</v>
      </c>
      <c r="G447" s="54" t="s">
        <v>59</v>
      </c>
      <c r="H447" s="54" t="s">
        <v>67</v>
      </c>
      <c r="I447" s="55" t="s">
        <v>823</v>
      </c>
      <c r="J447" s="54"/>
    </row>
    <row r="448" spans="1:10" ht="115.2" x14ac:dyDescent="0.3">
      <c r="A448" s="53" t="s">
        <v>55</v>
      </c>
      <c r="B448" s="54" t="s">
        <v>56</v>
      </c>
      <c r="C448" s="54" t="s">
        <v>824</v>
      </c>
      <c r="D448" s="54" t="s">
        <v>29</v>
      </c>
      <c r="E448" s="54" t="s">
        <v>58</v>
      </c>
      <c r="F448" s="54" t="s">
        <v>825</v>
      </c>
      <c r="G448" s="54" t="s">
        <v>59</v>
      </c>
      <c r="H448" s="54" t="s">
        <v>60</v>
      </c>
      <c r="I448" s="55" t="s">
        <v>826</v>
      </c>
      <c r="J448" s="54"/>
    </row>
    <row r="449" spans="1:10" ht="115.2" x14ac:dyDescent="0.3">
      <c r="A449" s="53" t="s">
        <v>55</v>
      </c>
      <c r="B449" s="54" t="s">
        <v>56</v>
      </c>
      <c r="C449" s="54" t="s">
        <v>824</v>
      </c>
      <c r="D449" s="54" t="s">
        <v>27</v>
      </c>
      <c r="E449" s="54" t="s">
        <v>58</v>
      </c>
      <c r="F449" s="54" t="s">
        <v>827</v>
      </c>
      <c r="G449" s="54" t="s">
        <v>59</v>
      </c>
      <c r="H449" s="54" t="s">
        <v>60</v>
      </c>
      <c r="I449" s="55" t="s">
        <v>828</v>
      </c>
      <c r="J449" s="54"/>
    </row>
    <row r="450" spans="1:10" ht="86.4" x14ac:dyDescent="0.3">
      <c r="A450" s="53" t="s">
        <v>55</v>
      </c>
      <c r="B450" s="54" t="s">
        <v>56</v>
      </c>
      <c r="C450" s="54" t="s">
        <v>829</v>
      </c>
      <c r="D450" s="54" t="s">
        <v>35</v>
      </c>
      <c r="E450" s="54" t="s">
        <v>58</v>
      </c>
      <c r="F450" s="54" t="s">
        <v>830</v>
      </c>
      <c r="G450" s="54" t="s">
        <v>59</v>
      </c>
      <c r="H450" s="54" t="s">
        <v>60</v>
      </c>
      <c r="I450" s="55" t="s">
        <v>831</v>
      </c>
      <c r="J450" s="54"/>
    </row>
    <row r="451" spans="1:10" ht="115.2" x14ac:dyDescent="0.3">
      <c r="A451" s="53" t="s">
        <v>55</v>
      </c>
      <c r="B451" s="54" t="s">
        <v>56</v>
      </c>
      <c r="C451" s="54" t="s">
        <v>829</v>
      </c>
      <c r="D451" s="54" t="s">
        <v>35</v>
      </c>
      <c r="E451" s="54" t="s">
        <v>58</v>
      </c>
      <c r="F451" s="54" t="s">
        <v>832</v>
      </c>
      <c r="G451" s="54" t="s">
        <v>59</v>
      </c>
      <c r="H451" s="54" t="s">
        <v>60</v>
      </c>
      <c r="I451" s="55" t="s">
        <v>833</v>
      </c>
      <c r="J451" s="54"/>
    </row>
    <row r="452" spans="1:10" ht="216" x14ac:dyDescent="0.3">
      <c r="A452" s="53" t="s">
        <v>130</v>
      </c>
      <c r="B452" s="54" t="s">
        <v>130</v>
      </c>
      <c r="C452" s="54" t="s">
        <v>834</v>
      </c>
      <c r="D452" s="54" t="s">
        <v>635</v>
      </c>
      <c r="E452" s="54" t="s">
        <v>58</v>
      </c>
      <c r="F452" s="54" t="s">
        <v>835</v>
      </c>
      <c r="G452" s="54" t="s">
        <v>59</v>
      </c>
      <c r="H452" s="54" t="s">
        <v>60</v>
      </c>
      <c r="I452" s="55" t="s">
        <v>836</v>
      </c>
      <c r="J452" s="54"/>
    </row>
    <row r="453" spans="1:10" ht="158.4" x14ac:dyDescent="0.3">
      <c r="A453" s="53" t="s">
        <v>55</v>
      </c>
      <c r="B453" s="54" t="s">
        <v>56</v>
      </c>
      <c r="C453" s="54" t="s">
        <v>837</v>
      </c>
      <c r="D453" s="54" t="s">
        <v>35</v>
      </c>
      <c r="E453" s="54" t="s">
        <v>58</v>
      </c>
      <c r="F453" s="54" t="s">
        <v>838</v>
      </c>
      <c r="G453" s="54" t="s">
        <v>59</v>
      </c>
      <c r="H453" s="54" t="s">
        <v>60</v>
      </c>
      <c r="I453" s="55" t="s">
        <v>839</v>
      </c>
      <c r="J453" s="54"/>
    </row>
    <row r="454" spans="1:10" ht="57.6" x14ac:dyDescent="0.3">
      <c r="A454" s="53" t="s">
        <v>55</v>
      </c>
      <c r="B454" s="54" t="s">
        <v>56</v>
      </c>
      <c r="C454" s="54" t="s">
        <v>840</v>
      </c>
      <c r="D454" s="54" t="s">
        <v>35</v>
      </c>
      <c r="E454" s="54" t="s">
        <v>58</v>
      </c>
      <c r="F454" s="54" t="s">
        <v>841</v>
      </c>
      <c r="G454" s="54" t="s">
        <v>59</v>
      </c>
      <c r="H454" s="54" t="s">
        <v>60</v>
      </c>
      <c r="I454" s="55" t="s">
        <v>842</v>
      </c>
      <c r="J454" s="54"/>
    </row>
    <row r="455" spans="1:10" ht="86.4" x14ac:dyDescent="0.3">
      <c r="A455" s="53" t="s">
        <v>55</v>
      </c>
      <c r="B455" s="54" t="s">
        <v>98</v>
      </c>
      <c r="C455" s="54" t="s">
        <v>840</v>
      </c>
      <c r="D455" s="54" t="s">
        <v>843</v>
      </c>
      <c r="E455" s="54" t="s">
        <v>58</v>
      </c>
      <c r="F455" s="54" t="s">
        <v>844</v>
      </c>
      <c r="G455" s="54" t="s">
        <v>59</v>
      </c>
      <c r="H455" s="54" t="s">
        <v>60</v>
      </c>
      <c r="I455" s="55" t="s">
        <v>845</v>
      </c>
      <c r="J455" s="54"/>
    </row>
    <row r="456" spans="1:10" ht="86.4" x14ac:dyDescent="0.3">
      <c r="A456" s="53" t="s">
        <v>55</v>
      </c>
      <c r="B456" s="54" t="s">
        <v>98</v>
      </c>
      <c r="C456" s="54" t="s">
        <v>846</v>
      </c>
      <c r="D456" s="54" t="s">
        <v>22</v>
      </c>
      <c r="E456" s="54" t="s">
        <v>58</v>
      </c>
      <c r="F456" s="54" t="s">
        <v>847</v>
      </c>
      <c r="G456" s="54" t="s">
        <v>59</v>
      </c>
      <c r="H456" s="54" t="s">
        <v>60</v>
      </c>
      <c r="I456" s="55" t="s">
        <v>848</v>
      </c>
      <c r="J456" s="54"/>
    </row>
    <row r="457" spans="1:10" ht="216" x14ac:dyDescent="0.3">
      <c r="A457" s="53" t="s">
        <v>55</v>
      </c>
      <c r="B457" s="54" t="s">
        <v>56</v>
      </c>
      <c r="C457" s="54" t="s">
        <v>849</v>
      </c>
      <c r="D457" s="54" t="s">
        <v>22</v>
      </c>
      <c r="E457" s="54" t="s">
        <v>58</v>
      </c>
      <c r="F457" s="54" t="s">
        <v>850</v>
      </c>
      <c r="G457" s="54" t="s">
        <v>59</v>
      </c>
      <c r="H457" s="54" t="s">
        <v>60</v>
      </c>
      <c r="I457" s="55" t="s">
        <v>851</v>
      </c>
      <c r="J457" s="54"/>
    </row>
    <row r="458" spans="1:10" x14ac:dyDescent="0.3">
      <c r="A458" s="53" t="s">
        <v>55</v>
      </c>
      <c r="B458" s="54" t="s">
        <v>56</v>
      </c>
      <c r="C458" s="54" t="s">
        <v>852</v>
      </c>
      <c r="D458" s="54" t="s">
        <v>35</v>
      </c>
      <c r="E458" s="54" t="s">
        <v>58</v>
      </c>
      <c r="F458" s="54" t="s">
        <v>853</v>
      </c>
      <c r="G458" s="54" t="s">
        <v>59</v>
      </c>
      <c r="H458" s="54" t="s">
        <v>70</v>
      </c>
      <c r="I458" s="55" t="s">
        <v>56</v>
      </c>
      <c r="J458" s="54"/>
    </row>
    <row r="459" spans="1:10" ht="28.8" x14ac:dyDescent="0.3">
      <c r="A459" s="53" t="s">
        <v>55</v>
      </c>
      <c r="B459" s="54" t="s">
        <v>56</v>
      </c>
      <c r="C459" s="54" t="s">
        <v>854</v>
      </c>
      <c r="D459" s="54" t="s">
        <v>35</v>
      </c>
      <c r="E459" s="54" t="s">
        <v>58</v>
      </c>
      <c r="F459" s="54" t="s">
        <v>855</v>
      </c>
      <c r="G459" s="54" t="s">
        <v>59</v>
      </c>
      <c r="H459" s="54" t="s">
        <v>70</v>
      </c>
      <c r="I459" s="55" t="s">
        <v>856</v>
      </c>
      <c r="J459" s="54"/>
    </row>
    <row r="460" spans="1:10" ht="57.6" x14ac:dyDescent="0.3">
      <c r="A460" s="53" t="s">
        <v>55</v>
      </c>
      <c r="B460" s="54" t="s">
        <v>56</v>
      </c>
      <c r="C460" s="54" t="s">
        <v>857</v>
      </c>
      <c r="D460" s="54" t="s">
        <v>35</v>
      </c>
      <c r="E460" s="54" t="s">
        <v>58</v>
      </c>
      <c r="F460" s="54" t="s">
        <v>858</v>
      </c>
      <c r="G460" s="54" t="s">
        <v>59</v>
      </c>
      <c r="H460" s="54" t="s">
        <v>70</v>
      </c>
      <c r="I460" s="55" t="s">
        <v>859</v>
      </c>
      <c r="J460" s="54"/>
    </row>
    <row r="461" spans="1:10" x14ac:dyDescent="0.3">
      <c r="A461" s="53" t="s">
        <v>130</v>
      </c>
      <c r="B461" s="54" t="s">
        <v>130</v>
      </c>
      <c r="C461" s="54" t="s">
        <v>857</v>
      </c>
      <c r="D461" s="54" t="s">
        <v>176</v>
      </c>
      <c r="E461" s="54" t="s">
        <v>58</v>
      </c>
      <c r="F461" s="54" t="s">
        <v>860</v>
      </c>
      <c r="G461" s="54" t="s">
        <v>59</v>
      </c>
      <c r="H461" s="54" t="s">
        <v>70</v>
      </c>
      <c r="I461" s="55" t="s">
        <v>56</v>
      </c>
      <c r="J461" s="54"/>
    </row>
    <row r="462" spans="1:10" ht="144" x14ac:dyDescent="0.3">
      <c r="A462" s="53" t="s">
        <v>55</v>
      </c>
      <c r="B462" s="54" t="s">
        <v>56</v>
      </c>
      <c r="C462" s="54" t="s">
        <v>861</v>
      </c>
      <c r="D462" s="54" t="s">
        <v>35</v>
      </c>
      <c r="E462" s="54" t="s">
        <v>58</v>
      </c>
      <c r="F462" s="54" t="s">
        <v>453</v>
      </c>
      <c r="G462" s="54" t="s">
        <v>59</v>
      </c>
      <c r="H462" s="54" t="s">
        <v>70</v>
      </c>
      <c r="I462" s="55" t="s">
        <v>862</v>
      </c>
      <c r="J462" s="54"/>
    </row>
    <row r="463" spans="1:10" ht="100.8" x14ac:dyDescent="0.3">
      <c r="A463" s="53" t="s">
        <v>130</v>
      </c>
      <c r="B463" s="54" t="s">
        <v>130</v>
      </c>
      <c r="C463" s="54" t="s">
        <v>863</v>
      </c>
      <c r="D463" s="54" t="s">
        <v>864</v>
      </c>
      <c r="E463" s="54" t="s">
        <v>58</v>
      </c>
      <c r="F463" s="54" t="s">
        <v>865</v>
      </c>
      <c r="G463" s="54" t="s">
        <v>59</v>
      </c>
      <c r="H463" s="54" t="s">
        <v>70</v>
      </c>
      <c r="I463" s="55" t="s">
        <v>866</v>
      </c>
      <c r="J463" s="54"/>
    </row>
    <row r="464" spans="1:10" ht="86.4" x14ac:dyDescent="0.3">
      <c r="A464" s="53" t="s">
        <v>55</v>
      </c>
      <c r="B464" s="54" t="s">
        <v>56</v>
      </c>
      <c r="C464" s="54" t="s">
        <v>867</v>
      </c>
      <c r="D464" s="54" t="s">
        <v>35</v>
      </c>
      <c r="E464" s="54" t="s">
        <v>58</v>
      </c>
      <c r="F464" s="54" t="s">
        <v>868</v>
      </c>
      <c r="G464" s="54" t="s">
        <v>59</v>
      </c>
      <c r="H464" s="54" t="s">
        <v>70</v>
      </c>
      <c r="I464" s="55" t="s">
        <v>869</v>
      </c>
      <c r="J464" s="54"/>
    </row>
    <row r="465" spans="1:10" ht="115.2" x14ac:dyDescent="0.3">
      <c r="A465" s="53" t="s">
        <v>55</v>
      </c>
      <c r="B465" s="54" t="s">
        <v>56</v>
      </c>
      <c r="C465" s="54" t="s">
        <v>867</v>
      </c>
      <c r="D465" s="54" t="s">
        <v>35</v>
      </c>
      <c r="E465" s="54" t="s">
        <v>58</v>
      </c>
      <c r="F465" s="54" t="s">
        <v>870</v>
      </c>
      <c r="G465" s="54" t="s">
        <v>59</v>
      </c>
      <c r="H465" s="54" t="s">
        <v>70</v>
      </c>
      <c r="I465" s="55" t="s">
        <v>871</v>
      </c>
      <c r="J465" s="54"/>
    </row>
    <row r="466" spans="1:10" ht="57.6" x14ac:dyDescent="0.3">
      <c r="A466" s="53" t="s">
        <v>130</v>
      </c>
      <c r="B466" s="54" t="s">
        <v>130</v>
      </c>
      <c r="C466" s="54" t="s">
        <v>867</v>
      </c>
      <c r="D466" s="54" t="s">
        <v>499</v>
      </c>
      <c r="E466" s="54" t="s">
        <v>58</v>
      </c>
      <c r="F466" s="54" t="s">
        <v>872</v>
      </c>
      <c r="G466" s="54" t="s">
        <v>59</v>
      </c>
      <c r="H466" s="54" t="s">
        <v>70</v>
      </c>
      <c r="I466" s="55" t="s">
        <v>873</v>
      </c>
      <c r="J466" s="54"/>
    </row>
    <row r="467" spans="1:10" ht="57.6" x14ac:dyDescent="0.3">
      <c r="A467" s="53" t="s">
        <v>130</v>
      </c>
      <c r="B467" s="54" t="s">
        <v>130</v>
      </c>
      <c r="C467" s="54" t="s">
        <v>867</v>
      </c>
      <c r="D467" s="54" t="s">
        <v>32</v>
      </c>
      <c r="E467" s="54" t="s">
        <v>58</v>
      </c>
      <c r="F467" s="54" t="s">
        <v>872</v>
      </c>
      <c r="G467" s="54" t="s">
        <v>59</v>
      </c>
      <c r="H467" s="54" t="s">
        <v>70</v>
      </c>
      <c r="I467" s="55" t="s">
        <v>873</v>
      </c>
      <c r="J467" s="54"/>
    </row>
    <row r="468" spans="1:10" ht="115.2" x14ac:dyDescent="0.3">
      <c r="A468" s="53" t="s">
        <v>55</v>
      </c>
      <c r="B468" s="54" t="s">
        <v>56</v>
      </c>
      <c r="C468" s="54" t="s">
        <v>874</v>
      </c>
      <c r="D468" s="54" t="s">
        <v>35</v>
      </c>
      <c r="E468" s="54" t="s">
        <v>58</v>
      </c>
      <c r="F468" s="54" t="s">
        <v>875</v>
      </c>
      <c r="G468" s="54" t="s">
        <v>59</v>
      </c>
      <c r="H468" s="54" t="s">
        <v>70</v>
      </c>
      <c r="I468" s="55" t="s">
        <v>876</v>
      </c>
      <c r="J468" s="54"/>
    </row>
    <row r="469" spans="1:10" ht="86.4" x14ac:dyDescent="0.3">
      <c r="A469" s="53" t="s">
        <v>55</v>
      </c>
      <c r="B469" s="54" t="s">
        <v>56</v>
      </c>
      <c r="C469" s="54" t="s">
        <v>874</v>
      </c>
      <c r="D469" s="54" t="s">
        <v>35</v>
      </c>
      <c r="E469" s="54" t="s">
        <v>58</v>
      </c>
      <c r="F469" s="54" t="s">
        <v>877</v>
      </c>
      <c r="G469" s="54" t="s">
        <v>59</v>
      </c>
      <c r="H469" s="54" t="s">
        <v>70</v>
      </c>
      <c r="I469" s="55" t="s">
        <v>878</v>
      </c>
      <c r="J469" s="54"/>
    </row>
    <row r="470" spans="1:10" ht="86.4" x14ac:dyDescent="0.3">
      <c r="A470" s="53" t="s">
        <v>55</v>
      </c>
      <c r="B470" s="54" t="s">
        <v>56</v>
      </c>
      <c r="C470" s="54" t="s">
        <v>879</v>
      </c>
      <c r="D470" s="54" t="s">
        <v>35</v>
      </c>
      <c r="E470" s="54" t="s">
        <v>58</v>
      </c>
      <c r="F470" s="54" t="s">
        <v>420</v>
      </c>
      <c r="G470" s="54" t="s">
        <v>59</v>
      </c>
      <c r="H470" s="54" t="s">
        <v>70</v>
      </c>
      <c r="I470" s="55" t="s">
        <v>880</v>
      </c>
      <c r="J470" s="54"/>
    </row>
    <row r="471" spans="1:10" x14ac:dyDescent="0.3">
      <c r="A471" s="53" t="s">
        <v>55</v>
      </c>
      <c r="B471" s="54" t="s">
        <v>56</v>
      </c>
      <c r="C471" s="54" t="s">
        <v>881</v>
      </c>
      <c r="D471" s="54" t="s">
        <v>35</v>
      </c>
      <c r="E471" s="54" t="s">
        <v>58</v>
      </c>
      <c r="F471" s="54" t="s">
        <v>882</v>
      </c>
      <c r="G471" s="54" t="s">
        <v>59</v>
      </c>
      <c r="H471" s="54" t="s">
        <v>70</v>
      </c>
      <c r="I471" s="55" t="s">
        <v>56</v>
      </c>
      <c r="J471" s="54"/>
    </row>
    <row r="472" spans="1:10" ht="86.4" x14ac:dyDescent="0.3">
      <c r="A472" s="53" t="s">
        <v>130</v>
      </c>
      <c r="B472" s="54" t="s">
        <v>130</v>
      </c>
      <c r="C472" s="54" t="s">
        <v>883</v>
      </c>
      <c r="D472" s="54" t="s">
        <v>27</v>
      </c>
      <c r="E472" s="54" t="s">
        <v>58</v>
      </c>
      <c r="F472" s="54" t="s">
        <v>884</v>
      </c>
      <c r="G472" s="54" t="s">
        <v>59</v>
      </c>
      <c r="H472" s="54" t="s">
        <v>70</v>
      </c>
      <c r="I472" s="55" t="s">
        <v>885</v>
      </c>
      <c r="J472" s="54"/>
    </row>
    <row r="473" spans="1:10" ht="57.6" x14ac:dyDescent="0.3">
      <c r="A473" s="53" t="s">
        <v>130</v>
      </c>
      <c r="B473" s="54" t="s">
        <v>130</v>
      </c>
      <c r="C473" s="54" t="s">
        <v>886</v>
      </c>
      <c r="D473" s="54" t="s">
        <v>75</v>
      </c>
      <c r="E473" s="54" t="s">
        <v>58</v>
      </c>
      <c r="F473" s="54" t="s">
        <v>887</v>
      </c>
      <c r="G473" s="54" t="s">
        <v>59</v>
      </c>
      <c r="H473" s="54" t="s">
        <v>70</v>
      </c>
      <c r="I473" s="55" t="s">
        <v>888</v>
      </c>
      <c r="J473" s="54"/>
    </row>
    <row r="474" spans="1:10" ht="57.6" x14ac:dyDescent="0.3">
      <c r="A474" s="53" t="s">
        <v>55</v>
      </c>
      <c r="B474" s="54" t="s">
        <v>56</v>
      </c>
      <c r="C474" s="54" t="s">
        <v>889</v>
      </c>
      <c r="D474" s="54" t="s">
        <v>35</v>
      </c>
      <c r="E474" s="54" t="s">
        <v>58</v>
      </c>
      <c r="F474" s="54" t="s">
        <v>890</v>
      </c>
      <c r="G474" s="54" t="s">
        <v>114</v>
      </c>
      <c r="H474" s="54" t="s">
        <v>70</v>
      </c>
      <c r="I474" s="55" t="s">
        <v>891</v>
      </c>
      <c r="J474" s="54"/>
    </row>
    <row r="475" spans="1:10" x14ac:dyDescent="0.3">
      <c r="A475" s="53" t="s">
        <v>130</v>
      </c>
      <c r="B475" s="54" t="s">
        <v>130</v>
      </c>
      <c r="C475" s="54" t="s">
        <v>892</v>
      </c>
      <c r="D475" s="54" t="s">
        <v>27</v>
      </c>
      <c r="E475" s="54" t="s">
        <v>58</v>
      </c>
      <c r="F475" s="54" t="s">
        <v>893</v>
      </c>
      <c r="G475" s="54" t="s">
        <v>114</v>
      </c>
      <c r="H475" s="54" t="s">
        <v>67</v>
      </c>
      <c r="I475" s="55" t="s">
        <v>56</v>
      </c>
      <c r="J475" s="54"/>
    </row>
    <row r="476" spans="1:10" x14ac:dyDescent="0.3">
      <c r="A476" s="53" t="s">
        <v>130</v>
      </c>
      <c r="B476" s="54" t="s">
        <v>130</v>
      </c>
      <c r="C476" s="54" t="s">
        <v>894</v>
      </c>
      <c r="D476" s="54" t="s">
        <v>895</v>
      </c>
      <c r="E476" s="54" t="s">
        <v>58</v>
      </c>
      <c r="F476" s="54" t="s">
        <v>896</v>
      </c>
      <c r="G476" s="54" t="s">
        <v>59</v>
      </c>
      <c r="H476" s="54" t="s">
        <v>70</v>
      </c>
      <c r="I476" s="55" t="s">
        <v>56</v>
      </c>
      <c r="J476" s="54"/>
    </row>
    <row r="477" spans="1:10" x14ac:dyDescent="0.3">
      <c r="A477" s="53" t="s">
        <v>55</v>
      </c>
      <c r="B477" s="54" t="s">
        <v>56</v>
      </c>
      <c r="C477" s="54" t="s">
        <v>897</v>
      </c>
      <c r="D477" s="54" t="s">
        <v>35</v>
      </c>
      <c r="E477" s="54" t="s">
        <v>58</v>
      </c>
      <c r="F477" s="54" t="s">
        <v>898</v>
      </c>
      <c r="G477" s="54" t="s">
        <v>59</v>
      </c>
      <c r="H477" s="54" t="s">
        <v>70</v>
      </c>
      <c r="I477" s="55" t="s">
        <v>56</v>
      </c>
      <c r="J477" s="54"/>
    </row>
    <row r="478" spans="1:10" x14ac:dyDescent="0.3">
      <c r="A478" s="53" t="s">
        <v>55</v>
      </c>
      <c r="B478" s="54" t="s">
        <v>56</v>
      </c>
      <c r="C478" s="54" t="s">
        <v>899</v>
      </c>
      <c r="D478" s="54" t="s">
        <v>37</v>
      </c>
      <c r="E478" s="54" t="s">
        <v>58</v>
      </c>
      <c r="F478" s="54" t="s">
        <v>93</v>
      </c>
      <c r="G478" s="54" t="s">
        <v>59</v>
      </c>
      <c r="H478" s="54" t="s">
        <v>60</v>
      </c>
      <c r="I478" s="55" t="s">
        <v>56</v>
      </c>
      <c r="J478" s="54"/>
    </row>
    <row r="479" spans="1:10" x14ac:dyDescent="0.3">
      <c r="A479" s="53" t="s">
        <v>55</v>
      </c>
      <c r="B479" s="54" t="s">
        <v>98</v>
      </c>
      <c r="C479" s="54" t="s">
        <v>900</v>
      </c>
      <c r="D479" s="54" t="s">
        <v>35</v>
      </c>
      <c r="E479" s="54" t="s">
        <v>58</v>
      </c>
      <c r="F479" s="54" t="s">
        <v>901</v>
      </c>
      <c r="G479" s="54" t="s">
        <v>59</v>
      </c>
      <c r="H479" s="54" t="s">
        <v>67</v>
      </c>
      <c r="I479" s="55" t="s">
        <v>56</v>
      </c>
      <c r="J479" s="54"/>
    </row>
    <row r="480" spans="1:10" x14ac:dyDescent="0.3">
      <c r="A480" s="53" t="s">
        <v>55</v>
      </c>
      <c r="B480" s="54" t="s">
        <v>56</v>
      </c>
      <c r="C480" s="54" t="s">
        <v>902</v>
      </c>
      <c r="D480" s="54" t="s">
        <v>35</v>
      </c>
      <c r="E480" s="54" t="s">
        <v>58</v>
      </c>
      <c r="F480" s="54" t="s">
        <v>903</v>
      </c>
      <c r="G480" s="54" t="s">
        <v>114</v>
      </c>
      <c r="H480" s="54" t="s">
        <v>70</v>
      </c>
      <c r="I480" s="55" t="s">
        <v>56</v>
      </c>
      <c r="J480" s="54"/>
    </row>
    <row r="481" spans="1:10" x14ac:dyDescent="0.3">
      <c r="A481" s="53" t="s">
        <v>55</v>
      </c>
      <c r="B481" s="54" t="s">
        <v>56</v>
      </c>
      <c r="C481" s="54" t="s">
        <v>902</v>
      </c>
      <c r="D481" s="54" t="s">
        <v>35</v>
      </c>
      <c r="E481" s="54" t="s">
        <v>58</v>
      </c>
      <c r="F481" s="54" t="s">
        <v>904</v>
      </c>
      <c r="G481" s="54" t="s">
        <v>59</v>
      </c>
      <c r="H481" s="54" t="s">
        <v>60</v>
      </c>
      <c r="I481" s="55" t="s">
        <v>56</v>
      </c>
      <c r="J481" s="54"/>
    </row>
    <row r="482" spans="1:10" x14ac:dyDescent="0.3">
      <c r="A482" s="53" t="s">
        <v>55</v>
      </c>
      <c r="B482" s="54" t="s">
        <v>564</v>
      </c>
      <c r="C482" s="54" t="s">
        <v>905</v>
      </c>
      <c r="D482" s="54" t="s">
        <v>35</v>
      </c>
      <c r="E482" s="54" t="s">
        <v>58</v>
      </c>
      <c r="F482" s="54" t="s">
        <v>906</v>
      </c>
      <c r="G482" s="54" t="s">
        <v>59</v>
      </c>
      <c r="H482" s="54" t="s">
        <v>67</v>
      </c>
      <c r="I482" s="55" t="s">
        <v>56</v>
      </c>
      <c r="J482" s="54"/>
    </row>
    <row r="483" spans="1:10" x14ac:dyDescent="0.3">
      <c r="A483" s="53" t="s">
        <v>55</v>
      </c>
      <c r="B483" s="54" t="s">
        <v>564</v>
      </c>
      <c r="C483" s="54" t="s">
        <v>907</v>
      </c>
      <c r="D483" s="54" t="s">
        <v>22</v>
      </c>
      <c r="E483" s="54" t="s">
        <v>58</v>
      </c>
      <c r="F483" s="54" t="s">
        <v>906</v>
      </c>
      <c r="G483" s="54" t="s">
        <v>59</v>
      </c>
      <c r="H483" s="54" t="s">
        <v>67</v>
      </c>
      <c r="I483" s="55" t="s">
        <v>56</v>
      </c>
      <c r="J483" s="54"/>
    </row>
    <row r="484" spans="1:10" x14ac:dyDescent="0.3">
      <c r="A484" s="53" t="s">
        <v>55</v>
      </c>
      <c r="B484" s="54" t="s">
        <v>56</v>
      </c>
      <c r="C484" s="54" t="s">
        <v>907</v>
      </c>
      <c r="D484" s="54" t="s">
        <v>35</v>
      </c>
      <c r="E484" s="54" t="s">
        <v>58</v>
      </c>
      <c r="F484" s="54" t="s">
        <v>908</v>
      </c>
      <c r="G484" s="54" t="s">
        <v>59</v>
      </c>
      <c r="H484" s="54" t="s">
        <v>60</v>
      </c>
      <c r="I484" s="55" t="s">
        <v>56</v>
      </c>
      <c r="J484" s="54"/>
    </row>
    <row r="485" spans="1:10" x14ac:dyDescent="0.3">
      <c r="A485" s="53" t="s">
        <v>130</v>
      </c>
      <c r="B485" s="54" t="s">
        <v>130</v>
      </c>
      <c r="C485" s="54" t="s">
        <v>909</v>
      </c>
      <c r="D485" s="54" t="s">
        <v>910</v>
      </c>
      <c r="E485" s="54" t="s">
        <v>58</v>
      </c>
      <c r="F485" s="54" t="s">
        <v>911</v>
      </c>
      <c r="G485" s="54" t="s">
        <v>59</v>
      </c>
      <c r="H485" s="54" t="s">
        <v>67</v>
      </c>
      <c r="I485" s="55" t="s">
        <v>56</v>
      </c>
      <c r="J485" s="54"/>
    </row>
    <row r="486" spans="1:10" x14ac:dyDescent="0.3">
      <c r="A486" s="53" t="s">
        <v>25</v>
      </c>
      <c r="B486" s="54" t="s">
        <v>95</v>
      </c>
      <c r="C486" s="54" t="s">
        <v>912</v>
      </c>
      <c r="D486" s="54" t="s">
        <v>14</v>
      </c>
      <c r="E486" s="54" t="s">
        <v>58</v>
      </c>
      <c r="F486" s="54" t="s">
        <v>913</v>
      </c>
      <c r="G486" s="54" t="s">
        <v>59</v>
      </c>
      <c r="H486" s="54" t="s">
        <v>70</v>
      </c>
      <c r="I486" s="55" t="s">
        <v>56</v>
      </c>
      <c r="J486" s="54"/>
    </row>
    <row r="487" spans="1:10" ht="100.8" x14ac:dyDescent="0.3">
      <c r="A487" s="53" t="s">
        <v>55</v>
      </c>
      <c r="B487" s="54" t="s">
        <v>56</v>
      </c>
      <c r="C487" s="54" t="s">
        <v>914</v>
      </c>
      <c r="D487" s="54" t="s">
        <v>895</v>
      </c>
      <c r="E487" s="54" t="s">
        <v>58</v>
      </c>
      <c r="F487" s="54" t="s">
        <v>915</v>
      </c>
      <c r="G487" s="54" t="s">
        <v>59</v>
      </c>
      <c r="H487" s="54" t="s">
        <v>60</v>
      </c>
      <c r="I487" s="55" t="s">
        <v>916</v>
      </c>
      <c r="J487" s="54"/>
    </row>
    <row r="488" spans="1:10" x14ac:dyDescent="0.3">
      <c r="A488" s="53" t="s">
        <v>130</v>
      </c>
      <c r="B488" s="54" t="s">
        <v>130</v>
      </c>
      <c r="C488" s="54" t="s">
        <v>914</v>
      </c>
      <c r="D488" s="54" t="s">
        <v>16</v>
      </c>
      <c r="E488" s="54" t="s">
        <v>58</v>
      </c>
      <c r="F488" s="54" t="s">
        <v>917</v>
      </c>
      <c r="G488" s="54" t="s">
        <v>59</v>
      </c>
      <c r="H488" s="54" t="s">
        <v>67</v>
      </c>
      <c r="I488" s="55" t="s">
        <v>56</v>
      </c>
      <c r="J488" s="54"/>
    </row>
    <row r="489" spans="1:10" x14ac:dyDescent="0.3">
      <c r="A489" s="53" t="s">
        <v>130</v>
      </c>
      <c r="B489" s="54" t="s">
        <v>130</v>
      </c>
      <c r="C489" s="54" t="s">
        <v>918</v>
      </c>
      <c r="D489" s="54" t="s">
        <v>919</v>
      </c>
      <c r="E489" s="54" t="s">
        <v>58</v>
      </c>
      <c r="F489" s="54" t="s">
        <v>920</v>
      </c>
      <c r="G489" s="54" t="s">
        <v>59</v>
      </c>
      <c r="H489" s="54" t="s">
        <v>70</v>
      </c>
      <c r="I489" s="55" t="s">
        <v>56</v>
      </c>
      <c r="J489" s="54"/>
    </row>
    <row r="490" spans="1:10" x14ac:dyDescent="0.3">
      <c r="A490" s="53" t="s">
        <v>55</v>
      </c>
      <c r="B490" s="54" t="s">
        <v>56</v>
      </c>
      <c r="C490" s="54" t="s">
        <v>921</v>
      </c>
      <c r="D490" s="54" t="s">
        <v>172</v>
      </c>
      <c r="E490" s="54" t="s">
        <v>58</v>
      </c>
      <c r="F490" s="54" t="s">
        <v>922</v>
      </c>
      <c r="G490" s="54" t="s">
        <v>59</v>
      </c>
      <c r="H490" s="54" t="s">
        <v>60</v>
      </c>
      <c r="I490" s="55" t="s">
        <v>56</v>
      </c>
      <c r="J490" s="54"/>
    </row>
    <row r="491" spans="1:10" x14ac:dyDescent="0.3">
      <c r="A491" s="53" t="s">
        <v>130</v>
      </c>
      <c r="B491" s="54" t="s">
        <v>130</v>
      </c>
      <c r="C491" s="54" t="s">
        <v>923</v>
      </c>
      <c r="D491" s="54" t="s">
        <v>919</v>
      </c>
      <c r="E491" s="54" t="s">
        <v>58</v>
      </c>
      <c r="F491" s="54" t="s">
        <v>924</v>
      </c>
      <c r="G491" s="54" t="s">
        <v>59</v>
      </c>
      <c r="H491" s="54" t="s">
        <v>67</v>
      </c>
      <c r="I491" s="55" t="s">
        <v>56</v>
      </c>
      <c r="J491" s="54"/>
    </row>
    <row r="492" spans="1:10" x14ac:dyDescent="0.3">
      <c r="A492" s="53" t="s">
        <v>130</v>
      </c>
      <c r="B492" s="54" t="s">
        <v>130</v>
      </c>
      <c r="C492" s="54" t="s">
        <v>925</v>
      </c>
      <c r="D492" s="54" t="s">
        <v>172</v>
      </c>
      <c r="E492" s="54" t="s">
        <v>58</v>
      </c>
      <c r="F492" s="54" t="s">
        <v>926</v>
      </c>
      <c r="G492" s="54" t="s">
        <v>59</v>
      </c>
      <c r="H492" s="54" t="s">
        <v>70</v>
      </c>
      <c r="I492" s="55" t="s">
        <v>56</v>
      </c>
      <c r="J492" s="54"/>
    </row>
    <row r="493" spans="1:10" x14ac:dyDescent="0.3">
      <c r="A493" s="53" t="s">
        <v>55</v>
      </c>
      <c r="B493" s="54" t="s">
        <v>56</v>
      </c>
      <c r="C493" s="54" t="s">
        <v>927</v>
      </c>
      <c r="D493" s="54" t="s">
        <v>22</v>
      </c>
      <c r="E493" s="54" t="s">
        <v>58</v>
      </c>
      <c r="F493" s="54" t="s">
        <v>928</v>
      </c>
      <c r="G493" s="54" t="s">
        <v>59</v>
      </c>
      <c r="H493" s="54" t="s">
        <v>60</v>
      </c>
      <c r="I493" s="55" t="s">
        <v>56</v>
      </c>
      <c r="J493" s="54"/>
    </row>
    <row r="494" spans="1:10" x14ac:dyDescent="0.3">
      <c r="A494" s="53" t="s">
        <v>55</v>
      </c>
      <c r="B494" s="54" t="s">
        <v>56</v>
      </c>
      <c r="C494" s="54" t="s">
        <v>929</v>
      </c>
      <c r="D494" s="54" t="s">
        <v>22</v>
      </c>
      <c r="E494" s="54" t="s">
        <v>58</v>
      </c>
      <c r="F494" s="54" t="s">
        <v>930</v>
      </c>
      <c r="G494" s="54" t="s">
        <v>114</v>
      </c>
      <c r="H494" s="54" t="s">
        <v>67</v>
      </c>
      <c r="I494" s="55" t="s">
        <v>56</v>
      </c>
      <c r="J494" s="54"/>
    </row>
    <row r="495" spans="1:10" x14ac:dyDescent="0.3">
      <c r="A495" s="53" t="s">
        <v>130</v>
      </c>
      <c r="B495" s="54" t="s">
        <v>130</v>
      </c>
      <c r="C495" s="54" t="s">
        <v>931</v>
      </c>
      <c r="D495" s="54" t="s">
        <v>22</v>
      </c>
      <c r="E495" s="54" t="s">
        <v>58</v>
      </c>
      <c r="F495" s="54" t="s">
        <v>932</v>
      </c>
      <c r="G495" s="54" t="s">
        <v>59</v>
      </c>
      <c r="H495" s="54" t="s">
        <v>70</v>
      </c>
      <c r="I495" s="55" t="s">
        <v>56</v>
      </c>
      <c r="J495" s="54"/>
    </row>
    <row r="496" spans="1:10" x14ac:dyDescent="0.3">
      <c r="A496" s="53" t="s">
        <v>55</v>
      </c>
      <c r="B496" s="54" t="s">
        <v>56</v>
      </c>
      <c r="C496" s="54" t="s">
        <v>933</v>
      </c>
      <c r="D496" s="54" t="s">
        <v>35</v>
      </c>
      <c r="E496" s="54" t="s">
        <v>58</v>
      </c>
      <c r="F496" s="54" t="s">
        <v>934</v>
      </c>
      <c r="G496" s="54" t="s">
        <v>59</v>
      </c>
      <c r="H496" s="54" t="s">
        <v>60</v>
      </c>
      <c r="I496" s="55" t="s">
        <v>56</v>
      </c>
      <c r="J496" s="54"/>
    </row>
    <row r="497" spans="1:10" x14ac:dyDescent="0.3">
      <c r="A497" s="53" t="s">
        <v>25</v>
      </c>
      <c r="B497" s="54" t="s">
        <v>95</v>
      </c>
      <c r="C497" s="54" t="s">
        <v>933</v>
      </c>
      <c r="D497" s="54" t="s">
        <v>35</v>
      </c>
      <c r="E497" s="54" t="s">
        <v>58</v>
      </c>
      <c r="F497" s="54" t="s">
        <v>935</v>
      </c>
      <c r="G497" s="54" t="s">
        <v>59</v>
      </c>
      <c r="H497" s="54" t="s">
        <v>936</v>
      </c>
      <c r="I497" s="55" t="s">
        <v>56</v>
      </c>
      <c r="J497" s="54"/>
    </row>
    <row r="498" spans="1:10" x14ac:dyDescent="0.3">
      <c r="A498" s="53" t="s">
        <v>130</v>
      </c>
      <c r="B498" s="54" t="s">
        <v>130</v>
      </c>
      <c r="C498" s="54" t="s">
        <v>937</v>
      </c>
      <c r="D498" s="54" t="s">
        <v>938</v>
      </c>
      <c r="E498" s="54" t="s">
        <v>58</v>
      </c>
      <c r="F498" s="54" t="s">
        <v>939</v>
      </c>
      <c r="G498" s="54" t="s">
        <v>59</v>
      </c>
      <c r="H498" s="54" t="s">
        <v>70</v>
      </c>
      <c r="I498" s="55" t="s">
        <v>56</v>
      </c>
      <c r="J498" s="54"/>
    </row>
    <row r="499" spans="1:10" x14ac:dyDescent="0.3">
      <c r="A499" s="53" t="s">
        <v>55</v>
      </c>
      <c r="B499" s="54" t="s">
        <v>56</v>
      </c>
      <c r="C499" s="54" t="s">
        <v>937</v>
      </c>
      <c r="D499" s="54" t="s">
        <v>35</v>
      </c>
      <c r="E499" s="54" t="s">
        <v>58</v>
      </c>
      <c r="F499" s="54" t="s">
        <v>940</v>
      </c>
      <c r="G499" s="54" t="s">
        <v>59</v>
      </c>
      <c r="H499" s="54" t="s">
        <v>60</v>
      </c>
      <c r="I499" s="55" t="s">
        <v>56</v>
      </c>
      <c r="J499" s="54"/>
    </row>
    <row r="500" spans="1:10" x14ac:dyDescent="0.3">
      <c r="A500" s="53" t="s">
        <v>55</v>
      </c>
      <c r="B500" s="54" t="s">
        <v>95</v>
      </c>
      <c r="C500" s="54" t="s">
        <v>941</v>
      </c>
      <c r="D500" s="54" t="s">
        <v>35</v>
      </c>
      <c r="E500" s="54" t="s">
        <v>58</v>
      </c>
      <c r="F500" s="54" t="s">
        <v>942</v>
      </c>
      <c r="G500" s="54" t="s">
        <v>59</v>
      </c>
      <c r="H500" s="54" t="s">
        <v>67</v>
      </c>
      <c r="I500" s="55" t="s">
        <v>56</v>
      </c>
      <c r="J500" s="54"/>
    </row>
    <row r="501" spans="1:10" ht="100.8" x14ac:dyDescent="0.3">
      <c r="A501" s="53" t="s">
        <v>55</v>
      </c>
      <c r="B501" s="54" t="s">
        <v>56</v>
      </c>
      <c r="C501" s="54" t="s">
        <v>943</v>
      </c>
      <c r="D501" s="54" t="s">
        <v>35</v>
      </c>
      <c r="E501" s="54" t="s">
        <v>58</v>
      </c>
      <c r="F501" s="54" t="s">
        <v>944</v>
      </c>
      <c r="G501" s="54" t="s">
        <v>59</v>
      </c>
      <c r="H501" s="54" t="s">
        <v>70</v>
      </c>
      <c r="I501" s="55" t="s">
        <v>945</v>
      </c>
      <c r="J501" s="54"/>
    </row>
    <row r="502" spans="1:10" x14ac:dyDescent="0.3">
      <c r="A502" s="53" t="s">
        <v>130</v>
      </c>
      <c r="B502" s="54" t="s">
        <v>130</v>
      </c>
      <c r="C502" s="54" t="s">
        <v>946</v>
      </c>
      <c r="D502" s="54" t="s">
        <v>635</v>
      </c>
      <c r="E502" s="54" t="s">
        <v>58</v>
      </c>
      <c r="F502" s="54" t="s">
        <v>947</v>
      </c>
      <c r="G502" s="54" t="s">
        <v>59</v>
      </c>
      <c r="H502" s="54" t="s">
        <v>70</v>
      </c>
      <c r="I502" s="55" t="s">
        <v>56</v>
      </c>
      <c r="J502" s="54"/>
    </row>
    <row r="503" spans="1:10" x14ac:dyDescent="0.3">
      <c r="A503" s="53" t="s">
        <v>55</v>
      </c>
      <c r="B503" s="54" t="s">
        <v>56</v>
      </c>
      <c r="C503" s="54" t="s">
        <v>948</v>
      </c>
      <c r="D503" s="54" t="s">
        <v>499</v>
      </c>
      <c r="E503" s="54" t="s">
        <v>58</v>
      </c>
      <c r="F503" s="54" t="s">
        <v>949</v>
      </c>
      <c r="G503" s="54" t="s">
        <v>59</v>
      </c>
      <c r="H503" s="54" t="s">
        <v>60</v>
      </c>
      <c r="I503" s="55" t="s">
        <v>56</v>
      </c>
      <c r="J503" s="54"/>
    </row>
    <row r="504" spans="1:10" ht="115.2" x14ac:dyDescent="0.3">
      <c r="A504" s="53" t="s">
        <v>55</v>
      </c>
      <c r="B504" s="54" t="s">
        <v>56</v>
      </c>
      <c r="C504" s="54" t="s">
        <v>950</v>
      </c>
      <c r="D504" s="54" t="s">
        <v>35</v>
      </c>
      <c r="E504" s="54" t="s">
        <v>58</v>
      </c>
      <c r="F504" s="54" t="s">
        <v>951</v>
      </c>
      <c r="G504" s="54" t="s">
        <v>59</v>
      </c>
      <c r="H504" s="54" t="s">
        <v>67</v>
      </c>
      <c r="I504" s="55" t="s">
        <v>952</v>
      </c>
      <c r="J504" s="54"/>
    </row>
    <row r="505" spans="1:10" x14ac:dyDescent="0.3">
      <c r="A505" s="53" t="s">
        <v>130</v>
      </c>
      <c r="B505" s="54" t="s">
        <v>130</v>
      </c>
      <c r="C505" s="54" t="s">
        <v>953</v>
      </c>
      <c r="D505" s="54" t="s">
        <v>37</v>
      </c>
      <c r="E505" s="54" t="s">
        <v>58</v>
      </c>
      <c r="F505" s="54" t="s">
        <v>954</v>
      </c>
      <c r="G505" s="54" t="s">
        <v>59</v>
      </c>
      <c r="H505" s="54" t="s">
        <v>70</v>
      </c>
      <c r="I505" s="55" t="s">
        <v>56</v>
      </c>
      <c r="J505" s="54"/>
    </row>
    <row r="506" spans="1:10" x14ac:dyDescent="0.3">
      <c r="A506" s="53" t="s">
        <v>25</v>
      </c>
      <c r="B506" s="54" t="s">
        <v>56</v>
      </c>
      <c r="C506" s="54" t="s">
        <v>955</v>
      </c>
      <c r="D506" s="54" t="s">
        <v>27</v>
      </c>
      <c r="E506" s="54" t="s">
        <v>58</v>
      </c>
      <c r="F506" s="54" t="s">
        <v>956</v>
      </c>
      <c r="G506" s="54" t="s">
        <v>59</v>
      </c>
      <c r="H506" s="54" t="s">
        <v>60</v>
      </c>
      <c r="I506" s="55" t="s">
        <v>56</v>
      </c>
      <c r="J506" s="54"/>
    </row>
    <row r="507" spans="1:10" x14ac:dyDescent="0.3">
      <c r="A507" s="53" t="s">
        <v>55</v>
      </c>
      <c r="B507" s="54" t="s">
        <v>56</v>
      </c>
      <c r="C507" s="54" t="s">
        <v>957</v>
      </c>
      <c r="D507" s="54" t="s">
        <v>35</v>
      </c>
      <c r="E507" s="54" t="s">
        <v>58</v>
      </c>
      <c r="F507" s="54" t="s">
        <v>958</v>
      </c>
      <c r="G507" s="54" t="s">
        <v>59</v>
      </c>
      <c r="H507" s="54" t="s">
        <v>67</v>
      </c>
      <c r="I507" s="55" t="s">
        <v>56</v>
      </c>
      <c r="J507" s="54"/>
    </row>
    <row r="508" spans="1:10" x14ac:dyDescent="0.3">
      <c r="A508" s="53" t="s">
        <v>130</v>
      </c>
      <c r="B508" s="54" t="s">
        <v>130</v>
      </c>
      <c r="C508" s="54" t="s">
        <v>959</v>
      </c>
      <c r="D508" s="54" t="s">
        <v>499</v>
      </c>
      <c r="E508" s="54" t="s">
        <v>58</v>
      </c>
      <c r="F508" s="54" t="s">
        <v>960</v>
      </c>
      <c r="G508" s="54" t="s">
        <v>59</v>
      </c>
      <c r="H508" s="54" t="s">
        <v>70</v>
      </c>
      <c r="I508" s="55" t="s">
        <v>56</v>
      </c>
      <c r="J508" s="54"/>
    </row>
    <row r="509" spans="1:10" x14ac:dyDescent="0.3">
      <c r="A509" s="53" t="s">
        <v>55</v>
      </c>
      <c r="B509" s="54" t="s">
        <v>56</v>
      </c>
      <c r="C509" s="54" t="s">
        <v>961</v>
      </c>
      <c r="D509" s="54" t="s">
        <v>35</v>
      </c>
      <c r="E509" s="54" t="s">
        <v>58</v>
      </c>
      <c r="F509" s="54" t="s">
        <v>962</v>
      </c>
      <c r="G509" s="54" t="s">
        <v>59</v>
      </c>
      <c r="H509" s="54" t="s">
        <v>70</v>
      </c>
      <c r="I509" s="55" t="s">
        <v>56</v>
      </c>
      <c r="J509" s="54"/>
    </row>
    <row r="510" spans="1:10" x14ac:dyDescent="0.3">
      <c r="A510" s="56" t="s">
        <v>55</v>
      </c>
      <c r="B510" s="57" t="s">
        <v>56</v>
      </c>
      <c r="C510" s="57" t="s">
        <v>963</v>
      </c>
      <c r="D510" s="57" t="s">
        <v>35</v>
      </c>
      <c r="E510" s="57" t="s">
        <v>58</v>
      </c>
      <c r="F510" s="57" t="s">
        <v>964</v>
      </c>
      <c r="G510" s="57" t="s">
        <v>114</v>
      </c>
      <c r="H510" s="57" t="s">
        <v>60</v>
      </c>
      <c r="I510" s="58" t="s">
        <v>56</v>
      </c>
      <c r="J510" s="57"/>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20184-E096-4231-AD34-F252AEF760EC}">
  <sheetPr codeName="Sheet2"/>
  <dimension ref="A1:R479"/>
  <sheetViews>
    <sheetView workbookViewId="0">
      <selection activeCell="R3" sqref="R3"/>
    </sheetView>
  </sheetViews>
  <sheetFormatPr defaultRowHeight="14.4" x14ac:dyDescent="0.3"/>
  <cols>
    <col min="1" max="1" width="10.44140625" bestFit="1" customWidth="1"/>
    <col min="2" max="2" width="23" hidden="1" customWidth="1"/>
    <col min="3" max="3" width="17.5546875" bestFit="1" customWidth="1"/>
    <col min="4" max="4" width="18.109375" bestFit="1" customWidth="1"/>
    <col min="5" max="5" width="18.109375" customWidth="1"/>
    <col min="6" max="6" width="12.6640625" bestFit="1" customWidth="1"/>
    <col min="7" max="7" width="12.6640625" hidden="1" customWidth="1"/>
    <col min="8" max="8" width="23.33203125" bestFit="1" customWidth="1"/>
    <col min="9" max="9" width="12.33203125" bestFit="1" customWidth="1"/>
    <col min="10" max="10" width="19.5546875" bestFit="1" customWidth="1"/>
    <col min="11" max="11" width="19.88671875" bestFit="1" customWidth="1"/>
    <col min="12" max="12" width="22.33203125" customWidth="1"/>
    <col min="13" max="13" width="11.44140625" bestFit="1" customWidth="1"/>
    <col min="18" max="18" width="36.5546875" bestFit="1" customWidth="1"/>
  </cols>
  <sheetData>
    <row r="1" spans="1:18" ht="15.6" x14ac:dyDescent="0.3">
      <c r="A1" s="16" t="s">
        <v>45</v>
      </c>
      <c r="B1" s="16" t="s">
        <v>46</v>
      </c>
      <c r="C1" s="16" t="s">
        <v>47</v>
      </c>
      <c r="D1" s="16" t="s">
        <v>48</v>
      </c>
      <c r="E1" s="16" t="s">
        <v>19</v>
      </c>
      <c r="F1" s="16" t="s">
        <v>20</v>
      </c>
      <c r="G1" s="16" t="s">
        <v>978</v>
      </c>
      <c r="H1" s="16" t="s">
        <v>49</v>
      </c>
      <c r="I1" s="16" t="s">
        <v>50</v>
      </c>
      <c r="J1" s="16" t="s">
        <v>51</v>
      </c>
      <c r="K1" s="16" t="s">
        <v>52</v>
      </c>
      <c r="L1" s="15" t="s">
        <v>53</v>
      </c>
      <c r="M1" s="15" t="s">
        <v>979</v>
      </c>
    </row>
    <row r="2" spans="1:18" ht="31.2" x14ac:dyDescent="0.3">
      <c r="A2" s="18" t="s">
        <v>55</v>
      </c>
      <c r="B2" s="18" t="s">
        <v>980</v>
      </c>
      <c r="C2" s="18" t="s">
        <v>103</v>
      </c>
      <c r="D2" s="18" t="s">
        <v>41</v>
      </c>
      <c r="E2" s="18" t="str">
        <f>IFERROR(VLOOKUP(TRIM(D2), Collection!$B$2:$D$1001, 2, FALSE), "")</f>
        <v>Overseas dual time Black</v>
      </c>
      <c r="F2" s="21" t="str">
        <f>IFERROR(VLOOKUP(TRIM(D2), Collection!$B$2:$D$1001, 3, FALSE), "")</f>
        <v>117,000 AED</v>
      </c>
      <c r="G2" s="21">
        <f t="shared" ref="G2:G65" si="0">IFERROR(VALUE(SUBSTITUTE(SUBSTITUTE(F2, "Price", ""), "AED", "")), "")</f>
        <v>117000</v>
      </c>
      <c r="H2" s="18" t="s">
        <v>58</v>
      </c>
      <c r="I2" s="18">
        <v>101893659</v>
      </c>
      <c r="J2" s="18" t="s">
        <v>59</v>
      </c>
      <c r="K2" s="18" t="s">
        <v>67</v>
      </c>
      <c r="L2" s="18" t="s">
        <v>980</v>
      </c>
      <c r="M2" s="18" t="b">
        <f t="shared" ref="M2:M65" si="1">IF(COUNTIF($R$3:$R$100, D2) &gt; 0, TRUE, FALSE)</f>
        <v>0</v>
      </c>
      <c r="R2" s="17" t="s">
        <v>981</v>
      </c>
    </row>
    <row r="3" spans="1:18" ht="46.8" x14ac:dyDescent="0.3">
      <c r="A3" s="18" t="s">
        <v>55</v>
      </c>
      <c r="B3" s="18" t="s">
        <v>980</v>
      </c>
      <c r="C3" s="18" t="s">
        <v>103</v>
      </c>
      <c r="D3" s="18" t="s">
        <v>37</v>
      </c>
      <c r="E3" s="18" t="str">
        <f>IFERROR(VLOOKUP(TRIM(D3), Collection!$B$2:$D$1001, 2, FALSE), "")</f>
        <v>Overseas moon phase retrograde date</v>
      </c>
      <c r="F3" s="21" t="str">
        <f>IFERROR(VLOOKUP(TRIM(D3), Collection!$B$2:$D$1001, 3, FALSE), "")</f>
        <v>166,000 AED</v>
      </c>
      <c r="G3" s="21">
        <f t="shared" si="0"/>
        <v>166000</v>
      </c>
      <c r="H3" s="18" t="s">
        <v>58</v>
      </c>
      <c r="I3" s="18">
        <v>105306744</v>
      </c>
      <c r="J3" s="18" t="s">
        <v>59</v>
      </c>
      <c r="K3" s="18" t="s">
        <v>60</v>
      </c>
      <c r="L3" s="18" t="s">
        <v>982</v>
      </c>
      <c r="M3" s="18" t="b">
        <f t="shared" si="1"/>
        <v>0</v>
      </c>
      <c r="R3" t="s">
        <v>983</v>
      </c>
    </row>
    <row r="4" spans="1:18" ht="31.2" x14ac:dyDescent="0.3">
      <c r="A4" s="18" t="s">
        <v>55</v>
      </c>
      <c r="B4" s="18" t="s">
        <v>980</v>
      </c>
      <c r="C4" s="18" t="s">
        <v>103</v>
      </c>
      <c r="D4" s="18" t="s">
        <v>35</v>
      </c>
      <c r="E4" s="18" t="str">
        <f>IFERROR(VLOOKUP(TRIM(D4), Collection!$B$2:$D$1001, 2, FALSE), "")</f>
        <v>Overseas self-winding</v>
      </c>
      <c r="F4" s="21" t="str">
        <f>IFERROR(VLOOKUP(TRIM(D4), Collection!$B$2:$D$1001, 3, FALSE), "")</f>
        <v>94,500 AED</v>
      </c>
      <c r="G4" s="21">
        <f t="shared" si="0"/>
        <v>94500</v>
      </c>
      <c r="H4" s="18" t="s">
        <v>58</v>
      </c>
      <c r="I4" s="18">
        <v>105306744</v>
      </c>
      <c r="J4" s="18" t="s">
        <v>59</v>
      </c>
      <c r="K4" s="18" t="s">
        <v>60</v>
      </c>
      <c r="L4" s="18" t="s">
        <v>980</v>
      </c>
      <c r="M4" s="18" t="b">
        <f t="shared" si="1"/>
        <v>0</v>
      </c>
      <c r="R4" t="s">
        <v>27</v>
      </c>
    </row>
    <row r="5" spans="1:18" ht="31.2" x14ac:dyDescent="0.3">
      <c r="A5" s="18" t="s">
        <v>55</v>
      </c>
      <c r="B5" s="18" t="s">
        <v>980</v>
      </c>
      <c r="C5" s="18" t="s">
        <v>103</v>
      </c>
      <c r="D5" s="18" t="s">
        <v>66</v>
      </c>
      <c r="E5" s="18" t="str">
        <f>IFERROR(VLOOKUP(TRIM(D5), Collection!$B$2:$D$1001, 2, FALSE), "")</f>
        <v>Historiques 222</v>
      </c>
      <c r="F5" s="21" t="str">
        <f>IFERROR(VLOOKUP(TRIM(D5), Collection!$B$2:$D$1001, 3, FALSE), "")</f>
        <v>121,000 AED</v>
      </c>
      <c r="G5" s="21">
        <f t="shared" si="0"/>
        <v>121000</v>
      </c>
      <c r="H5" s="18" t="s">
        <v>58</v>
      </c>
      <c r="I5" s="18">
        <v>105306744</v>
      </c>
      <c r="J5" s="18" t="s">
        <v>59</v>
      </c>
      <c r="K5" s="18" t="s">
        <v>60</v>
      </c>
      <c r="L5" s="18" t="s">
        <v>980</v>
      </c>
      <c r="M5" s="18" t="b">
        <f t="shared" si="1"/>
        <v>0</v>
      </c>
      <c r="R5" t="s">
        <v>29</v>
      </c>
    </row>
    <row r="6" spans="1:18" ht="31.2" x14ac:dyDescent="0.3">
      <c r="A6" s="18" t="s">
        <v>55</v>
      </c>
      <c r="B6" s="18" t="s">
        <v>980</v>
      </c>
      <c r="C6" s="18" t="s">
        <v>106</v>
      </c>
      <c r="D6" s="18" t="s">
        <v>107</v>
      </c>
      <c r="E6" s="18" t="str">
        <f>IFERROR(VLOOKUP(TRIM(D6), Collection!$B$2:$D$1001, 2, FALSE), "")</f>
        <v>Overseas chronograph</v>
      </c>
      <c r="F6" s="21" t="str">
        <f>IFERROR(VLOOKUP(TRIM(D6), Collection!$B$2:$D$1001, 3, FALSE), "")</f>
        <v>135,000 AED</v>
      </c>
      <c r="G6" s="21">
        <f t="shared" si="0"/>
        <v>135000</v>
      </c>
      <c r="H6" s="18" t="s">
        <v>58</v>
      </c>
      <c r="I6" s="18">
        <v>105225518</v>
      </c>
      <c r="J6" s="18" t="s">
        <v>59</v>
      </c>
      <c r="K6" s="18" t="s">
        <v>67</v>
      </c>
      <c r="L6" s="18" t="s">
        <v>980</v>
      </c>
      <c r="M6" s="18" t="b">
        <f t="shared" si="1"/>
        <v>0</v>
      </c>
      <c r="R6" t="s">
        <v>24</v>
      </c>
    </row>
    <row r="7" spans="1:18" ht="31.2" x14ac:dyDescent="0.3">
      <c r="A7" s="18" t="s">
        <v>55</v>
      </c>
      <c r="B7" s="18" t="s">
        <v>980</v>
      </c>
      <c r="C7" s="18" t="s">
        <v>106</v>
      </c>
      <c r="D7" s="18" t="s">
        <v>35</v>
      </c>
      <c r="E7" s="18" t="str">
        <f>IFERROR(VLOOKUP(TRIM(D7), Collection!$B$2:$D$1001, 2, FALSE), "")</f>
        <v>Overseas self-winding</v>
      </c>
      <c r="F7" s="21" t="str">
        <f>IFERROR(VLOOKUP(TRIM(D7), Collection!$B$2:$D$1001, 3, FALSE), "")</f>
        <v>94,500 AED</v>
      </c>
      <c r="G7" s="21">
        <f t="shared" si="0"/>
        <v>94500</v>
      </c>
      <c r="H7" s="18" t="s">
        <v>58</v>
      </c>
      <c r="I7" s="18">
        <v>105232635</v>
      </c>
      <c r="J7" s="18" t="s">
        <v>59</v>
      </c>
      <c r="K7" s="18" t="s">
        <v>70</v>
      </c>
      <c r="L7" s="18" t="s">
        <v>984</v>
      </c>
      <c r="M7" s="18" t="b">
        <f t="shared" si="1"/>
        <v>0</v>
      </c>
      <c r="R7" t="s">
        <v>36</v>
      </c>
    </row>
    <row r="8" spans="1:18" ht="46.8" x14ac:dyDescent="0.3">
      <c r="A8" s="18" t="s">
        <v>55</v>
      </c>
      <c r="B8" s="18" t="s">
        <v>980</v>
      </c>
      <c r="C8" s="18" t="s">
        <v>111</v>
      </c>
      <c r="D8" s="18" t="s">
        <v>112</v>
      </c>
      <c r="E8" s="18" t="str">
        <f>IFERROR(VLOOKUP(TRIM(D8), Collection!$B$2:$D$1001, 2, FALSE), "")</f>
        <v/>
      </c>
      <c r="F8" s="21" t="str">
        <f>IFERROR(VLOOKUP(TRIM(D8), Collection!$B$2:$D$1001, 3, FALSE), "")</f>
        <v/>
      </c>
      <c r="G8" s="21" t="str">
        <f t="shared" si="0"/>
        <v/>
      </c>
      <c r="H8" s="18" t="s">
        <v>58</v>
      </c>
      <c r="I8" s="18">
        <v>92425024</v>
      </c>
      <c r="J8" s="18" t="s">
        <v>114</v>
      </c>
      <c r="K8" s="18" t="s">
        <v>70</v>
      </c>
      <c r="L8" s="18" t="s">
        <v>985</v>
      </c>
      <c r="M8" s="18" t="b">
        <f t="shared" si="1"/>
        <v>0</v>
      </c>
      <c r="R8" t="s">
        <v>217</v>
      </c>
    </row>
    <row r="9" spans="1:18" ht="31.2" x14ac:dyDescent="0.3">
      <c r="A9" s="18" t="s">
        <v>55</v>
      </c>
      <c r="B9" s="18" t="s">
        <v>980</v>
      </c>
      <c r="C9" s="18" t="s">
        <v>111</v>
      </c>
      <c r="D9" s="18" t="s">
        <v>66</v>
      </c>
      <c r="E9" s="18" t="str">
        <f>IFERROR(VLOOKUP(TRIM(D9), Collection!$B$2:$D$1001, 2, FALSE), "")</f>
        <v>Historiques 222</v>
      </c>
      <c r="F9" s="21" t="str">
        <f>IFERROR(VLOOKUP(TRIM(D9), Collection!$B$2:$D$1001, 3, FALSE), "")</f>
        <v>121,000 AED</v>
      </c>
      <c r="G9" s="21">
        <f t="shared" si="0"/>
        <v>121000</v>
      </c>
      <c r="H9" s="18" t="s">
        <v>58</v>
      </c>
      <c r="I9" s="18">
        <v>105234569</v>
      </c>
      <c r="J9" s="18" t="s">
        <v>59</v>
      </c>
      <c r="K9" s="18" t="s">
        <v>60</v>
      </c>
      <c r="L9" s="18" t="s">
        <v>986</v>
      </c>
      <c r="M9" s="18" t="b">
        <f t="shared" si="1"/>
        <v>0</v>
      </c>
    </row>
    <row r="10" spans="1:18" ht="46.8" x14ac:dyDescent="0.3">
      <c r="A10" s="18" t="s">
        <v>55</v>
      </c>
      <c r="B10" s="18" t="s">
        <v>980</v>
      </c>
      <c r="C10" s="18" t="s">
        <v>118</v>
      </c>
      <c r="D10" s="18" t="s">
        <v>35</v>
      </c>
      <c r="E10" s="18" t="str">
        <f>IFERROR(VLOOKUP(TRIM(D10), Collection!$B$2:$D$1001, 2, FALSE), "")</f>
        <v>Overseas self-winding</v>
      </c>
      <c r="F10" s="21" t="str">
        <f>IFERROR(VLOOKUP(TRIM(D10), Collection!$B$2:$D$1001, 3, FALSE), "")</f>
        <v>94,500 AED</v>
      </c>
      <c r="G10" s="21">
        <f t="shared" si="0"/>
        <v>94500</v>
      </c>
      <c r="H10" s="18" t="s">
        <v>58</v>
      </c>
      <c r="I10" s="18">
        <v>105231885</v>
      </c>
      <c r="J10" s="18" t="s">
        <v>59</v>
      </c>
      <c r="K10" s="18" t="s">
        <v>70</v>
      </c>
      <c r="L10" s="18" t="s">
        <v>987</v>
      </c>
      <c r="M10" s="18" t="b">
        <f t="shared" si="1"/>
        <v>0</v>
      </c>
    </row>
    <row r="11" spans="1:18" ht="31.2" x14ac:dyDescent="0.3">
      <c r="A11" s="18" t="s">
        <v>55</v>
      </c>
      <c r="B11" s="18" t="s">
        <v>980</v>
      </c>
      <c r="C11" s="18" t="s">
        <v>118</v>
      </c>
      <c r="D11" s="18" t="s">
        <v>66</v>
      </c>
      <c r="E11" s="18" t="str">
        <f>IFERROR(VLOOKUP(TRIM(D11), Collection!$B$2:$D$1001, 2, FALSE), "")</f>
        <v>Historiques 222</v>
      </c>
      <c r="F11" s="21" t="str">
        <f>IFERROR(VLOOKUP(TRIM(D11), Collection!$B$2:$D$1001, 3, FALSE), "")</f>
        <v>121,000 AED</v>
      </c>
      <c r="G11" s="21">
        <f t="shared" si="0"/>
        <v>121000</v>
      </c>
      <c r="H11" s="18" t="s">
        <v>58</v>
      </c>
      <c r="I11" s="18">
        <v>105224074</v>
      </c>
      <c r="J11" s="18" t="s">
        <v>59</v>
      </c>
      <c r="K11" s="18" t="s">
        <v>70</v>
      </c>
      <c r="L11" s="18" t="s">
        <v>988</v>
      </c>
      <c r="M11" s="18" t="b">
        <f t="shared" si="1"/>
        <v>0</v>
      </c>
    </row>
    <row r="12" spans="1:18" ht="62.4" x14ac:dyDescent="0.3">
      <c r="A12" s="18" t="s">
        <v>55</v>
      </c>
      <c r="B12" s="18" t="s">
        <v>980</v>
      </c>
      <c r="C12" s="18" t="s">
        <v>118</v>
      </c>
      <c r="D12" s="18" t="s">
        <v>123</v>
      </c>
      <c r="E12" s="18" t="str">
        <f>IFERROR(VLOOKUP(TRIM(D12), Collection!$B$2:$D$1001, 2, FALSE), "")</f>
        <v>Overseas perpetual calendar ultra-thin</v>
      </c>
      <c r="F12" s="21" t="str">
        <f>IFERROR(VLOOKUP(TRIM(D12), Collection!$B$2:$D$1001, 3, FALSE), "")</f>
        <v>442,000 AED</v>
      </c>
      <c r="G12" s="21">
        <f t="shared" si="0"/>
        <v>442000</v>
      </c>
      <c r="H12" s="18" t="s">
        <v>58</v>
      </c>
      <c r="I12" s="18">
        <v>105248739</v>
      </c>
      <c r="J12" s="18" t="s">
        <v>59</v>
      </c>
      <c r="K12" s="18" t="s">
        <v>60</v>
      </c>
      <c r="L12" s="18" t="s">
        <v>989</v>
      </c>
      <c r="M12" s="18" t="b">
        <f t="shared" si="1"/>
        <v>0</v>
      </c>
    </row>
    <row r="13" spans="1:18" ht="31.2" x14ac:dyDescent="0.3">
      <c r="A13" s="18" t="s">
        <v>55</v>
      </c>
      <c r="B13" s="18" t="s">
        <v>980</v>
      </c>
      <c r="C13" s="18" t="s">
        <v>128</v>
      </c>
      <c r="D13" s="18" t="s">
        <v>66</v>
      </c>
      <c r="E13" s="18" t="str">
        <f>IFERROR(VLOOKUP(TRIM(D13), Collection!$B$2:$D$1001, 2, FALSE), "")</f>
        <v>Historiques 222</v>
      </c>
      <c r="F13" s="21" t="str">
        <f>IFERROR(VLOOKUP(TRIM(D13), Collection!$B$2:$D$1001, 3, FALSE), "")</f>
        <v>121,000 AED</v>
      </c>
      <c r="G13" s="21">
        <f t="shared" si="0"/>
        <v>121000</v>
      </c>
      <c r="H13" s="18" t="s">
        <v>58</v>
      </c>
      <c r="I13" s="18">
        <v>105223407</v>
      </c>
      <c r="J13" s="18" t="s">
        <v>59</v>
      </c>
      <c r="K13" s="18" t="s">
        <v>67</v>
      </c>
      <c r="L13" s="18" t="s">
        <v>980</v>
      </c>
      <c r="M13" s="18" t="b">
        <f t="shared" si="1"/>
        <v>0</v>
      </c>
    </row>
    <row r="14" spans="1:18" ht="31.2" x14ac:dyDescent="0.3">
      <c r="A14" s="18" t="s">
        <v>55</v>
      </c>
      <c r="B14" s="18" t="s">
        <v>980</v>
      </c>
      <c r="C14" s="19">
        <v>45904</v>
      </c>
      <c r="D14" s="18" t="s">
        <v>66</v>
      </c>
      <c r="E14" s="18" t="str">
        <f>IFERROR(VLOOKUP(TRIM(D14), Collection!$B$2:$D$1001, 2, FALSE), "")</f>
        <v>Historiques 222</v>
      </c>
      <c r="F14" s="21" t="str">
        <f>IFERROR(VLOOKUP(TRIM(D14), Collection!$B$2:$D$1001, 3, FALSE), "")</f>
        <v>121,000 AED</v>
      </c>
      <c r="G14" s="21">
        <f t="shared" si="0"/>
        <v>121000</v>
      </c>
      <c r="H14" s="18" t="s">
        <v>58</v>
      </c>
      <c r="I14" s="18">
        <v>105122031</v>
      </c>
      <c r="J14" s="18" t="s">
        <v>59</v>
      </c>
      <c r="K14" s="18" t="s">
        <v>70</v>
      </c>
      <c r="L14" s="18" t="s">
        <v>990</v>
      </c>
      <c r="M14" s="18" t="b">
        <f t="shared" si="1"/>
        <v>0</v>
      </c>
    </row>
    <row r="15" spans="1:18" ht="31.2" x14ac:dyDescent="0.3">
      <c r="A15" s="18" t="s">
        <v>55</v>
      </c>
      <c r="B15" s="18" t="s">
        <v>980</v>
      </c>
      <c r="C15" s="19">
        <v>45873</v>
      </c>
      <c r="D15" s="18" t="s">
        <v>22</v>
      </c>
      <c r="E15" s="18" t="str">
        <f>IFERROR(VLOOKUP(TRIM(D15), Collection!$B$2:$D$1001, 2, FALSE), "")</f>
        <v>Overseas dual time Blue</v>
      </c>
      <c r="F15" s="21" t="str">
        <f>IFERROR(VLOOKUP(TRIM(D15), Collection!$B$2:$D$1001, 3, FALSE), "")</f>
        <v>117,000 AED</v>
      </c>
      <c r="G15" s="21">
        <f t="shared" si="0"/>
        <v>117000</v>
      </c>
      <c r="H15" s="18" t="s">
        <v>58</v>
      </c>
      <c r="I15" s="18">
        <v>105116801</v>
      </c>
      <c r="J15" s="18" t="s">
        <v>59</v>
      </c>
      <c r="K15" s="18" t="s">
        <v>60</v>
      </c>
      <c r="L15" s="18" t="s">
        <v>991</v>
      </c>
      <c r="M15" s="18" t="b">
        <f t="shared" si="1"/>
        <v>0</v>
      </c>
    </row>
    <row r="16" spans="1:18" ht="31.2" x14ac:dyDescent="0.3">
      <c r="A16" s="18" t="s">
        <v>55</v>
      </c>
      <c r="B16" s="18" t="s">
        <v>980</v>
      </c>
      <c r="C16" s="19">
        <v>45873</v>
      </c>
      <c r="D16" s="18" t="s">
        <v>66</v>
      </c>
      <c r="E16" s="18" t="str">
        <f>IFERROR(VLOOKUP(TRIM(D16), Collection!$B$2:$D$1001, 2, FALSE), "")</f>
        <v>Historiques 222</v>
      </c>
      <c r="F16" s="21" t="str">
        <f>IFERROR(VLOOKUP(TRIM(D16), Collection!$B$2:$D$1001, 3, FALSE), "")</f>
        <v>121,000 AED</v>
      </c>
      <c r="G16" s="21">
        <f t="shared" si="0"/>
        <v>121000</v>
      </c>
      <c r="H16" s="18" t="s">
        <v>58</v>
      </c>
      <c r="I16" s="18">
        <v>105117467</v>
      </c>
      <c r="J16" s="18" t="s">
        <v>59</v>
      </c>
      <c r="K16" s="18" t="s">
        <v>60</v>
      </c>
      <c r="L16" s="18" t="s">
        <v>992</v>
      </c>
      <c r="M16" s="18" t="b">
        <f t="shared" si="1"/>
        <v>0</v>
      </c>
    </row>
    <row r="17" spans="1:13" ht="31.2" x14ac:dyDescent="0.3">
      <c r="A17" s="18" t="s">
        <v>55</v>
      </c>
      <c r="B17" s="18" t="s">
        <v>980</v>
      </c>
      <c r="C17" s="19">
        <v>45751</v>
      </c>
      <c r="D17" s="18" t="s">
        <v>66</v>
      </c>
      <c r="E17" s="18" t="str">
        <f>IFERROR(VLOOKUP(TRIM(D17), Collection!$B$2:$D$1001, 2, FALSE), "")</f>
        <v>Historiques 222</v>
      </c>
      <c r="F17" s="21" t="str">
        <f>IFERROR(VLOOKUP(TRIM(D17), Collection!$B$2:$D$1001, 3, FALSE), "")</f>
        <v>121,000 AED</v>
      </c>
      <c r="G17" s="21">
        <f t="shared" si="0"/>
        <v>121000</v>
      </c>
      <c r="H17" s="18" t="s">
        <v>58</v>
      </c>
      <c r="I17" s="18">
        <v>105001985</v>
      </c>
      <c r="J17" s="18" t="s">
        <v>59</v>
      </c>
      <c r="K17" s="18" t="s">
        <v>70</v>
      </c>
      <c r="L17" s="18" t="s">
        <v>993</v>
      </c>
      <c r="M17" s="18" t="b">
        <f t="shared" si="1"/>
        <v>0</v>
      </c>
    </row>
    <row r="18" spans="1:13" ht="124.8" x14ac:dyDescent="0.3">
      <c r="A18" s="18" t="s">
        <v>55</v>
      </c>
      <c r="B18" s="18" t="s">
        <v>980</v>
      </c>
      <c r="C18" s="19">
        <v>45751</v>
      </c>
      <c r="D18" s="18" t="s">
        <v>66</v>
      </c>
      <c r="E18" s="18" t="str">
        <f>IFERROR(VLOOKUP(TRIM(D18), Collection!$B$2:$D$1001, 2, FALSE), "")</f>
        <v>Historiques 222</v>
      </c>
      <c r="F18" s="21" t="str">
        <f>IFERROR(VLOOKUP(TRIM(D18), Collection!$B$2:$D$1001, 3, FALSE), "")</f>
        <v>121,000 AED</v>
      </c>
      <c r="G18" s="21">
        <f t="shared" si="0"/>
        <v>121000</v>
      </c>
      <c r="H18" s="18" t="s">
        <v>58</v>
      </c>
      <c r="I18" s="18">
        <v>101108337</v>
      </c>
      <c r="J18" s="18" t="s">
        <v>114</v>
      </c>
      <c r="K18" s="18" t="s">
        <v>67</v>
      </c>
      <c r="L18" s="18" t="s">
        <v>994</v>
      </c>
      <c r="M18" s="18" t="b">
        <f t="shared" si="1"/>
        <v>0</v>
      </c>
    </row>
    <row r="19" spans="1:13" ht="31.2" x14ac:dyDescent="0.3">
      <c r="A19" s="18" t="s">
        <v>55</v>
      </c>
      <c r="B19" s="18" t="s">
        <v>980</v>
      </c>
      <c r="C19" s="19">
        <v>45720</v>
      </c>
      <c r="D19" s="18" t="s">
        <v>75</v>
      </c>
      <c r="E19" s="18" t="str">
        <f>IFERROR(VLOOKUP(TRIM(D19), Collection!$B$2:$D$1001, 2, FALSE), "")</f>
        <v>Overseas self-winding</v>
      </c>
      <c r="F19" s="21" t="str">
        <f>IFERROR(VLOOKUP(TRIM(D19), Collection!$B$2:$D$1001, 3, FALSE), "")</f>
        <v>94,500 AED</v>
      </c>
      <c r="G19" s="21">
        <f t="shared" si="0"/>
        <v>94500</v>
      </c>
      <c r="H19" s="18" t="s">
        <v>58</v>
      </c>
      <c r="I19" s="18">
        <v>104989923</v>
      </c>
      <c r="J19" s="18" t="s">
        <v>59</v>
      </c>
      <c r="K19" s="18" t="s">
        <v>67</v>
      </c>
      <c r="L19" s="18" t="s">
        <v>980</v>
      </c>
      <c r="M19" s="18" t="b">
        <f t="shared" si="1"/>
        <v>0</v>
      </c>
    </row>
    <row r="20" spans="1:13" ht="31.2" x14ac:dyDescent="0.3">
      <c r="A20" s="18" t="s">
        <v>55</v>
      </c>
      <c r="B20" s="18" t="s">
        <v>980</v>
      </c>
      <c r="C20" s="19">
        <v>45720</v>
      </c>
      <c r="D20" s="18" t="s">
        <v>35</v>
      </c>
      <c r="E20" s="18" t="str">
        <f>IFERROR(VLOOKUP(TRIM(D20), Collection!$B$2:$D$1001, 2, FALSE), "")</f>
        <v>Overseas self-winding</v>
      </c>
      <c r="F20" s="21" t="str">
        <f>IFERROR(VLOOKUP(TRIM(D20), Collection!$B$2:$D$1001, 3, FALSE), "")</f>
        <v>94,500 AED</v>
      </c>
      <c r="G20" s="21">
        <f t="shared" si="0"/>
        <v>94500</v>
      </c>
      <c r="H20" s="18" t="s">
        <v>58</v>
      </c>
      <c r="I20" s="18">
        <v>104977543</v>
      </c>
      <c r="J20" s="18" t="s">
        <v>59</v>
      </c>
      <c r="K20" s="18" t="s">
        <v>70</v>
      </c>
      <c r="L20" s="18" t="s">
        <v>995</v>
      </c>
      <c r="M20" s="18" t="b">
        <f t="shared" si="1"/>
        <v>0</v>
      </c>
    </row>
    <row r="21" spans="1:13" ht="31.2" x14ac:dyDescent="0.3">
      <c r="A21" s="18" t="s">
        <v>55</v>
      </c>
      <c r="B21" s="18" t="s">
        <v>980</v>
      </c>
      <c r="C21" s="19">
        <v>45720</v>
      </c>
      <c r="D21" s="18" t="s">
        <v>66</v>
      </c>
      <c r="E21" s="18" t="str">
        <f>IFERROR(VLOOKUP(TRIM(D21), Collection!$B$2:$D$1001, 2, FALSE), "")</f>
        <v>Historiques 222</v>
      </c>
      <c r="F21" s="21" t="str">
        <f>IFERROR(VLOOKUP(TRIM(D21), Collection!$B$2:$D$1001, 3, FALSE), "")</f>
        <v>121,000 AED</v>
      </c>
      <c r="G21" s="21">
        <f t="shared" si="0"/>
        <v>121000</v>
      </c>
      <c r="H21" s="18" t="s">
        <v>58</v>
      </c>
      <c r="I21" s="18">
        <v>103771139</v>
      </c>
      <c r="J21" s="18" t="s">
        <v>59</v>
      </c>
      <c r="K21" s="18" t="s">
        <v>70</v>
      </c>
      <c r="L21" s="18" t="s">
        <v>996</v>
      </c>
      <c r="M21" s="18" t="b">
        <f t="shared" si="1"/>
        <v>0</v>
      </c>
    </row>
    <row r="22" spans="1:13" ht="31.2" x14ac:dyDescent="0.3">
      <c r="A22" s="18" t="s">
        <v>55</v>
      </c>
      <c r="B22" s="18" t="s">
        <v>980</v>
      </c>
      <c r="C22" s="19">
        <v>45720</v>
      </c>
      <c r="D22" s="18" t="s">
        <v>27</v>
      </c>
      <c r="E22" s="18" t="str">
        <f>IFERROR(VLOOKUP(TRIM(D22), Collection!$B$2:$D$1001, 2, FALSE), "")</f>
        <v>Historiques 222</v>
      </c>
      <c r="F22" s="21" t="str">
        <f>IFERROR(VLOOKUP(TRIM(D22), Collection!$B$2:$D$1001, 3, FALSE), "")</f>
        <v>279,000 AED</v>
      </c>
      <c r="G22" s="21">
        <f t="shared" si="0"/>
        <v>279000</v>
      </c>
      <c r="H22" s="18" t="s">
        <v>58</v>
      </c>
      <c r="I22" s="18">
        <v>104939061</v>
      </c>
      <c r="J22" s="18" t="s">
        <v>59</v>
      </c>
      <c r="K22" s="18" t="s">
        <v>60</v>
      </c>
      <c r="L22" s="18">
        <v>222</v>
      </c>
      <c r="M22" s="18" t="b">
        <f t="shared" si="1"/>
        <v>1</v>
      </c>
    </row>
    <row r="23" spans="1:13" ht="62.4" x14ac:dyDescent="0.3">
      <c r="A23" s="18" t="s">
        <v>55</v>
      </c>
      <c r="B23" s="18" t="s">
        <v>980</v>
      </c>
      <c r="C23" s="19">
        <v>45720</v>
      </c>
      <c r="D23" s="18" t="s">
        <v>66</v>
      </c>
      <c r="E23" s="18" t="str">
        <f>IFERROR(VLOOKUP(TRIM(D23), Collection!$B$2:$D$1001, 2, FALSE), "")</f>
        <v>Historiques 222</v>
      </c>
      <c r="F23" s="21" t="str">
        <f>IFERROR(VLOOKUP(TRIM(D23), Collection!$B$2:$D$1001, 3, FALSE), "")</f>
        <v>121,000 AED</v>
      </c>
      <c r="G23" s="21">
        <f t="shared" si="0"/>
        <v>121000</v>
      </c>
      <c r="H23" s="18" t="s">
        <v>58</v>
      </c>
      <c r="I23" s="18">
        <v>105007242</v>
      </c>
      <c r="J23" s="18" t="s">
        <v>59</v>
      </c>
      <c r="K23" s="18" t="s">
        <v>60</v>
      </c>
      <c r="L23" s="18" t="s">
        <v>997</v>
      </c>
      <c r="M23" s="18" t="b">
        <f t="shared" si="1"/>
        <v>0</v>
      </c>
    </row>
    <row r="24" spans="1:13" ht="31.2" x14ac:dyDescent="0.3">
      <c r="A24" s="18" t="s">
        <v>55</v>
      </c>
      <c r="B24" s="18" t="s">
        <v>980</v>
      </c>
      <c r="C24" s="19">
        <v>45692</v>
      </c>
      <c r="D24" s="18" t="s">
        <v>35</v>
      </c>
      <c r="E24" s="18" t="str">
        <f>IFERROR(VLOOKUP(TRIM(D24), Collection!$B$2:$D$1001, 2, FALSE), "")</f>
        <v>Overseas self-winding</v>
      </c>
      <c r="F24" s="21" t="str">
        <f>IFERROR(VLOOKUP(TRIM(D24), Collection!$B$2:$D$1001, 3, FALSE), "")</f>
        <v>94,500 AED</v>
      </c>
      <c r="G24" s="21">
        <f t="shared" si="0"/>
        <v>94500</v>
      </c>
      <c r="H24" s="18" t="s">
        <v>58</v>
      </c>
      <c r="I24" s="18">
        <v>92397772</v>
      </c>
      <c r="J24" s="18" t="s">
        <v>59</v>
      </c>
      <c r="K24" s="18" t="s">
        <v>70</v>
      </c>
      <c r="L24" s="18" t="s">
        <v>998</v>
      </c>
      <c r="M24" s="18" t="b">
        <f t="shared" si="1"/>
        <v>0</v>
      </c>
    </row>
    <row r="25" spans="1:13" ht="31.2" x14ac:dyDescent="0.3">
      <c r="A25" s="18" t="s">
        <v>55</v>
      </c>
      <c r="B25" s="18" t="s">
        <v>980</v>
      </c>
      <c r="C25" s="19">
        <v>45692</v>
      </c>
      <c r="D25" s="18" t="s">
        <v>30</v>
      </c>
      <c r="E25" s="18" t="str">
        <f>IFERROR(VLOOKUP(TRIM(D25), Collection!$B$2:$D$1001, 2, FALSE), "")</f>
        <v>Overseas self-winding</v>
      </c>
      <c r="F25" s="21" t="str">
        <f>IFERROR(VLOOKUP(TRIM(D25), Collection!$B$2:$D$1001, 3, FALSE), "")</f>
        <v>229,000 AED</v>
      </c>
      <c r="G25" s="21">
        <f t="shared" si="0"/>
        <v>229000</v>
      </c>
      <c r="H25" s="18" t="s">
        <v>58</v>
      </c>
      <c r="I25" s="18">
        <v>104908207</v>
      </c>
      <c r="J25" s="18" t="s">
        <v>59</v>
      </c>
      <c r="K25" s="18" t="s">
        <v>70</v>
      </c>
      <c r="L25" s="18" t="s">
        <v>999</v>
      </c>
      <c r="M25" s="18" t="b">
        <f t="shared" si="1"/>
        <v>0</v>
      </c>
    </row>
    <row r="26" spans="1:13" ht="31.2" x14ac:dyDescent="0.3">
      <c r="A26" s="18" t="s">
        <v>55</v>
      </c>
      <c r="B26" s="18" t="s">
        <v>980</v>
      </c>
      <c r="C26" s="19">
        <v>45692</v>
      </c>
      <c r="D26" s="18" t="s">
        <v>66</v>
      </c>
      <c r="E26" s="18" t="str">
        <f>IFERROR(VLOOKUP(TRIM(D26), Collection!$B$2:$D$1001, 2, FALSE), "")</f>
        <v>Historiques 222</v>
      </c>
      <c r="F26" s="21" t="str">
        <f>IFERROR(VLOOKUP(TRIM(D26), Collection!$B$2:$D$1001, 3, FALSE), "")</f>
        <v>121,000 AED</v>
      </c>
      <c r="G26" s="21">
        <f t="shared" si="0"/>
        <v>121000</v>
      </c>
      <c r="H26" s="18" t="s">
        <v>58</v>
      </c>
      <c r="I26" s="18">
        <v>104994951</v>
      </c>
      <c r="J26" s="18" t="s">
        <v>59</v>
      </c>
      <c r="K26" s="18" t="s">
        <v>70</v>
      </c>
      <c r="L26" s="18" t="s">
        <v>1000</v>
      </c>
      <c r="M26" s="18" t="b">
        <f t="shared" si="1"/>
        <v>0</v>
      </c>
    </row>
    <row r="27" spans="1:13" ht="31.2" x14ac:dyDescent="0.3">
      <c r="A27" s="18" t="s">
        <v>55</v>
      </c>
      <c r="B27" s="18" t="s">
        <v>980</v>
      </c>
      <c r="C27" s="19">
        <v>45661</v>
      </c>
      <c r="D27" s="18" t="s">
        <v>66</v>
      </c>
      <c r="E27" s="18" t="str">
        <f>IFERROR(VLOOKUP(TRIM(D27), Collection!$B$2:$D$1001, 2, FALSE), "")</f>
        <v>Historiques 222</v>
      </c>
      <c r="F27" s="21" t="str">
        <f>IFERROR(VLOOKUP(TRIM(D27), Collection!$B$2:$D$1001, 3, FALSE), "")</f>
        <v>121,000 AED</v>
      </c>
      <c r="G27" s="21">
        <f t="shared" si="0"/>
        <v>121000</v>
      </c>
      <c r="H27" s="18" t="s">
        <v>58</v>
      </c>
      <c r="I27" s="18">
        <v>104687880</v>
      </c>
      <c r="J27" s="18" t="s">
        <v>59</v>
      </c>
      <c r="K27" s="18" t="s">
        <v>67</v>
      </c>
      <c r="L27" s="18" t="s">
        <v>980</v>
      </c>
      <c r="M27" s="18" t="b">
        <f t="shared" si="1"/>
        <v>0</v>
      </c>
    </row>
    <row r="28" spans="1:13" ht="62.4" x14ac:dyDescent="0.3">
      <c r="A28" s="18" t="s">
        <v>55</v>
      </c>
      <c r="B28" s="18" t="s">
        <v>980</v>
      </c>
      <c r="C28" s="19">
        <v>45661</v>
      </c>
      <c r="D28" s="18" t="s">
        <v>176</v>
      </c>
      <c r="E28" s="18" t="str">
        <f>IFERROR(VLOOKUP(TRIM(D28), Collection!$B$2:$D$1001, 2, FALSE), "")</f>
        <v>Overseas chronograph</v>
      </c>
      <c r="F28" s="21" t="str">
        <f>IFERROR(VLOOKUP(TRIM(D28), Collection!$B$2:$D$1001, 3, FALSE), "")</f>
        <v>299,000 AED</v>
      </c>
      <c r="G28" s="21">
        <f t="shared" si="0"/>
        <v>299000</v>
      </c>
      <c r="H28" s="18" t="s">
        <v>58</v>
      </c>
      <c r="I28" s="18">
        <v>104802404</v>
      </c>
      <c r="J28" s="18" t="s">
        <v>59</v>
      </c>
      <c r="K28" s="18" t="s">
        <v>67</v>
      </c>
      <c r="L28" s="18" t="s">
        <v>1001</v>
      </c>
      <c r="M28" s="18" t="b">
        <f t="shared" si="1"/>
        <v>0</v>
      </c>
    </row>
    <row r="29" spans="1:13" ht="31.2" x14ac:dyDescent="0.3">
      <c r="A29" s="18" t="s">
        <v>55</v>
      </c>
      <c r="B29" s="18" t="s">
        <v>980</v>
      </c>
      <c r="C29" s="19">
        <v>45661</v>
      </c>
      <c r="D29" s="18" t="s">
        <v>66</v>
      </c>
      <c r="E29" s="18" t="str">
        <f>IFERROR(VLOOKUP(TRIM(D29), Collection!$B$2:$D$1001, 2, FALSE), "")</f>
        <v>Historiques 222</v>
      </c>
      <c r="F29" s="21" t="str">
        <f>IFERROR(VLOOKUP(TRIM(D29), Collection!$B$2:$D$1001, 3, FALSE), "")</f>
        <v>121,000 AED</v>
      </c>
      <c r="G29" s="21">
        <f t="shared" si="0"/>
        <v>121000</v>
      </c>
      <c r="H29" s="18" t="s">
        <v>58</v>
      </c>
      <c r="I29" s="18">
        <v>104687223</v>
      </c>
      <c r="J29" s="18" t="s">
        <v>59</v>
      </c>
      <c r="K29" s="18" t="s">
        <v>67</v>
      </c>
      <c r="L29" s="18" t="s">
        <v>980</v>
      </c>
      <c r="M29" s="18" t="b">
        <f t="shared" si="1"/>
        <v>0</v>
      </c>
    </row>
    <row r="30" spans="1:13" ht="31.2" x14ac:dyDescent="0.3">
      <c r="A30" s="18" t="s">
        <v>55</v>
      </c>
      <c r="B30" s="18" t="s">
        <v>980</v>
      </c>
      <c r="C30" s="19">
        <v>45661</v>
      </c>
      <c r="D30" s="18" t="s">
        <v>35</v>
      </c>
      <c r="E30" s="18" t="str">
        <f>IFERROR(VLOOKUP(TRIM(D30), Collection!$B$2:$D$1001, 2, FALSE), "")</f>
        <v>Overseas self-winding</v>
      </c>
      <c r="F30" s="21" t="str">
        <f>IFERROR(VLOOKUP(TRIM(D30), Collection!$B$2:$D$1001, 3, FALSE), "")</f>
        <v>94,500 AED</v>
      </c>
      <c r="G30" s="21">
        <f t="shared" si="0"/>
        <v>94500</v>
      </c>
      <c r="H30" s="18" t="s">
        <v>58</v>
      </c>
      <c r="I30" s="18">
        <v>104982295</v>
      </c>
      <c r="J30" s="18" t="s">
        <v>59</v>
      </c>
      <c r="K30" s="18" t="s">
        <v>70</v>
      </c>
      <c r="L30" s="18" t="s">
        <v>1002</v>
      </c>
      <c r="M30" s="18" t="b">
        <f t="shared" si="1"/>
        <v>0</v>
      </c>
    </row>
    <row r="31" spans="1:13" ht="31.2" x14ac:dyDescent="0.3">
      <c r="A31" s="18" t="s">
        <v>55</v>
      </c>
      <c r="B31" s="18" t="s">
        <v>980</v>
      </c>
      <c r="C31" s="18" t="s">
        <v>182</v>
      </c>
      <c r="D31" s="18" t="s">
        <v>66</v>
      </c>
      <c r="E31" s="18" t="str">
        <f>IFERROR(VLOOKUP(TRIM(D31), Collection!$B$2:$D$1001, 2, FALSE), "")</f>
        <v>Historiques 222</v>
      </c>
      <c r="F31" s="21" t="str">
        <f>IFERROR(VLOOKUP(TRIM(D31), Collection!$B$2:$D$1001, 3, FALSE), "")</f>
        <v>121,000 AED</v>
      </c>
      <c r="G31" s="21">
        <f t="shared" si="0"/>
        <v>121000</v>
      </c>
      <c r="H31" s="18" t="s">
        <v>58</v>
      </c>
      <c r="I31" s="18">
        <v>101107205</v>
      </c>
      <c r="J31" s="18" t="s">
        <v>59</v>
      </c>
      <c r="K31" s="18" t="s">
        <v>70</v>
      </c>
      <c r="L31" s="18" t="s">
        <v>1003</v>
      </c>
      <c r="M31" s="18" t="b">
        <f t="shared" si="1"/>
        <v>0</v>
      </c>
    </row>
    <row r="32" spans="1:13" ht="31.2" x14ac:dyDescent="0.3">
      <c r="A32" s="18" t="s">
        <v>55</v>
      </c>
      <c r="B32" s="18" t="s">
        <v>980</v>
      </c>
      <c r="C32" s="18" t="s">
        <v>182</v>
      </c>
      <c r="D32" s="18" t="s">
        <v>66</v>
      </c>
      <c r="E32" s="18" t="str">
        <f>IFERROR(VLOOKUP(TRIM(D32), Collection!$B$2:$D$1001, 2, FALSE), "")</f>
        <v>Historiques 222</v>
      </c>
      <c r="F32" s="21" t="str">
        <f>IFERROR(VLOOKUP(TRIM(D32), Collection!$B$2:$D$1001, 3, FALSE), "")</f>
        <v>121,000 AED</v>
      </c>
      <c r="G32" s="21">
        <f t="shared" si="0"/>
        <v>121000</v>
      </c>
      <c r="H32" s="18" t="s">
        <v>58</v>
      </c>
      <c r="I32" s="18">
        <v>104922362</v>
      </c>
      <c r="J32" s="18" t="s">
        <v>59</v>
      </c>
      <c r="K32" s="18" t="s">
        <v>70</v>
      </c>
      <c r="L32" s="18" t="s">
        <v>1004</v>
      </c>
      <c r="M32" s="18" t="b">
        <f t="shared" si="1"/>
        <v>0</v>
      </c>
    </row>
    <row r="33" spans="1:13" ht="46.8" x14ac:dyDescent="0.3">
      <c r="A33" s="18" t="s">
        <v>55</v>
      </c>
      <c r="B33" s="18" t="s">
        <v>980</v>
      </c>
      <c r="C33" s="18" t="s">
        <v>196</v>
      </c>
      <c r="D33" s="18" t="s">
        <v>35</v>
      </c>
      <c r="E33" s="18" t="str">
        <f>IFERROR(VLOOKUP(TRIM(D33), Collection!$B$2:$D$1001, 2, FALSE), "")</f>
        <v>Overseas self-winding</v>
      </c>
      <c r="F33" s="21" t="str">
        <f>IFERROR(VLOOKUP(TRIM(D33), Collection!$B$2:$D$1001, 3, FALSE), "")</f>
        <v>94,500 AED</v>
      </c>
      <c r="G33" s="21">
        <f t="shared" si="0"/>
        <v>94500</v>
      </c>
      <c r="H33" s="18" t="s">
        <v>58</v>
      </c>
      <c r="I33" s="18">
        <v>104181314</v>
      </c>
      <c r="J33" s="18" t="s">
        <v>59</v>
      </c>
      <c r="K33" s="18" t="s">
        <v>70</v>
      </c>
      <c r="L33" s="18" t="s">
        <v>1005</v>
      </c>
      <c r="M33" s="18" t="b">
        <f t="shared" si="1"/>
        <v>0</v>
      </c>
    </row>
    <row r="34" spans="1:13" ht="31.2" x14ac:dyDescent="0.3">
      <c r="A34" s="18" t="s">
        <v>55</v>
      </c>
      <c r="B34" s="18" t="s">
        <v>980</v>
      </c>
      <c r="C34" s="18" t="s">
        <v>199</v>
      </c>
      <c r="D34" s="18" t="s">
        <v>66</v>
      </c>
      <c r="E34" s="18" t="str">
        <f>IFERROR(VLOOKUP(TRIM(D34), Collection!$B$2:$D$1001, 2, FALSE), "")</f>
        <v>Historiques 222</v>
      </c>
      <c r="F34" s="21" t="str">
        <f>IFERROR(VLOOKUP(TRIM(D34), Collection!$B$2:$D$1001, 3, FALSE), "")</f>
        <v>121,000 AED</v>
      </c>
      <c r="G34" s="21">
        <f t="shared" si="0"/>
        <v>121000</v>
      </c>
      <c r="H34" s="18" t="s">
        <v>58</v>
      </c>
      <c r="I34" s="18">
        <v>104908886</v>
      </c>
      <c r="J34" s="18" t="s">
        <v>59</v>
      </c>
      <c r="K34" s="18" t="s">
        <v>60</v>
      </c>
      <c r="L34" s="18">
        <v>222</v>
      </c>
      <c r="M34" s="18" t="b">
        <f t="shared" si="1"/>
        <v>0</v>
      </c>
    </row>
    <row r="35" spans="1:13" ht="78" x14ac:dyDescent="0.3">
      <c r="A35" s="18" t="s">
        <v>55</v>
      </c>
      <c r="B35" s="18" t="s">
        <v>980</v>
      </c>
      <c r="C35" s="18" t="s">
        <v>33</v>
      </c>
      <c r="D35" s="18" t="s">
        <v>22</v>
      </c>
      <c r="E35" s="18" t="str">
        <f>IFERROR(VLOOKUP(TRIM(D35), Collection!$B$2:$D$1001, 2, FALSE), "")</f>
        <v>Overseas dual time Blue</v>
      </c>
      <c r="F35" s="21" t="str">
        <f>IFERROR(VLOOKUP(TRIM(D35), Collection!$B$2:$D$1001, 3, FALSE), "")</f>
        <v>117,000 AED</v>
      </c>
      <c r="G35" s="21">
        <f t="shared" si="0"/>
        <v>117000</v>
      </c>
      <c r="H35" s="18" t="s">
        <v>58</v>
      </c>
      <c r="I35" s="18">
        <v>104849248</v>
      </c>
      <c r="J35" s="18" t="s">
        <v>114</v>
      </c>
      <c r="K35" s="18" t="s">
        <v>60</v>
      </c>
      <c r="L35" s="18" t="s">
        <v>1006</v>
      </c>
      <c r="M35" s="18" t="b">
        <f t="shared" si="1"/>
        <v>0</v>
      </c>
    </row>
    <row r="36" spans="1:13" ht="31.2" x14ac:dyDescent="0.3">
      <c r="A36" s="18" t="s">
        <v>55</v>
      </c>
      <c r="B36" s="18" t="s">
        <v>980</v>
      </c>
      <c r="C36" s="18" t="s">
        <v>33</v>
      </c>
      <c r="D36" s="18" t="s">
        <v>66</v>
      </c>
      <c r="E36" s="18" t="str">
        <f>IFERROR(VLOOKUP(TRIM(D36), Collection!$B$2:$D$1001, 2, FALSE), "")</f>
        <v>Historiques 222</v>
      </c>
      <c r="F36" s="21" t="str">
        <f>IFERROR(VLOOKUP(TRIM(D36), Collection!$B$2:$D$1001, 3, FALSE), "")</f>
        <v>121,000 AED</v>
      </c>
      <c r="G36" s="21">
        <f t="shared" si="0"/>
        <v>121000</v>
      </c>
      <c r="H36" s="18" t="s">
        <v>58</v>
      </c>
      <c r="I36" s="18">
        <v>93232291</v>
      </c>
      <c r="J36" s="18" t="s">
        <v>59</v>
      </c>
      <c r="K36" s="18" t="s">
        <v>60</v>
      </c>
      <c r="L36" s="18" t="s">
        <v>1007</v>
      </c>
      <c r="M36" s="18" t="b">
        <f t="shared" si="1"/>
        <v>0</v>
      </c>
    </row>
    <row r="37" spans="1:13" ht="31.2" x14ac:dyDescent="0.3">
      <c r="A37" s="18" t="s">
        <v>55</v>
      </c>
      <c r="B37" s="18" t="s">
        <v>980</v>
      </c>
      <c r="C37" s="18" t="s">
        <v>33</v>
      </c>
      <c r="D37" s="18" t="s">
        <v>66</v>
      </c>
      <c r="E37" s="18" t="str">
        <f>IFERROR(VLOOKUP(TRIM(D37), Collection!$B$2:$D$1001, 2, FALSE), "")</f>
        <v>Historiques 222</v>
      </c>
      <c r="F37" s="21" t="str">
        <f>IFERROR(VLOOKUP(TRIM(D37), Collection!$B$2:$D$1001, 3, FALSE), "")</f>
        <v>121,000 AED</v>
      </c>
      <c r="G37" s="21">
        <f t="shared" si="0"/>
        <v>121000</v>
      </c>
      <c r="H37" s="18" t="s">
        <v>58</v>
      </c>
      <c r="I37" s="18">
        <v>103617532</v>
      </c>
      <c r="J37" s="18" t="s">
        <v>59</v>
      </c>
      <c r="K37" s="18" t="s">
        <v>67</v>
      </c>
      <c r="L37" s="18" t="s">
        <v>980</v>
      </c>
      <c r="M37" s="18" t="b">
        <f t="shared" si="1"/>
        <v>0</v>
      </c>
    </row>
    <row r="38" spans="1:13" ht="31.2" x14ac:dyDescent="0.3">
      <c r="A38" s="18" t="s">
        <v>55</v>
      </c>
      <c r="B38" s="18" t="s">
        <v>980</v>
      </c>
      <c r="C38" s="18" t="s">
        <v>33</v>
      </c>
      <c r="D38" s="18" t="s">
        <v>66</v>
      </c>
      <c r="E38" s="18" t="str">
        <f>IFERROR(VLOOKUP(TRIM(D38), Collection!$B$2:$D$1001, 2, FALSE), "")</f>
        <v>Historiques 222</v>
      </c>
      <c r="F38" s="21" t="str">
        <f>IFERROR(VLOOKUP(TRIM(D38), Collection!$B$2:$D$1001, 3, FALSE), "")</f>
        <v>121,000 AED</v>
      </c>
      <c r="G38" s="21">
        <f t="shared" si="0"/>
        <v>121000</v>
      </c>
      <c r="H38" s="18" t="s">
        <v>58</v>
      </c>
      <c r="I38" s="18">
        <v>104564947</v>
      </c>
      <c r="J38" s="18" t="s">
        <v>59</v>
      </c>
      <c r="K38" s="18" t="s">
        <v>60</v>
      </c>
      <c r="L38" s="18">
        <v>222</v>
      </c>
      <c r="M38" s="18" t="b">
        <f t="shared" si="1"/>
        <v>0</v>
      </c>
    </row>
    <row r="39" spans="1:13" ht="31.2" x14ac:dyDescent="0.3">
      <c r="A39" s="18" t="s">
        <v>55</v>
      </c>
      <c r="B39" s="18" t="s">
        <v>980</v>
      </c>
      <c r="C39" s="18" t="s">
        <v>33</v>
      </c>
      <c r="D39" s="18" t="s">
        <v>35</v>
      </c>
      <c r="E39" s="18" t="str">
        <f>IFERROR(VLOOKUP(TRIM(D39), Collection!$B$2:$D$1001, 2, FALSE), "")</f>
        <v>Overseas self-winding</v>
      </c>
      <c r="F39" s="21" t="str">
        <f>IFERROR(VLOOKUP(TRIM(D39), Collection!$B$2:$D$1001, 3, FALSE), "")</f>
        <v>94,500 AED</v>
      </c>
      <c r="G39" s="21">
        <f t="shared" si="0"/>
        <v>94500</v>
      </c>
      <c r="H39" s="18" t="s">
        <v>58</v>
      </c>
      <c r="I39" s="18">
        <v>104853731</v>
      </c>
      <c r="J39" s="18" t="s">
        <v>59</v>
      </c>
      <c r="K39" s="18" t="s">
        <v>67</v>
      </c>
      <c r="L39" s="18" t="s">
        <v>980</v>
      </c>
      <c r="M39" s="18" t="b">
        <f t="shared" si="1"/>
        <v>0</v>
      </c>
    </row>
    <row r="40" spans="1:13" ht="46.8" x14ac:dyDescent="0.3">
      <c r="A40" s="18" t="s">
        <v>55</v>
      </c>
      <c r="B40" s="18" t="s">
        <v>980</v>
      </c>
      <c r="C40" s="18" t="s">
        <v>33</v>
      </c>
      <c r="D40" s="18" t="s">
        <v>36</v>
      </c>
      <c r="E40" s="18" t="str">
        <f>IFERROR(VLOOKUP(TRIM(D40), Collection!$B$2:$D$1001, 2, FALSE), "")</f>
        <v>Overseas chronograph Pink Gold</v>
      </c>
      <c r="F40" s="21" t="str">
        <f>IFERROR(VLOOKUP(TRIM(D40), Collection!$B$2:$D$1001, 3, FALSE), "")</f>
        <v>299,000 AED</v>
      </c>
      <c r="G40" s="21">
        <f t="shared" si="0"/>
        <v>299000</v>
      </c>
      <c r="H40" s="18" t="s">
        <v>58</v>
      </c>
      <c r="I40" s="18">
        <v>104802404</v>
      </c>
      <c r="J40" s="18" t="s">
        <v>59</v>
      </c>
      <c r="K40" s="18" t="s">
        <v>67</v>
      </c>
      <c r="L40" s="18" t="s">
        <v>980</v>
      </c>
      <c r="M40" s="18" t="b">
        <f t="shared" si="1"/>
        <v>1</v>
      </c>
    </row>
    <row r="41" spans="1:13" ht="31.2" x14ac:dyDescent="0.3">
      <c r="A41" s="18" t="s">
        <v>55</v>
      </c>
      <c r="B41" s="18" t="s">
        <v>980</v>
      </c>
      <c r="C41" s="18" t="s">
        <v>33</v>
      </c>
      <c r="D41" s="18" t="s">
        <v>16</v>
      </c>
      <c r="E41" s="18" t="str">
        <f>IFERROR(VLOOKUP(TRIM(D41), Collection!$B$2:$D$1001, 2, FALSE), "")</f>
        <v>Overseas chronograph</v>
      </c>
      <c r="F41" s="21" t="str">
        <f>IFERROR(VLOOKUP(TRIM(D41), Collection!$B$2:$D$1001, 3, FALSE), "")</f>
        <v>135,000 AED</v>
      </c>
      <c r="G41" s="21">
        <f t="shared" si="0"/>
        <v>135000</v>
      </c>
      <c r="H41" s="18" t="s">
        <v>58</v>
      </c>
      <c r="I41" s="18">
        <v>104853450</v>
      </c>
      <c r="J41" s="18" t="s">
        <v>59</v>
      </c>
      <c r="K41" s="18" t="s">
        <v>67</v>
      </c>
      <c r="L41" s="18" t="s">
        <v>980</v>
      </c>
      <c r="M41" s="18" t="b">
        <f t="shared" si="1"/>
        <v>0</v>
      </c>
    </row>
    <row r="42" spans="1:13" ht="31.2" x14ac:dyDescent="0.3">
      <c r="A42" s="18" t="s">
        <v>55</v>
      </c>
      <c r="B42" s="18" t="s">
        <v>980</v>
      </c>
      <c r="C42" s="18" t="s">
        <v>209</v>
      </c>
      <c r="D42" s="18" t="s">
        <v>66</v>
      </c>
      <c r="E42" s="18" t="str">
        <f>IFERROR(VLOOKUP(TRIM(D42), Collection!$B$2:$D$1001, 2, FALSE), "")</f>
        <v>Historiques 222</v>
      </c>
      <c r="F42" s="21" t="str">
        <f>IFERROR(VLOOKUP(TRIM(D42), Collection!$B$2:$D$1001, 3, FALSE), "")</f>
        <v>121,000 AED</v>
      </c>
      <c r="G42" s="21">
        <f t="shared" si="0"/>
        <v>121000</v>
      </c>
      <c r="H42" s="18" t="s">
        <v>58</v>
      </c>
      <c r="I42" s="18">
        <v>104769573</v>
      </c>
      <c r="J42" s="18" t="s">
        <v>59</v>
      </c>
      <c r="K42" s="18" t="s">
        <v>70</v>
      </c>
      <c r="L42" s="18" t="s">
        <v>1008</v>
      </c>
      <c r="M42" s="18" t="b">
        <f t="shared" si="1"/>
        <v>0</v>
      </c>
    </row>
    <row r="43" spans="1:13" ht="31.2" x14ac:dyDescent="0.3">
      <c r="A43" s="18" t="s">
        <v>55</v>
      </c>
      <c r="B43" s="18" t="s">
        <v>980</v>
      </c>
      <c r="C43" s="18" t="s">
        <v>209</v>
      </c>
      <c r="D43" s="18" t="s">
        <v>66</v>
      </c>
      <c r="E43" s="18" t="str">
        <f>IFERROR(VLOOKUP(TRIM(D43), Collection!$B$2:$D$1001, 2, FALSE), "")</f>
        <v>Historiques 222</v>
      </c>
      <c r="F43" s="21" t="str">
        <f>IFERROR(VLOOKUP(TRIM(D43), Collection!$B$2:$D$1001, 3, FALSE), "")</f>
        <v>121,000 AED</v>
      </c>
      <c r="G43" s="21">
        <f t="shared" si="0"/>
        <v>121000</v>
      </c>
      <c r="H43" s="18" t="s">
        <v>58</v>
      </c>
      <c r="I43" s="18">
        <v>99219912</v>
      </c>
      <c r="J43" s="18" t="s">
        <v>59</v>
      </c>
      <c r="K43" s="18" t="s">
        <v>70</v>
      </c>
      <c r="L43" s="18" t="s">
        <v>1009</v>
      </c>
      <c r="M43" s="18" t="b">
        <f t="shared" si="1"/>
        <v>0</v>
      </c>
    </row>
    <row r="44" spans="1:13" ht="187.2" x14ac:dyDescent="0.3">
      <c r="A44" s="18" t="s">
        <v>55</v>
      </c>
      <c r="B44" s="18" t="s">
        <v>980</v>
      </c>
      <c r="C44" s="18" t="s">
        <v>209</v>
      </c>
      <c r="D44" s="18" t="s">
        <v>41</v>
      </c>
      <c r="E44" s="18" t="str">
        <f>IFERROR(VLOOKUP(TRIM(D44), Collection!$B$2:$D$1001, 2, FALSE), "")</f>
        <v>Overseas dual time Black</v>
      </c>
      <c r="F44" s="21" t="str">
        <f>IFERROR(VLOOKUP(TRIM(D44), Collection!$B$2:$D$1001, 3, FALSE), "")</f>
        <v>117,000 AED</v>
      </c>
      <c r="G44" s="21">
        <f t="shared" si="0"/>
        <v>117000</v>
      </c>
      <c r="H44" s="18" t="s">
        <v>58</v>
      </c>
      <c r="I44" s="18">
        <v>104796476</v>
      </c>
      <c r="J44" s="18" t="s">
        <v>59</v>
      </c>
      <c r="K44" s="18" t="s">
        <v>67</v>
      </c>
      <c r="L44" s="18" t="s">
        <v>1010</v>
      </c>
      <c r="M44" s="18" t="b">
        <f t="shared" si="1"/>
        <v>0</v>
      </c>
    </row>
    <row r="45" spans="1:13" ht="46.8" x14ac:dyDescent="0.3">
      <c r="A45" s="18" t="s">
        <v>55</v>
      </c>
      <c r="B45" s="18" t="s">
        <v>980</v>
      </c>
      <c r="C45" s="18" t="s">
        <v>216</v>
      </c>
      <c r="D45" s="18" t="s">
        <v>217</v>
      </c>
      <c r="E45" s="18" t="str">
        <f>IFERROR(VLOOKUP(TRIM(D45), Collection!$B$2:$D$1001, 2, FALSE), "")</f>
        <v>Overseas tourbillon skeleton</v>
      </c>
      <c r="F45" s="21" t="str">
        <f>IFERROR(VLOOKUP(TRIM(D45), Collection!$B$2:$D$1001, 3, FALSE), "")</f>
        <v>840,000 AED</v>
      </c>
      <c r="G45" s="21">
        <f t="shared" si="0"/>
        <v>840000</v>
      </c>
      <c r="H45" s="18" t="s">
        <v>58</v>
      </c>
      <c r="I45" s="18">
        <v>104689190</v>
      </c>
      <c r="J45" s="18" t="s">
        <v>59</v>
      </c>
      <c r="K45" s="18" t="s">
        <v>67</v>
      </c>
      <c r="L45" s="18" t="s">
        <v>980</v>
      </c>
      <c r="M45" s="18" t="b">
        <f t="shared" si="1"/>
        <v>1</v>
      </c>
    </row>
    <row r="46" spans="1:13" ht="31.2" x14ac:dyDescent="0.3">
      <c r="A46" s="18" t="s">
        <v>55</v>
      </c>
      <c r="B46" s="18" t="s">
        <v>980</v>
      </c>
      <c r="C46" s="18" t="s">
        <v>219</v>
      </c>
      <c r="D46" s="18" t="s">
        <v>22</v>
      </c>
      <c r="E46" s="18" t="str">
        <f>IFERROR(VLOOKUP(TRIM(D46), Collection!$B$2:$D$1001, 2, FALSE), "")</f>
        <v>Overseas dual time Blue</v>
      </c>
      <c r="F46" s="21" t="str">
        <f>IFERROR(VLOOKUP(TRIM(D46), Collection!$B$2:$D$1001, 3, FALSE), "")</f>
        <v>117,000 AED</v>
      </c>
      <c r="G46" s="21">
        <f t="shared" si="0"/>
        <v>117000</v>
      </c>
      <c r="H46" s="18" t="s">
        <v>58</v>
      </c>
      <c r="I46" s="18">
        <v>104687223</v>
      </c>
      <c r="J46" s="18" t="s">
        <v>59</v>
      </c>
      <c r="K46" s="18" t="s">
        <v>67</v>
      </c>
      <c r="L46" s="18" t="s">
        <v>980</v>
      </c>
      <c r="M46" s="18" t="b">
        <f t="shared" si="1"/>
        <v>0</v>
      </c>
    </row>
    <row r="47" spans="1:13" ht="31.2" x14ac:dyDescent="0.3">
      <c r="A47" s="18" t="s">
        <v>55</v>
      </c>
      <c r="B47" s="18" t="s">
        <v>980</v>
      </c>
      <c r="C47" s="18" t="s">
        <v>220</v>
      </c>
      <c r="D47" s="18" t="s">
        <v>35</v>
      </c>
      <c r="E47" s="18" t="str">
        <f>IFERROR(VLOOKUP(TRIM(D47), Collection!$B$2:$D$1001, 2, FALSE), "")</f>
        <v>Overseas self-winding</v>
      </c>
      <c r="F47" s="21" t="str">
        <f>IFERROR(VLOOKUP(TRIM(D47), Collection!$B$2:$D$1001, 3, FALSE), "")</f>
        <v>94,500 AED</v>
      </c>
      <c r="G47" s="21">
        <f t="shared" si="0"/>
        <v>94500</v>
      </c>
      <c r="H47" s="18" t="s">
        <v>58</v>
      </c>
      <c r="I47" s="18">
        <v>104609280</v>
      </c>
      <c r="J47" s="18" t="s">
        <v>59</v>
      </c>
      <c r="K47" s="18" t="s">
        <v>60</v>
      </c>
      <c r="L47" s="18" t="s">
        <v>1011</v>
      </c>
      <c r="M47" s="18" t="b">
        <f t="shared" si="1"/>
        <v>0</v>
      </c>
    </row>
    <row r="48" spans="1:13" ht="31.2" x14ac:dyDescent="0.3">
      <c r="A48" s="18" t="s">
        <v>55</v>
      </c>
      <c r="B48" s="18" t="s">
        <v>980</v>
      </c>
      <c r="C48" s="18" t="s">
        <v>223</v>
      </c>
      <c r="D48" s="18" t="s">
        <v>66</v>
      </c>
      <c r="E48" s="18" t="str">
        <f>IFERROR(VLOOKUP(TRIM(D48), Collection!$B$2:$D$1001, 2, FALSE), "")</f>
        <v>Historiques 222</v>
      </c>
      <c r="F48" s="21" t="str">
        <f>IFERROR(VLOOKUP(TRIM(D48), Collection!$B$2:$D$1001, 3, FALSE), "")</f>
        <v>121,000 AED</v>
      </c>
      <c r="G48" s="21">
        <f t="shared" si="0"/>
        <v>121000</v>
      </c>
      <c r="H48" s="18" t="s">
        <v>58</v>
      </c>
      <c r="I48" s="18">
        <v>99351991</v>
      </c>
      <c r="J48" s="18" t="s">
        <v>59</v>
      </c>
      <c r="K48" s="18" t="s">
        <v>67</v>
      </c>
      <c r="L48" s="18" t="s">
        <v>980</v>
      </c>
      <c r="M48" s="18" t="b">
        <f t="shared" si="1"/>
        <v>0</v>
      </c>
    </row>
    <row r="49" spans="1:13" ht="31.2" x14ac:dyDescent="0.3">
      <c r="A49" s="18" t="s">
        <v>55</v>
      </c>
      <c r="B49" s="18" t="s">
        <v>980</v>
      </c>
      <c r="C49" s="18" t="s">
        <v>223</v>
      </c>
      <c r="D49" s="18" t="s">
        <v>75</v>
      </c>
      <c r="E49" s="18" t="str">
        <f>IFERROR(VLOOKUP(TRIM(D49), Collection!$B$2:$D$1001, 2, FALSE), "")</f>
        <v>Overseas self-winding</v>
      </c>
      <c r="F49" s="21" t="str">
        <f>IFERROR(VLOOKUP(TRIM(D49), Collection!$B$2:$D$1001, 3, FALSE), "")</f>
        <v>94,500 AED</v>
      </c>
      <c r="G49" s="21">
        <f t="shared" si="0"/>
        <v>94500</v>
      </c>
      <c r="H49" s="18" t="s">
        <v>58</v>
      </c>
      <c r="I49" s="18">
        <v>104572070</v>
      </c>
      <c r="J49" s="18" t="s">
        <v>59</v>
      </c>
      <c r="K49" s="18" t="s">
        <v>67</v>
      </c>
      <c r="L49" s="18" t="s">
        <v>980</v>
      </c>
      <c r="M49" s="18" t="b">
        <f t="shared" si="1"/>
        <v>0</v>
      </c>
    </row>
    <row r="50" spans="1:13" ht="31.2" x14ac:dyDescent="0.3">
      <c r="A50" s="18" t="s">
        <v>55</v>
      </c>
      <c r="B50" s="18" t="s">
        <v>980</v>
      </c>
      <c r="C50" s="18" t="s">
        <v>223</v>
      </c>
      <c r="D50" s="18" t="s">
        <v>66</v>
      </c>
      <c r="E50" s="18" t="str">
        <f>IFERROR(VLOOKUP(TRIM(D50), Collection!$B$2:$D$1001, 2, FALSE), "")</f>
        <v>Historiques 222</v>
      </c>
      <c r="F50" s="21" t="str">
        <f>IFERROR(VLOOKUP(TRIM(D50), Collection!$B$2:$D$1001, 3, FALSE), "")</f>
        <v>121,000 AED</v>
      </c>
      <c r="G50" s="21">
        <f t="shared" si="0"/>
        <v>121000</v>
      </c>
      <c r="H50" s="18" t="s">
        <v>58</v>
      </c>
      <c r="I50" s="18">
        <v>104576008</v>
      </c>
      <c r="J50" s="18" t="s">
        <v>59</v>
      </c>
      <c r="K50" s="18" t="s">
        <v>60</v>
      </c>
      <c r="L50" s="18">
        <v>222</v>
      </c>
      <c r="M50" s="18" t="b">
        <f t="shared" si="1"/>
        <v>0</v>
      </c>
    </row>
    <row r="51" spans="1:13" ht="31.2" x14ac:dyDescent="0.3">
      <c r="A51" s="18" t="s">
        <v>55</v>
      </c>
      <c r="B51" s="18" t="s">
        <v>980</v>
      </c>
      <c r="C51" s="19">
        <v>45964</v>
      </c>
      <c r="D51" s="18" t="s">
        <v>66</v>
      </c>
      <c r="E51" s="18" t="str">
        <f>IFERROR(VLOOKUP(TRIM(D51), Collection!$B$2:$D$1001, 2, FALSE), "")</f>
        <v>Historiques 222</v>
      </c>
      <c r="F51" s="21" t="str">
        <f>IFERROR(VLOOKUP(TRIM(D51), Collection!$B$2:$D$1001, 3, FALSE), "")</f>
        <v>121,000 AED</v>
      </c>
      <c r="G51" s="21">
        <f t="shared" si="0"/>
        <v>121000</v>
      </c>
      <c r="H51" s="18" t="s">
        <v>58</v>
      </c>
      <c r="I51" s="18">
        <v>104513303</v>
      </c>
      <c r="J51" s="18" t="s">
        <v>59</v>
      </c>
      <c r="K51" s="18" t="s">
        <v>70</v>
      </c>
      <c r="L51" s="18" t="s">
        <v>1012</v>
      </c>
      <c r="M51" s="18" t="b">
        <f t="shared" si="1"/>
        <v>0</v>
      </c>
    </row>
    <row r="52" spans="1:13" ht="31.2" x14ac:dyDescent="0.3">
      <c r="A52" s="18" t="s">
        <v>55</v>
      </c>
      <c r="B52" s="18" t="s">
        <v>980</v>
      </c>
      <c r="C52" s="19">
        <v>45964</v>
      </c>
      <c r="D52" s="18" t="s">
        <v>66</v>
      </c>
      <c r="E52" s="18" t="str">
        <f>IFERROR(VLOOKUP(TRIM(D52), Collection!$B$2:$D$1001, 2, FALSE), "")</f>
        <v>Historiques 222</v>
      </c>
      <c r="F52" s="21" t="str">
        <f>IFERROR(VLOOKUP(TRIM(D52), Collection!$B$2:$D$1001, 3, FALSE), "")</f>
        <v>121,000 AED</v>
      </c>
      <c r="G52" s="21">
        <f t="shared" si="0"/>
        <v>121000</v>
      </c>
      <c r="H52" s="18" t="s">
        <v>58</v>
      </c>
      <c r="I52" s="18">
        <v>103058008</v>
      </c>
      <c r="J52" s="18" t="s">
        <v>59</v>
      </c>
      <c r="K52" s="18" t="s">
        <v>67</v>
      </c>
      <c r="L52" s="18" t="s">
        <v>980</v>
      </c>
      <c r="M52" s="18" t="b">
        <f t="shared" si="1"/>
        <v>0</v>
      </c>
    </row>
    <row r="53" spans="1:13" ht="31.2" x14ac:dyDescent="0.3">
      <c r="A53" s="18" t="s">
        <v>55</v>
      </c>
      <c r="B53" s="18" t="s">
        <v>980</v>
      </c>
      <c r="C53" s="19">
        <v>45964</v>
      </c>
      <c r="D53" s="18" t="s">
        <v>66</v>
      </c>
      <c r="E53" s="18" t="str">
        <f>IFERROR(VLOOKUP(TRIM(D53), Collection!$B$2:$D$1001, 2, FALSE), "")</f>
        <v>Historiques 222</v>
      </c>
      <c r="F53" s="21" t="str">
        <f>IFERROR(VLOOKUP(TRIM(D53), Collection!$B$2:$D$1001, 3, FALSE), "")</f>
        <v>121,000 AED</v>
      </c>
      <c r="G53" s="21">
        <f t="shared" si="0"/>
        <v>121000</v>
      </c>
      <c r="H53" s="18" t="s">
        <v>58</v>
      </c>
      <c r="I53" s="18">
        <v>104075516</v>
      </c>
      <c r="J53" s="18" t="s">
        <v>114</v>
      </c>
      <c r="K53" s="18" t="s">
        <v>60</v>
      </c>
      <c r="L53" s="18" t="s">
        <v>1013</v>
      </c>
      <c r="M53" s="18" t="b">
        <f t="shared" si="1"/>
        <v>0</v>
      </c>
    </row>
    <row r="54" spans="1:13" ht="31.2" x14ac:dyDescent="0.3">
      <c r="A54" s="18" t="s">
        <v>55</v>
      </c>
      <c r="B54" s="18" t="s">
        <v>980</v>
      </c>
      <c r="C54" s="19">
        <v>45964</v>
      </c>
      <c r="D54" s="18" t="s">
        <v>66</v>
      </c>
      <c r="E54" s="18" t="str">
        <f>IFERROR(VLOOKUP(TRIM(D54), Collection!$B$2:$D$1001, 2, FALSE), "")</f>
        <v>Historiques 222</v>
      </c>
      <c r="F54" s="21" t="str">
        <f>IFERROR(VLOOKUP(TRIM(D54), Collection!$B$2:$D$1001, 3, FALSE), "")</f>
        <v>121,000 AED</v>
      </c>
      <c r="G54" s="21">
        <f t="shared" si="0"/>
        <v>121000</v>
      </c>
      <c r="H54" s="18" t="s">
        <v>58</v>
      </c>
      <c r="I54" s="18">
        <v>101055665</v>
      </c>
      <c r="J54" s="18" t="s">
        <v>59</v>
      </c>
      <c r="K54" s="18" t="s">
        <v>67</v>
      </c>
      <c r="L54" s="18" t="s">
        <v>980</v>
      </c>
      <c r="M54" s="18" t="b">
        <f t="shared" si="1"/>
        <v>0</v>
      </c>
    </row>
    <row r="55" spans="1:13" ht="31.2" x14ac:dyDescent="0.3">
      <c r="A55" s="18" t="s">
        <v>55</v>
      </c>
      <c r="B55" s="18" t="s">
        <v>980</v>
      </c>
      <c r="C55" s="19">
        <v>45872</v>
      </c>
      <c r="D55" s="18" t="s">
        <v>66</v>
      </c>
      <c r="E55" s="18" t="str">
        <f>IFERROR(VLOOKUP(TRIM(D55), Collection!$B$2:$D$1001, 2, FALSE), "")</f>
        <v>Historiques 222</v>
      </c>
      <c r="F55" s="21" t="str">
        <f>IFERROR(VLOOKUP(TRIM(D55), Collection!$B$2:$D$1001, 3, FALSE), "")</f>
        <v>121,000 AED</v>
      </c>
      <c r="G55" s="21">
        <f t="shared" si="0"/>
        <v>121000</v>
      </c>
      <c r="H55" s="18" t="s">
        <v>58</v>
      </c>
      <c r="I55" s="18">
        <v>104506669</v>
      </c>
      <c r="J55" s="18" t="s">
        <v>59</v>
      </c>
      <c r="K55" s="18" t="s">
        <v>60</v>
      </c>
      <c r="L55" s="18">
        <v>222</v>
      </c>
      <c r="M55" s="18" t="b">
        <f t="shared" si="1"/>
        <v>0</v>
      </c>
    </row>
    <row r="56" spans="1:13" ht="31.2" x14ac:dyDescent="0.3">
      <c r="A56" s="18" t="s">
        <v>55</v>
      </c>
      <c r="B56" s="18" t="s">
        <v>980</v>
      </c>
      <c r="C56" s="19">
        <v>45872</v>
      </c>
      <c r="D56" s="18" t="s">
        <v>236</v>
      </c>
      <c r="E56" s="18" t="str">
        <f>IFERROR(VLOOKUP(TRIM(D56), Collection!$B$2:$D$1001, 2, FALSE), "")</f>
        <v>Traditionnelle tourbillon</v>
      </c>
      <c r="F56" s="21" t="str">
        <f>IFERROR(VLOOKUP(TRIM(D56), Collection!$B$2:$D$1001, 3, FALSE), "")</f>
        <v>560,000 AED</v>
      </c>
      <c r="G56" s="21">
        <f t="shared" si="0"/>
        <v>560000</v>
      </c>
      <c r="H56" s="18" t="s">
        <v>58</v>
      </c>
      <c r="I56" s="18">
        <v>104509438</v>
      </c>
      <c r="J56" s="18" t="s">
        <v>59</v>
      </c>
      <c r="K56" s="18" t="s">
        <v>60</v>
      </c>
      <c r="L56" s="18"/>
      <c r="M56" s="18" t="b">
        <f t="shared" si="1"/>
        <v>0</v>
      </c>
    </row>
    <row r="57" spans="1:13" ht="31.2" x14ac:dyDescent="0.3">
      <c r="A57" s="18" t="s">
        <v>55</v>
      </c>
      <c r="B57" s="18" t="s">
        <v>980</v>
      </c>
      <c r="C57" s="19">
        <v>45872</v>
      </c>
      <c r="D57" s="18" t="s">
        <v>39</v>
      </c>
      <c r="E57" s="18" t="str">
        <f>IFERROR(VLOOKUP(TRIM(D57), Collection!$B$2:$D$1001, 2, FALSE), "")</f>
        <v>Overseas dual time Green</v>
      </c>
      <c r="F57" s="21" t="str">
        <f>IFERROR(VLOOKUP(TRIM(D57), Collection!$B$2:$D$1001, 3, FALSE), "")</f>
        <v>286,000 AED</v>
      </c>
      <c r="G57" s="21">
        <f t="shared" si="0"/>
        <v>286000</v>
      </c>
      <c r="H57" s="18" t="s">
        <v>58</v>
      </c>
      <c r="I57" s="18">
        <v>105118480</v>
      </c>
      <c r="J57" s="18" t="s">
        <v>59</v>
      </c>
      <c r="K57" s="18" t="s">
        <v>60</v>
      </c>
      <c r="L57" s="18" t="s">
        <v>1014</v>
      </c>
      <c r="M57" s="18" t="b">
        <f t="shared" si="1"/>
        <v>0</v>
      </c>
    </row>
    <row r="58" spans="1:13" ht="31.2" x14ac:dyDescent="0.3">
      <c r="A58" s="18" t="s">
        <v>55</v>
      </c>
      <c r="B58" s="18" t="s">
        <v>980</v>
      </c>
      <c r="C58" s="19">
        <v>45841</v>
      </c>
      <c r="D58" s="18" t="s">
        <v>66</v>
      </c>
      <c r="E58" s="18" t="str">
        <f>IFERROR(VLOOKUP(TRIM(D58), Collection!$B$2:$D$1001, 2, FALSE), "")</f>
        <v>Historiques 222</v>
      </c>
      <c r="F58" s="21" t="str">
        <f>IFERROR(VLOOKUP(TRIM(D58), Collection!$B$2:$D$1001, 3, FALSE), "")</f>
        <v>121,000 AED</v>
      </c>
      <c r="G58" s="21">
        <f t="shared" si="0"/>
        <v>121000</v>
      </c>
      <c r="H58" s="18" t="s">
        <v>58</v>
      </c>
      <c r="I58" s="18">
        <v>102277427</v>
      </c>
      <c r="J58" s="18" t="s">
        <v>59</v>
      </c>
      <c r="K58" s="18" t="s">
        <v>70</v>
      </c>
      <c r="L58" s="18" t="s">
        <v>1015</v>
      </c>
      <c r="M58" s="18" t="b">
        <f t="shared" si="1"/>
        <v>0</v>
      </c>
    </row>
    <row r="59" spans="1:13" ht="31.2" x14ac:dyDescent="0.3">
      <c r="A59" s="18" t="s">
        <v>55</v>
      </c>
      <c r="B59" s="18" t="s">
        <v>980</v>
      </c>
      <c r="C59" s="19">
        <v>45841</v>
      </c>
      <c r="D59" s="18" t="s">
        <v>66</v>
      </c>
      <c r="E59" s="18" t="str">
        <f>IFERROR(VLOOKUP(TRIM(D59), Collection!$B$2:$D$1001, 2, FALSE), "")</f>
        <v>Historiques 222</v>
      </c>
      <c r="F59" s="21" t="str">
        <f>IFERROR(VLOOKUP(TRIM(D59), Collection!$B$2:$D$1001, 3, FALSE), "")</f>
        <v>121,000 AED</v>
      </c>
      <c r="G59" s="21">
        <f t="shared" si="0"/>
        <v>121000</v>
      </c>
      <c r="H59" s="18" t="s">
        <v>58</v>
      </c>
      <c r="I59" s="18">
        <v>91002249</v>
      </c>
      <c r="J59" s="18" t="s">
        <v>59</v>
      </c>
      <c r="K59" s="18" t="s">
        <v>70</v>
      </c>
      <c r="L59" s="18" t="s">
        <v>1016</v>
      </c>
      <c r="M59" s="18" t="b">
        <f t="shared" si="1"/>
        <v>0</v>
      </c>
    </row>
    <row r="60" spans="1:13" ht="31.2" x14ac:dyDescent="0.3">
      <c r="A60" s="18" t="s">
        <v>55</v>
      </c>
      <c r="B60" s="18" t="s">
        <v>980</v>
      </c>
      <c r="C60" s="19">
        <v>45841</v>
      </c>
      <c r="D60" s="18" t="s">
        <v>66</v>
      </c>
      <c r="E60" s="18" t="str">
        <f>IFERROR(VLOOKUP(TRIM(D60), Collection!$B$2:$D$1001, 2, FALSE), "")</f>
        <v>Historiques 222</v>
      </c>
      <c r="F60" s="21" t="str">
        <f>IFERROR(VLOOKUP(TRIM(D60), Collection!$B$2:$D$1001, 3, FALSE), "")</f>
        <v>121,000 AED</v>
      </c>
      <c r="G60" s="21">
        <f t="shared" si="0"/>
        <v>121000</v>
      </c>
      <c r="H60" s="18" t="s">
        <v>58</v>
      </c>
      <c r="I60" s="18">
        <v>104481449</v>
      </c>
      <c r="J60" s="18" t="s">
        <v>59</v>
      </c>
      <c r="K60" s="18" t="s">
        <v>70</v>
      </c>
      <c r="L60" s="18" t="s">
        <v>1017</v>
      </c>
      <c r="M60" s="18" t="b">
        <f t="shared" si="1"/>
        <v>0</v>
      </c>
    </row>
    <row r="61" spans="1:13" ht="31.2" x14ac:dyDescent="0.3">
      <c r="A61" s="18" t="s">
        <v>55</v>
      </c>
      <c r="B61" s="18" t="s">
        <v>980</v>
      </c>
      <c r="C61" s="19">
        <v>45841</v>
      </c>
      <c r="D61" s="18" t="s">
        <v>66</v>
      </c>
      <c r="E61" s="18" t="str">
        <f>IFERROR(VLOOKUP(TRIM(D61), Collection!$B$2:$D$1001, 2, FALSE), "")</f>
        <v>Historiques 222</v>
      </c>
      <c r="F61" s="21" t="str">
        <f>IFERROR(VLOOKUP(TRIM(D61), Collection!$B$2:$D$1001, 3, FALSE), "")</f>
        <v>121,000 AED</v>
      </c>
      <c r="G61" s="21">
        <f t="shared" si="0"/>
        <v>121000</v>
      </c>
      <c r="H61" s="18" t="s">
        <v>58</v>
      </c>
      <c r="I61" s="18">
        <v>104455540</v>
      </c>
      <c r="J61" s="18" t="s">
        <v>59</v>
      </c>
      <c r="K61" s="18" t="s">
        <v>70</v>
      </c>
      <c r="L61" s="18" t="s">
        <v>1018</v>
      </c>
      <c r="M61" s="18" t="b">
        <f t="shared" si="1"/>
        <v>0</v>
      </c>
    </row>
    <row r="62" spans="1:13" ht="31.2" x14ac:dyDescent="0.3">
      <c r="A62" s="18" t="s">
        <v>55</v>
      </c>
      <c r="B62" s="18" t="s">
        <v>980</v>
      </c>
      <c r="C62" s="19">
        <v>45841</v>
      </c>
      <c r="D62" s="18" t="s">
        <v>66</v>
      </c>
      <c r="E62" s="18" t="str">
        <f>IFERROR(VLOOKUP(TRIM(D62), Collection!$B$2:$D$1001, 2, FALSE), "")</f>
        <v>Historiques 222</v>
      </c>
      <c r="F62" s="21" t="str">
        <f>IFERROR(VLOOKUP(TRIM(D62), Collection!$B$2:$D$1001, 3, FALSE), "")</f>
        <v>121,000 AED</v>
      </c>
      <c r="G62" s="21">
        <f t="shared" si="0"/>
        <v>121000</v>
      </c>
      <c r="H62" s="18" t="s">
        <v>58</v>
      </c>
      <c r="I62" s="18">
        <v>103831079</v>
      </c>
      <c r="J62" s="18" t="s">
        <v>59</v>
      </c>
      <c r="K62" s="18" t="s">
        <v>60</v>
      </c>
      <c r="L62" s="18">
        <v>222</v>
      </c>
      <c r="M62" s="18" t="b">
        <f t="shared" si="1"/>
        <v>0</v>
      </c>
    </row>
    <row r="63" spans="1:13" ht="31.2" x14ac:dyDescent="0.3">
      <c r="A63" s="18" t="s">
        <v>55</v>
      </c>
      <c r="B63" s="18" t="s">
        <v>980</v>
      </c>
      <c r="C63" s="19">
        <v>45841</v>
      </c>
      <c r="D63" s="18" t="s">
        <v>66</v>
      </c>
      <c r="E63" s="18" t="str">
        <f>IFERROR(VLOOKUP(TRIM(D63), Collection!$B$2:$D$1001, 2, FALSE), "")</f>
        <v>Historiques 222</v>
      </c>
      <c r="F63" s="21" t="str">
        <f>IFERROR(VLOOKUP(TRIM(D63), Collection!$B$2:$D$1001, 3, FALSE), "")</f>
        <v>121,000 AED</v>
      </c>
      <c r="G63" s="21">
        <f t="shared" si="0"/>
        <v>121000</v>
      </c>
      <c r="H63" s="18" t="s">
        <v>58</v>
      </c>
      <c r="I63" s="18">
        <v>104909110</v>
      </c>
      <c r="J63" s="18" t="s">
        <v>59</v>
      </c>
      <c r="K63" s="18" t="s">
        <v>60</v>
      </c>
      <c r="L63" s="18">
        <v>222</v>
      </c>
      <c r="M63" s="18" t="b">
        <f t="shared" si="1"/>
        <v>0</v>
      </c>
    </row>
    <row r="64" spans="1:13" ht="31.2" x14ac:dyDescent="0.3">
      <c r="A64" s="18" t="s">
        <v>55</v>
      </c>
      <c r="B64" s="18" t="s">
        <v>980</v>
      </c>
      <c r="C64" s="19">
        <v>45811</v>
      </c>
      <c r="D64" s="18" t="s">
        <v>35</v>
      </c>
      <c r="E64" s="18" t="str">
        <f>IFERROR(VLOOKUP(TRIM(D64), Collection!$B$2:$D$1001, 2, FALSE), "")</f>
        <v>Overseas self-winding</v>
      </c>
      <c r="F64" s="21" t="str">
        <f>IFERROR(VLOOKUP(TRIM(D64), Collection!$B$2:$D$1001, 3, FALSE), "")</f>
        <v>94,500 AED</v>
      </c>
      <c r="G64" s="21">
        <f t="shared" si="0"/>
        <v>94500</v>
      </c>
      <c r="H64" s="18" t="s">
        <v>58</v>
      </c>
      <c r="I64" s="18">
        <v>104241748</v>
      </c>
      <c r="J64" s="18" t="s">
        <v>59</v>
      </c>
      <c r="K64" s="18" t="s">
        <v>70</v>
      </c>
      <c r="L64" s="18" t="s">
        <v>1019</v>
      </c>
      <c r="M64" s="18" t="b">
        <f t="shared" si="1"/>
        <v>0</v>
      </c>
    </row>
    <row r="65" spans="1:13" ht="31.2" x14ac:dyDescent="0.3">
      <c r="A65" s="18" t="s">
        <v>55</v>
      </c>
      <c r="B65" s="18" t="s">
        <v>980</v>
      </c>
      <c r="C65" s="19">
        <v>45780</v>
      </c>
      <c r="D65" s="18" t="s">
        <v>66</v>
      </c>
      <c r="E65" s="18" t="str">
        <f>IFERROR(VLOOKUP(TRIM(D65), Collection!$B$2:$D$1001, 2, FALSE), "")</f>
        <v>Historiques 222</v>
      </c>
      <c r="F65" s="21" t="str">
        <f>IFERROR(VLOOKUP(TRIM(D65), Collection!$B$2:$D$1001, 3, FALSE), "")</f>
        <v>121,000 AED</v>
      </c>
      <c r="G65" s="21">
        <f t="shared" si="0"/>
        <v>121000</v>
      </c>
      <c r="H65" s="18" t="s">
        <v>58</v>
      </c>
      <c r="I65" s="18">
        <v>104457258</v>
      </c>
      <c r="J65" s="18" t="s">
        <v>59</v>
      </c>
      <c r="K65" s="18" t="s">
        <v>60</v>
      </c>
      <c r="L65" s="18">
        <v>222</v>
      </c>
      <c r="M65" s="18" t="b">
        <f t="shared" si="1"/>
        <v>0</v>
      </c>
    </row>
    <row r="66" spans="1:13" ht="31.2" x14ac:dyDescent="0.3">
      <c r="A66" s="18" t="s">
        <v>55</v>
      </c>
      <c r="B66" s="18" t="s">
        <v>980</v>
      </c>
      <c r="C66" s="19">
        <v>45780</v>
      </c>
      <c r="D66" s="18" t="s">
        <v>66</v>
      </c>
      <c r="E66" s="18" t="str">
        <f>IFERROR(VLOOKUP(TRIM(D66), Collection!$B$2:$D$1001, 2, FALSE), "")</f>
        <v>Historiques 222</v>
      </c>
      <c r="F66" s="21" t="str">
        <f>IFERROR(VLOOKUP(TRIM(D66), Collection!$B$2:$D$1001, 3, FALSE), "")</f>
        <v>121,000 AED</v>
      </c>
      <c r="G66" s="21">
        <f t="shared" ref="G66:G129" si="2">IFERROR(VALUE(SUBSTITUTE(SUBSTITUTE(F66, "Price", ""), "AED", "")), "")</f>
        <v>121000</v>
      </c>
      <c r="H66" s="18" t="s">
        <v>58</v>
      </c>
      <c r="I66" s="18">
        <v>104482467</v>
      </c>
      <c r="J66" s="18" t="s">
        <v>59</v>
      </c>
      <c r="K66" s="18" t="s">
        <v>60</v>
      </c>
      <c r="L66" s="18">
        <v>222</v>
      </c>
      <c r="M66" s="18" t="b">
        <f t="shared" ref="M66:M129" si="3">IF(COUNTIF($R$3:$R$100, D66) &gt; 0, TRUE, FALSE)</f>
        <v>0</v>
      </c>
    </row>
    <row r="67" spans="1:13" ht="31.2" x14ac:dyDescent="0.3">
      <c r="A67" s="18" t="s">
        <v>55</v>
      </c>
      <c r="B67" s="18" t="s">
        <v>980</v>
      </c>
      <c r="C67" s="19">
        <v>45750</v>
      </c>
      <c r="D67" s="18" t="s">
        <v>66</v>
      </c>
      <c r="E67" s="18" t="str">
        <f>IFERROR(VLOOKUP(TRIM(D67), Collection!$B$2:$D$1001, 2, FALSE), "")</f>
        <v>Historiques 222</v>
      </c>
      <c r="F67" s="21" t="str">
        <f>IFERROR(VLOOKUP(TRIM(D67), Collection!$B$2:$D$1001, 3, FALSE), "")</f>
        <v>121,000 AED</v>
      </c>
      <c r="G67" s="21">
        <f t="shared" si="2"/>
        <v>121000</v>
      </c>
      <c r="H67" s="18" t="s">
        <v>58</v>
      </c>
      <c r="I67" s="18">
        <v>104455380</v>
      </c>
      <c r="J67" s="18" t="s">
        <v>59</v>
      </c>
      <c r="K67" s="18" t="s">
        <v>70</v>
      </c>
      <c r="L67" s="18" t="s">
        <v>1020</v>
      </c>
      <c r="M67" s="18" t="b">
        <f t="shared" si="3"/>
        <v>0</v>
      </c>
    </row>
    <row r="68" spans="1:13" ht="46.8" x14ac:dyDescent="0.3">
      <c r="A68" s="18" t="s">
        <v>55</v>
      </c>
      <c r="B68" s="18" t="s">
        <v>980</v>
      </c>
      <c r="C68" s="19">
        <v>45750</v>
      </c>
      <c r="D68" s="18" t="s">
        <v>40</v>
      </c>
      <c r="E68" s="18" t="str">
        <f>IFERROR(VLOOKUP(TRIM(D68), Collection!$B$2:$D$1001, 2, FALSE), "")</f>
        <v>Overseas self-winding Green</v>
      </c>
      <c r="F68" s="21" t="str">
        <f>IFERROR(VLOOKUP(TRIM(D68), Collection!$B$2:$D$1001, 3, FALSE), "")</f>
        <v>229,000 AED</v>
      </c>
      <c r="G68" s="21">
        <f t="shared" si="2"/>
        <v>229000</v>
      </c>
      <c r="H68" s="18" t="s">
        <v>58</v>
      </c>
      <c r="I68" s="18">
        <v>104455689</v>
      </c>
      <c r="J68" s="18" t="s">
        <v>59</v>
      </c>
      <c r="K68" s="18" t="s">
        <v>67</v>
      </c>
      <c r="L68" s="18" t="s">
        <v>1021</v>
      </c>
      <c r="M68" s="18" t="b">
        <f t="shared" si="3"/>
        <v>0</v>
      </c>
    </row>
    <row r="69" spans="1:13" ht="31.2" x14ac:dyDescent="0.3">
      <c r="A69" s="18" t="s">
        <v>55</v>
      </c>
      <c r="B69" s="18" t="s">
        <v>980</v>
      </c>
      <c r="C69" s="19">
        <v>45750</v>
      </c>
      <c r="D69" s="18" t="s">
        <v>39</v>
      </c>
      <c r="E69" s="18" t="str">
        <f>IFERROR(VLOOKUP(TRIM(D69), Collection!$B$2:$D$1001, 2, FALSE), "")</f>
        <v>Overseas dual time Green</v>
      </c>
      <c r="F69" s="21" t="str">
        <f>IFERROR(VLOOKUP(TRIM(D69), Collection!$B$2:$D$1001, 3, FALSE), "")</f>
        <v>286,000 AED</v>
      </c>
      <c r="G69" s="21">
        <f t="shared" si="2"/>
        <v>286000</v>
      </c>
      <c r="H69" s="18" t="s">
        <v>58</v>
      </c>
      <c r="I69" s="18">
        <v>104455689</v>
      </c>
      <c r="J69" s="18" t="s">
        <v>59</v>
      </c>
      <c r="K69" s="18" t="s">
        <v>67</v>
      </c>
      <c r="L69" s="18" t="s">
        <v>980</v>
      </c>
      <c r="M69" s="18" t="b">
        <f t="shared" si="3"/>
        <v>0</v>
      </c>
    </row>
    <row r="70" spans="1:13" ht="31.2" x14ac:dyDescent="0.3">
      <c r="A70" s="18" t="s">
        <v>55</v>
      </c>
      <c r="B70" s="18" t="s">
        <v>980</v>
      </c>
      <c r="C70" s="19">
        <v>45750</v>
      </c>
      <c r="D70" s="18" t="s">
        <v>66</v>
      </c>
      <c r="E70" s="18" t="str">
        <f>IFERROR(VLOOKUP(TRIM(D70), Collection!$B$2:$D$1001, 2, FALSE), "")</f>
        <v>Historiques 222</v>
      </c>
      <c r="F70" s="21" t="str">
        <f>IFERROR(VLOOKUP(TRIM(D70), Collection!$B$2:$D$1001, 3, FALSE), "")</f>
        <v>121,000 AED</v>
      </c>
      <c r="G70" s="21">
        <f t="shared" si="2"/>
        <v>121000</v>
      </c>
      <c r="H70" s="18" t="s">
        <v>58</v>
      </c>
      <c r="I70" s="18">
        <v>104455472</v>
      </c>
      <c r="J70" s="18" t="s">
        <v>59</v>
      </c>
      <c r="K70" s="18" t="s">
        <v>67</v>
      </c>
      <c r="L70" s="18" t="s">
        <v>980</v>
      </c>
      <c r="M70" s="18" t="b">
        <f t="shared" si="3"/>
        <v>0</v>
      </c>
    </row>
    <row r="71" spans="1:13" ht="31.2" x14ac:dyDescent="0.3">
      <c r="A71" s="18" t="s">
        <v>55</v>
      </c>
      <c r="B71" s="18" t="s">
        <v>980</v>
      </c>
      <c r="C71" s="19">
        <v>45750</v>
      </c>
      <c r="D71" s="18" t="s">
        <v>66</v>
      </c>
      <c r="E71" s="18" t="str">
        <f>IFERROR(VLOOKUP(TRIM(D71), Collection!$B$2:$D$1001, 2, FALSE), "")</f>
        <v>Historiques 222</v>
      </c>
      <c r="F71" s="21" t="str">
        <f>IFERROR(VLOOKUP(TRIM(D71), Collection!$B$2:$D$1001, 3, FALSE), "")</f>
        <v>121,000 AED</v>
      </c>
      <c r="G71" s="21">
        <f t="shared" si="2"/>
        <v>121000</v>
      </c>
      <c r="H71" s="18" t="s">
        <v>58</v>
      </c>
      <c r="I71" s="18">
        <v>91002262</v>
      </c>
      <c r="J71" s="18" t="s">
        <v>59</v>
      </c>
      <c r="K71" s="18" t="s">
        <v>67</v>
      </c>
      <c r="L71" s="18" t="s">
        <v>980</v>
      </c>
      <c r="M71" s="18" t="b">
        <f t="shared" si="3"/>
        <v>0</v>
      </c>
    </row>
    <row r="72" spans="1:13" ht="62.4" x14ac:dyDescent="0.3">
      <c r="A72" s="18" t="s">
        <v>55</v>
      </c>
      <c r="B72" s="18" t="s">
        <v>980</v>
      </c>
      <c r="C72" s="19">
        <v>45750</v>
      </c>
      <c r="D72" s="18" t="s">
        <v>41</v>
      </c>
      <c r="E72" s="18" t="str">
        <f>IFERROR(VLOOKUP(TRIM(D72), Collection!$B$2:$D$1001, 2, FALSE), "")</f>
        <v>Overseas dual time Black</v>
      </c>
      <c r="F72" s="21" t="str">
        <f>IFERROR(VLOOKUP(TRIM(D72), Collection!$B$2:$D$1001, 3, FALSE), "")</f>
        <v>117,000 AED</v>
      </c>
      <c r="G72" s="21">
        <f t="shared" si="2"/>
        <v>117000</v>
      </c>
      <c r="H72" s="18" t="s">
        <v>58</v>
      </c>
      <c r="I72" s="18">
        <v>104459323</v>
      </c>
      <c r="J72" s="18" t="s">
        <v>59</v>
      </c>
      <c r="K72" s="18" t="s">
        <v>60</v>
      </c>
      <c r="L72" s="18" t="s">
        <v>1022</v>
      </c>
      <c r="M72" s="18" t="b">
        <f t="shared" si="3"/>
        <v>0</v>
      </c>
    </row>
    <row r="73" spans="1:13" ht="31.2" x14ac:dyDescent="0.3">
      <c r="A73" s="18" t="s">
        <v>55</v>
      </c>
      <c r="B73" s="18" t="s">
        <v>980</v>
      </c>
      <c r="C73" s="19">
        <v>45660</v>
      </c>
      <c r="D73" s="18" t="s">
        <v>66</v>
      </c>
      <c r="E73" s="18" t="str">
        <f>IFERROR(VLOOKUP(TRIM(D73), Collection!$B$2:$D$1001, 2, FALSE), "")</f>
        <v>Historiques 222</v>
      </c>
      <c r="F73" s="21" t="str">
        <f>IFERROR(VLOOKUP(TRIM(D73), Collection!$B$2:$D$1001, 3, FALSE), "")</f>
        <v>121,000 AED</v>
      </c>
      <c r="G73" s="21">
        <f t="shared" si="2"/>
        <v>121000</v>
      </c>
      <c r="H73" s="18" t="s">
        <v>58</v>
      </c>
      <c r="I73" s="18">
        <v>104397738</v>
      </c>
      <c r="J73" s="18" t="s">
        <v>59</v>
      </c>
      <c r="K73" s="18" t="s">
        <v>60</v>
      </c>
      <c r="L73" s="18" t="s">
        <v>1023</v>
      </c>
      <c r="M73" s="18" t="b">
        <f t="shared" si="3"/>
        <v>0</v>
      </c>
    </row>
    <row r="74" spans="1:13" ht="31.2" x14ac:dyDescent="0.3">
      <c r="A74" s="18" t="s">
        <v>55</v>
      </c>
      <c r="B74" s="18" t="s">
        <v>980</v>
      </c>
      <c r="C74" s="19">
        <v>45660</v>
      </c>
      <c r="D74" s="18" t="s">
        <v>27</v>
      </c>
      <c r="E74" s="18" t="str">
        <f>IFERROR(VLOOKUP(TRIM(D74), Collection!$B$2:$D$1001, 2, FALSE), "")</f>
        <v>Historiques 222</v>
      </c>
      <c r="F74" s="21" t="str">
        <f>IFERROR(VLOOKUP(TRIM(D74), Collection!$B$2:$D$1001, 3, FALSE), "")</f>
        <v>279,000 AED</v>
      </c>
      <c r="G74" s="21">
        <f t="shared" si="2"/>
        <v>279000</v>
      </c>
      <c r="H74" s="18" t="s">
        <v>58</v>
      </c>
      <c r="I74" s="18">
        <v>98874827</v>
      </c>
      <c r="J74" s="18" t="s">
        <v>59</v>
      </c>
      <c r="K74" s="18" t="s">
        <v>60</v>
      </c>
      <c r="L74" s="18" t="s">
        <v>1024</v>
      </c>
      <c r="M74" s="18" t="b">
        <f t="shared" si="3"/>
        <v>1</v>
      </c>
    </row>
    <row r="75" spans="1:13" ht="31.2" x14ac:dyDescent="0.3">
      <c r="A75" s="18" t="s">
        <v>55</v>
      </c>
      <c r="B75" s="18" t="s">
        <v>980</v>
      </c>
      <c r="C75" s="19">
        <v>45660</v>
      </c>
      <c r="D75" s="18" t="s">
        <v>66</v>
      </c>
      <c r="E75" s="18" t="str">
        <f>IFERROR(VLOOKUP(TRIM(D75), Collection!$B$2:$D$1001, 2, FALSE), "")</f>
        <v>Historiques 222</v>
      </c>
      <c r="F75" s="21" t="str">
        <f>IFERROR(VLOOKUP(TRIM(D75), Collection!$B$2:$D$1001, 3, FALSE), "")</f>
        <v>121,000 AED</v>
      </c>
      <c r="G75" s="21">
        <f t="shared" si="2"/>
        <v>121000</v>
      </c>
      <c r="H75" s="18" t="s">
        <v>58</v>
      </c>
      <c r="I75" s="18">
        <v>104457807</v>
      </c>
      <c r="J75" s="18" t="s">
        <v>59</v>
      </c>
      <c r="K75" s="18" t="s">
        <v>60</v>
      </c>
      <c r="L75" s="18" t="s">
        <v>1025</v>
      </c>
      <c r="M75" s="18" t="b">
        <f t="shared" si="3"/>
        <v>0</v>
      </c>
    </row>
    <row r="76" spans="1:13" ht="156" x14ac:dyDescent="0.3">
      <c r="A76" s="18" t="s">
        <v>55</v>
      </c>
      <c r="B76" s="18" t="s">
        <v>980</v>
      </c>
      <c r="C76" s="19">
        <v>45660</v>
      </c>
      <c r="D76" s="18" t="s">
        <v>272</v>
      </c>
      <c r="E76" s="18" t="str">
        <f>IFERROR(VLOOKUP(TRIM(D76), Collection!$B$2:$D$1001, 2, FALSE), "")</f>
        <v>Traditionnelle tourbillon retrograde date openface</v>
      </c>
      <c r="F76" s="21" t="str">
        <f>IFERROR(VLOOKUP(TRIM(D76), Collection!$B$2:$D$1001, 3, FALSE), "")</f>
        <v>650,000 AED</v>
      </c>
      <c r="G76" s="21">
        <f t="shared" si="2"/>
        <v>650000</v>
      </c>
      <c r="H76" s="18" t="s">
        <v>58</v>
      </c>
      <c r="I76" s="18">
        <v>104509438</v>
      </c>
      <c r="J76" s="18" t="s">
        <v>59</v>
      </c>
      <c r="K76" s="18" t="s">
        <v>60</v>
      </c>
      <c r="L76" s="18" t="s">
        <v>1026</v>
      </c>
      <c r="M76" s="18" t="b">
        <f t="shared" si="3"/>
        <v>0</v>
      </c>
    </row>
    <row r="77" spans="1:13" ht="31.2" x14ac:dyDescent="0.3">
      <c r="A77" s="18" t="s">
        <v>55</v>
      </c>
      <c r="B77" s="18" t="s">
        <v>980</v>
      </c>
      <c r="C77" s="19">
        <v>45660</v>
      </c>
      <c r="D77" s="18" t="s">
        <v>35</v>
      </c>
      <c r="E77" s="18" t="str">
        <f>IFERROR(VLOOKUP(TRIM(D77), Collection!$B$2:$D$1001, 2, FALSE), "")</f>
        <v>Overseas self-winding</v>
      </c>
      <c r="F77" s="21" t="str">
        <f>IFERROR(VLOOKUP(TRIM(D77), Collection!$B$2:$D$1001, 3, FALSE), "")</f>
        <v>94,500 AED</v>
      </c>
      <c r="G77" s="21">
        <f t="shared" si="2"/>
        <v>94500</v>
      </c>
      <c r="H77" s="18" t="s">
        <v>58</v>
      </c>
      <c r="I77" s="18">
        <v>103673092</v>
      </c>
      <c r="J77" s="18" t="s">
        <v>59</v>
      </c>
      <c r="K77" s="18" t="s">
        <v>60</v>
      </c>
      <c r="L77" s="18" t="s">
        <v>1027</v>
      </c>
      <c r="M77" s="18" t="b">
        <f t="shared" si="3"/>
        <v>0</v>
      </c>
    </row>
    <row r="78" spans="1:13" ht="31.2" x14ac:dyDescent="0.3">
      <c r="A78" s="18" t="s">
        <v>55</v>
      </c>
      <c r="B78" s="18" t="s">
        <v>980</v>
      </c>
      <c r="C78" s="18" t="s">
        <v>276</v>
      </c>
      <c r="D78" s="18" t="s">
        <v>66</v>
      </c>
      <c r="E78" s="18" t="str">
        <f>IFERROR(VLOOKUP(TRIM(D78), Collection!$B$2:$D$1001, 2, FALSE), "")</f>
        <v>Historiques 222</v>
      </c>
      <c r="F78" s="21" t="str">
        <f>IFERROR(VLOOKUP(TRIM(D78), Collection!$B$2:$D$1001, 3, FALSE), "")</f>
        <v>121,000 AED</v>
      </c>
      <c r="G78" s="21">
        <f t="shared" si="2"/>
        <v>121000</v>
      </c>
      <c r="H78" s="18" t="s">
        <v>58</v>
      </c>
      <c r="I78" s="18">
        <v>104299847</v>
      </c>
      <c r="J78" s="18" t="s">
        <v>980</v>
      </c>
      <c r="K78" s="18" t="s">
        <v>60</v>
      </c>
      <c r="L78" s="18" t="s">
        <v>1013</v>
      </c>
      <c r="M78" s="18" t="b">
        <f t="shared" si="3"/>
        <v>0</v>
      </c>
    </row>
    <row r="79" spans="1:13" ht="31.2" x14ac:dyDescent="0.3">
      <c r="A79" s="18" t="s">
        <v>55</v>
      </c>
      <c r="B79" s="18" t="s">
        <v>980</v>
      </c>
      <c r="C79" s="18" t="s">
        <v>276</v>
      </c>
      <c r="D79" s="18" t="s">
        <v>66</v>
      </c>
      <c r="E79" s="18" t="str">
        <f>IFERROR(VLOOKUP(TRIM(D79), Collection!$B$2:$D$1001, 2, FALSE), "")</f>
        <v>Historiques 222</v>
      </c>
      <c r="F79" s="21" t="str">
        <f>IFERROR(VLOOKUP(TRIM(D79), Collection!$B$2:$D$1001, 3, FALSE), "")</f>
        <v>121,000 AED</v>
      </c>
      <c r="G79" s="21">
        <f t="shared" si="2"/>
        <v>121000</v>
      </c>
      <c r="H79" s="18" t="s">
        <v>58</v>
      </c>
      <c r="I79" s="18">
        <v>103621137</v>
      </c>
      <c r="J79" s="18" t="s">
        <v>59</v>
      </c>
      <c r="K79" s="18" t="s">
        <v>60</v>
      </c>
      <c r="L79" s="18">
        <v>222</v>
      </c>
      <c r="M79" s="18" t="b">
        <f t="shared" si="3"/>
        <v>0</v>
      </c>
    </row>
    <row r="80" spans="1:13" ht="46.8" x14ac:dyDescent="0.3">
      <c r="A80" s="18" t="s">
        <v>55</v>
      </c>
      <c r="B80" s="18" t="s">
        <v>980</v>
      </c>
      <c r="C80" s="18" t="s">
        <v>276</v>
      </c>
      <c r="D80" s="18" t="s">
        <v>38</v>
      </c>
      <c r="E80" s="18" t="str">
        <f>IFERROR(VLOOKUP(TRIM(D80), Collection!$B$2:$D$1001, 2, FALSE), "")</f>
        <v>Historiques American 1921 - Arabic</v>
      </c>
      <c r="F80" s="21" t="str">
        <f>IFERROR(VLOOKUP(TRIM(D80), Collection!$B$2:$D$1001, 3, FALSE), "")</f>
        <v>192,000 AED</v>
      </c>
      <c r="G80" s="21">
        <f t="shared" si="2"/>
        <v>192000</v>
      </c>
      <c r="H80" s="18" t="s">
        <v>58</v>
      </c>
      <c r="I80" s="18">
        <v>98609197</v>
      </c>
      <c r="J80" s="18" t="s">
        <v>59</v>
      </c>
      <c r="K80" s="18" t="s">
        <v>60</v>
      </c>
      <c r="L80" s="18" t="s">
        <v>980</v>
      </c>
      <c r="M80" s="18" t="b">
        <f t="shared" si="3"/>
        <v>0</v>
      </c>
    </row>
    <row r="81" spans="1:13" ht="31.2" x14ac:dyDescent="0.3">
      <c r="A81" s="18" t="s">
        <v>55</v>
      </c>
      <c r="B81" s="18" t="s">
        <v>980</v>
      </c>
      <c r="C81" s="18" t="s">
        <v>276</v>
      </c>
      <c r="D81" s="18" t="s">
        <v>66</v>
      </c>
      <c r="E81" s="18" t="str">
        <f>IFERROR(VLOOKUP(TRIM(D81), Collection!$B$2:$D$1001, 2, FALSE), "")</f>
        <v>Historiques 222</v>
      </c>
      <c r="F81" s="21" t="str">
        <f>IFERROR(VLOOKUP(TRIM(D81), Collection!$B$2:$D$1001, 3, FALSE), "")</f>
        <v>121,000 AED</v>
      </c>
      <c r="G81" s="21">
        <f t="shared" si="2"/>
        <v>121000</v>
      </c>
      <c r="H81" s="18" t="s">
        <v>58</v>
      </c>
      <c r="I81" s="18">
        <v>98609197</v>
      </c>
      <c r="J81" s="18" t="s">
        <v>59</v>
      </c>
      <c r="K81" s="18" t="s">
        <v>60</v>
      </c>
      <c r="L81" s="18">
        <v>222</v>
      </c>
      <c r="M81" s="18" t="b">
        <f t="shared" si="3"/>
        <v>0</v>
      </c>
    </row>
    <row r="82" spans="1:13" ht="31.2" x14ac:dyDescent="0.3">
      <c r="A82" s="18" t="s">
        <v>55</v>
      </c>
      <c r="B82" s="18" t="s">
        <v>980</v>
      </c>
      <c r="C82" s="18" t="s">
        <v>280</v>
      </c>
      <c r="D82" s="18" t="s">
        <v>22</v>
      </c>
      <c r="E82" s="18" t="str">
        <f>IFERROR(VLOOKUP(TRIM(D82), Collection!$B$2:$D$1001, 2, FALSE), "")</f>
        <v>Overseas dual time Blue</v>
      </c>
      <c r="F82" s="21" t="str">
        <f>IFERROR(VLOOKUP(TRIM(D82), Collection!$B$2:$D$1001, 3, FALSE), "")</f>
        <v>117,000 AED</v>
      </c>
      <c r="G82" s="21">
        <f t="shared" si="2"/>
        <v>117000</v>
      </c>
      <c r="H82" s="18" t="s">
        <v>58</v>
      </c>
      <c r="I82" s="18">
        <v>104329408</v>
      </c>
      <c r="J82" s="18" t="s">
        <v>980</v>
      </c>
      <c r="K82" s="18" t="s">
        <v>60</v>
      </c>
      <c r="L82" s="18" t="s">
        <v>1028</v>
      </c>
      <c r="M82" s="18" t="b">
        <f t="shared" si="3"/>
        <v>0</v>
      </c>
    </row>
    <row r="83" spans="1:13" ht="31.2" x14ac:dyDescent="0.3">
      <c r="A83" s="18" t="s">
        <v>55</v>
      </c>
      <c r="B83" s="18" t="s">
        <v>980</v>
      </c>
      <c r="C83" s="18" t="s">
        <v>280</v>
      </c>
      <c r="D83" s="18" t="s">
        <v>66</v>
      </c>
      <c r="E83" s="18" t="str">
        <f>IFERROR(VLOOKUP(TRIM(D83), Collection!$B$2:$D$1001, 2, FALSE), "")</f>
        <v>Historiques 222</v>
      </c>
      <c r="F83" s="21" t="str">
        <f>IFERROR(VLOOKUP(TRIM(D83), Collection!$B$2:$D$1001, 3, FALSE), "")</f>
        <v>121,000 AED</v>
      </c>
      <c r="G83" s="21">
        <f t="shared" si="2"/>
        <v>121000</v>
      </c>
      <c r="H83" s="18" t="s">
        <v>58</v>
      </c>
      <c r="I83" s="18">
        <v>104375430</v>
      </c>
      <c r="J83" s="18" t="s">
        <v>980</v>
      </c>
      <c r="K83" s="18" t="s">
        <v>70</v>
      </c>
      <c r="L83" s="18" t="s">
        <v>1029</v>
      </c>
      <c r="M83" s="18" t="b">
        <f t="shared" si="3"/>
        <v>0</v>
      </c>
    </row>
    <row r="84" spans="1:13" ht="31.2" x14ac:dyDescent="0.3">
      <c r="A84" s="18" t="s">
        <v>55</v>
      </c>
      <c r="B84" s="18" t="s">
        <v>980</v>
      </c>
      <c r="C84" s="18" t="s">
        <v>280</v>
      </c>
      <c r="D84" s="18" t="s">
        <v>35</v>
      </c>
      <c r="E84" s="18" t="str">
        <f>IFERROR(VLOOKUP(TRIM(D84), Collection!$B$2:$D$1001, 2, FALSE), "")</f>
        <v>Overseas self-winding</v>
      </c>
      <c r="F84" s="21" t="str">
        <f>IFERROR(VLOOKUP(TRIM(D84), Collection!$B$2:$D$1001, 3, FALSE), "")</f>
        <v>94,500 AED</v>
      </c>
      <c r="G84" s="21">
        <f t="shared" si="2"/>
        <v>94500</v>
      </c>
      <c r="H84" s="18" t="s">
        <v>58</v>
      </c>
      <c r="I84" s="18">
        <v>104183935</v>
      </c>
      <c r="J84" s="18" t="s">
        <v>980</v>
      </c>
      <c r="K84" s="18" t="s">
        <v>70</v>
      </c>
      <c r="L84" s="18" t="s">
        <v>1030</v>
      </c>
      <c r="M84" s="18" t="b">
        <f t="shared" si="3"/>
        <v>0</v>
      </c>
    </row>
    <row r="85" spans="1:13" ht="31.2" x14ac:dyDescent="0.3">
      <c r="A85" s="18" t="s">
        <v>55</v>
      </c>
      <c r="B85" s="18" t="s">
        <v>980</v>
      </c>
      <c r="C85" s="18" t="s">
        <v>280</v>
      </c>
      <c r="D85" s="18" t="s">
        <v>66</v>
      </c>
      <c r="E85" s="18" t="str">
        <f>IFERROR(VLOOKUP(TRIM(D85), Collection!$B$2:$D$1001, 2, FALSE), "")</f>
        <v>Historiques 222</v>
      </c>
      <c r="F85" s="21" t="str">
        <f>IFERROR(VLOOKUP(TRIM(D85), Collection!$B$2:$D$1001, 3, FALSE), "")</f>
        <v>121,000 AED</v>
      </c>
      <c r="G85" s="21">
        <f t="shared" si="2"/>
        <v>121000</v>
      </c>
      <c r="H85" s="18" t="s">
        <v>58</v>
      </c>
      <c r="I85" s="18">
        <v>104375462</v>
      </c>
      <c r="J85" s="18" t="s">
        <v>980</v>
      </c>
      <c r="K85" s="18" t="s">
        <v>60</v>
      </c>
      <c r="L85" s="18" t="s">
        <v>1031</v>
      </c>
      <c r="M85" s="18" t="b">
        <f t="shared" si="3"/>
        <v>0</v>
      </c>
    </row>
    <row r="86" spans="1:13" ht="62.4" x14ac:dyDescent="0.3">
      <c r="A86" s="18" t="s">
        <v>55</v>
      </c>
      <c r="B86" s="18" t="s">
        <v>980</v>
      </c>
      <c r="C86" s="18" t="s">
        <v>280</v>
      </c>
      <c r="D86" s="18" t="s">
        <v>66</v>
      </c>
      <c r="E86" s="18" t="str">
        <f>IFERROR(VLOOKUP(TRIM(D86), Collection!$B$2:$D$1001, 2, FALSE), "")</f>
        <v>Historiques 222</v>
      </c>
      <c r="F86" s="21" t="str">
        <f>IFERROR(VLOOKUP(TRIM(D86), Collection!$B$2:$D$1001, 3, FALSE), "")</f>
        <v>121,000 AED</v>
      </c>
      <c r="G86" s="21">
        <f t="shared" si="2"/>
        <v>121000</v>
      </c>
      <c r="H86" s="18" t="s">
        <v>58</v>
      </c>
      <c r="I86" s="18">
        <v>104326404</v>
      </c>
      <c r="J86" s="18" t="s">
        <v>980</v>
      </c>
      <c r="K86" s="18" t="s">
        <v>60</v>
      </c>
      <c r="L86" s="18" t="s">
        <v>1032</v>
      </c>
      <c r="M86" s="18" t="b">
        <f t="shared" si="3"/>
        <v>0</v>
      </c>
    </row>
    <row r="87" spans="1:13" ht="31.2" x14ac:dyDescent="0.3">
      <c r="A87" s="18" t="s">
        <v>55</v>
      </c>
      <c r="B87" s="18" t="s">
        <v>980</v>
      </c>
      <c r="C87" s="18" t="s">
        <v>280</v>
      </c>
      <c r="D87" s="18" t="s">
        <v>66</v>
      </c>
      <c r="E87" s="18" t="str">
        <f>IFERROR(VLOOKUP(TRIM(D87), Collection!$B$2:$D$1001, 2, FALSE), "")</f>
        <v>Historiques 222</v>
      </c>
      <c r="F87" s="21" t="str">
        <f>IFERROR(VLOOKUP(TRIM(D87), Collection!$B$2:$D$1001, 3, FALSE), "")</f>
        <v>121,000 AED</v>
      </c>
      <c r="G87" s="21">
        <f t="shared" si="2"/>
        <v>121000</v>
      </c>
      <c r="H87" s="18" t="s">
        <v>58</v>
      </c>
      <c r="I87" s="18">
        <v>102680410</v>
      </c>
      <c r="J87" s="18" t="s">
        <v>980</v>
      </c>
      <c r="K87" s="18" t="s">
        <v>60</v>
      </c>
      <c r="L87" s="18" t="s">
        <v>1033</v>
      </c>
      <c r="M87" s="18" t="b">
        <f t="shared" si="3"/>
        <v>0</v>
      </c>
    </row>
    <row r="88" spans="1:13" ht="31.2" x14ac:dyDescent="0.3">
      <c r="A88" s="18" t="s">
        <v>55</v>
      </c>
      <c r="B88" s="18" t="s">
        <v>980</v>
      </c>
      <c r="C88" s="18" t="s">
        <v>280</v>
      </c>
      <c r="D88" s="18" t="s">
        <v>66</v>
      </c>
      <c r="E88" s="18" t="str">
        <f>IFERROR(VLOOKUP(TRIM(D88), Collection!$B$2:$D$1001, 2, FALSE), "")</f>
        <v>Historiques 222</v>
      </c>
      <c r="F88" s="21" t="str">
        <f>IFERROR(VLOOKUP(TRIM(D88), Collection!$B$2:$D$1001, 3, FALSE), "")</f>
        <v>121,000 AED</v>
      </c>
      <c r="G88" s="21">
        <f t="shared" si="2"/>
        <v>121000</v>
      </c>
      <c r="H88" s="18" t="s">
        <v>58</v>
      </c>
      <c r="I88" s="18">
        <v>104908886</v>
      </c>
      <c r="J88" s="18" t="s">
        <v>59</v>
      </c>
      <c r="K88" s="18" t="s">
        <v>60</v>
      </c>
      <c r="L88" s="18">
        <v>222</v>
      </c>
      <c r="M88" s="18" t="b">
        <f t="shared" si="3"/>
        <v>0</v>
      </c>
    </row>
    <row r="89" spans="1:13" ht="31.2" x14ac:dyDescent="0.3">
      <c r="A89" s="18" t="s">
        <v>55</v>
      </c>
      <c r="B89" s="18" t="s">
        <v>980</v>
      </c>
      <c r="C89" s="18" t="s">
        <v>293</v>
      </c>
      <c r="D89" s="18" t="s">
        <v>66</v>
      </c>
      <c r="E89" s="18" t="str">
        <f>IFERROR(VLOOKUP(TRIM(D89), Collection!$B$2:$D$1001, 2, FALSE), "")</f>
        <v>Historiques 222</v>
      </c>
      <c r="F89" s="21" t="str">
        <f>IFERROR(VLOOKUP(TRIM(D89), Collection!$B$2:$D$1001, 3, FALSE), "")</f>
        <v>121,000 AED</v>
      </c>
      <c r="G89" s="21">
        <f t="shared" si="2"/>
        <v>121000</v>
      </c>
      <c r="H89" s="18" t="s">
        <v>58</v>
      </c>
      <c r="I89" s="18">
        <v>103847224</v>
      </c>
      <c r="J89" s="18" t="s">
        <v>980</v>
      </c>
      <c r="K89" s="18" t="s">
        <v>60</v>
      </c>
      <c r="L89" s="18">
        <v>222</v>
      </c>
      <c r="M89" s="18" t="b">
        <f t="shared" si="3"/>
        <v>0</v>
      </c>
    </row>
    <row r="90" spans="1:13" ht="31.2" x14ac:dyDescent="0.3">
      <c r="A90" s="18" t="s">
        <v>55</v>
      </c>
      <c r="B90" s="18" t="s">
        <v>980</v>
      </c>
      <c r="C90" s="18" t="s">
        <v>293</v>
      </c>
      <c r="D90" s="18" t="s">
        <v>66</v>
      </c>
      <c r="E90" s="18" t="str">
        <f>IFERROR(VLOOKUP(TRIM(D90), Collection!$B$2:$D$1001, 2, FALSE), "")</f>
        <v>Historiques 222</v>
      </c>
      <c r="F90" s="21" t="str">
        <f>IFERROR(VLOOKUP(TRIM(D90), Collection!$B$2:$D$1001, 3, FALSE), "")</f>
        <v>121,000 AED</v>
      </c>
      <c r="G90" s="21">
        <f t="shared" si="2"/>
        <v>121000</v>
      </c>
      <c r="H90" s="18" t="s">
        <v>58</v>
      </c>
      <c r="I90" s="18">
        <v>104255707</v>
      </c>
      <c r="J90" s="18" t="s">
        <v>980</v>
      </c>
      <c r="K90" s="18" t="s">
        <v>60</v>
      </c>
      <c r="L90" s="18">
        <v>222</v>
      </c>
      <c r="M90" s="18" t="b">
        <f t="shared" si="3"/>
        <v>0</v>
      </c>
    </row>
    <row r="91" spans="1:13" ht="31.2" x14ac:dyDescent="0.3">
      <c r="A91" s="18" t="s">
        <v>55</v>
      </c>
      <c r="B91" s="18" t="s">
        <v>980</v>
      </c>
      <c r="C91" s="18" t="s">
        <v>293</v>
      </c>
      <c r="D91" s="18" t="s">
        <v>66</v>
      </c>
      <c r="E91" s="18" t="str">
        <f>IFERROR(VLOOKUP(TRIM(D91), Collection!$B$2:$D$1001, 2, FALSE), "")</f>
        <v>Historiques 222</v>
      </c>
      <c r="F91" s="21" t="str">
        <f>IFERROR(VLOOKUP(TRIM(D91), Collection!$B$2:$D$1001, 3, FALSE), "")</f>
        <v>121,000 AED</v>
      </c>
      <c r="G91" s="21">
        <f t="shared" si="2"/>
        <v>121000</v>
      </c>
      <c r="H91" s="18" t="s">
        <v>58</v>
      </c>
      <c r="I91" s="18">
        <v>104270695</v>
      </c>
      <c r="J91" s="18" t="s">
        <v>980</v>
      </c>
      <c r="K91" s="18" t="s">
        <v>60</v>
      </c>
      <c r="L91" s="18" t="s">
        <v>1034</v>
      </c>
      <c r="M91" s="18" t="b">
        <f t="shared" si="3"/>
        <v>0</v>
      </c>
    </row>
    <row r="92" spans="1:13" ht="31.2" x14ac:dyDescent="0.3">
      <c r="A92" s="18" t="s">
        <v>55</v>
      </c>
      <c r="B92" s="18" t="s">
        <v>980</v>
      </c>
      <c r="C92" s="18" t="s">
        <v>293</v>
      </c>
      <c r="D92" s="18" t="s">
        <v>66</v>
      </c>
      <c r="E92" s="18" t="str">
        <f>IFERROR(VLOOKUP(TRIM(D92), Collection!$B$2:$D$1001, 2, FALSE), "")</f>
        <v>Historiques 222</v>
      </c>
      <c r="F92" s="21" t="str">
        <f>IFERROR(VLOOKUP(TRIM(D92), Collection!$B$2:$D$1001, 3, FALSE), "")</f>
        <v>121,000 AED</v>
      </c>
      <c r="G92" s="21">
        <f t="shared" si="2"/>
        <v>121000</v>
      </c>
      <c r="H92" s="18" t="s">
        <v>58</v>
      </c>
      <c r="I92" s="18">
        <v>102905736</v>
      </c>
      <c r="J92" s="18" t="s">
        <v>980</v>
      </c>
      <c r="K92" s="18" t="s">
        <v>60</v>
      </c>
      <c r="L92" s="18">
        <v>222</v>
      </c>
      <c r="M92" s="18" t="b">
        <f t="shared" si="3"/>
        <v>0</v>
      </c>
    </row>
    <row r="93" spans="1:13" ht="31.2" x14ac:dyDescent="0.3">
      <c r="A93" s="18" t="s">
        <v>55</v>
      </c>
      <c r="B93" s="18" t="s">
        <v>980</v>
      </c>
      <c r="C93" s="18" t="s">
        <v>299</v>
      </c>
      <c r="D93" s="18" t="s">
        <v>66</v>
      </c>
      <c r="E93" s="18" t="str">
        <f>IFERROR(VLOOKUP(TRIM(D93), Collection!$B$2:$D$1001, 2, FALSE), "")</f>
        <v>Historiques 222</v>
      </c>
      <c r="F93" s="21" t="str">
        <f>IFERROR(VLOOKUP(TRIM(D93), Collection!$B$2:$D$1001, 3, FALSE), "")</f>
        <v>121,000 AED</v>
      </c>
      <c r="G93" s="21">
        <f t="shared" si="2"/>
        <v>121000</v>
      </c>
      <c r="H93" s="18" t="s">
        <v>58</v>
      </c>
      <c r="I93" s="18">
        <v>92404193</v>
      </c>
      <c r="J93" s="18" t="s">
        <v>114</v>
      </c>
      <c r="K93" s="18" t="s">
        <v>70</v>
      </c>
      <c r="L93" s="18" t="s">
        <v>1035</v>
      </c>
      <c r="M93" s="18" t="b">
        <f t="shared" si="3"/>
        <v>0</v>
      </c>
    </row>
    <row r="94" spans="1:13" ht="31.2" x14ac:dyDescent="0.3">
      <c r="A94" s="18" t="s">
        <v>55</v>
      </c>
      <c r="B94" s="18" t="s">
        <v>980</v>
      </c>
      <c r="C94" s="18" t="s">
        <v>302</v>
      </c>
      <c r="D94" s="18" t="s">
        <v>66</v>
      </c>
      <c r="E94" s="18" t="str">
        <f>IFERROR(VLOOKUP(TRIM(D94), Collection!$B$2:$D$1001, 2, FALSE), "")</f>
        <v>Historiques 222</v>
      </c>
      <c r="F94" s="21" t="str">
        <f>IFERROR(VLOOKUP(TRIM(D94), Collection!$B$2:$D$1001, 3, FALSE), "")</f>
        <v>121,000 AED</v>
      </c>
      <c r="G94" s="21">
        <f t="shared" si="2"/>
        <v>121000</v>
      </c>
      <c r="H94" s="18" t="s">
        <v>58</v>
      </c>
      <c r="I94" s="18">
        <v>103831073</v>
      </c>
      <c r="J94" s="18" t="s">
        <v>59</v>
      </c>
      <c r="K94" s="18" t="s">
        <v>60</v>
      </c>
      <c r="L94" s="18" t="s">
        <v>1013</v>
      </c>
      <c r="M94" s="18" t="b">
        <f t="shared" si="3"/>
        <v>0</v>
      </c>
    </row>
    <row r="95" spans="1:13" ht="31.2" x14ac:dyDescent="0.3">
      <c r="A95" s="18" t="s">
        <v>55</v>
      </c>
      <c r="B95" s="18" t="s">
        <v>980</v>
      </c>
      <c r="C95" s="18" t="s">
        <v>304</v>
      </c>
      <c r="D95" s="18" t="s">
        <v>35</v>
      </c>
      <c r="E95" s="18" t="str">
        <f>IFERROR(VLOOKUP(TRIM(D95), Collection!$B$2:$D$1001, 2, FALSE), "")</f>
        <v>Overseas self-winding</v>
      </c>
      <c r="F95" s="21" t="str">
        <f>IFERROR(VLOOKUP(TRIM(D95), Collection!$B$2:$D$1001, 3, FALSE), "")</f>
        <v>94,500 AED</v>
      </c>
      <c r="G95" s="21">
        <f t="shared" si="2"/>
        <v>94500</v>
      </c>
      <c r="H95" s="18" t="s">
        <v>58</v>
      </c>
      <c r="I95" s="18">
        <v>104181189</v>
      </c>
      <c r="J95" s="18" t="s">
        <v>59</v>
      </c>
      <c r="K95" s="18" t="s">
        <v>70</v>
      </c>
      <c r="L95" s="18" t="s">
        <v>1036</v>
      </c>
      <c r="M95" s="18" t="b">
        <f t="shared" si="3"/>
        <v>0</v>
      </c>
    </row>
    <row r="96" spans="1:13" ht="31.2" x14ac:dyDescent="0.3">
      <c r="A96" s="18" t="s">
        <v>55</v>
      </c>
      <c r="B96" s="18" t="s">
        <v>980</v>
      </c>
      <c r="C96" s="18" t="s">
        <v>304</v>
      </c>
      <c r="D96" s="18" t="s">
        <v>66</v>
      </c>
      <c r="E96" s="18" t="str">
        <f>IFERROR(VLOOKUP(TRIM(D96), Collection!$B$2:$D$1001, 2, FALSE), "")</f>
        <v>Historiques 222</v>
      </c>
      <c r="F96" s="21" t="str">
        <f>IFERROR(VLOOKUP(TRIM(D96), Collection!$B$2:$D$1001, 3, FALSE), "")</f>
        <v>121,000 AED</v>
      </c>
      <c r="G96" s="21">
        <f t="shared" si="2"/>
        <v>121000</v>
      </c>
      <c r="H96" s="18" t="s">
        <v>58</v>
      </c>
      <c r="I96" s="18">
        <v>102905736</v>
      </c>
      <c r="J96" s="18" t="s">
        <v>980</v>
      </c>
      <c r="K96" s="18" t="s">
        <v>60</v>
      </c>
      <c r="L96" s="18" t="s">
        <v>980</v>
      </c>
      <c r="M96" s="18" t="b">
        <f t="shared" si="3"/>
        <v>0</v>
      </c>
    </row>
    <row r="97" spans="1:13" ht="46.8" x14ac:dyDescent="0.3">
      <c r="A97" s="18" t="s">
        <v>55</v>
      </c>
      <c r="B97" s="18" t="s">
        <v>980</v>
      </c>
      <c r="C97" s="18" t="s">
        <v>304</v>
      </c>
      <c r="D97" s="18" t="s">
        <v>36</v>
      </c>
      <c r="E97" s="18" t="str">
        <f>IFERROR(VLOOKUP(TRIM(D97), Collection!$B$2:$D$1001, 2, FALSE), "")</f>
        <v>Overseas chronograph Pink Gold</v>
      </c>
      <c r="F97" s="21" t="str">
        <f>IFERROR(VLOOKUP(TRIM(D97), Collection!$B$2:$D$1001, 3, FALSE), "")</f>
        <v>299,000 AED</v>
      </c>
      <c r="G97" s="21">
        <f t="shared" si="2"/>
        <v>299000</v>
      </c>
      <c r="H97" s="18" t="s">
        <v>58</v>
      </c>
      <c r="I97" s="18">
        <v>104459131</v>
      </c>
      <c r="J97" s="18" t="s">
        <v>59</v>
      </c>
      <c r="K97" s="18" t="s">
        <v>60</v>
      </c>
      <c r="L97" s="18" t="s">
        <v>1037</v>
      </c>
      <c r="M97" s="18" t="b">
        <f t="shared" si="3"/>
        <v>1</v>
      </c>
    </row>
    <row r="98" spans="1:13" ht="31.2" x14ac:dyDescent="0.3">
      <c r="A98" s="18" t="s">
        <v>55</v>
      </c>
      <c r="B98" s="18" t="s">
        <v>980</v>
      </c>
      <c r="C98" s="18" t="s">
        <v>309</v>
      </c>
      <c r="D98" s="18" t="s">
        <v>66</v>
      </c>
      <c r="E98" s="18" t="str">
        <f>IFERROR(VLOOKUP(TRIM(D98), Collection!$B$2:$D$1001, 2, FALSE), "")</f>
        <v>Historiques 222</v>
      </c>
      <c r="F98" s="21" t="str">
        <f>IFERROR(VLOOKUP(TRIM(D98), Collection!$B$2:$D$1001, 3, FALSE), "")</f>
        <v>121,000 AED</v>
      </c>
      <c r="G98" s="21">
        <f t="shared" si="2"/>
        <v>121000</v>
      </c>
      <c r="H98" s="18" t="s">
        <v>58</v>
      </c>
      <c r="I98" s="18">
        <v>104137810</v>
      </c>
      <c r="J98" s="18" t="s">
        <v>59</v>
      </c>
      <c r="K98" s="18" t="s">
        <v>70</v>
      </c>
      <c r="L98" s="18" t="s">
        <v>1038</v>
      </c>
      <c r="M98" s="18" t="b">
        <f t="shared" si="3"/>
        <v>0</v>
      </c>
    </row>
    <row r="99" spans="1:13" ht="31.2" x14ac:dyDescent="0.3">
      <c r="A99" s="18" t="s">
        <v>55</v>
      </c>
      <c r="B99" s="18" t="s">
        <v>980</v>
      </c>
      <c r="C99" s="18" t="s">
        <v>309</v>
      </c>
      <c r="D99" s="18" t="s">
        <v>66</v>
      </c>
      <c r="E99" s="18" t="str">
        <f>IFERROR(VLOOKUP(TRIM(D99), Collection!$B$2:$D$1001, 2, FALSE), "")</f>
        <v>Historiques 222</v>
      </c>
      <c r="F99" s="21" t="str">
        <f>IFERROR(VLOOKUP(TRIM(D99), Collection!$B$2:$D$1001, 3, FALSE), "")</f>
        <v>121,000 AED</v>
      </c>
      <c r="G99" s="21">
        <f t="shared" si="2"/>
        <v>121000</v>
      </c>
      <c r="H99" s="18" t="s">
        <v>58</v>
      </c>
      <c r="I99" s="18">
        <v>104137864</v>
      </c>
      <c r="J99" s="18" t="s">
        <v>59</v>
      </c>
      <c r="K99" s="18" t="s">
        <v>70</v>
      </c>
      <c r="L99" s="18" t="s">
        <v>1039</v>
      </c>
      <c r="M99" s="18" t="b">
        <f t="shared" si="3"/>
        <v>0</v>
      </c>
    </row>
    <row r="100" spans="1:13" ht="31.2" x14ac:dyDescent="0.3">
      <c r="A100" s="18" t="s">
        <v>55</v>
      </c>
      <c r="B100" s="18" t="s">
        <v>980</v>
      </c>
      <c r="C100" s="18" t="s">
        <v>309</v>
      </c>
      <c r="D100" s="18" t="s">
        <v>66</v>
      </c>
      <c r="E100" s="18" t="str">
        <f>IFERROR(VLOOKUP(TRIM(D100), Collection!$B$2:$D$1001, 2, FALSE), "")</f>
        <v>Historiques 222</v>
      </c>
      <c r="F100" s="21" t="str">
        <f>IFERROR(VLOOKUP(TRIM(D100), Collection!$B$2:$D$1001, 3, FALSE), "")</f>
        <v>121,000 AED</v>
      </c>
      <c r="G100" s="21">
        <f t="shared" si="2"/>
        <v>121000</v>
      </c>
      <c r="H100" s="18" t="s">
        <v>58</v>
      </c>
      <c r="I100" s="18">
        <v>92402356</v>
      </c>
      <c r="J100" s="18" t="s">
        <v>59</v>
      </c>
      <c r="K100" s="18" t="s">
        <v>70</v>
      </c>
      <c r="L100" s="18" t="s">
        <v>1040</v>
      </c>
      <c r="M100" s="18" t="b">
        <f t="shared" si="3"/>
        <v>0</v>
      </c>
    </row>
    <row r="101" spans="1:13" ht="93.6" x14ac:dyDescent="0.3">
      <c r="A101" s="18" t="s">
        <v>55</v>
      </c>
      <c r="B101" s="18" t="s">
        <v>980</v>
      </c>
      <c r="C101" s="18" t="s">
        <v>316</v>
      </c>
      <c r="D101" s="18" t="s">
        <v>107</v>
      </c>
      <c r="E101" s="18" t="str">
        <f>IFERROR(VLOOKUP(TRIM(D101), Collection!$B$2:$D$1001, 2, FALSE), "")</f>
        <v>Overseas chronograph</v>
      </c>
      <c r="F101" s="21" t="str">
        <f>IFERROR(VLOOKUP(TRIM(D101), Collection!$B$2:$D$1001, 3, FALSE), "")</f>
        <v>135,000 AED</v>
      </c>
      <c r="G101" s="21">
        <f t="shared" si="2"/>
        <v>135000</v>
      </c>
      <c r="H101" s="18" t="s">
        <v>58</v>
      </c>
      <c r="I101" s="18">
        <v>104495233</v>
      </c>
      <c r="J101" s="18" t="s">
        <v>59</v>
      </c>
      <c r="K101" s="18" t="s">
        <v>60</v>
      </c>
      <c r="L101" s="18" t="s">
        <v>1041</v>
      </c>
      <c r="M101" s="18" t="b">
        <f t="shared" si="3"/>
        <v>0</v>
      </c>
    </row>
    <row r="102" spans="1:13" ht="31.2" x14ac:dyDescent="0.3">
      <c r="A102" s="18" t="s">
        <v>55</v>
      </c>
      <c r="B102" s="18" t="s">
        <v>980</v>
      </c>
      <c r="C102" s="18" t="s">
        <v>319</v>
      </c>
      <c r="D102" s="18" t="s">
        <v>66</v>
      </c>
      <c r="E102" s="18" t="str">
        <f>IFERROR(VLOOKUP(TRIM(D102), Collection!$B$2:$D$1001, 2, FALSE), "")</f>
        <v>Historiques 222</v>
      </c>
      <c r="F102" s="21" t="str">
        <f>IFERROR(VLOOKUP(TRIM(D102), Collection!$B$2:$D$1001, 3, FALSE), "")</f>
        <v>121,000 AED</v>
      </c>
      <c r="G102" s="21">
        <f t="shared" si="2"/>
        <v>121000</v>
      </c>
      <c r="H102" s="18" t="s">
        <v>58</v>
      </c>
      <c r="I102" s="18">
        <v>103985822</v>
      </c>
      <c r="J102" s="18" t="s">
        <v>59</v>
      </c>
      <c r="K102" s="18" t="s">
        <v>67</v>
      </c>
      <c r="L102" s="18" t="s">
        <v>980</v>
      </c>
      <c r="M102" s="18" t="b">
        <f t="shared" si="3"/>
        <v>0</v>
      </c>
    </row>
    <row r="103" spans="1:13" ht="31.2" x14ac:dyDescent="0.3">
      <c r="A103" s="18" t="s">
        <v>55</v>
      </c>
      <c r="B103" s="18" t="s">
        <v>980</v>
      </c>
      <c r="C103" s="18" t="s">
        <v>319</v>
      </c>
      <c r="D103" s="18" t="s">
        <v>66</v>
      </c>
      <c r="E103" s="18" t="str">
        <f>IFERROR(VLOOKUP(TRIM(D103), Collection!$B$2:$D$1001, 2, FALSE), "")</f>
        <v>Historiques 222</v>
      </c>
      <c r="F103" s="21" t="str">
        <f>IFERROR(VLOOKUP(TRIM(D103), Collection!$B$2:$D$1001, 3, FALSE), "")</f>
        <v>121,000 AED</v>
      </c>
      <c r="G103" s="21">
        <f t="shared" si="2"/>
        <v>121000</v>
      </c>
      <c r="H103" s="18" t="s">
        <v>58</v>
      </c>
      <c r="I103" s="18">
        <v>104069433</v>
      </c>
      <c r="J103" s="18" t="s">
        <v>59</v>
      </c>
      <c r="K103" s="18" t="s">
        <v>70</v>
      </c>
      <c r="L103" s="18" t="s">
        <v>1042</v>
      </c>
      <c r="M103" s="18" t="b">
        <f t="shared" si="3"/>
        <v>0</v>
      </c>
    </row>
    <row r="104" spans="1:13" ht="31.2" x14ac:dyDescent="0.3">
      <c r="A104" s="18" t="s">
        <v>55</v>
      </c>
      <c r="B104" s="18" t="s">
        <v>980</v>
      </c>
      <c r="C104" s="19">
        <v>45993</v>
      </c>
      <c r="D104" s="18" t="s">
        <v>66</v>
      </c>
      <c r="E104" s="18" t="str">
        <f>IFERROR(VLOOKUP(TRIM(D104), Collection!$B$2:$D$1001, 2, FALSE), "")</f>
        <v>Historiques 222</v>
      </c>
      <c r="F104" s="21" t="str">
        <f>IFERROR(VLOOKUP(TRIM(D104), Collection!$B$2:$D$1001, 3, FALSE), "")</f>
        <v>121,000 AED</v>
      </c>
      <c r="G104" s="21">
        <f t="shared" si="2"/>
        <v>121000</v>
      </c>
      <c r="H104" s="18" t="s">
        <v>58</v>
      </c>
      <c r="I104" s="18">
        <v>103936120</v>
      </c>
      <c r="J104" s="18" t="s">
        <v>59</v>
      </c>
      <c r="K104" s="18" t="s">
        <v>67</v>
      </c>
      <c r="L104" s="18" t="s">
        <v>980</v>
      </c>
      <c r="M104" s="18" t="b">
        <f t="shared" si="3"/>
        <v>0</v>
      </c>
    </row>
    <row r="105" spans="1:13" ht="31.2" x14ac:dyDescent="0.3">
      <c r="A105" s="18" t="s">
        <v>55</v>
      </c>
      <c r="B105" s="18" t="s">
        <v>980</v>
      </c>
      <c r="C105" s="19">
        <v>45993</v>
      </c>
      <c r="D105" s="18" t="s">
        <v>66</v>
      </c>
      <c r="E105" s="18" t="str">
        <f>IFERROR(VLOOKUP(TRIM(D105), Collection!$B$2:$D$1001, 2, FALSE), "")</f>
        <v>Historiques 222</v>
      </c>
      <c r="F105" s="21" t="str">
        <f>IFERROR(VLOOKUP(TRIM(D105), Collection!$B$2:$D$1001, 3, FALSE), "")</f>
        <v>121,000 AED</v>
      </c>
      <c r="G105" s="21">
        <f t="shared" si="2"/>
        <v>121000</v>
      </c>
      <c r="H105" s="18" t="s">
        <v>58</v>
      </c>
      <c r="I105" s="18">
        <v>104050167</v>
      </c>
      <c r="J105" s="18" t="s">
        <v>59</v>
      </c>
      <c r="K105" s="18" t="s">
        <v>70</v>
      </c>
      <c r="L105" s="18" t="s">
        <v>1043</v>
      </c>
      <c r="M105" s="18" t="b">
        <f t="shared" si="3"/>
        <v>0</v>
      </c>
    </row>
    <row r="106" spans="1:13" ht="31.2" x14ac:dyDescent="0.3">
      <c r="A106" s="18" t="s">
        <v>55</v>
      </c>
      <c r="B106" s="18" t="s">
        <v>980</v>
      </c>
      <c r="C106" s="19">
        <v>45963</v>
      </c>
      <c r="D106" s="18" t="s">
        <v>66</v>
      </c>
      <c r="E106" s="18" t="str">
        <f>IFERROR(VLOOKUP(TRIM(D106), Collection!$B$2:$D$1001, 2, FALSE), "")</f>
        <v>Historiques 222</v>
      </c>
      <c r="F106" s="21" t="str">
        <f>IFERROR(VLOOKUP(TRIM(D106), Collection!$B$2:$D$1001, 3, FALSE), "")</f>
        <v>121,000 AED</v>
      </c>
      <c r="G106" s="21">
        <f t="shared" si="2"/>
        <v>121000</v>
      </c>
      <c r="H106" s="18" t="s">
        <v>58</v>
      </c>
      <c r="I106" s="18">
        <v>104044650</v>
      </c>
      <c r="J106" s="18" t="s">
        <v>59</v>
      </c>
      <c r="K106" s="18" t="s">
        <v>67</v>
      </c>
      <c r="L106" s="18" t="s">
        <v>980</v>
      </c>
      <c r="M106" s="18" t="b">
        <f t="shared" si="3"/>
        <v>0</v>
      </c>
    </row>
    <row r="107" spans="1:13" ht="31.2" x14ac:dyDescent="0.3">
      <c r="A107" s="18" t="s">
        <v>130</v>
      </c>
      <c r="B107" s="18" t="s">
        <v>130</v>
      </c>
      <c r="C107" s="19">
        <v>45963</v>
      </c>
      <c r="D107" s="18" t="s">
        <v>22</v>
      </c>
      <c r="E107" s="18" t="str">
        <f>IFERROR(VLOOKUP(TRIM(D107), Collection!$B$2:$D$1001, 2, FALSE), "")</f>
        <v>Overseas dual time Blue</v>
      </c>
      <c r="F107" s="21" t="str">
        <f>IFERROR(VLOOKUP(TRIM(D107), Collection!$B$2:$D$1001, 3, FALSE), "")</f>
        <v>117,000 AED</v>
      </c>
      <c r="G107" s="21">
        <f t="shared" si="2"/>
        <v>117000</v>
      </c>
      <c r="H107" s="18" t="s">
        <v>58</v>
      </c>
      <c r="I107" s="18">
        <v>104044650</v>
      </c>
      <c r="J107" s="18" t="s">
        <v>59</v>
      </c>
      <c r="K107" s="18" t="s">
        <v>67</v>
      </c>
      <c r="L107" s="18" t="s">
        <v>980</v>
      </c>
      <c r="M107" s="18" t="b">
        <f t="shared" si="3"/>
        <v>0</v>
      </c>
    </row>
    <row r="108" spans="1:13" ht="31.2" x14ac:dyDescent="0.3">
      <c r="A108" s="18" t="s">
        <v>55</v>
      </c>
      <c r="B108" s="18" t="s">
        <v>980</v>
      </c>
      <c r="C108" s="19">
        <v>45963</v>
      </c>
      <c r="D108" s="18" t="s">
        <v>66</v>
      </c>
      <c r="E108" s="18" t="str">
        <f>IFERROR(VLOOKUP(TRIM(D108), Collection!$B$2:$D$1001, 2, FALSE), "")</f>
        <v>Historiques 222</v>
      </c>
      <c r="F108" s="21" t="str">
        <f>IFERROR(VLOOKUP(TRIM(D108), Collection!$B$2:$D$1001, 3, FALSE), "")</f>
        <v>121,000 AED</v>
      </c>
      <c r="G108" s="21">
        <f t="shared" si="2"/>
        <v>121000</v>
      </c>
      <c r="H108" s="18" t="s">
        <v>58</v>
      </c>
      <c r="I108" s="18">
        <v>104044791</v>
      </c>
      <c r="J108" s="18" t="s">
        <v>59</v>
      </c>
      <c r="K108" s="18" t="s">
        <v>70</v>
      </c>
      <c r="L108" s="18" t="s">
        <v>1044</v>
      </c>
      <c r="M108" s="18" t="b">
        <f t="shared" si="3"/>
        <v>0</v>
      </c>
    </row>
    <row r="109" spans="1:13" ht="31.2" x14ac:dyDescent="0.3">
      <c r="A109" s="18" t="s">
        <v>55</v>
      </c>
      <c r="B109" s="18" t="s">
        <v>980</v>
      </c>
      <c r="C109" s="19">
        <v>45963</v>
      </c>
      <c r="D109" s="18" t="s">
        <v>107</v>
      </c>
      <c r="E109" s="18" t="str">
        <f>IFERROR(VLOOKUP(TRIM(D109), Collection!$B$2:$D$1001, 2, FALSE), "")</f>
        <v>Overseas chronograph</v>
      </c>
      <c r="F109" s="21" t="str">
        <f>IFERROR(VLOOKUP(TRIM(D109), Collection!$B$2:$D$1001, 3, FALSE), "")</f>
        <v>135,000 AED</v>
      </c>
      <c r="G109" s="21">
        <f t="shared" si="2"/>
        <v>135000</v>
      </c>
      <c r="H109" s="18" t="s">
        <v>58</v>
      </c>
      <c r="I109" s="18">
        <v>104048409</v>
      </c>
      <c r="J109" s="18" t="s">
        <v>59</v>
      </c>
      <c r="K109" s="18" t="s">
        <v>70</v>
      </c>
      <c r="L109" s="18" t="s">
        <v>1045</v>
      </c>
      <c r="M109" s="18" t="b">
        <f t="shared" si="3"/>
        <v>0</v>
      </c>
    </row>
    <row r="110" spans="1:13" ht="31.2" x14ac:dyDescent="0.3">
      <c r="A110" s="18" t="s">
        <v>55</v>
      </c>
      <c r="B110" s="18" t="s">
        <v>980</v>
      </c>
      <c r="C110" s="19">
        <v>45963</v>
      </c>
      <c r="D110" s="18" t="s">
        <v>66</v>
      </c>
      <c r="E110" s="18" t="str">
        <f>IFERROR(VLOOKUP(TRIM(D110), Collection!$B$2:$D$1001, 2, FALSE), "")</f>
        <v>Historiques 222</v>
      </c>
      <c r="F110" s="21" t="str">
        <f>IFERROR(VLOOKUP(TRIM(D110), Collection!$B$2:$D$1001, 3, FALSE), "")</f>
        <v>121,000 AED</v>
      </c>
      <c r="G110" s="21">
        <f t="shared" si="2"/>
        <v>121000</v>
      </c>
      <c r="H110" s="18" t="s">
        <v>58</v>
      </c>
      <c r="I110" s="18">
        <v>104044621</v>
      </c>
      <c r="J110" s="18" t="s">
        <v>59</v>
      </c>
      <c r="K110" s="18" t="s">
        <v>67</v>
      </c>
      <c r="L110" s="18" t="s">
        <v>980</v>
      </c>
      <c r="M110" s="18" t="b">
        <f t="shared" si="3"/>
        <v>0</v>
      </c>
    </row>
    <row r="111" spans="1:13" ht="31.2" x14ac:dyDescent="0.3">
      <c r="A111" s="18" t="s">
        <v>55</v>
      </c>
      <c r="B111" s="18" t="s">
        <v>980</v>
      </c>
      <c r="C111" s="19">
        <v>45840</v>
      </c>
      <c r="D111" s="18" t="s">
        <v>66</v>
      </c>
      <c r="E111" s="18" t="str">
        <f>IFERROR(VLOOKUP(TRIM(D111), Collection!$B$2:$D$1001, 2, FALSE), "")</f>
        <v>Historiques 222</v>
      </c>
      <c r="F111" s="21" t="str">
        <f>IFERROR(VLOOKUP(TRIM(D111), Collection!$B$2:$D$1001, 3, FALSE), "")</f>
        <v>121,000 AED</v>
      </c>
      <c r="G111" s="21">
        <f t="shared" si="2"/>
        <v>121000</v>
      </c>
      <c r="H111" s="18" t="s">
        <v>58</v>
      </c>
      <c r="I111" s="18">
        <v>103976282</v>
      </c>
      <c r="J111" s="18" t="s">
        <v>59</v>
      </c>
      <c r="K111" s="18" t="s">
        <v>67</v>
      </c>
      <c r="L111" s="18" t="s">
        <v>980</v>
      </c>
      <c r="M111" s="18" t="b">
        <f t="shared" si="3"/>
        <v>0</v>
      </c>
    </row>
    <row r="112" spans="1:13" ht="31.2" x14ac:dyDescent="0.3">
      <c r="A112" s="18" t="s">
        <v>55</v>
      </c>
      <c r="B112" s="18" t="s">
        <v>980</v>
      </c>
      <c r="C112" s="19">
        <v>45840</v>
      </c>
      <c r="D112" s="18" t="s">
        <v>66</v>
      </c>
      <c r="E112" s="18" t="str">
        <f>IFERROR(VLOOKUP(TRIM(D112), Collection!$B$2:$D$1001, 2, FALSE), "")</f>
        <v>Historiques 222</v>
      </c>
      <c r="F112" s="21" t="str">
        <f>IFERROR(VLOOKUP(TRIM(D112), Collection!$B$2:$D$1001, 3, FALSE), "")</f>
        <v>121,000 AED</v>
      </c>
      <c r="G112" s="21">
        <f t="shared" si="2"/>
        <v>121000</v>
      </c>
      <c r="H112" s="18" t="s">
        <v>58</v>
      </c>
      <c r="I112" s="18">
        <v>103985685</v>
      </c>
      <c r="J112" s="18" t="s">
        <v>59</v>
      </c>
      <c r="K112" s="18" t="s">
        <v>67</v>
      </c>
      <c r="L112" s="18" t="s">
        <v>980</v>
      </c>
      <c r="M112" s="18" t="b">
        <f t="shared" si="3"/>
        <v>0</v>
      </c>
    </row>
    <row r="113" spans="1:13" ht="31.2" x14ac:dyDescent="0.3">
      <c r="A113" s="18" t="s">
        <v>55</v>
      </c>
      <c r="B113" s="18" t="s">
        <v>980</v>
      </c>
      <c r="C113" s="19">
        <v>45840</v>
      </c>
      <c r="D113" s="18" t="s">
        <v>107</v>
      </c>
      <c r="E113" s="18" t="str">
        <f>IFERROR(VLOOKUP(TRIM(D113), Collection!$B$2:$D$1001, 2, FALSE), "")</f>
        <v>Overseas chronograph</v>
      </c>
      <c r="F113" s="21" t="str">
        <f>IFERROR(VLOOKUP(TRIM(D113), Collection!$B$2:$D$1001, 3, FALSE), "")</f>
        <v>135,000 AED</v>
      </c>
      <c r="G113" s="21">
        <f t="shared" si="2"/>
        <v>135000</v>
      </c>
      <c r="H113" s="18" t="s">
        <v>58</v>
      </c>
      <c r="I113" s="18">
        <v>103471315</v>
      </c>
      <c r="J113" s="18" t="s">
        <v>59</v>
      </c>
      <c r="K113" s="18" t="s">
        <v>60</v>
      </c>
      <c r="L113" s="18" t="s">
        <v>980</v>
      </c>
      <c r="M113" s="18" t="b">
        <f t="shared" si="3"/>
        <v>0</v>
      </c>
    </row>
    <row r="114" spans="1:13" ht="31.2" x14ac:dyDescent="0.3">
      <c r="A114" s="18" t="s">
        <v>55</v>
      </c>
      <c r="B114" s="18" t="s">
        <v>980</v>
      </c>
      <c r="C114" s="19">
        <v>45779</v>
      </c>
      <c r="D114" s="18" t="s">
        <v>35</v>
      </c>
      <c r="E114" s="18" t="str">
        <f>IFERROR(VLOOKUP(TRIM(D114), Collection!$B$2:$D$1001, 2, FALSE), "")</f>
        <v>Overseas self-winding</v>
      </c>
      <c r="F114" s="21" t="str">
        <f>IFERROR(VLOOKUP(TRIM(D114), Collection!$B$2:$D$1001, 3, FALSE), "")</f>
        <v>94,500 AED</v>
      </c>
      <c r="G114" s="21">
        <f t="shared" si="2"/>
        <v>94500</v>
      </c>
      <c r="H114" s="18" t="s">
        <v>58</v>
      </c>
      <c r="I114" s="18">
        <v>103937781</v>
      </c>
      <c r="J114" s="18" t="s">
        <v>59</v>
      </c>
      <c r="K114" s="18" t="s">
        <v>70</v>
      </c>
      <c r="L114" s="18" t="s">
        <v>1046</v>
      </c>
      <c r="M114" s="18" t="b">
        <f t="shared" si="3"/>
        <v>0</v>
      </c>
    </row>
    <row r="115" spans="1:13" ht="31.2" x14ac:dyDescent="0.3">
      <c r="A115" s="18" t="s">
        <v>55</v>
      </c>
      <c r="B115" s="18" t="s">
        <v>980</v>
      </c>
      <c r="C115" s="19">
        <v>45779</v>
      </c>
      <c r="D115" s="18" t="s">
        <v>66</v>
      </c>
      <c r="E115" s="18" t="str">
        <f>IFERROR(VLOOKUP(TRIM(D115), Collection!$B$2:$D$1001, 2, FALSE), "")</f>
        <v>Historiques 222</v>
      </c>
      <c r="F115" s="21" t="str">
        <f>IFERROR(VLOOKUP(TRIM(D115), Collection!$B$2:$D$1001, 3, FALSE), "")</f>
        <v>121,000 AED</v>
      </c>
      <c r="G115" s="21">
        <f t="shared" si="2"/>
        <v>121000</v>
      </c>
      <c r="H115" s="18" t="s">
        <v>58</v>
      </c>
      <c r="I115" s="18">
        <v>92425936</v>
      </c>
      <c r="J115" s="18" t="s">
        <v>114</v>
      </c>
      <c r="K115" s="18" t="s">
        <v>67</v>
      </c>
      <c r="L115" s="18" t="s">
        <v>980</v>
      </c>
      <c r="M115" s="18" t="b">
        <f t="shared" si="3"/>
        <v>0</v>
      </c>
    </row>
    <row r="116" spans="1:13" ht="46.8" x14ac:dyDescent="0.3">
      <c r="A116" s="18" t="s">
        <v>55</v>
      </c>
      <c r="B116" s="18" t="s">
        <v>980</v>
      </c>
      <c r="C116" s="19">
        <v>45779</v>
      </c>
      <c r="D116" s="18" t="s">
        <v>36</v>
      </c>
      <c r="E116" s="18" t="str">
        <f>IFERROR(VLOOKUP(TRIM(D116), Collection!$B$2:$D$1001, 2, FALSE), "")</f>
        <v>Overseas chronograph Pink Gold</v>
      </c>
      <c r="F116" s="21" t="str">
        <f>IFERROR(VLOOKUP(TRIM(D116), Collection!$B$2:$D$1001, 3, FALSE), "")</f>
        <v>299,000 AED</v>
      </c>
      <c r="G116" s="21">
        <f t="shared" si="2"/>
        <v>299000</v>
      </c>
      <c r="H116" s="18" t="s">
        <v>58</v>
      </c>
      <c r="I116" s="18">
        <v>104459131</v>
      </c>
      <c r="J116" s="18" t="s">
        <v>59</v>
      </c>
      <c r="K116" s="18" t="s">
        <v>60</v>
      </c>
      <c r="L116" s="18"/>
      <c r="M116" s="18" t="b">
        <f t="shared" si="3"/>
        <v>1</v>
      </c>
    </row>
    <row r="117" spans="1:13" ht="31.2" x14ac:dyDescent="0.3">
      <c r="A117" s="18" t="s">
        <v>55</v>
      </c>
      <c r="B117" s="18" t="s">
        <v>980</v>
      </c>
      <c r="C117" s="19">
        <v>45749</v>
      </c>
      <c r="D117" s="18" t="s">
        <v>22</v>
      </c>
      <c r="E117" s="18" t="str">
        <f>IFERROR(VLOOKUP(TRIM(D117), Collection!$B$2:$D$1001, 2, FALSE), "")</f>
        <v>Overseas dual time Blue</v>
      </c>
      <c r="F117" s="21" t="str">
        <f>IFERROR(VLOOKUP(TRIM(D117), Collection!$B$2:$D$1001, 3, FALSE), "")</f>
        <v>117,000 AED</v>
      </c>
      <c r="G117" s="21">
        <f t="shared" si="2"/>
        <v>117000</v>
      </c>
      <c r="H117" s="18" t="s">
        <v>58</v>
      </c>
      <c r="I117" s="18">
        <v>103879055</v>
      </c>
      <c r="J117" s="18" t="s">
        <v>59</v>
      </c>
      <c r="K117" s="18" t="s">
        <v>70</v>
      </c>
      <c r="L117" s="18" t="s">
        <v>1047</v>
      </c>
      <c r="M117" s="18" t="b">
        <f t="shared" si="3"/>
        <v>0</v>
      </c>
    </row>
    <row r="118" spans="1:13" ht="46.8" x14ac:dyDescent="0.3">
      <c r="A118" s="18" t="s">
        <v>55</v>
      </c>
      <c r="B118" s="18" t="s">
        <v>980</v>
      </c>
      <c r="C118" s="19">
        <v>45749</v>
      </c>
      <c r="D118" s="18" t="s">
        <v>29</v>
      </c>
      <c r="E118" s="18" t="str">
        <f>IFERROR(VLOOKUP(TRIM(D118), Collection!$B$2:$D$1001, 2, FALSE), "")</f>
        <v>Fiftysix self-winding</v>
      </c>
      <c r="F118" s="21" t="str">
        <f>IFERROR(VLOOKUP(TRIM(D118), Collection!$B$2:$D$1001, 3, FALSE), "")</f>
        <v>48,000 AED</v>
      </c>
      <c r="G118" s="21">
        <f t="shared" si="2"/>
        <v>48000</v>
      </c>
      <c r="H118" s="18" t="s">
        <v>58</v>
      </c>
      <c r="I118" s="18">
        <v>103936063</v>
      </c>
      <c r="J118" s="18" t="s">
        <v>59</v>
      </c>
      <c r="K118" s="18" t="s">
        <v>70</v>
      </c>
      <c r="L118" s="18" t="s">
        <v>1048</v>
      </c>
      <c r="M118" s="18" t="b">
        <f t="shared" si="3"/>
        <v>1</v>
      </c>
    </row>
    <row r="119" spans="1:13" ht="31.2" x14ac:dyDescent="0.3">
      <c r="A119" s="18" t="s">
        <v>55</v>
      </c>
      <c r="B119" s="18" t="s">
        <v>980</v>
      </c>
      <c r="C119" s="19">
        <v>45749</v>
      </c>
      <c r="D119" s="18" t="s">
        <v>66</v>
      </c>
      <c r="E119" s="18" t="str">
        <f>IFERROR(VLOOKUP(TRIM(D119), Collection!$B$2:$D$1001, 2, FALSE), "")</f>
        <v>Historiques 222</v>
      </c>
      <c r="F119" s="21" t="str">
        <f>IFERROR(VLOOKUP(TRIM(D119), Collection!$B$2:$D$1001, 3, FALSE), "")</f>
        <v>121,000 AED</v>
      </c>
      <c r="G119" s="21">
        <f t="shared" si="2"/>
        <v>121000</v>
      </c>
      <c r="H119" s="18" t="s">
        <v>58</v>
      </c>
      <c r="I119" s="18">
        <v>103936063</v>
      </c>
      <c r="J119" s="18" t="s">
        <v>59</v>
      </c>
      <c r="K119" s="18" t="s">
        <v>70</v>
      </c>
      <c r="L119" s="18" t="s">
        <v>1049</v>
      </c>
      <c r="M119" s="18" t="b">
        <f t="shared" si="3"/>
        <v>0</v>
      </c>
    </row>
    <row r="120" spans="1:13" ht="31.2" x14ac:dyDescent="0.3">
      <c r="A120" s="18" t="s">
        <v>55</v>
      </c>
      <c r="B120" s="18" t="s">
        <v>980</v>
      </c>
      <c r="C120" s="19">
        <v>45749</v>
      </c>
      <c r="D120" s="18" t="s">
        <v>29</v>
      </c>
      <c r="E120" s="18" t="str">
        <f>IFERROR(VLOOKUP(TRIM(D120), Collection!$B$2:$D$1001, 2, FALSE), "")</f>
        <v>Fiftysix self-winding</v>
      </c>
      <c r="F120" s="21" t="str">
        <f>IFERROR(VLOOKUP(TRIM(D120), Collection!$B$2:$D$1001, 3, FALSE), "")</f>
        <v>48,000 AED</v>
      </c>
      <c r="G120" s="21">
        <f t="shared" si="2"/>
        <v>48000</v>
      </c>
      <c r="H120" s="18" t="s">
        <v>58</v>
      </c>
      <c r="I120" s="18">
        <v>103936120</v>
      </c>
      <c r="J120" s="18" t="s">
        <v>59</v>
      </c>
      <c r="K120" s="18" t="s">
        <v>67</v>
      </c>
      <c r="L120" s="18" t="s">
        <v>980</v>
      </c>
      <c r="M120" s="18" t="b">
        <f t="shared" si="3"/>
        <v>1</v>
      </c>
    </row>
    <row r="121" spans="1:13" ht="31.2" x14ac:dyDescent="0.3">
      <c r="A121" s="18" t="s">
        <v>55</v>
      </c>
      <c r="B121" s="18" t="s">
        <v>980</v>
      </c>
      <c r="C121" s="19">
        <v>45749</v>
      </c>
      <c r="D121" s="18" t="s">
        <v>66</v>
      </c>
      <c r="E121" s="18" t="str">
        <f>IFERROR(VLOOKUP(TRIM(D121), Collection!$B$2:$D$1001, 2, FALSE), "")</f>
        <v>Historiques 222</v>
      </c>
      <c r="F121" s="21" t="str">
        <f>IFERROR(VLOOKUP(TRIM(D121), Collection!$B$2:$D$1001, 3, FALSE), "")</f>
        <v>121,000 AED</v>
      </c>
      <c r="G121" s="21">
        <f t="shared" si="2"/>
        <v>121000</v>
      </c>
      <c r="H121" s="18" t="s">
        <v>58</v>
      </c>
      <c r="I121" s="18">
        <v>103873184</v>
      </c>
      <c r="J121" s="18" t="s">
        <v>59</v>
      </c>
      <c r="K121" s="18" t="s">
        <v>67</v>
      </c>
      <c r="L121" s="18" t="s">
        <v>980</v>
      </c>
      <c r="M121" s="18" t="b">
        <f t="shared" si="3"/>
        <v>0</v>
      </c>
    </row>
    <row r="122" spans="1:13" ht="31.2" x14ac:dyDescent="0.3">
      <c r="A122" s="18" t="s">
        <v>55</v>
      </c>
      <c r="B122" s="18" t="s">
        <v>980</v>
      </c>
      <c r="C122" s="19">
        <v>45749</v>
      </c>
      <c r="D122" s="18" t="s">
        <v>66</v>
      </c>
      <c r="E122" s="18" t="str">
        <f>IFERROR(VLOOKUP(TRIM(D122), Collection!$B$2:$D$1001, 2, FALSE), "")</f>
        <v>Historiques 222</v>
      </c>
      <c r="F122" s="21" t="str">
        <f>IFERROR(VLOOKUP(TRIM(D122), Collection!$B$2:$D$1001, 3, FALSE), "")</f>
        <v>121,000 AED</v>
      </c>
      <c r="G122" s="21">
        <f t="shared" si="2"/>
        <v>121000</v>
      </c>
      <c r="H122" s="18" t="s">
        <v>58</v>
      </c>
      <c r="I122" s="18">
        <v>103890141</v>
      </c>
      <c r="J122" s="18" t="s">
        <v>59</v>
      </c>
      <c r="K122" s="18" t="s">
        <v>67</v>
      </c>
      <c r="L122" s="18" t="s">
        <v>980</v>
      </c>
      <c r="M122" s="18" t="b">
        <f t="shared" si="3"/>
        <v>0</v>
      </c>
    </row>
    <row r="123" spans="1:13" ht="31.2" x14ac:dyDescent="0.3">
      <c r="A123" s="18" t="s">
        <v>55</v>
      </c>
      <c r="B123" s="18" t="s">
        <v>980</v>
      </c>
      <c r="C123" s="19">
        <v>45749</v>
      </c>
      <c r="D123" s="18" t="s">
        <v>66</v>
      </c>
      <c r="E123" s="18" t="str">
        <f>IFERROR(VLOOKUP(TRIM(D123), Collection!$B$2:$D$1001, 2, FALSE), "")</f>
        <v>Historiques 222</v>
      </c>
      <c r="F123" s="21" t="str">
        <f>IFERROR(VLOOKUP(TRIM(D123), Collection!$B$2:$D$1001, 3, FALSE), "")</f>
        <v>121,000 AED</v>
      </c>
      <c r="G123" s="21">
        <f t="shared" si="2"/>
        <v>121000</v>
      </c>
      <c r="H123" s="18" t="s">
        <v>58</v>
      </c>
      <c r="I123" s="18">
        <v>103844198</v>
      </c>
      <c r="J123" s="18" t="s">
        <v>59</v>
      </c>
      <c r="K123" s="18" t="s">
        <v>67</v>
      </c>
      <c r="L123" s="18" t="s">
        <v>980</v>
      </c>
      <c r="M123" s="18" t="b">
        <f t="shared" si="3"/>
        <v>0</v>
      </c>
    </row>
    <row r="124" spans="1:13" ht="78" x14ac:dyDescent="0.3">
      <c r="A124" s="18" t="s">
        <v>55</v>
      </c>
      <c r="B124" s="18" t="s">
        <v>980</v>
      </c>
      <c r="C124" s="19">
        <v>45749</v>
      </c>
      <c r="D124" s="18" t="s">
        <v>351</v>
      </c>
      <c r="E124" s="18" t="str">
        <f>IFERROR(VLOOKUP(TRIM(D124), Collection!$B$2:$D$1001, 2, FALSE), "")</f>
        <v>Patrimony retrograde day-date</v>
      </c>
      <c r="F124" s="21" t="str">
        <f>IFERROR(VLOOKUP(TRIM(D124), Collection!$B$2:$D$1001, 3, FALSE), "")</f>
        <v>234,000 AED</v>
      </c>
      <c r="G124" s="21">
        <f t="shared" si="2"/>
        <v>234000</v>
      </c>
      <c r="H124" s="18" t="s">
        <v>58</v>
      </c>
      <c r="I124" s="18">
        <v>103677618</v>
      </c>
      <c r="J124" s="18" t="s">
        <v>59</v>
      </c>
      <c r="K124" s="18" t="s">
        <v>60</v>
      </c>
      <c r="L124" s="18" t="s">
        <v>1050</v>
      </c>
      <c r="M124" s="18" t="b">
        <f t="shared" si="3"/>
        <v>0</v>
      </c>
    </row>
    <row r="125" spans="1:13" ht="31.2" x14ac:dyDescent="0.3">
      <c r="A125" s="18" t="s">
        <v>55</v>
      </c>
      <c r="B125" s="18" t="s">
        <v>980</v>
      </c>
      <c r="C125" s="19">
        <v>45749</v>
      </c>
      <c r="D125" s="18" t="s">
        <v>27</v>
      </c>
      <c r="E125" s="18" t="str">
        <f>IFERROR(VLOOKUP(TRIM(D125), Collection!$B$2:$D$1001, 2, FALSE), "")</f>
        <v>Historiques 222</v>
      </c>
      <c r="F125" s="21" t="str">
        <f>IFERROR(VLOOKUP(TRIM(D125), Collection!$B$2:$D$1001, 3, FALSE), "")</f>
        <v>279,000 AED</v>
      </c>
      <c r="G125" s="21">
        <f t="shared" si="2"/>
        <v>279000</v>
      </c>
      <c r="H125" s="18" t="s">
        <v>58</v>
      </c>
      <c r="I125" s="18">
        <v>103677618</v>
      </c>
      <c r="J125" s="18" t="s">
        <v>59</v>
      </c>
      <c r="K125" s="18" t="s">
        <v>60</v>
      </c>
      <c r="L125" s="18" t="s">
        <v>1051</v>
      </c>
      <c r="M125" s="18" t="b">
        <f t="shared" si="3"/>
        <v>1</v>
      </c>
    </row>
    <row r="126" spans="1:13" ht="62.4" x14ac:dyDescent="0.3">
      <c r="A126" s="18" t="s">
        <v>55</v>
      </c>
      <c r="B126" s="18" t="s">
        <v>980</v>
      </c>
      <c r="C126" s="19">
        <v>45749</v>
      </c>
      <c r="D126" s="18" t="s">
        <v>37</v>
      </c>
      <c r="E126" s="18" t="str">
        <f>IFERROR(VLOOKUP(TRIM(D126), Collection!$B$2:$D$1001, 2, FALSE), "")</f>
        <v>Overseas moon phase retrograde date</v>
      </c>
      <c r="F126" s="21" t="str">
        <f>IFERROR(VLOOKUP(TRIM(D126), Collection!$B$2:$D$1001, 3, FALSE), "")</f>
        <v>166,000 AED</v>
      </c>
      <c r="G126" s="21">
        <f t="shared" si="2"/>
        <v>166000</v>
      </c>
      <c r="H126" s="18" t="s">
        <v>58</v>
      </c>
      <c r="I126" s="18">
        <v>103658184</v>
      </c>
      <c r="J126" s="18" t="s">
        <v>59</v>
      </c>
      <c r="K126" s="18" t="s">
        <v>60</v>
      </c>
      <c r="L126" s="18" t="s">
        <v>1052</v>
      </c>
      <c r="M126" s="18" t="b">
        <f t="shared" si="3"/>
        <v>0</v>
      </c>
    </row>
    <row r="127" spans="1:13" ht="31.2" x14ac:dyDescent="0.3">
      <c r="A127" s="18" t="s">
        <v>55</v>
      </c>
      <c r="B127" s="18" t="s">
        <v>980</v>
      </c>
      <c r="C127" s="18" t="s">
        <v>356</v>
      </c>
      <c r="D127" s="18" t="s">
        <v>66</v>
      </c>
      <c r="E127" s="18" t="str">
        <f>IFERROR(VLOOKUP(TRIM(D127), Collection!$B$2:$D$1001, 2, FALSE), "")</f>
        <v>Historiques 222</v>
      </c>
      <c r="F127" s="21" t="str">
        <f>IFERROR(VLOOKUP(TRIM(D127), Collection!$B$2:$D$1001, 3, FALSE), "")</f>
        <v>121,000 AED</v>
      </c>
      <c r="G127" s="21">
        <f t="shared" si="2"/>
        <v>121000</v>
      </c>
      <c r="H127" s="18" t="s">
        <v>58</v>
      </c>
      <c r="I127" s="18">
        <v>103844750</v>
      </c>
      <c r="J127" s="18" t="s">
        <v>59</v>
      </c>
      <c r="K127" s="18" t="s">
        <v>67</v>
      </c>
      <c r="L127" s="18" t="s">
        <v>980</v>
      </c>
      <c r="M127" s="18" t="b">
        <f t="shared" si="3"/>
        <v>0</v>
      </c>
    </row>
    <row r="128" spans="1:13" ht="62.4" x14ac:dyDescent="0.3">
      <c r="A128" s="18" t="s">
        <v>55</v>
      </c>
      <c r="B128" s="18" t="s">
        <v>980</v>
      </c>
      <c r="C128" s="18" t="s">
        <v>356</v>
      </c>
      <c r="D128" s="18" t="s">
        <v>75</v>
      </c>
      <c r="E128" s="18" t="str">
        <f>IFERROR(VLOOKUP(TRIM(D128), Collection!$B$2:$D$1001, 2, FALSE), "")</f>
        <v>Overseas self-winding</v>
      </c>
      <c r="F128" s="21" t="str">
        <f>IFERROR(VLOOKUP(TRIM(D128), Collection!$B$2:$D$1001, 3, FALSE), "")</f>
        <v>94,500 AED</v>
      </c>
      <c r="G128" s="21">
        <f t="shared" si="2"/>
        <v>94500</v>
      </c>
      <c r="H128" s="18" t="s">
        <v>58</v>
      </c>
      <c r="I128" s="18">
        <v>101917600</v>
      </c>
      <c r="J128" s="18" t="s">
        <v>59</v>
      </c>
      <c r="K128" s="18" t="s">
        <v>67</v>
      </c>
      <c r="L128" s="18" t="s">
        <v>1053</v>
      </c>
      <c r="M128" s="18" t="b">
        <f t="shared" si="3"/>
        <v>0</v>
      </c>
    </row>
    <row r="129" spans="1:13" ht="31.2" x14ac:dyDescent="0.3">
      <c r="A129" s="18" t="s">
        <v>55</v>
      </c>
      <c r="B129" s="18" t="s">
        <v>980</v>
      </c>
      <c r="C129" s="18" t="s">
        <v>360</v>
      </c>
      <c r="D129" s="18" t="s">
        <v>66</v>
      </c>
      <c r="E129" s="18" t="str">
        <f>IFERROR(VLOOKUP(TRIM(D129), Collection!$B$2:$D$1001, 2, FALSE), "")</f>
        <v>Historiques 222</v>
      </c>
      <c r="F129" s="21" t="str">
        <f>IFERROR(VLOOKUP(TRIM(D129), Collection!$B$2:$D$1001, 3, FALSE), "")</f>
        <v>121,000 AED</v>
      </c>
      <c r="G129" s="21">
        <f t="shared" si="2"/>
        <v>121000</v>
      </c>
      <c r="H129" s="18" t="s">
        <v>58</v>
      </c>
      <c r="I129" s="18">
        <v>103842376</v>
      </c>
      <c r="J129" s="18" t="s">
        <v>59</v>
      </c>
      <c r="K129" s="18" t="s">
        <v>67</v>
      </c>
      <c r="L129" s="18" t="s">
        <v>980</v>
      </c>
      <c r="M129" s="18" t="b">
        <f t="shared" si="3"/>
        <v>0</v>
      </c>
    </row>
    <row r="130" spans="1:13" ht="31.2" x14ac:dyDescent="0.3">
      <c r="A130" s="18" t="s">
        <v>25</v>
      </c>
      <c r="B130" s="18" t="s">
        <v>95</v>
      </c>
      <c r="C130" s="18" t="s">
        <v>360</v>
      </c>
      <c r="D130" s="18" t="s">
        <v>22</v>
      </c>
      <c r="E130" s="18" t="str">
        <f>IFERROR(VLOOKUP(TRIM(D130), Collection!$B$2:$D$1001, 2, FALSE), "")</f>
        <v>Overseas dual time Blue</v>
      </c>
      <c r="F130" s="21" t="str">
        <f>IFERROR(VLOOKUP(TRIM(D130), Collection!$B$2:$D$1001, 3, FALSE), "")</f>
        <v>117,000 AED</v>
      </c>
      <c r="G130" s="21">
        <f t="shared" ref="G130:G193" si="4">IFERROR(VALUE(SUBSTITUTE(SUBSTITUTE(F130, "Price", ""), "AED", "")), "")</f>
        <v>117000</v>
      </c>
      <c r="H130" s="18" t="s">
        <v>58</v>
      </c>
      <c r="I130" s="18">
        <v>91001874</v>
      </c>
      <c r="J130" s="18" t="s">
        <v>59</v>
      </c>
      <c r="K130" s="18" t="s">
        <v>70</v>
      </c>
      <c r="L130" s="18" t="s">
        <v>1054</v>
      </c>
      <c r="M130" s="18" t="b">
        <f t="shared" ref="M130:M193" si="5">IF(COUNTIF($R$3:$R$100, D130) &gt; 0, TRUE, FALSE)</f>
        <v>0</v>
      </c>
    </row>
    <row r="131" spans="1:13" ht="31.2" x14ac:dyDescent="0.3">
      <c r="A131" s="18" t="s">
        <v>55</v>
      </c>
      <c r="B131" s="18" t="s">
        <v>980</v>
      </c>
      <c r="C131" s="18" t="s">
        <v>360</v>
      </c>
      <c r="D131" s="18" t="s">
        <v>66</v>
      </c>
      <c r="E131" s="18" t="str">
        <f>IFERROR(VLOOKUP(TRIM(D131), Collection!$B$2:$D$1001, 2, FALSE), "")</f>
        <v>Historiques 222</v>
      </c>
      <c r="F131" s="21" t="str">
        <f>IFERROR(VLOOKUP(TRIM(D131), Collection!$B$2:$D$1001, 3, FALSE), "")</f>
        <v>121,000 AED</v>
      </c>
      <c r="G131" s="21">
        <f t="shared" si="4"/>
        <v>121000</v>
      </c>
      <c r="H131" s="18" t="s">
        <v>58</v>
      </c>
      <c r="I131" s="18">
        <v>103831073</v>
      </c>
      <c r="J131" s="18" t="s">
        <v>59</v>
      </c>
      <c r="K131" s="18" t="s">
        <v>60</v>
      </c>
      <c r="L131" s="18" t="s">
        <v>980</v>
      </c>
      <c r="M131" s="18" t="b">
        <f t="shared" si="5"/>
        <v>0</v>
      </c>
    </row>
    <row r="132" spans="1:13" ht="62.4" x14ac:dyDescent="0.3">
      <c r="A132" s="18" t="s">
        <v>55</v>
      </c>
      <c r="B132" s="18" t="s">
        <v>980</v>
      </c>
      <c r="C132" s="18" t="s">
        <v>360</v>
      </c>
      <c r="D132" s="18" t="s">
        <v>27</v>
      </c>
      <c r="E132" s="18" t="str">
        <f>IFERROR(VLOOKUP(TRIM(D132), Collection!$B$2:$D$1001, 2, FALSE), "")</f>
        <v>Historiques 222</v>
      </c>
      <c r="F132" s="21" t="str">
        <f>IFERROR(VLOOKUP(TRIM(D132), Collection!$B$2:$D$1001, 3, FALSE), "")</f>
        <v>279,000 AED</v>
      </c>
      <c r="G132" s="21">
        <f t="shared" si="4"/>
        <v>279000</v>
      </c>
      <c r="H132" s="18" t="s">
        <v>58</v>
      </c>
      <c r="I132" s="18">
        <v>101584631</v>
      </c>
      <c r="J132" s="18" t="s">
        <v>59</v>
      </c>
      <c r="K132" s="18" t="s">
        <v>70</v>
      </c>
      <c r="L132" s="18" t="s">
        <v>1055</v>
      </c>
      <c r="M132" s="18" t="b">
        <f t="shared" si="5"/>
        <v>1</v>
      </c>
    </row>
    <row r="133" spans="1:13" ht="62.4" x14ac:dyDescent="0.3">
      <c r="A133" s="18" t="s">
        <v>55</v>
      </c>
      <c r="B133" s="18" t="s">
        <v>980</v>
      </c>
      <c r="C133" s="18" t="s">
        <v>366</v>
      </c>
      <c r="D133" s="18" t="s">
        <v>367</v>
      </c>
      <c r="E133" s="18" t="str">
        <f>IFERROR(VLOOKUP(TRIM(D133), Collection!$B$2:$D$1001, 2, FALSE), "")</f>
        <v>Overseas perpetual calendar ultra-thin skeleton</v>
      </c>
      <c r="F133" s="21" t="str">
        <f>IFERROR(VLOOKUP(TRIM(D133), Collection!$B$2:$D$1001, 3, FALSE), "")</f>
        <v>605,000 AED</v>
      </c>
      <c r="G133" s="21">
        <f t="shared" si="4"/>
        <v>605000</v>
      </c>
      <c r="H133" s="18" t="s">
        <v>58</v>
      </c>
      <c r="I133" s="18">
        <v>103845937</v>
      </c>
      <c r="J133" s="18" t="s">
        <v>59</v>
      </c>
      <c r="K133" s="18" t="s">
        <v>60</v>
      </c>
      <c r="L133" s="18" t="s">
        <v>1056</v>
      </c>
      <c r="M133" s="18" t="b">
        <f t="shared" si="5"/>
        <v>0</v>
      </c>
    </row>
    <row r="134" spans="1:13" ht="202.8" x14ac:dyDescent="0.3">
      <c r="A134" s="18" t="s">
        <v>55</v>
      </c>
      <c r="B134" s="18" t="s">
        <v>980</v>
      </c>
      <c r="C134" s="18" t="s">
        <v>366</v>
      </c>
      <c r="D134" s="18" t="s">
        <v>22</v>
      </c>
      <c r="E134" s="18" t="str">
        <f>IFERROR(VLOOKUP(TRIM(D134), Collection!$B$2:$D$1001, 2, FALSE), "")</f>
        <v>Overseas dual time Blue</v>
      </c>
      <c r="F134" s="21" t="str">
        <f>IFERROR(VLOOKUP(TRIM(D134), Collection!$B$2:$D$1001, 3, FALSE), "")</f>
        <v>117,000 AED</v>
      </c>
      <c r="G134" s="21">
        <f t="shared" si="4"/>
        <v>117000</v>
      </c>
      <c r="H134" s="18" t="s">
        <v>58</v>
      </c>
      <c r="I134" s="18">
        <v>103848588</v>
      </c>
      <c r="J134" s="18" t="s">
        <v>59</v>
      </c>
      <c r="K134" s="18" t="s">
        <v>60</v>
      </c>
      <c r="L134" s="18" t="s">
        <v>1057</v>
      </c>
      <c r="M134" s="18" t="b">
        <f t="shared" si="5"/>
        <v>0</v>
      </c>
    </row>
    <row r="135" spans="1:13" ht="140.4" x14ac:dyDescent="0.3">
      <c r="A135" s="18" t="s">
        <v>55</v>
      </c>
      <c r="B135" s="18" t="s">
        <v>980</v>
      </c>
      <c r="C135" s="18" t="s">
        <v>366</v>
      </c>
      <c r="D135" s="18" t="s">
        <v>41</v>
      </c>
      <c r="E135" s="18" t="str">
        <f>IFERROR(VLOOKUP(TRIM(D135), Collection!$B$2:$D$1001, 2, FALSE), "")</f>
        <v>Overseas dual time Black</v>
      </c>
      <c r="F135" s="21" t="str">
        <f>IFERROR(VLOOKUP(TRIM(D135), Collection!$B$2:$D$1001, 3, FALSE), "")</f>
        <v>117,000 AED</v>
      </c>
      <c r="G135" s="21">
        <f t="shared" si="4"/>
        <v>117000</v>
      </c>
      <c r="H135" s="18" t="s">
        <v>58</v>
      </c>
      <c r="I135" s="18">
        <v>103848588</v>
      </c>
      <c r="J135" s="18" t="s">
        <v>59</v>
      </c>
      <c r="K135" s="18" t="s">
        <v>60</v>
      </c>
      <c r="L135" s="18" t="s">
        <v>1058</v>
      </c>
      <c r="M135" s="18" t="b">
        <f t="shared" si="5"/>
        <v>0</v>
      </c>
    </row>
    <row r="136" spans="1:13" ht="31.2" x14ac:dyDescent="0.3">
      <c r="A136" s="18" t="s">
        <v>55</v>
      </c>
      <c r="B136" s="18" t="s">
        <v>980</v>
      </c>
      <c r="C136" s="18" t="s">
        <v>366</v>
      </c>
      <c r="D136" s="18" t="s">
        <v>66</v>
      </c>
      <c r="E136" s="18" t="str">
        <f>IFERROR(VLOOKUP(TRIM(D136), Collection!$B$2:$D$1001, 2, FALSE), "")</f>
        <v>Historiques 222</v>
      </c>
      <c r="F136" s="21" t="str">
        <f>IFERROR(VLOOKUP(TRIM(D136), Collection!$B$2:$D$1001, 3, FALSE), "")</f>
        <v>121,000 AED</v>
      </c>
      <c r="G136" s="21">
        <f t="shared" si="4"/>
        <v>121000</v>
      </c>
      <c r="H136" s="18" t="s">
        <v>58</v>
      </c>
      <c r="I136" s="18">
        <v>103848588</v>
      </c>
      <c r="J136" s="18" t="s">
        <v>59</v>
      </c>
      <c r="K136" s="18" t="s">
        <v>60</v>
      </c>
      <c r="L136" s="18" t="s">
        <v>980</v>
      </c>
      <c r="M136" s="18" t="b">
        <f t="shared" si="5"/>
        <v>0</v>
      </c>
    </row>
    <row r="137" spans="1:13" ht="31.2" x14ac:dyDescent="0.3">
      <c r="A137" s="18" t="s">
        <v>55</v>
      </c>
      <c r="B137" s="18" t="s">
        <v>980</v>
      </c>
      <c r="C137" s="18" t="s">
        <v>373</v>
      </c>
      <c r="D137" s="18" t="s">
        <v>66</v>
      </c>
      <c r="E137" s="18" t="str">
        <f>IFERROR(VLOOKUP(TRIM(D137), Collection!$B$2:$D$1001, 2, FALSE), "")</f>
        <v>Historiques 222</v>
      </c>
      <c r="F137" s="21" t="str">
        <f>IFERROR(VLOOKUP(TRIM(D137), Collection!$B$2:$D$1001, 3, FALSE), "")</f>
        <v>121,000 AED</v>
      </c>
      <c r="G137" s="21">
        <f t="shared" si="4"/>
        <v>121000</v>
      </c>
      <c r="H137" s="18" t="s">
        <v>58</v>
      </c>
      <c r="I137" s="18">
        <v>103830768</v>
      </c>
      <c r="J137" s="18" t="s">
        <v>59</v>
      </c>
      <c r="K137" s="18" t="s">
        <v>67</v>
      </c>
      <c r="L137" s="18" t="s">
        <v>980</v>
      </c>
      <c r="M137" s="18" t="b">
        <f t="shared" si="5"/>
        <v>0</v>
      </c>
    </row>
    <row r="138" spans="1:13" ht="31.2" x14ac:dyDescent="0.3">
      <c r="A138" s="18" t="s">
        <v>55</v>
      </c>
      <c r="B138" s="18" t="s">
        <v>980</v>
      </c>
      <c r="C138" s="18" t="s">
        <v>373</v>
      </c>
      <c r="D138" s="18" t="s">
        <v>35</v>
      </c>
      <c r="E138" s="18" t="str">
        <f>IFERROR(VLOOKUP(TRIM(D138), Collection!$B$2:$D$1001, 2, FALSE), "")</f>
        <v>Overseas self-winding</v>
      </c>
      <c r="F138" s="21" t="str">
        <f>IFERROR(VLOOKUP(TRIM(D138), Collection!$B$2:$D$1001, 3, FALSE), "")</f>
        <v>94,500 AED</v>
      </c>
      <c r="G138" s="21">
        <f t="shared" si="4"/>
        <v>94500</v>
      </c>
      <c r="H138" s="18" t="s">
        <v>58</v>
      </c>
      <c r="I138" s="18">
        <v>103415632</v>
      </c>
      <c r="J138" s="18" t="s">
        <v>59</v>
      </c>
      <c r="K138" s="18" t="s">
        <v>67</v>
      </c>
      <c r="L138" s="18" t="s">
        <v>980</v>
      </c>
      <c r="M138" s="18" t="b">
        <f t="shared" si="5"/>
        <v>0</v>
      </c>
    </row>
    <row r="139" spans="1:13" ht="31.2" x14ac:dyDescent="0.3">
      <c r="A139" s="18" t="s">
        <v>55</v>
      </c>
      <c r="B139" s="18" t="s">
        <v>980</v>
      </c>
      <c r="C139" s="18" t="s">
        <v>373</v>
      </c>
      <c r="D139" s="18" t="s">
        <v>66</v>
      </c>
      <c r="E139" s="18" t="str">
        <f>IFERROR(VLOOKUP(TRIM(D139), Collection!$B$2:$D$1001, 2, FALSE), "")</f>
        <v>Historiques 222</v>
      </c>
      <c r="F139" s="21" t="str">
        <f>IFERROR(VLOOKUP(TRIM(D139), Collection!$B$2:$D$1001, 3, FALSE), "")</f>
        <v>121,000 AED</v>
      </c>
      <c r="G139" s="21">
        <f t="shared" si="4"/>
        <v>121000</v>
      </c>
      <c r="H139" s="18" t="s">
        <v>58</v>
      </c>
      <c r="I139" s="18">
        <v>103832238</v>
      </c>
      <c r="J139" s="18" t="s">
        <v>59</v>
      </c>
      <c r="K139" s="18" t="s">
        <v>67</v>
      </c>
      <c r="L139" s="18" t="s">
        <v>980</v>
      </c>
      <c r="M139" s="18" t="b">
        <f t="shared" si="5"/>
        <v>0</v>
      </c>
    </row>
    <row r="140" spans="1:13" ht="31.2" x14ac:dyDescent="0.3">
      <c r="A140" s="18" t="s">
        <v>55</v>
      </c>
      <c r="B140" s="18" t="s">
        <v>980</v>
      </c>
      <c r="C140" s="18" t="s">
        <v>373</v>
      </c>
      <c r="D140" s="18" t="s">
        <v>22</v>
      </c>
      <c r="E140" s="18" t="str">
        <f>IFERROR(VLOOKUP(TRIM(D140), Collection!$B$2:$D$1001, 2, FALSE), "")</f>
        <v>Overseas dual time Blue</v>
      </c>
      <c r="F140" s="21" t="str">
        <f>IFERROR(VLOOKUP(TRIM(D140), Collection!$B$2:$D$1001, 3, FALSE), "")</f>
        <v>117,000 AED</v>
      </c>
      <c r="G140" s="21">
        <f t="shared" si="4"/>
        <v>117000</v>
      </c>
      <c r="H140" s="18" t="s">
        <v>58</v>
      </c>
      <c r="I140" s="18">
        <v>103647896</v>
      </c>
      <c r="J140" s="18" t="s">
        <v>59</v>
      </c>
      <c r="K140" s="18" t="s">
        <v>67</v>
      </c>
      <c r="L140" s="18" t="s">
        <v>980</v>
      </c>
      <c r="M140" s="18" t="b">
        <f t="shared" si="5"/>
        <v>0</v>
      </c>
    </row>
    <row r="141" spans="1:13" ht="31.2" x14ac:dyDescent="0.3">
      <c r="A141" s="18" t="s">
        <v>55</v>
      </c>
      <c r="B141" s="18" t="s">
        <v>980</v>
      </c>
      <c r="C141" s="18" t="s">
        <v>373</v>
      </c>
      <c r="D141" s="18" t="s">
        <v>66</v>
      </c>
      <c r="E141" s="18" t="str">
        <f>IFERROR(VLOOKUP(TRIM(D141), Collection!$B$2:$D$1001, 2, FALSE), "")</f>
        <v>Historiques 222</v>
      </c>
      <c r="F141" s="21" t="str">
        <f>IFERROR(VLOOKUP(TRIM(D141), Collection!$B$2:$D$1001, 3, FALSE), "")</f>
        <v>121,000 AED</v>
      </c>
      <c r="G141" s="21">
        <f t="shared" si="4"/>
        <v>121000</v>
      </c>
      <c r="H141" s="18" t="s">
        <v>58</v>
      </c>
      <c r="I141" s="18">
        <v>103671258</v>
      </c>
      <c r="J141" s="18" t="s">
        <v>59</v>
      </c>
      <c r="K141" s="18" t="s">
        <v>67</v>
      </c>
      <c r="L141" s="18" t="s">
        <v>980</v>
      </c>
      <c r="M141" s="18" t="b">
        <f t="shared" si="5"/>
        <v>0</v>
      </c>
    </row>
    <row r="142" spans="1:13" ht="31.2" x14ac:dyDescent="0.3">
      <c r="A142" s="18" t="s">
        <v>55</v>
      </c>
      <c r="B142" s="18" t="s">
        <v>980</v>
      </c>
      <c r="C142" s="18" t="s">
        <v>379</v>
      </c>
      <c r="D142" s="18" t="s">
        <v>32</v>
      </c>
      <c r="E142" s="18" t="str">
        <f>IFERROR(VLOOKUP(TRIM(D142), Collection!$B$2:$D$1001, 2, FALSE), "")</f>
        <v>Overseas dual time Silver</v>
      </c>
      <c r="F142" s="21" t="str">
        <f>IFERROR(VLOOKUP(TRIM(D142), Collection!$B$2:$D$1001, 3, FALSE), "")</f>
        <v>117,000 AED</v>
      </c>
      <c r="G142" s="21">
        <f t="shared" si="4"/>
        <v>117000</v>
      </c>
      <c r="H142" s="18" t="s">
        <v>58</v>
      </c>
      <c r="I142" s="18">
        <v>102442135</v>
      </c>
      <c r="J142" s="18" t="s">
        <v>59</v>
      </c>
      <c r="K142" s="18" t="s">
        <v>67</v>
      </c>
      <c r="L142" s="18" t="s">
        <v>980</v>
      </c>
      <c r="M142" s="18" t="b">
        <f t="shared" si="5"/>
        <v>0</v>
      </c>
    </row>
    <row r="143" spans="1:13" ht="31.2" x14ac:dyDescent="0.3">
      <c r="A143" s="18" t="s">
        <v>55</v>
      </c>
      <c r="B143" s="18" t="s">
        <v>980</v>
      </c>
      <c r="C143" s="18" t="s">
        <v>379</v>
      </c>
      <c r="D143" s="18" t="s">
        <v>66</v>
      </c>
      <c r="E143" s="18" t="str">
        <f>IFERROR(VLOOKUP(TRIM(D143), Collection!$B$2:$D$1001, 2, FALSE), "")</f>
        <v>Historiques 222</v>
      </c>
      <c r="F143" s="21" t="str">
        <f>IFERROR(VLOOKUP(TRIM(D143), Collection!$B$2:$D$1001, 3, FALSE), "")</f>
        <v>121,000 AED</v>
      </c>
      <c r="G143" s="21">
        <f t="shared" si="4"/>
        <v>121000</v>
      </c>
      <c r="H143" s="18" t="s">
        <v>58</v>
      </c>
      <c r="I143" s="18">
        <v>103670555</v>
      </c>
      <c r="J143" s="18" t="s">
        <v>59</v>
      </c>
      <c r="K143" s="18" t="s">
        <v>60</v>
      </c>
      <c r="L143" s="18" t="s">
        <v>980</v>
      </c>
      <c r="M143" s="18" t="b">
        <f t="shared" si="5"/>
        <v>0</v>
      </c>
    </row>
    <row r="144" spans="1:13" ht="31.2" x14ac:dyDescent="0.3">
      <c r="A144" s="18" t="s">
        <v>55</v>
      </c>
      <c r="B144" s="18" t="s">
        <v>980</v>
      </c>
      <c r="C144" s="18" t="s">
        <v>379</v>
      </c>
      <c r="D144" s="18" t="s">
        <v>66</v>
      </c>
      <c r="E144" s="18" t="str">
        <f>IFERROR(VLOOKUP(TRIM(D144), Collection!$B$2:$D$1001, 2, FALSE), "")</f>
        <v>Historiques 222</v>
      </c>
      <c r="F144" s="21" t="str">
        <f>IFERROR(VLOOKUP(TRIM(D144), Collection!$B$2:$D$1001, 3, FALSE), "")</f>
        <v>121,000 AED</v>
      </c>
      <c r="G144" s="21">
        <f t="shared" si="4"/>
        <v>121000</v>
      </c>
      <c r="H144" s="18" t="s">
        <v>58</v>
      </c>
      <c r="I144" s="18">
        <v>103834361</v>
      </c>
      <c r="J144" s="18" t="s">
        <v>59</v>
      </c>
      <c r="K144" s="18" t="s">
        <v>60</v>
      </c>
      <c r="L144" s="18" t="s">
        <v>980</v>
      </c>
      <c r="M144" s="18" t="b">
        <f t="shared" si="5"/>
        <v>0</v>
      </c>
    </row>
    <row r="145" spans="1:13" ht="31.2" x14ac:dyDescent="0.3">
      <c r="A145" s="18" t="s">
        <v>55</v>
      </c>
      <c r="B145" s="18" t="s">
        <v>980</v>
      </c>
      <c r="C145" s="18" t="s">
        <v>383</v>
      </c>
      <c r="D145" s="18" t="s">
        <v>66</v>
      </c>
      <c r="E145" s="18" t="str">
        <f>IFERROR(VLOOKUP(TRIM(D145), Collection!$B$2:$D$1001, 2, FALSE), "")</f>
        <v>Historiques 222</v>
      </c>
      <c r="F145" s="21" t="str">
        <f>IFERROR(VLOOKUP(TRIM(D145), Collection!$B$2:$D$1001, 3, FALSE), "")</f>
        <v>121,000 AED</v>
      </c>
      <c r="G145" s="21">
        <f t="shared" si="4"/>
        <v>121000</v>
      </c>
      <c r="H145" s="18" t="s">
        <v>58</v>
      </c>
      <c r="I145" s="18">
        <v>103648743</v>
      </c>
      <c r="J145" s="18" t="s">
        <v>59</v>
      </c>
      <c r="K145" s="18" t="s">
        <v>67</v>
      </c>
      <c r="L145" s="18" t="s">
        <v>980</v>
      </c>
      <c r="M145" s="18" t="b">
        <f t="shared" si="5"/>
        <v>0</v>
      </c>
    </row>
    <row r="146" spans="1:13" ht="31.2" x14ac:dyDescent="0.3">
      <c r="A146" s="18" t="s">
        <v>55</v>
      </c>
      <c r="B146" s="18" t="s">
        <v>980</v>
      </c>
      <c r="C146" s="18" t="s">
        <v>383</v>
      </c>
      <c r="D146" s="18" t="s">
        <v>66</v>
      </c>
      <c r="E146" s="18" t="str">
        <f>IFERROR(VLOOKUP(TRIM(D146), Collection!$B$2:$D$1001, 2, FALSE), "")</f>
        <v>Historiques 222</v>
      </c>
      <c r="F146" s="21" t="str">
        <f>IFERROR(VLOOKUP(TRIM(D146), Collection!$B$2:$D$1001, 3, FALSE), "")</f>
        <v>121,000 AED</v>
      </c>
      <c r="G146" s="21">
        <f t="shared" si="4"/>
        <v>121000</v>
      </c>
      <c r="H146" s="18" t="s">
        <v>58</v>
      </c>
      <c r="I146" s="18">
        <v>103775089</v>
      </c>
      <c r="J146" s="18" t="s">
        <v>59</v>
      </c>
      <c r="K146" s="18" t="s">
        <v>60</v>
      </c>
      <c r="L146" s="18" t="s">
        <v>980</v>
      </c>
      <c r="M146" s="18" t="b">
        <f t="shared" si="5"/>
        <v>0</v>
      </c>
    </row>
    <row r="147" spans="1:13" ht="31.2" x14ac:dyDescent="0.3">
      <c r="A147" s="18" t="s">
        <v>55</v>
      </c>
      <c r="B147" s="18" t="s">
        <v>980</v>
      </c>
      <c r="C147" s="18" t="s">
        <v>383</v>
      </c>
      <c r="D147" s="18" t="s">
        <v>66</v>
      </c>
      <c r="E147" s="18" t="str">
        <f>IFERROR(VLOOKUP(TRIM(D147), Collection!$B$2:$D$1001, 2, FALSE), "")</f>
        <v>Historiques 222</v>
      </c>
      <c r="F147" s="21" t="str">
        <f>IFERROR(VLOOKUP(TRIM(D147), Collection!$B$2:$D$1001, 3, FALSE), "")</f>
        <v>121,000 AED</v>
      </c>
      <c r="G147" s="21">
        <f t="shared" si="4"/>
        <v>121000</v>
      </c>
      <c r="H147" s="18" t="s">
        <v>58</v>
      </c>
      <c r="I147" s="18">
        <v>103756750</v>
      </c>
      <c r="J147" s="18" t="s">
        <v>59</v>
      </c>
      <c r="K147" s="18" t="s">
        <v>70</v>
      </c>
      <c r="L147" s="18" t="s">
        <v>1059</v>
      </c>
      <c r="M147" s="18" t="b">
        <f t="shared" si="5"/>
        <v>0</v>
      </c>
    </row>
    <row r="148" spans="1:13" ht="31.2" x14ac:dyDescent="0.3">
      <c r="A148" s="18" t="s">
        <v>55</v>
      </c>
      <c r="B148" s="18" t="s">
        <v>980</v>
      </c>
      <c r="C148" s="18" t="s">
        <v>383</v>
      </c>
      <c r="D148" s="18" t="s">
        <v>66</v>
      </c>
      <c r="E148" s="18" t="str">
        <f>IFERROR(VLOOKUP(TRIM(D148), Collection!$B$2:$D$1001, 2, FALSE), "")</f>
        <v>Historiques 222</v>
      </c>
      <c r="F148" s="21" t="str">
        <f>IFERROR(VLOOKUP(TRIM(D148), Collection!$B$2:$D$1001, 3, FALSE), "")</f>
        <v>121,000 AED</v>
      </c>
      <c r="G148" s="21">
        <f t="shared" si="4"/>
        <v>121000</v>
      </c>
      <c r="H148" s="18" t="s">
        <v>58</v>
      </c>
      <c r="I148" s="18">
        <v>103784220</v>
      </c>
      <c r="J148" s="18" t="s">
        <v>59</v>
      </c>
      <c r="K148" s="18" t="s">
        <v>70</v>
      </c>
      <c r="L148" s="18" t="s">
        <v>1060</v>
      </c>
      <c r="M148" s="18" t="b">
        <f t="shared" si="5"/>
        <v>0</v>
      </c>
    </row>
    <row r="149" spans="1:13" ht="31.2" x14ac:dyDescent="0.3">
      <c r="A149" s="18" t="s">
        <v>55</v>
      </c>
      <c r="B149" s="18" t="s">
        <v>980</v>
      </c>
      <c r="C149" s="18" t="s">
        <v>390</v>
      </c>
      <c r="D149" s="18" t="s">
        <v>22</v>
      </c>
      <c r="E149" s="18" t="str">
        <f>IFERROR(VLOOKUP(TRIM(D149), Collection!$B$2:$D$1001, 2, FALSE), "")</f>
        <v>Overseas dual time Blue</v>
      </c>
      <c r="F149" s="21" t="str">
        <f>IFERROR(VLOOKUP(TRIM(D149), Collection!$B$2:$D$1001, 3, FALSE), "")</f>
        <v>117,000 AED</v>
      </c>
      <c r="G149" s="21">
        <f t="shared" si="4"/>
        <v>117000</v>
      </c>
      <c r="H149" s="18" t="s">
        <v>58</v>
      </c>
      <c r="I149" s="18">
        <v>103744983</v>
      </c>
      <c r="J149" s="18" t="s">
        <v>59</v>
      </c>
      <c r="K149" s="18" t="s">
        <v>60</v>
      </c>
      <c r="L149" s="18" t="s">
        <v>980</v>
      </c>
      <c r="M149" s="18" t="b">
        <f t="shared" si="5"/>
        <v>0</v>
      </c>
    </row>
    <row r="150" spans="1:13" ht="31.2" x14ac:dyDescent="0.3">
      <c r="A150" s="18" t="s">
        <v>55</v>
      </c>
      <c r="B150" s="18" t="s">
        <v>980</v>
      </c>
      <c r="C150" s="18" t="s">
        <v>392</v>
      </c>
      <c r="D150" s="18" t="s">
        <v>66</v>
      </c>
      <c r="E150" s="18" t="str">
        <f>IFERROR(VLOOKUP(TRIM(D150), Collection!$B$2:$D$1001, 2, FALSE), "")</f>
        <v>Historiques 222</v>
      </c>
      <c r="F150" s="21" t="str">
        <f>IFERROR(VLOOKUP(TRIM(D150), Collection!$B$2:$D$1001, 3, FALSE), "")</f>
        <v>121,000 AED</v>
      </c>
      <c r="G150" s="21">
        <f t="shared" si="4"/>
        <v>121000</v>
      </c>
      <c r="H150" s="18" t="s">
        <v>58</v>
      </c>
      <c r="I150" s="18">
        <v>103633388</v>
      </c>
      <c r="J150" s="18" t="s">
        <v>59</v>
      </c>
      <c r="K150" s="18" t="s">
        <v>67</v>
      </c>
      <c r="L150" s="18" t="s">
        <v>980</v>
      </c>
      <c r="M150" s="18" t="b">
        <f t="shared" si="5"/>
        <v>0</v>
      </c>
    </row>
    <row r="151" spans="1:13" ht="31.2" x14ac:dyDescent="0.3">
      <c r="A151" s="18" t="s">
        <v>55</v>
      </c>
      <c r="B151" s="18" t="s">
        <v>980</v>
      </c>
      <c r="C151" s="18" t="s">
        <v>392</v>
      </c>
      <c r="D151" s="18" t="s">
        <v>66</v>
      </c>
      <c r="E151" s="18" t="str">
        <f>IFERROR(VLOOKUP(TRIM(D151), Collection!$B$2:$D$1001, 2, FALSE), "")</f>
        <v>Historiques 222</v>
      </c>
      <c r="F151" s="21" t="str">
        <f>IFERROR(VLOOKUP(TRIM(D151), Collection!$B$2:$D$1001, 3, FALSE), "")</f>
        <v>121,000 AED</v>
      </c>
      <c r="G151" s="21">
        <f t="shared" si="4"/>
        <v>121000</v>
      </c>
      <c r="H151" s="18" t="s">
        <v>58</v>
      </c>
      <c r="I151" s="18">
        <v>103721541</v>
      </c>
      <c r="J151" s="18" t="s">
        <v>59</v>
      </c>
      <c r="K151" s="18" t="s">
        <v>70</v>
      </c>
      <c r="L151" s="18" t="s">
        <v>1061</v>
      </c>
      <c r="M151" s="18" t="b">
        <f t="shared" si="5"/>
        <v>0</v>
      </c>
    </row>
    <row r="152" spans="1:13" ht="62.4" x14ac:dyDescent="0.3">
      <c r="A152" s="18" t="s">
        <v>55</v>
      </c>
      <c r="B152" s="18" t="s">
        <v>980</v>
      </c>
      <c r="C152" s="18" t="s">
        <v>392</v>
      </c>
      <c r="D152" s="18" t="s">
        <v>27</v>
      </c>
      <c r="E152" s="18" t="str">
        <f>IFERROR(VLOOKUP(TRIM(D152), Collection!$B$2:$D$1001, 2, FALSE), "")</f>
        <v>Historiques 222</v>
      </c>
      <c r="F152" s="21" t="str">
        <f>IFERROR(VLOOKUP(TRIM(D152), Collection!$B$2:$D$1001, 3, FALSE), "")</f>
        <v>279,000 AED</v>
      </c>
      <c r="G152" s="21">
        <f t="shared" si="4"/>
        <v>279000</v>
      </c>
      <c r="H152" s="18" t="s">
        <v>58</v>
      </c>
      <c r="I152" s="18">
        <v>103729472</v>
      </c>
      <c r="J152" s="18" t="s">
        <v>59</v>
      </c>
      <c r="K152" s="18" t="s">
        <v>60</v>
      </c>
      <c r="L152" s="18" t="s">
        <v>1062</v>
      </c>
      <c r="M152" s="18" t="b">
        <f t="shared" si="5"/>
        <v>1</v>
      </c>
    </row>
    <row r="153" spans="1:13" ht="31.2" x14ac:dyDescent="0.3">
      <c r="A153" s="18" t="s">
        <v>55</v>
      </c>
      <c r="B153" s="18" t="s">
        <v>980</v>
      </c>
      <c r="C153" s="18" t="s">
        <v>392</v>
      </c>
      <c r="D153" s="18" t="s">
        <v>66</v>
      </c>
      <c r="E153" s="18" t="str">
        <f>IFERROR(VLOOKUP(TRIM(D153), Collection!$B$2:$D$1001, 2, FALSE), "")</f>
        <v>Historiques 222</v>
      </c>
      <c r="F153" s="21" t="str">
        <f>IFERROR(VLOOKUP(TRIM(D153), Collection!$B$2:$D$1001, 3, FALSE), "")</f>
        <v>121,000 AED</v>
      </c>
      <c r="G153" s="21">
        <f t="shared" si="4"/>
        <v>121000</v>
      </c>
      <c r="H153" s="18" t="s">
        <v>58</v>
      </c>
      <c r="I153" s="18">
        <v>103719727</v>
      </c>
      <c r="J153" s="18" t="s">
        <v>59</v>
      </c>
      <c r="K153" s="18" t="s">
        <v>70</v>
      </c>
      <c r="L153" s="18" t="s">
        <v>1063</v>
      </c>
      <c r="M153" s="18" t="b">
        <f t="shared" si="5"/>
        <v>0</v>
      </c>
    </row>
    <row r="154" spans="1:13" ht="31.2" x14ac:dyDescent="0.3">
      <c r="A154" s="18" t="s">
        <v>55</v>
      </c>
      <c r="B154" s="18" t="s">
        <v>980</v>
      </c>
      <c r="C154" s="18" t="s">
        <v>400</v>
      </c>
      <c r="D154" s="18" t="s">
        <v>66</v>
      </c>
      <c r="E154" s="18" t="str">
        <f>IFERROR(VLOOKUP(TRIM(D154), Collection!$B$2:$D$1001, 2, FALSE), "")</f>
        <v>Historiques 222</v>
      </c>
      <c r="F154" s="21" t="str">
        <f>IFERROR(VLOOKUP(TRIM(D154), Collection!$B$2:$D$1001, 3, FALSE), "")</f>
        <v>121,000 AED</v>
      </c>
      <c r="G154" s="21">
        <f t="shared" si="4"/>
        <v>121000</v>
      </c>
      <c r="H154" s="18" t="s">
        <v>58</v>
      </c>
      <c r="I154" s="18">
        <v>92406537</v>
      </c>
      <c r="J154" s="18" t="s">
        <v>59</v>
      </c>
      <c r="K154" s="18" t="s">
        <v>67</v>
      </c>
      <c r="L154" s="18" t="s">
        <v>980</v>
      </c>
      <c r="M154" s="18" t="b">
        <f t="shared" si="5"/>
        <v>0</v>
      </c>
    </row>
    <row r="155" spans="1:13" ht="62.4" x14ac:dyDescent="0.3">
      <c r="A155" s="18" t="s">
        <v>55</v>
      </c>
      <c r="B155" s="18" t="s">
        <v>980</v>
      </c>
      <c r="C155" s="18" t="s">
        <v>400</v>
      </c>
      <c r="D155" s="18" t="s">
        <v>38</v>
      </c>
      <c r="E155" s="18" t="str">
        <f>IFERROR(VLOOKUP(TRIM(D155), Collection!$B$2:$D$1001, 2, FALSE), "")</f>
        <v>Historiques American 1921 - Arabic</v>
      </c>
      <c r="F155" s="21" t="str">
        <f>IFERROR(VLOOKUP(TRIM(D155), Collection!$B$2:$D$1001, 3, FALSE), "")</f>
        <v>192,000 AED</v>
      </c>
      <c r="G155" s="21">
        <f t="shared" si="4"/>
        <v>192000</v>
      </c>
      <c r="H155" s="18" t="s">
        <v>58</v>
      </c>
      <c r="I155" s="18">
        <v>103531883</v>
      </c>
      <c r="J155" s="18" t="s">
        <v>114</v>
      </c>
      <c r="K155" s="18" t="s">
        <v>60</v>
      </c>
      <c r="L155" s="18" t="s">
        <v>1064</v>
      </c>
      <c r="M155" s="18" t="b">
        <f t="shared" si="5"/>
        <v>0</v>
      </c>
    </row>
    <row r="156" spans="1:13" ht="31.2" x14ac:dyDescent="0.3">
      <c r="A156" s="18" t="s">
        <v>55</v>
      </c>
      <c r="B156" s="18" t="s">
        <v>980</v>
      </c>
      <c r="C156" s="18" t="s">
        <v>400</v>
      </c>
      <c r="D156" s="18" t="s">
        <v>66</v>
      </c>
      <c r="E156" s="18" t="str">
        <f>IFERROR(VLOOKUP(TRIM(D156), Collection!$B$2:$D$1001, 2, FALSE), "")</f>
        <v>Historiques 222</v>
      </c>
      <c r="F156" s="21" t="str">
        <f>IFERROR(VLOOKUP(TRIM(D156), Collection!$B$2:$D$1001, 3, FALSE), "")</f>
        <v>121,000 AED</v>
      </c>
      <c r="G156" s="21">
        <f t="shared" si="4"/>
        <v>121000</v>
      </c>
      <c r="H156" s="18" t="s">
        <v>58</v>
      </c>
      <c r="I156" s="18">
        <v>100511411</v>
      </c>
      <c r="J156" s="18" t="s">
        <v>59</v>
      </c>
      <c r="K156" s="18" t="s">
        <v>67</v>
      </c>
      <c r="L156" s="18" t="s">
        <v>980</v>
      </c>
      <c r="M156" s="18" t="b">
        <f t="shared" si="5"/>
        <v>0</v>
      </c>
    </row>
    <row r="157" spans="1:13" ht="31.2" x14ac:dyDescent="0.3">
      <c r="A157" s="18" t="s">
        <v>55</v>
      </c>
      <c r="B157" s="18" t="s">
        <v>980</v>
      </c>
      <c r="C157" s="18" t="s">
        <v>400</v>
      </c>
      <c r="D157" s="18" t="s">
        <v>66</v>
      </c>
      <c r="E157" s="18" t="str">
        <f>IFERROR(VLOOKUP(TRIM(D157), Collection!$B$2:$D$1001, 2, FALSE), "")</f>
        <v>Historiques 222</v>
      </c>
      <c r="F157" s="21" t="str">
        <f>IFERROR(VLOOKUP(TRIM(D157), Collection!$B$2:$D$1001, 3, FALSE), "")</f>
        <v>121,000 AED</v>
      </c>
      <c r="G157" s="21">
        <f t="shared" si="4"/>
        <v>121000</v>
      </c>
      <c r="H157" s="18" t="s">
        <v>58</v>
      </c>
      <c r="I157" s="18">
        <v>92399706</v>
      </c>
      <c r="J157" s="18" t="s">
        <v>59</v>
      </c>
      <c r="K157" s="18" t="s">
        <v>70</v>
      </c>
      <c r="L157" s="18" t="s">
        <v>1065</v>
      </c>
      <c r="M157" s="18" t="b">
        <f t="shared" si="5"/>
        <v>0</v>
      </c>
    </row>
    <row r="158" spans="1:13" ht="31.2" x14ac:dyDescent="0.3">
      <c r="A158" s="18" t="s">
        <v>55</v>
      </c>
      <c r="B158" s="18" t="s">
        <v>980</v>
      </c>
      <c r="C158" s="18" t="s">
        <v>400</v>
      </c>
      <c r="D158" s="18" t="s">
        <v>66</v>
      </c>
      <c r="E158" s="18" t="str">
        <f>IFERROR(VLOOKUP(TRIM(D158), Collection!$B$2:$D$1001, 2, FALSE), "")</f>
        <v>Historiques 222</v>
      </c>
      <c r="F158" s="21" t="str">
        <f>IFERROR(VLOOKUP(TRIM(D158), Collection!$B$2:$D$1001, 3, FALSE), "")</f>
        <v>121,000 AED</v>
      </c>
      <c r="G158" s="21">
        <f t="shared" si="4"/>
        <v>121000</v>
      </c>
      <c r="H158" s="18" t="s">
        <v>58</v>
      </c>
      <c r="I158" s="18">
        <v>103714062</v>
      </c>
      <c r="J158" s="18" t="s">
        <v>59</v>
      </c>
      <c r="K158" s="18" t="s">
        <v>70</v>
      </c>
      <c r="L158" s="18" t="s">
        <v>1066</v>
      </c>
      <c r="M158" s="18" t="b">
        <f t="shared" si="5"/>
        <v>0</v>
      </c>
    </row>
    <row r="159" spans="1:13" ht="31.2" x14ac:dyDescent="0.3">
      <c r="A159" s="18" t="s">
        <v>55</v>
      </c>
      <c r="B159" s="18" t="s">
        <v>980</v>
      </c>
      <c r="C159" s="18" t="s">
        <v>409</v>
      </c>
      <c r="D159" s="18" t="s">
        <v>66</v>
      </c>
      <c r="E159" s="18" t="str">
        <f>IFERROR(VLOOKUP(TRIM(D159), Collection!$B$2:$D$1001, 2, FALSE), "")</f>
        <v>Historiques 222</v>
      </c>
      <c r="F159" s="21" t="str">
        <f>IFERROR(VLOOKUP(TRIM(D159), Collection!$B$2:$D$1001, 3, FALSE), "")</f>
        <v>121,000 AED</v>
      </c>
      <c r="G159" s="21">
        <f t="shared" si="4"/>
        <v>121000</v>
      </c>
      <c r="H159" s="18" t="s">
        <v>58</v>
      </c>
      <c r="I159" s="18">
        <v>92408008</v>
      </c>
      <c r="J159" s="18" t="s">
        <v>59</v>
      </c>
      <c r="K159" s="18" t="s">
        <v>60</v>
      </c>
      <c r="L159" s="18" t="s">
        <v>980</v>
      </c>
      <c r="M159" s="18" t="b">
        <f t="shared" si="5"/>
        <v>0</v>
      </c>
    </row>
    <row r="160" spans="1:13" ht="31.2" x14ac:dyDescent="0.3">
      <c r="A160" s="18" t="s">
        <v>55</v>
      </c>
      <c r="B160" s="18" t="s">
        <v>980</v>
      </c>
      <c r="C160" s="18" t="s">
        <v>409</v>
      </c>
      <c r="D160" s="18" t="s">
        <v>66</v>
      </c>
      <c r="E160" s="18" t="str">
        <f>IFERROR(VLOOKUP(TRIM(D160), Collection!$B$2:$D$1001, 2, FALSE), "")</f>
        <v>Historiques 222</v>
      </c>
      <c r="F160" s="21" t="str">
        <f>IFERROR(VLOOKUP(TRIM(D160), Collection!$B$2:$D$1001, 3, FALSE), "")</f>
        <v>121,000 AED</v>
      </c>
      <c r="G160" s="21">
        <f t="shared" si="4"/>
        <v>121000</v>
      </c>
      <c r="H160" s="18" t="s">
        <v>58</v>
      </c>
      <c r="I160" s="18">
        <v>103713756</v>
      </c>
      <c r="J160" s="18" t="s">
        <v>59</v>
      </c>
      <c r="K160" s="18" t="s">
        <v>60</v>
      </c>
      <c r="L160" s="18" t="s">
        <v>980</v>
      </c>
      <c r="M160" s="18" t="b">
        <f t="shared" si="5"/>
        <v>0</v>
      </c>
    </row>
    <row r="161" spans="1:13" ht="31.2" x14ac:dyDescent="0.3">
      <c r="A161" s="18" t="s">
        <v>55</v>
      </c>
      <c r="B161" s="18" t="s">
        <v>980</v>
      </c>
      <c r="C161" s="18" t="s">
        <v>409</v>
      </c>
      <c r="D161" s="18" t="s">
        <v>66</v>
      </c>
      <c r="E161" s="18" t="str">
        <f>IFERROR(VLOOKUP(TRIM(D161), Collection!$B$2:$D$1001, 2, FALSE), "")</f>
        <v>Historiques 222</v>
      </c>
      <c r="F161" s="21" t="str">
        <f>IFERROR(VLOOKUP(TRIM(D161), Collection!$B$2:$D$1001, 3, FALSE), "")</f>
        <v>121,000 AED</v>
      </c>
      <c r="G161" s="21">
        <f t="shared" si="4"/>
        <v>121000</v>
      </c>
      <c r="H161" s="18" t="s">
        <v>58</v>
      </c>
      <c r="I161" s="18">
        <v>103742903</v>
      </c>
      <c r="J161" s="18" t="s">
        <v>59</v>
      </c>
      <c r="K161" s="18" t="s">
        <v>60</v>
      </c>
      <c r="L161" s="18" t="s">
        <v>1067</v>
      </c>
      <c r="M161" s="18" t="b">
        <f t="shared" si="5"/>
        <v>0</v>
      </c>
    </row>
    <row r="162" spans="1:13" ht="31.2" x14ac:dyDescent="0.3">
      <c r="A162" s="18" t="s">
        <v>55</v>
      </c>
      <c r="B162" s="18" t="s">
        <v>980</v>
      </c>
      <c r="C162" s="18" t="s">
        <v>414</v>
      </c>
      <c r="D162" s="18" t="s">
        <v>66</v>
      </c>
      <c r="E162" s="18" t="str">
        <f>IFERROR(VLOOKUP(TRIM(D162), Collection!$B$2:$D$1001, 2, FALSE), "")</f>
        <v>Historiques 222</v>
      </c>
      <c r="F162" s="21" t="str">
        <f>IFERROR(VLOOKUP(TRIM(D162), Collection!$B$2:$D$1001, 3, FALSE), "")</f>
        <v>121,000 AED</v>
      </c>
      <c r="G162" s="21">
        <f t="shared" si="4"/>
        <v>121000</v>
      </c>
      <c r="H162" s="18" t="s">
        <v>58</v>
      </c>
      <c r="I162" s="18">
        <v>103671342</v>
      </c>
      <c r="J162" s="18" t="s">
        <v>59</v>
      </c>
      <c r="K162" s="18" t="s">
        <v>67</v>
      </c>
      <c r="L162" s="18" t="s">
        <v>980</v>
      </c>
      <c r="M162" s="18" t="b">
        <f t="shared" si="5"/>
        <v>0</v>
      </c>
    </row>
    <row r="163" spans="1:13" ht="31.2" x14ac:dyDescent="0.3">
      <c r="A163" s="18" t="s">
        <v>55</v>
      </c>
      <c r="B163" s="18" t="s">
        <v>980</v>
      </c>
      <c r="C163" s="18" t="s">
        <v>414</v>
      </c>
      <c r="D163" s="18" t="s">
        <v>66</v>
      </c>
      <c r="E163" s="18" t="str">
        <f>IFERROR(VLOOKUP(TRIM(D163), Collection!$B$2:$D$1001, 2, FALSE), "")</f>
        <v>Historiques 222</v>
      </c>
      <c r="F163" s="21" t="str">
        <f>IFERROR(VLOOKUP(TRIM(D163), Collection!$B$2:$D$1001, 3, FALSE), "")</f>
        <v>121,000 AED</v>
      </c>
      <c r="G163" s="21">
        <f t="shared" si="4"/>
        <v>121000</v>
      </c>
      <c r="H163" s="18" t="s">
        <v>58</v>
      </c>
      <c r="I163" s="18">
        <v>103661537</v>
      </c>
      <c r="J163" s="18" t="s">
        <v>59</v>
      </c>
      <c r="K163" s="18" t="s">
        <v>70</v>
      </c>
      <c r="L163" s="18" t="s">
        <v>1068</v>
      </c>
      <c r="M163" s="18" t="b">
        <f t="shared" si="5"/>
        <v>0</v>
      </c>
    </row>
    <row r="164" spans="1:13" ht="31.2" x14ac:dyDescent="0.3">
      <c r="A164" s="18" t="s">
        <v>55</v>
      </c>
      <c r="B164" s="18" t="s">
        <v>980</v>
      </c>
      <c r="C164" s="18" t="s">
        <v>414</v>
      </c>
      <c r="D164" s="18" t="s">
        <v>66</v>
      </c>
      <c r="E164" s="18" t="str">
        <f>IFERROR(VLOOKUP(TRIM(D164), Collection!$B$2:$D$1001, 2, FALSE), "")</f>
        <v>Historiques 222</v>
      </c>
      <c r="F164" s="21" t="str">
        <f>IFERROR(VLOOKUP(TRIM(D164), Collection!$B$2:$D$1001, 3, FALSE), "")</f>
        <v>121,000 AED</v>
      </c>
      <c r="G164" s="21">
        <f t="shared" si="4"/>
        <v>121000</v>
      </c>
      <c r="H164" s="18" t="s">
        <v>58</v>
      </c>
      <c r="I164" s="18">
        <v>98874827</v>
      </c>
      <c r="J164" s="18" t="s">
        <v>59</v>
      </c>
      <c r="K164" s="18" t="s">
        <v>60</v>
      </c>
      <c r="L164" s="18" t="s">
        <v>980</v>
      </c>
      <c r="M164" s="18" t="b">
        <f t="shared" si="5"/>
        <v>0</v>
      </c>
    </row>
    <row r="165" spans="1:13" ht="31.2" x14ac:dyDescent="0.3">
      <c r="A165" s="18" t="s">
        <v>55</v>
      </c>
      <c r="B165" s="18" t="s">
        <v>980</v>
      </c>
      <c r="C165" s="18" t="s">
        <v>414</v>
      </c>
      <c r="D165" s="18" t="s">
        <v>66</v>
      </c>
      <c r="E165" s="18" t="str">
        <f>IFERROR(VLOOKUP(TRIM(D165), Collection!$B$2:$D$1001, 2, FALSE), "")</f>
        <v>Historiques 222</v>
      </c>
      <c r="F165" s="21" t="str">
        <f>IFERROR(VLOOKUP(TRIM(D165), Collection!$B$2:$D$1001, 3, FALSE), "")</f>
        <v>121,000 AED</v>
      </c>
      <c r="G165" s="21">
        <f t="shared" si="4"/>
        <v>121000</v>
      </c>
      <c r="H165" s="18" t="s">
        <v>58</v>
      </c>
      <c r="I165" s="18">
        <v>92408008</v>
      </c>
      <c r="J165" s="18" t="s">
        <v>59</v>
      </c>
      <c r="K165" s="18" t="s">
        <v>60</v>
      </c>
      <c r="L165" s="18" t="s">
        <v>980</v>
      </c>
      <c r="M165" s="18" t="b">
        <f t="shared" si="5"/>
        <v>0</v>
      </c>
    </row>
    <row r="166" spans="1:13" ht="31.2" x14ac:dyDescent="0.3">
      <c r="A166" s="18" t="s">
        <v>55</v>
      </c>
      <c r="B166" s="18" t="s">
        <v>980</v>
      </c>
      <c r="C166" s="18" t="s">
        <v>414</v>
      </c>
      <c r="D166" s="18" t="s">
        <v>66</v>
      </c>
      <c r="E166" s="18" t="str">
        <f>IFERROR(VLOOKUP(TRIM(D166), Collection!$B$2:$D$1001, 2, FALSE), "")</f>
        <v>Historiques 222</v>
      </c>
      <c r="F166" s="21" t="str">
        <f>IFERROR(VLOOKUP(TRIM(D166), Collection!$B$2:$D$1001, 3, FALSE), "")</f>
        <v>121,000 AED</v>
      </c>
      <c r="G166" s="21">
        <f t="shared" si="4"/>
        <v>121000</v>
      </c>
      <c r="H166" s="18" t="s">
        <v>58</v>
      </c>
      <c r="I166" s="18">
        <v>103675481</v>
      </c>
      <c r="J166" s="18" t="s">
        <v>59</v>
      </c>
      <c r="K166" s="18" t="s">
        <v>60</v>
      </c>
      <c r="L166" s="18" t="s">
        <v>1069</v>
      </c>
      <c r="M166" s="18" t="b">
        <f t="shared" si="5"/>
        <v>0</v>
      </c>
    </row>
    <row r="167" spans="1:13" ht="31.2" x14ac:dyDescent="0.3">
      <c r="A167" s="18" t="s">
        <v>55</v>
      </c>
      <c r="B167" s="18" t="s">
        <v>980</v>
      </c>
      <c r="C167" s="18" t="s">
        <v>414</v>
      </c>
      <c r="D167" s="18" t="s">
        <v>35</v>
      </c>
      <c r="E167" s="18" t="str">
        <f>IFERROR(VLOOKUP(TRIM(D167), Collection!$B$2:$D$1001, 2, FALSE), "")</f>
        <v>Overseas self-winding</v>
      </c>
      <c r="F167" s="21" t="str">
        <f>IFERROR(VLOOKUP(TRIM(D167), Collection!$B$2:$D$1001, 3, FALSE), "")</f>
        <v>94,500 AED</v>
      </c>
      <c r="G167" s="21">
        <f t="shared" si="4"/>
        <v>94500</v>
      </c>
      <c r="H167" s="18" t="s">
        <v>58</v>
      </c>
      <c r="I167" s="18">
        <v>100330605</v>
      </c>
      <c r="J167" s="18" t="s">
        <v>59</v>
      </c>
      <c r="K167" s="18" t="s">
        <v>67</v>
      </c>
      <c r="L167" s="18" t="s">
        <v>980</v>
      </c>
      <c r="M167" s="18" t="b">
        <f t="shared" si="5"/>
        <v>0</v>
      </c>
    </row>
    <row r="168" spans="1:13" ht="31.2" x14ac:dyDescent="0.3">
      <c r="A168" s="18" t="s">
        <v>55</v>
      </c>
      <c r="B168" s="18" t="s">
        <v>980</v>
      </c>
      <c r="C168" s="18" t="s">
        <v>414</v>
      </c>
      <c r="D168" s="18" t="s">
        <v>66</v>
      </c>
      <c r="E168" s="18" t="str">
        <f>IFERROR(VLOOKUP(TRIM(D168), Collection!$B$2:$D$1001, 2, FALSE), "")</f>
        <v>Historiques 222</v>
      </c>
      <c r="F168" s="21" t="str">
        <f>IFERROR(VLOOKUP(TRIM(D168), Collection!$B$2:$D$1001, 3, FALSE), "")</f>
        <v>121,000 AED</v>
      </c>
      <c r="G168" s="21">
        <f t="shared" si="4"/>
        <v>121000</v>
      </c>
      <c r="H168" s="18" t="s">
        <v>58</v>
      </c>
      <c r="I168" s="18">
        <v>92428108</v>
      </c>
      <c r="J168" s="18" t="s">
        <v>114</v>
      </c>
      <c r="K168" s="18" t="s">
        <v>60</v>
      </c>
      <c r="L168" s="18" t="s">
        <v>980</v>
      </c>
      <c r="M168" s="18" t="b">
        <f t="shared" si="5"/>
        <v>0</v>
      </c>
    </row>
    <row r="169" spans="1:13" ht="31.2" x14ac:dyDescent="0.3">
      <c r="A169" s="18" t="s">
        <v>55</v>
      </c>
      <c r="B169" s="18" t="s">
        <v>980</v>
      </c>
      <c r="C169" s="18" t="s">
        <v>414</v>
      </c>
      <c r="D169" s="18" t="s">
        <v>66</v>
      </c>
      <c r="E169" s="18" t="str">
        <f>IFERROR(VLOOKUP(TRIM(D169), Collection!$B$2:$D$1001, 2, FALSE), "")</f>
        <v>Historiques 222</v>
      </c>
      <c r="F169" s="21" t="str">
        <f>IFERROR(VLOOKUP(TRIM(D169), Collection!$B$2:$D$1001, 3, FALSE), "")</f>
        <v>121,000 AED</v>
      </c>
      <c r="G169" s="21">
        <f t="shared" si="4"/>
        <v>121000</v>
      </c>
      <c r="H169" s="18" t="s">
        <v>58</v>
      </c>
      <c r="I169" s="18">
        <v>100330605</v>
      </c>
      <c r="J169" s="18" t="s">
        <v>59</v>
      </c>
      <c r="K169" s="18" t="s">
        <v>67</v>
      </c>
      <c r="L169" s="18" t="s">
        <v>980</v>
      </c>
      <c r="M169" s="18" t="b">
        <f t="shared" si="5"/>
        <v>0</v>
      </c>
    </row>
    <row r="170" spans="1:13" ht="31.2" x14ac:dyDescent="0.3">
      <c r="A170" s="18" t="s">
        <v>55</v>
      </c>
      <c r="B170" s="18" t="s">
        <v>980</v>
      </c>
      <c r="C170" s="18" t="s">
        <v>414</v>
      </c>
      <c r="D170" s="18" t="s">
        <v>107</v>
      </c>
      <c r="E170" s="18" t="str">
        <f>IFERROR(VLOOKUP(TRIM(D170), Collection!$B$2:$D$1001, 2, FALSE), "")</f>
        <v>Overseas chronograph</v>
      </c>
      <c r="F170" s="21" t="str">
        <f>IFERROR(VLOOKUP(TRIM(D170), Collection!$B$2:$D$1001, 3, FALSE), "")</f>
        <v>135,000 AED</v>
      </c>
      <c r="G170" s="21">
        <f t="shared" si="4"/>
        <v>135000</v>
      </c>
      <c r="H170" s="18" t="s">
        <v>58</v>
      </c>
      <c r="I170" s="18">
        <v>100330605</v>
      </c>
      <c r="J170" s="18" t="s">
        <v>59</v>
      </c>
      <c r="K170" s="18" t="s">
        <v>67</v>
      </c>
      <c r="L170" s="18" t="s">
        <v>980</v>
      </c>
      <c r="M170" s="18" t="b">
        <f t="shared" si="5"/>
        <v>0</v>
      </c>
    </row>
    <row r="171" spans="1:13" ht="31.2" x14ac:dyDescent="0.3">
      <c r="A171" s="18" t="s">
        <v>55</v>
      </c>
      <c r="B171" s="18" t="s">
        <v>980</v>
      </c>
      <c r="C171" s="18" t="s">
        <v>414</v>
      </c>
      <c r="D171" s="18" t="s">
        <v>66</v>
      </c>
      <c r="E171" s="18" t="str">
        <f>IFERROR(VLOOKUP(TRIM(D171), Collection!$B$2:$D$1001, 2, FALSE), "")</f>
        <v>Historiques 222</v>
      </c>
      <c r="F171" s="21" t="str">
        <f>IFERROR(VLOOKUP(TRIM(D171), Collection!$B$2:$D$1001, 3, FALSE), "")</f>
        <v>121,000 AED</v>
      </c>
      <c r="G171" s="21">
        <f t="shared" si="4"/>
        <v>121000</v>
      </c>
      <c r="H171" s="18" t="s">
        <v>58</v>
      </c>
      <c r="I171" s="18">
        <v>92403555</v>
      </c>
      <c r="J171" s="18" t="s">
        <v>59</v>
      </c>
      <c r="K171" s="18" t="s">
        <v>60</v>
      </c>
      <c r="L171" s="18" t="s">
        <v>980</v>
      </c>
      <c r="M171" s="18" t="b">
        <f t="shared" si="5"/>
        <v>0</v>
      </c>
    </row>
    <row r="172" spans="1:13" ht="31.2" x14ac:dyDescent="0.3">
      <c r="A172" s="18" t="s">
        <v>55</v>
      </c>
      <c r="B172" s="18" t="s">
        <v>980</v>
      </c>
      <c r="C172" s="18" t="s">
        <v>414</v>
      </c>
      <c r="D172" s="18" t="s">
        <v>66</v>
      </c>
      <c r="E172" s="18" t="str">
        <f>IFERROR(VLOOKUP(TRIM(D172), Collection!$B$2:$D$1001, 2, FALSE), "")</f>
        <v>Historiques 222</v>
      </c>
      <c r="F172" s="21" t="str">
        <f>IFERROR(VLOOKUP(TRIM(D172), Collection!$B$2:$D$1001, 3, FALSE), "")</f>
        <v>121,000 AED</v>
      </c>
      <c r="G172" s="21">
        <f t="shared" si="4"/>
        <v>121000</v>
      </c>
      <c r="H172" s="18" t="s">
        <v>58</v>
      </c>
      <c r="I172" s="18">
        <v>103673092</v>
      </c>
      <c r="J172" s="18" t="s">
        <v>59</v>
      </c>
      <c r="K172" s="18" t="s">
        <v>60</v>
      </c>
      <c r="L172" s="18" t="s">
        <v>980</v>
      </c>
      <c r="M172" s="18" t="b">
        <f t="shared" si="5"/>
        <v>0</v>
      </c>
    </row>
    <row r="173" spans="1:13" ht="31.2" x14ac:dyDescent="0.3">
      <c r="A173" s="18" t="s">
        <v>55</v>
      </c>
      <c r="B173" s="18" t="s">
        <v>980</v>
      </c>
      <c r="C173" s="18" t="s">
        <v>414</v>
      </c>
      <c r="D173" s="18" t="s">
        <v>66</v>
      </c>
      <c r="E173" s="18" t="str">
        <f>IFERROR(VLOOKUP(TRIM(D173), Collection!$B$2:$D$1001, 2, FALSE), "")</f>
        <v>Historiques 222</v>
      </c>
      <c r="F173" s="21" t="str">
        <f>IFERROR(VLOOKUP(TRIM(D173), Collection!$B$2:$D$1001, 3, FALSE), "")</f>
        <v>121,000 AED</v>
      </c>
      <c r="G173" s="21">
        <f t="shared" si="4"/>
        <v>121000</v>
      </c>
      <c r="H173" s="18" t="s">
        <v>58</v>
      </c>
      <c r="I173" s="18">
        <v>98874827</v>
      </c>
      <c r="J173" s="18" t="s">
        <v>59</v>
      </c>
      <c r="K173" s="18" t="s">
        <v>60</v>
      </c>
      <c r="L173" s="18" t="s">
        <v>980</v>
      </c>
      <c r="M173" s="18" t="b">
        <f t="shared" si="5"/>
        <v>0</v>
      </c>
    </row>
    <row r="174" spans="1:13" ht="31.2" x14ac:dyDescent="0.3">
      <c r="A174" s="18" t="s">
        <v>55</v>
      </c>
      <c r="B174" s="18" t="s">
        <v>980</v>
      </c>
      <c r="C174" s="18" t="s">
        <v>414</v>
      </c>
      <c r="D174" s="18" t="s">
        <v>66</v>
      </c>
      <c r="E174" s="18" t="str">
        <f>IFERROR(VLOOKUP(TRIM(D174), Collection!$B$2:$D$1001, 2, FALSE), "")</f>
        <v>Historiques 222</v>
      </c>
      <c r="F174" s="21" t="str">
        <f>IFERROR(VLOOKUP(TRIM(D174), Collection!$B$2:$D$1001, 3, FALSE), "")</f>
        <v>121,000 AED</v>
      </c>
      <c r="G174" s="21">
        <f t="shared" si="4"/>
        <v>121000</v>
      </c>
      <c r="H174" s="18" t="s">
        <v>58</v>
      </c>
      <c r="I174" s="18">
        <v>103671613</v>
      </c>
      <c r="J174" s="18" t="s">
        <v>59</v>
      </c>
      <c r="K174" s="18" t="s">
        <v>60</v>
      </c>
      <c r="L174" s="18" t="s">
        <v>980</v>
      </c>
      <c r="M174" s="18" t="b">
        <f t="shared" si="5"/>
        <v>0</v>
      </c>
    </row>
    <row r="175" spans="1:13" ht="31.2" x14ac:dyDescent="0.3">
      <c r="A175" s="18" t="s">
        <v>55</v>
      </c>
      <c r="B175" s="18" t="s">
        <v>980</v>
      </c>
      <c r="C175" s="18" t="s">
        <v>414</v>
      </c>
      <c r="D175" s="18" t="s">
        <v>66</v>
      </c>
      <c r="E175" s="18" t="str">
        <f>IFERROR(VLOOKUP(TRIM(D175), Collection!$B$2:$D$1001, 2, FALSE), "")</f>
        <v>Historiques 222</v>
      </c>
      <c r="F175" s="21" t="str">
        <f>IFERROR(VLOOKUP(TRIM(D175), Collection!$B$2:$D$1001, 3, FALSE), "")</f>
        <v>121,000 AED</v>
      </c>
      <c r="G175" s="21">
        <f t="shared" si="4"/>
        <v>121000</v>
      </c>
      <c r="H175" s="18" t="s">
        <v>58</v>
      </c>
      <c r="I175" s="18">
        <v>92406996</v>
      </c>
      <c r="J175" s="18" t="s">
        <v>59</v>
      </c>
      <c r="K175" s="18" t="s">
        <v>60</v>
      </c>
      <c r="L175" s="18" t="s">
        <v>980</v>
      </c>
      <c r="M175" s="18" t="b">
        <f t="shared" si="5"/>
        <v>0</v>
      </c>
    </row>
    <row r="176" spans="1:13" ht="31.2" x14ac:dyDescent="0.3">
      <c r="A176" s="18" t="s">
        <v>55</v>
      </c>
      <c r="B176" s="18" t="s">
        <v>980</v>
      </c>
      <c r="C176" s="18" t="s">
        <v>414</v>
      </c>
      <c r="D176" s="18" t="s">
        <v>66</v>
      </c>
      <c r="E176" s="18" t="str">
        <f>IFERROR(VLOOKUP(TRIM(D176), Collection!$B$2:$D$1001, 2, FALSE), "")</f>
        <v>Historiques 222</v>
      </c>
      <c r="F176" s="21" t="str">
        <f>IFERROR(VLOOKUP(TRIM(D176), Collection!$B$2:$D$1001, 3, FALSE), "")</f>
        <v>121,000 AED</v>
      </c>
      <c r="G176" s="21">
        <f t="shared" si="4"/>
        <v>121000</v>
      </c>
      <c r="H176" s="18" t="s">
        <v>58</v>
      </c>
      <c r="I176" s="18">
        <v>103673291</v>
      </c>
      <c r="J176" s="18" t="s">
        <v>59</v>
      </c>
      <c r="K176" s="18" t="s">
        <v>60</v>
      </c>
      <c r="L176" s="18" t="s">
        <v>980</v>
      </c>
      <c r="M176" s="18" t="b">
        <f t="shared" si="5"/>
        <v>0</v>
      </c>
    </row>
    <row r="177" spans="1:13" ht="31.2" x14ac:dyDescent="0.3">
      <c r="A177" s="18" t="s">
        <v>55</v>
      </c>
      <c r="B177" s="18" t="s">
        <v>980</v>
      </c>
      <c r="C177" s="18" t="s">
        <v>414</v>
      </c>
      <c r="D177" s="18" t="s">
        <v>66</v>
      </c>
      <c r="E177" s="18" t="str">
        <f>IFERROR(VLOOKUP(TRIM(D177), Collection!$B$2:$D$1001, 2, FALSE), "")</f>
        <v>Historiques 222</v>
      </c>
      <c r="F177" s="21" t="str">
        <f>IFERROR(VLOOKUP(TRIM(D177), Collection!$B$2:$D$1001, 3, FALSE), "")</f>
        <v>121,000 AED</v>
      </c>
      <c r="G177" s="21">
        <f t="shared" si="4"/>
        <v>121000</v>
      </c>
      <c r="H177" s="18" t="s">
        <v>58</v>
      </c>
      <c r="I177" s="18">
        <v>103645978</v>
      </c>
      <c r="J177" s="18" t="s">
        <v>59</v>
      </c>
      <c r="K177" s="18" t="s">
        <v>67</v>
      </c>
      <c r="L177" s="18" t="s">
        <v>980</v>
      </c>
      <c r="M177" s="18" t="b">
        <f t="shared" si="5"/>
        <v>0</v>
      </c>
    </row>
    <row r="178" spans="1:13" ht="31.2" x14ac:dyDescent="0.3">
      <c r="A178" s="18" t="s">
        <v>130</v>
      </c>
      <c r="B178" s="18" t="s">
        <v>130</v>
      </c>
      <c r="C178" s="18" t="s">
        <v>427</v>
      </c>
      <c r="D178" s="18" t="s">
        <v>66</v>
      </c>
      <c r="E178" s="18" t="str">
        <f>IFERROR(VLOOKUP(TRIM(D178), Collection!$B$2:$D$1001, 2, FALSE), "")</f>
        <v>Historiques 222</v>
      </c>
      <c r="F178" s="21" t="str">
        <f>IFERROR(VLOOKUP(TRIM(D178), Collection!$B$2:$D$1001, 3, FALSE), "")</f>
        <v>121,000 AED</v>
      </c>
      <c r="G178" s="21">
        <f t="shared" si="4"/>
        <v>121000</v>
      </c>
      <c r="H178" s="18" t="s">
        <v>58</v>
      </c>
      <c r="I178" s="18">
        <v>103633978</v>
      </c>
      <c r="J178" s="18" t="s">
        <v>59</v>
      </c>
      <c r="K178" s="18" t="s">
        <v>67</v>
      </c>
      <c r="L178" s="18" t="s">
        <v>980</v>
      </c>
      <c r="M178" s="18" t="b">
        <f t="shared" si="5"/>
        <v>0</v>
      </c>
    </row>
    <row r="179" spans="1:13" ht="31.2" x14ac:dyDescent="0.3">
      <c r="A179" s="18" t="s">
        <v>55</v>
      </c>
      <c r="B179" s="18" t="s">
        <v>980</v>
      </c>
      <c r="C179" s="18" t="s">
        <v>427</v>
      </c>
      <c r="D179" s="18" t="s">
        <v>66</v>
      </c>
      <c r="E179" s="18" t="str">
        <f>IFERROR(VLOOKUP(TRIM(D179), Collection!$B$2:$D$1001, 2, FALSE), "")</f>
        <v>Historiques 222</v>
      </c>
      <c r="F179" s="21" t="str">
        <f>IFERROR(VLOOKUP(TRIM(D179), Collection!$B$2:$D$1001, 3, FALSE), "")</f>
        <v>121,000 AED</v>
      </c>
      <c r="G179" s="21">
        <f t="shared" si="4"/>
        <v>121000</v>
      </c>
      <c r="H179" s="18" t="s">
        <v>58</v>
      </c>
      <c r="I179" s="18">
        <v>92398060</v>
      </c>
      <c r="J179" s="18" t="s">
        <v>59</v>
      </c>
      <c r="K179" s="18" t="s">
        <v>67</v>
      </c>
      <c r="L179" s="18" t="s">
        <v>980</v>
      </c>
      <c r="M179" s="18" t="b">
        <f t="shared" si="5"/>
        <v>0</v>
      </c>
    </row>
    <row r="180" spans="1:13" ht="31.2" x14ac:dyDescent="0.3">
      <c r="A180" s="18" t="s">
        <v>55</v>
      </c>
      <c r="B180" s="18" t="s">
        <v>980</v>
      </c>
      <c r="C180" s="18" t="s">
        <v>427</v>
      </c>
      <c r="D180" s="18" t="s">
        <v>66</v>
      </c>
      <c r="E180" s="18" t="str">
        <f>IFERROR(VLOOKUP(TRIM(D180), Collection!$B$2:$D$1001, 2, FALSE), "")</f>
        <v>Historiques 222</v>
      </c>
      <c r="F180" s="21" t="str">
        <f>IFERROR(VLOOKUP(TRIM(D180), Collection!$B$2:$D$1001, 3, FALSE), "")</f>
        <v>121,000 AED</v>
      </c>
      <c r="G180" s="21">
        <f t="shared" si="4"/>
        <v>121000</v>
      </c>
      <c r="H180" s="18" t="s">
        <v>58</v>
      </c>
      <c r="I180" s="18">
        <v>93597721</v>
      </c>
      <c r="J180" s="18" t="s">
        <v>59</v>
      </c>
      <c r="K180" s="18" t="s">
        <v>67</v>
      </c>
      <c r="L180" s="18" t="s">
        <v>980</v>
      </c>
      <c r="M180" s="18" t="b">
        <f t="shared" si="5"/>
        <v>0</v>
      </c>
    </row>
    <row r="181" spans="1:13" ht="31.2" x14ac:dyDescent="0.3">
      <c r="A181" s="18" t="s">
        <v>55</v>
      </c>
      <c r="B181" s="18" t="s">
        <v>980</v>
      </c>
      <c r="C181" s="18" t="s">
        <v>427</v>
      </c>
      <c r="D181" s="18" t="s">
        <v>35</v>
      </c>
      <c r="E181" s="18" t="str">
        <f>IFERROR(VLOOKUP(TRIM(D181), Collection!$B$2:$D$1001, 2, FALSE), "")</f>
        <v>Overseas self-winding</v>
      </c>
      <c r="F181" s="21" t="str">
        <f>IFERROR(VLOOKUP(TRIM(D181), Collection!$B$2:$D$1001, 3, FALSE), "")</f>
        <v>94,500 AED</v>
      </c>
      <c r="G181" s="21">
        <f t="shared" si="4"/>
        <v>94500</v>
      </c>
      <c r="H181" s="18" t="s">
        <v>58</v>
      </c>
      <c r="I181" s="18">
        <v>103647896</v>
      </c>
      <c r="J181" s="18" t="s">
        <v>59</v>
      </c>
      <c r="K181" s="18" t="s">
        <v>67</v>
      </c>
      <c r="L181" s="18" t="s">
        <v>980</v>
      </c>
      <c r="M181" s="18" t="b">
        <f t="shared" si="5"/>
        <v>0</v>
      </c>
    </row>
    <row r="182" spans="1:13" ht="31.2" x14ac:dyDescent="0.3">
      <c r="A182" s="18" t="s">
        <v>55</v>
      </c>
      <c r="B182" s="18" t="s">
        <v>980</v>
      </c>
      <c r="C182" s="18" t="s">
        <v>427</v>
      </c>
      <c r="D182" s="18" t="s">
        <v>66</v>
      </c>
      <c r="E182" s="18" t="str">
        <f>IFERROR(VLOOKUP(TRIM(D182), Collection!$B$2:$D$1001, 2, FALSE), "")</f>
        <v>Historiques 222</v>
      </c>
      <c r="F182" s="21" t="str">
        <f>IFERROR(VLOOKUP(TRIM(D182), Collection!$B$2:$D$1001, 3, FALSE), "")</f>
        <v>121,000 AED</v>
      </c>
      <c r="G182" s="21">
        <f t="shared" si="4"/>
        <v>121000</v>
      </c>
      <c r="H182" s="18" t="s">
        <v>58</v>
      </c>
      <c r="I182" s="18">
        <v>103656438</v>
      </c>
      <c r="J182" s="18" t="s">
        <v>59</v>
      </c>
      <c r="K182" s="18" t="s">
        <v>67</v>
      </c>
      <c r="L182" s="18" t="s">
        <v>980</v>
      </c>
      <c r="M182" s="18" t="b">
        <f t="shared" si="5"/>
        <v>0</v>
      </c>
    </row>
    <row r="183" spans="1:13" ht="31.2" x14ac:dyDescent="0.3">
      <c r="A183" s="18" t="s">
        <v>55</v>
      </c>
      <c r="B183" s="18" t="s">
        <v>980</v>
      </c>
      <c r="C183" s="18" t="s">
        <v>427</v>
      </c>
      <c r="D183" s="18" t="s">
        <v>66</v>
      </c>
      <c r="E183" s="18" t="str">
        <f>IFERROR(VLOOKUP(TRIM(D183), Collection!$B$2:$D$1001, 2, FALSE), "")</f>
        <v>Historiques 222</v>
      </c>
      <c r="F183" s="21" t="str">
        <f>IFERROR(VLOOKUP(TRIM(D183), Collection!$B$2:$D$1001, 3, FALSE), "")</f>
        <v>121,000 AED</v>
      </c>
      <c r="G183" s="21">
        <f t="shared" si="4"/>
        <v>121000</v>
      </c>
      <c r="H183" s="18" t="s">
        <v>58</v>
      </c>
      <c r="I183" s="18">
        <v>103642399</v>
      </c>
      <c r="J183" s="18" t="s">
        <v>59</v>
      </c>
      <c r="K183" s="18" t="s">
        <v>70</v>
      </c>
      <c r="L183" s="18" t="s">
        <v>1070</v>
      </c>
      <c r="M183" s="18" t="b">
        <f t="shared" si="5"/>
        <v>0</v>
      </c>
    </row>
    <row r="184" spans="1:13" ht="31.2" x14ac:dyDescent="0.3">
      <c r="A184" s="18" t="s">
        <v>55</v>
      </c>
      <c r="B184" s="18" t="s">
        <v>980</v>
      </c>
      <c r="C184" s="18" t="s">
        <v>427</v>
      </c>
      <c r="D184" s="18" t="s">
        <v>66</v>
      </c>
      <c r="E184" s="18" t="str">
        <f>IFERROR(VLOOKUP(TRIM(D184), Collection!$B$2:$D$1001, 2, FALSE), "")</f>
        <v>Historiques 222</v>
      </c>
      <c r="F184" s="21" t="str">
        <f>IFERROR(VLOOKUP(TRIM(D184), Collection!$B$2:$D$1001, 3, FALSE), "")</f>
        <v>121,000 AED</v>
      </c>
      <c r="G184" s="21">
        <f t="shared" si="4"/>
        <v>121000</v>
      </c>
      <c r="H184" s="18" t="s">
        <v>58</v>
      </c>
      <c r="I184" s="18">
        <v>103646927</v>
      </c>
      <c r="J184" s="18" t="s">
        <v>59</v>
      </c>
      <c r="K184" s="18" t="s">
        <v>70</v>
      </c>
      <c r="L184" s="18" t="s">
        <v>1071</v>
      </c>
      <c r="M184" s="18" t="b">
        <f t="shared" si="5"/>
        <v>0</v>
      </c>
    </row>
    <row r="185" spans="1:13" ht="31.2" x14ac:dyDescent="0.3">
      <c r="A185" s="18" t="s">
        <v>55</v>
      </c>
      <c r="B185" s="18" t="s">
        <v>980</v>
      </c>
      <c r="C185" s="18" t="s">
        <v>427</v>
      </c>
      <c r="D185" s="18" t="s">
        <v>66</v>
      </c>
      <c r="E185" s="18" t="str">
        <f>IFERROR(VLOOKUP(TRIM(D185), Collection!$B$2:$D$1001, 2, FALSE), "")</f>
        <v>Historiques 222</v>
      </c>
      <c r="F185" s="21" t="str">
        <f>IFERROR(VLOOKUP(TRIM(D185), Collection!$B$2:$D$1001, 3, FALSE), "")</f>
        <v>121,000 AED</v>
      </c>
      <c r="G185" s="21">
        <f t="shared" si="4"/>
        <v>121000</v>
      </c>
      <c r="H185" s="18" t="s">
        <v>58</v>
      </c>
      <c r="I185" s="18">
        <v>103642513</v>
      </c>
      <c r="J185" s="18" t="s">
        <v>59</v>
      </c>
      <c r="K185" s="18" t="s">
        <v>70</v>
      </c>
      <c r="L185" s="18" t="s">
        <v>1072</v>
      </c>
      <c r="M185" s="18" t="b">
        <f t="shared" si="5"/>
        <v>0</v>
      </c>
    </row>
    <row r="186" spans="1:13" ht="31.2" x14ac:dyDescent="0.3">
      <c r="A186" s="18" t="s">
        <v>55</v>
      </c>
      <c r="B186" s="18" t="s">
        <v>980</v>
      </c>
      <c r="C186" s="18" t="s">
        <v>427</v>
      </c>
      <c r="D186" s="18" t="s">
        <v>66</v>
      </c>
      <c r="E186" s="18" t="str">
        <f>IFERROR(VLOOKUP(TRIM(D186), Collection!$B$2:$D$1001, 2, FALSE), "")</f>
        <v>Historiques 222</v>
      </c>
      <c r="F186" s="21" t="str">
        <f>IFERROR(VLOOKUP(TRIM(D186), Collection!$B$2:$D$1001, 3, FALSE), "")</f>
        <v>121,000 AED</v>
      </c>
      <c r="G186" s="21">
        <f t="shared" si="4"/>
        <v>121000</v>
      </c>
      <c r="H186" s="18" t="s">
        <v>58</v>
      </c>
      <c r="I186" s="18">
        <v>91001822</v>
      </c>
      <c r="J186" s="18" t="s">
        <v>59</v>
      </c>
      <c r="K186" s="18" t="s">
        <v>70</v>
      </c>
      <c r="L186" s="18" t="s">
        <v>1073</v>
      </c>
      <c r="M186" s="18" t="b">
        <f t="shared" si="5"/>
        <v>0</v>
      </c>
    </row>
    <row r="187" spans="1:13" ht="31.2" x14ac:dyDescent="0.3">
      <c r="A187" s="18" t="s">
        <v>55</v>
      </c>
      <c r="B187" s="18" t="s">
        <v>980</v>
      </c>
      <c r="C187" s="18" t="s">
        <v>427</v>
      </c>
      <c r="D187" s="18" t="s">
        <v>66</v>
      </c>
      <c r="E187" s="18" t="str">
        <f>IFERROR(VLOOKUP(TRIM(D187), Collection!$B$2:$D$1001, 2, FALSE), "")</f>
        <v>Historiques 222</v>
      </c>
      <c r="F187" s="21" t="str">
        <f>IFERROR(VLOOKUP(TRIM(D187), Collection!$B$2:$D$1001, 3, FALSE), "")</f>
        <v>121,000 AED</v>
      </c>
      <c r="G187" s="21">
        <f t="shared" si="4"/>
        <v>121000</v>
      </c>
      <c r="H187" s="18" t="s">
        <v>58</v>
      </c>
      <c r="I187" s="18">
        <v>92399337</v>
      </c>
      <c r="J187" s="18" t="s">
        <v>59</v>
      </c>
      <c r="K187" s="18" t="s">
        <v>70</v>
      </c>
      <c r="L187" s="18" t="s">
        <v>1074</v>
      </c>
      <c r="M187" s="18" t="b">
        <f t="shared" si="5"/>
        <v>0</v>
      </c>
    </row>
    <row r="188" spans="1:13" ht="31.2" x14ac:dyDescent="0.3">
      <c r="A188" s="18" t="s">
        <v>55</v>
      </c>
      <c r="B188" s="18" t="s">
        <v>980</v>
      </c>
      <c r="C188" s="18" t="s">
        <v>427</v>
      </c>
      <c r="D188" s="18" t="s">
        <v>66</v>
      </c>
      <c r="E188" s="18" t="str">
        <f>IFERROR(VLOOKUP(TRIM(D188), Collection!$B$2:$D$1001, 2, FALSE), "")</f>
        <v>Historiques 222</v>
      </c>
      <c r="F188" s="21" t="str">
        <f>IFERROR(VLOOKUP(TRIM(D188), Collection!$B$2:$D$1001, 3, FALSE), "")</f>
        <v>121,000 AED</v>
      </c>
      <c r="G188" s="21">
        <f t="shared" si="4"/>
        <v>121000</v>
      </c>
      <c r="H188" s="18" t="s">
        <v>58</v>
      </c>
      <c r="I188" s="18">
        <v>103657666</v>
      </c>
      <c r="J188" s="18" t="s">
        <v>59</v>
      </c>
      <c r="K188" s="18" t="s">
        <v>70</v>
      </c>
      <c r="L188" s="18" t="s">
        <v>1075</v>
      </c>
      <c r="M188" s="18" t="b">
        <f t="shared" si="5"/>
        <v>0</v>
      </c>
    </row>
    <row r="189" spans="1:13" ht="46.8" x14ac:dyDescent="0.3">
      <c r="A189" s="18" t="s">
        <v>55</v>
      </c>
      <c r="B189" s="18" t="s">
        <v>980</v>
      </c>
      <c r="C189" s="18" t="s">
        <v>427</v>
      </c>
      <c r="D189" s="18" t="s">
        <v>38</v>
      </c>
      <c r="E189" s="18" t="str">
        <f>IFERROR(VLOOKUP(TRIM(D189), Collection!$B$2:$D$1001, 2, FALSE), "")</f>
        <v>Historiques American 1921 - Arabic</v>
      </c>
      <c r="F189" s="21" t="str">
        <f>IFERROR(VLOOKUP(TRIM(D189), Collection!$B$2:$D$1001, 3, FALSE), "")</f>
        <v>192,000 AED</v>
      </c>
      <c r="G189" s="21">
        <f t="shared" si="4"/>
        <v>192000</v>
      </c>
      <c r="H189" s="18" t="s">
        <v>58</v>
      </c>
      <c r="I189" s="18">
        <v>103660737</v>
      </c>
      <c r="J189" s="18" t="s">
        <v>59</v>
      </c>
      <c r="K189" s="18" t="s">
        <v>67</v>
      </c>
      <c r="L189" s="18" t="s">
        <v>980</v>
      </c>
      <c r="M189" s="18" t="b">
        <f t="shared" si="5"/>
        <v>0</v>
      </c>
    </row>
    <row r="190" spans="1:13" ht="31.2" x14ac:dyDescent="0.3">
      <c r="A190" s="18" t="s">
        <v>55</v>
      </c>
      <c r="B190" s="18" t="s">
        <v>980</v>
      </c>
      <c r="C190" s="18" t="s">
        <v>427</v>
      </c>
      <c r="D190" s="18" t="s">
        <v>66</v>
      </c>
      <c r="E190" s="18" t="str">
        <f>IFERROR(VLOOKUP(TRIM(D190), Collection!$B$2:$D$1001, 2, FALSE), "")</f>
        <v>Historiques 222</v>
      </c>
      <c r="F190" s="21" t="str">
        <f>IFERROR(VLOOKUP(TRIM(D190), Collection!$B$2:$D$1001, 3, FALSE), "")</f>
        <v>121,000 AED</v>
      </c>
      <c r="G190" s="21">
        <f t="shared" si="4"/>
        <v>121000</v>
      </c>
      <c r="H190" s="18" t="s">
        <v>58</v>
      </c>
      <c r="I190" s="18">
        <v>103660737</v>
      </c>
      <c r="J190" s="18" t="s">
        <v>59</v>
      </c>
      <c r="K190" s="18" t="s">
        <v>67</v>
      </c>
      <c r="L190" s="18" t="s">
        <v>980</v>
      </c>
      <c r="M190" s="18" t="b">
        <f t="shared" si="5"/>
        <v>0</v>
      </c>
    </row>
    <row r="191" spans="1:13" ht="31.2" x14ac:dyDescent="0.3">
      <c r="A191" s="18" t="s">
        <v>55</v>
      </c>
      <c r="B191" s="18" t="s">
        <v>980</v>
      </c>
      <c r="C191" s="18" t="s">
        <v>427</v>
      </c>
      <c r="D191" s="18" t="s">
        <v>66</v>
      </c>
      <c r="E191" s="18" t="str">
        <f>IFERROR(VLOOKUP(TRIM(D191), Collection!$B$2:$D$1001, 2, FALSE), "")</f>
        <v>Historiques 222</v>
      </c>
      <c r="F191" s="21" t="str">
        <f>IFERROR(VLOOKUP(TRIM(D191), Collection!$B$2:$D$1001, 3, FALSE), "")</f>
        <v>121,000 AED</v>
      </c>
      <c r="G191" s="21">
        <f t="shared" si="4"/>
        <v>121000</v>
      </c>
      <c r="H191" s="18" t="s">
        <v>58</v>
      </c>
      <c r="I191" s="18">
        <v>103648068</v>
      </c>
      <c r="J191" s="18" t="s">
        <v>59</v>
      </c>
      <c r="K191" s="18" t="s">
        <v>67</v>
      </c>
      <c r="L191" s="18" t="s">
        <v>980</v>
      </c>
      <c r="M191" s="18" t="b">
        <f t="shared" si="5"/>
        <v>0</v>
      </c>
    </row>
    <row r="192" spans="1:13" ht="31.2" x14ac:dyDescent="0.3">
      <c r="A192" s="18" t="s">
        <v>55</v>
      </c>
      <c r="B192" s="18" t="s">
        <v>980</v>
      </c>
      <c r="C192" s="18" t="s">
        <v>427</v>
      </c>
      <c r="D192" s="18" t="s">
        <v>66</v>
      </c>
      <c r="E192" s="18" t="str">
        <f>IFERROR(VLOOKUP(TRIM(D192), Collection!$B$2:$D$1001, 2, FALSE), "")</f>
        <v>Historiques 222</v>
      </c>
      <c r="F192" s="21" t="str">
        <f>IFERROR(VLOOKUP(TRIM(D192), Collection!$B$2:$D$1001, 3, FALSE), "")</f>
        <v>121,000 AED</v>
      </c>
      <c r="G192" s="21">
        <f t="shared" si="4"/>
        <v>121000</v>
      </c>
      <c r="H192" s="18" t="s">
        <v>58</v>
      </c>
      <c r="I192" s="18">
        <v>103631693</v>
      </c>
      <c r="J192" s="18" t="s">
        <v>59</v>
      </c>
      <c r="K192" s="18" t="s">
        <v>67</v>
      </c>
      <c r="L192" s="18" t="s">
        <v>980</v>
      </c>
      <c r="M192" s="18" t="b">
        <f t="shared" si="5"/>
        <v>0</v>
      </c>
    </row>
    <row r="193" spans="1:13" ht="31.2" x14ac:dyDescent="0.3">
      <c r="A193" s="18" t="s">
        <v>55</v>
      </c>
      <c r="B193" s="18" t="s">
        <v>980</v>
      </c>
      <c r="C193" s="18" t="s">
        <v>427</v>
      </c>
      <c r="D193" s="18" t="s">
        <v>66</v>
      </c>
      <c r="E193" s="18" t="str">
        <f>IFERROR(VLOOKUP(TRIM(D193), Collection!$B$2:$D$1001, 2, FALSE), "")</f>
        <v>Historiques 222</v>
      </c>
      <c r="F193" s="21" t="str">
        <f>IFERROR(VLOOKUP(TRIM(D193), Collection!$B$2:$D$1001, 3, FALSE), "")</f>
        <v>121,000 AED</v>
      </c>
      <c r="G193" s="21">
        <f t="shared" si="4"/>
        <v>121000</v>
      </c>
      <c r="H193" s="18" t="s">
        <v>58</v>
      </c>
      <c r="I193" s="18">
        <v>103616253</v>
      </c>
      <c r="J193" s="18" t="s">
        <v>59</v>
      </c>
      <c r="K193" s="18" t="s">
        <v>60</v>
      </c>
      <c r="L193" s="18" t="s">
        <v>980</v>
      </c>
      <c r="M193" s="18" t="b">
        <f t="shared" si="5"/>
        <v>0</v>
      </c>
    </row>
    <row r="194" spans="1:13" ht="31.2" x14ac:dyDescent="0.3">
      <c r="A194" s="18" t="s">
        <v>55</v>
      </c>
      <c r="B194" s="18" t="s">
        <v>980</v>
      </c>
      <c r="C194" s="18" t="s">
        <v>427</v>
      </c>
      <c r="D194" s="18" t="s">
        <v>66</v>
      </c>
      <c r="E194" s="18" t="str">
        <f>IFERROR(VLOOKUP(TRIM(D194), Collection!$B$2:$D$1001, 2, FALSE), "")</f>
        <v>Historiques 222</v>
      </c>
      <c r="F194" s="21" t="str">
        <f>IFERROR(VLOOKUP(TRIM(D194), Collection!$B$2:$D$1001, 3, FALSE), "")</f>
        <v>121,000 AED</v>
      </c>
      <c r="G194" s="21">
        <f t="shared" ref="G194:G257" si="6">IFERROR(VALUE(SUBSTITUTE(SUBSTITUTE(F194, "Price", ""), "AED", "")), "")</f>
        <v>121000</v>
      </c>
      <c r="H194" s="18" t="s">
        <v>58</v>
      </c>
      <c r="I194" s="18">
        <v>92404856</v>
      </c>
      <c r="J194" s="18" t="s">
        <v>59</v>
      </c>
      <c r="K194" s="18" t="s">
        <v>60</v>
      </c>
      <c r="L194" s="18" t="s">
        <v>980</v>
      </c>
      <c r="M194" s="18" t="b">
        <f t="shared" ref="M194:M257" si="7">IF(COUNTIF($R$3:$R$100, D194) &gt; 0, TRUE, FALSE)</f>
        <v>0</v>
      </c>
    </row>
    <row r="195" spans="1:13" ht="31.2" x14ac:dyDescent="0.3">
      <c r="A195" s="18" t="s">
        <v>55</v>
      </c>
      <c r="B195" s="18" t="s">
        <v>980</v>
      </c>
      <c r="C195" s="18" t="s">
        <v>427</v>
      </c>
      <c r="D195" s="18" t="s">
        <v>66</v>
      </c>
      <c r="E195" s="18" t="str">
        <f>IFERROR(VLOOKUP(TRIM(D195), Collection!$B$2:$D$1001, 2, FALSE), "")</f>
        <v>Historiques 222</v>
      </c>
      <c r="F195" s="21" t="str">
        <f>IFERROR(VLOOKUP(TRIM(D195), Collection!$B$2:$D$1001, 3, FALSE), "")</f>
        <v>121,000 AED</v>
      </c>
      <c r="G195" s="21">
        <f t="shared" si="6"/>
        <v>121000</v>
      </c>
      <c r="H195" s="18" t="s">
        <v>58</v>
      </c>
      <c r="I195" s="18">
        <v>103658184</v>
      </c>
      <c r="J195" s="18" t="s">
        <v>59</v>
      </c>
      <c r="K195" s="18" t="s">
        <v>60</v>
      </c>
      <c r="L195" s="18" t="s">
        <v>980</v>
      </c>
      <c r="M195" s="18" t="b">
        <f t="shared" si="7"/>
        <v>0</v>
      </c>
    </row>
    <row r="196" spans="1:13" ht="31.2" x14ac:dyDescent="0.3">
      <c r="A196" s="18" t="s">
        <v>55</v>
      </c>
      <c r="B196" s="18" t="s">
        <v>980</v>
      </c>
      <c r="C196" s="18" t="s">
        <v>427</v>
      </c>
      <c r="D196" s="18" t="s">
        <v>66</v>
      </c>
      <c r="E196" s="18" t="str">
        <f>IFERROR(VLOOKUP(TRIM(D196), Collection!$B$2:$D$1001, 2, FALSE), "")</f>
        <v>Historiques 222</v>
      </c>
      <c r="F196" s="21" t="str">
        <f>IFERROR(VLOOKUP(TRIM(D196), Collection!$B$2:$D$1001, 3, FALSE), "")</f>
        <v>121,000 AED</v>
      </c>
      <c r="G196" s="21">
        <f t="shared" si="6"/>
        <v>121000</v>
      </c>
      <c r="H196" s="18" t="s">
        <v>58</v>
      </c>
      <c r="I196" s="18">
        <v>100481133</v>
      </c>
      <c r="J196" s="18" t="s">
        <v>450</v>
      </c>
      <c r="K196" s="18" t="s">
        <v>60</v>
      </c>
      <c r="L196" s="18"/>
      <c r="M196" s="18" t="b">
        <f t="shared" si="7"/>
        <v>0</v>
      </c>
    </row>
    <row r="197" spans="1:13" ht="31.2" x14ac:dyDescent="0.3">
      <c r="A197" s="18" t="s">
        <v>55</v>
      </c>
      <c r="B197" s="18" t="s">
        <v>980</v>
      </c>
      <c r="C197" s="18" t="s">
        <v>451</v>
      </c>
      <c r="D197" s="18" t="s">
        <v>66</v>
      </c>
      <c r="E197" s="18" t="str">
        <f>IFERROR(VLOOKUP(TRIM(D197), Collection!$B$2:$D$1001, 2, FALSE), "")</f>
        <v>Historiques 222</v>
      </c>
      <c r="F197" s="21" t="str">
        <f>IFERROR(VLOOKUP(TRIM(D197), Collection!$B$2:$D$1001, 3, FALSE), "")</f>
        <v>121,000 AED</v>
      </c>
      <c r="G197" s="21">
        <f t="shared" si="6"/>
        <v>121000</v>
      </c>
      <c r="H197" s="18" t="s">
        <v>58</v>
      </c>
      <c r="I197" s="18">
        <v>103633978</v>
      </c>
      <c r="J197" s="18" t="s">
        <v>59</v>
      </c>
      <c r="K197" s="18" t="s">
        <v>67</v>
      </c>
      <c r="L197" s="18" t="s">
        <v>980</v>
      </c>
      <c r="M197" s="18" t="b">
        <f t="shared" si="7"/>
        <v>0</v>
      </c>
    </row>
    <row r="198" spans="1:13" ht="31.2" x14ac:dyDescent="0.3">
      <c r="A198" s="18" t="s">
        <v>55</v>
      </c>
      <c r="B198" s="18" t="s">
        <v>980</v>
      </c>
      <c r="C198" s="18" t="s">
        <v>451</v>
      </c>
      <c r="D198" s="18" t="s">
        <v>66</v>
      </c>
      <c r="E198" s="18" t="str">
        <f>IFERROR(VLOOKUP(TRIM(D198), Collection!$B$2:$D$1001, 2, FALSE), "")</f>
        <v>Historiques 222</v>
      </c>
      <c r="F198" s="21" t="str">
        <f>IFERROR(VLOOKUP(TRIM(D198), Collection!$B$2:$D$1001, 3, FALSE), "")</f>
        <v>121,000 AED</v>
      </c>
      <c r="G198" s="21">
        <f t="shared" si="6"/>
        <v>121000</v>
      </c>
      <c r="H198" s="18" t="s">
        <v>58</v>
      </c>
      <c r="I198" s="18">
        <v>103632517</v>
      </c>
      <c r="J198" s="18" t="s">
        <v>59</v>
      </c>
      <c r="K198" s="18" t="s">
        <v>67</v>
      </c>
      <c r="L198" s="18" t="s">
        <v>980</v>
      </c>
      <c r="M198" s="18" t="b">
        <f t="shared" si="7"/>
        <v>0</v>
      </c>
    </row>
    <row r="199" spans="1:13" ht="46.8" x14ac:dyDescent="0.3">
      <c r="A199" s="18" t="s">
        <v>55</v>
      </c>
      <c r="B199" s="18" t="s">
        <v>980</v>
      </c>
      <c r="C199" s="18" t="s">
        <v>451</v>
      </c>
      <c r="D199" s="18" t="s">
        <v>66</v>
      </c>
      <c r="E199" s="18" t="str">
        <f>IFERROR(VLOOKUP(TRIM(D199), Collection!$B$2:$D$1001, 2, FALSE), "")</f>
        <v>Historiques 222</v>
      </c>
      <c r="F199" s="21" t="str">
        <f>IFERROR(VLOOKUP(TRIM(D199), Collection!$B$2:$D$1001, 3, FALSE), "")</f>
        <v>121,000 AED</v>
      </c>
      <c r="G199" s="21">
        <f t="shared" si="6"/>
        <v>121000</v>
      </c>
      <c r="H199" s="18" t="s">
        <v>58</v>
      </c>
      <c r="I199" s="18">
        <v>100432455</v>
      </c>
      <c r="J199" s="18" t="s">
        <v>59</v>
      </c>
      <c r="K199" s="18" t="s">
        <v>70</v>
      </c>
      <c r="L199" s="18" t="s">
        <v>1076</v>
      </c>
      <c r="M199" s="18" t="b">
        <f t="shared" si="7"/>
        <v>0</v>
      </c>
    </row>
    <row r="200" spans="1:13" ht="31.2" x14ac:dyDescent="0.3">
      <c r="A200" s="18" t="s">
        <v>55</v>
      </c>
      <c r="B200" s="18" t="s">
        <v>980</v>
      </c>
      <c r="C200" s="18" t="s">
        <v>451</v>
      </c>
      <c r="D200" s="18" t="s">
        <v>66</v>
      </c>
      <c r="E200" s="18" t="str">
        <f>IFERROR(VLOOKUP(TRIM(D200), Collection!$B$2:$D$1001, 2, FALSE), "")</f>
        <v>Historiques 222</v>
      </c>
      <c r="F200" s="21" t="str">
        <f>IFERROR(VLOOKUP(TRIM(D200), Collection!$B$2:$D$1001, 3, FALSE), "")</f>
        <v>121,000 AED</v>
      </c>
      <c r="G200" s="21">
        <f t="shared" si="6"/>
        <v>121000</v>
      </c>
      <c r="H200" s="18" t="s">
        <v>58</v>
      </c>
      <c r="I200" s="18">
        <v>103634169</v>
      </c>
      <c r="J200" s="18" t="s">
        <v>59</v>
      </c>
      <c r="K200" s="18" t="s">
        <v>67</v>
      </c>
      <c r="L200" s="18" t="s">
        <v>980</v>
      </c>
      <c r="M200" s="18" t="b">
        <f t="shared" si="7"/>
        <v>0</v>
      </c>
    </row>
    <row r="201" spans="1:13" ht="31.2" x14ac:dyDescent="0.3">
      <c r="A201" s="18" t="s">
        <v>55</v>
      </c>
      <c r="B201" s="18" t="s">
        <v>980</v>
      </c>
      <c r="C201" s="18" t="s">
        <v>451</v>
      </c>
      <c r="D201" s="18" t="s">
        <v>66</v>
      </c>
      <c r="E201" s="18" t="str">
        <f>IFERROR(VLOOKUP(TRIM(D201), Collection!$B$2:$D$1001, 2, FALSE), "")</f>
        <v>Historiques 222</v>
      </c>
      <c r="F201" s="21" t="str">
        <f>IFERROR(VLOOKUP(TRIM(D201), Collection!$B$2:$D$1001, 3, FALSE), "")</f>
        <v>121,000 AED</v>
      </c>
      <c r="G201" s="21">
        <f t="shared" si="6"/>
        <v>121000</v>
      </c>
      <c r="H201" s="18" t="s">
        <v>58</v>
      </c>
      <c r="I201" s="18">
        <v>103634472</v>
      </c>
      <c r="J201" s="18" t="s">
        <v>59</v>
      </c>
      <c r="K201" s="18" t="s">
        <v>67</v>
      </c>
      <c r="L201" s="18" t="s">
        <v>980</v>
      </c>
      <c r="M201" s="18" t="b">
        <f t="shared" si="7"/>
        <v>0</v>
      </c>
    </row>
    <row r="202" spans="1:13" ht="31.2" x14ac:dyDescent="0.3">
      <c r="A202" s="18" t="s">
        <v>55</v>
      </c>
      <c r="B202" s="18" t="s">
        <v>980</v>
      </c>
      <c r="C202" s="18" t="s">
        <v>451</v>
      </c>
      <c r="D202" s="18" t="s">
        <v>66</v>
      </c>
      <c r="E202" s="18" t="str">
        <f>IFERROR(VLOOKUP(TRIM(D202), Collection!$B$2:$D$1001, 2, FALSE), "")</f>
        <v>Historiques 222</v>
      </c>
      <c r="F202" s="21" t="str">
        <f>IFERROR(VLOOKUP(TRIM(D202), Collection!$B$2:$D$1001, 3, FALSE), "")</f>
        <v>121,000 AED</v>
      </c>
      <c r="G202" s="21">
        <f t="shared" si="6"/>
        <v>121000</v>
      </c>
      <c r="H202" s="18" t="s">
        <v>58</v>
      </c>
      <c r="I202" s="18">
        <v>103634611</v>
      </c>
      <c r="J202" s="18" t="s">
        <v>59</v>
      </c>
      <c r="K202" s="18" t="s">
        <v>67</v>
      </c>
      <c r="L202" s="18" t="s">
        <v>980</v>
      </c>
      <c r="M202" s="18" t="b">
        <f t="shared" si="7"/>
        <v>0</v>
      </c>
    </row>
    <row r="203" spans="1:13" ht="31.2" x14ac:dyDescent="0.3">
      <c r="A203" s="18" t="s">
        <v>55</v>
      </c>
      <c r="B203" s="18" t="s">
        <v>980</v>
      </c>
      <c r="C203" s="18" t="s">
        <v>451</v>
      </c>
      <c r="D203" s="18" t="s">
        <v>66</v>
      </c>
      <c r="E203" s="18" t="str">
        <f>IFERROR(VLOOKUP(TRIM(D203), Collection!$B$2:$D$1001, 2, FALSE), "")</f>
        <v>Historiques 222</v>
      </c>
      <c r="F203" s="21" t="str">
        <f>IFERROR(VLOOKUP(TRIM(D203), Collection!$B$2:$D$1001, 3, FALSE), "")</f>
        <v>121,000 AED</v>
      </c>
      <c r="G203" s="21">
        <f t="shared" si="6"/>
        <v>121000</v>
      </c>
      <c r="H203" s="18" t="s">
        <v>58</v>
      </c>
      <c r="I203" s="18">
        <v>103632652</v>
      </c>
      <c r="J203" s="18" t="s">
        <v>59</v>
      </c>
      <c r="K203" s="18" t="s">
        <v>67</v>
      </c>
      <c r="L203" s="18" t="s">
        <v>980</v>
      </c>
      <c r="M203" s="18" t="b">
        <f t="shared" si="7"/>
        <v>0</v>
      </c>
    </row>
    <row r="204" spans="1:13" ht="31.2" x14ac:dyDescent="0.3">
      <c r="A204" s="18" t="s">
        <v>55</v>
      </c>
      <c r="B204" s="18" t="s">
        <v>980</v>
      </c>
      <c r="C204" s="18" t="s">
        <v>451</v>
      </c>
      <c r="D204" s="18" t="s">
        <v>66</v>
      </c>
      <c r="E204" s="18" t="str">
        <f>IFERROR(VLOOKUP(TRIM(D204), Collection!$B$2:$D$1001, 2, FALSE), "")</f>
        <v>Historiques 222</v>
      </c>
      <c r="F204" s="21" t="str">
        <f>IFERROR(VLOOKUP(TRIM(D204), Collection!$B$2:$D$1001, 3, FALSE), "")</f>
        <v>121,000 AED</v>
      </c>
      <c r="G204" s="21">
        <f t="shared" si="6"/>
        <v>121000</v>
      </c>
      <c r="H204" s="18" t="s">
        <v>58</v>
      </c>
      <c r="I204" s="18">
        <v>103642113</v>
      </c>
      <c r="J204" s="18" t="s">
        <v>59</v>
      </c>
      <c r="K204" s="18" t="s">
        <v>60</v>
      </c>
      <c r="L204" s="18" t="s">
        <v>1077</v>
      </c>
      <c r="M204" s="18" t="b">
        <f t="shared" si="7"/>
        <v>0</v>
      </c>
    </row>
    <row r="205" spans="1:13" ht="31.2" x14ac:dyDescent="0.3">
      <c r="A205" s="18" t="s">
        <v>55</v>
      </c>
      <c r="B205" s="18" t="s">
        <v>980</v>
      </c>
      <c r="C205" s="18" t="s">
        <v>451</v>
      </c>
      <c r="D205" s="18" t="s">
        <v>66</v>
      </c>
      <c r="E205" s="18" t="str">
        <f>IFERROR(VLOOKUP(TRIM(D205), Collection!$B$2:$D$1001, 2, FALSE), "")</f>
        <v>Historiques 222</v>
      </c>
      <c r="F205" s="21" t="str">
        <f>IFERROR(VLOOKUP(TRIM(D205), Collection!$B$2:$D$1001, 3, FALSE), "")</f>
        <v>121,000 AED</v>
      </c>
      <c r="G205" s="21">
        <f t="shared" si="6"/>
        <v>121000</v>
      </c>
      <c r="H205" s="18" t="s">
        <v>58</v>
      </c>
      <c r="I205" s="18">
        <v>98199321</v>
      </c>
      <c r="J205" s="18" t="s">
        <v>462</v>
      </c>
      <c r="K205" s="18" t="s">
        <v>60</v>
      </c>
      <c r="L205" s="18" t="s">
        <v>1078</v>
      </c>
      <c r="M205" s="18" t="b">
        <f t="shared" si="7"/>
        <v>0</v>
      </c>
    </row>
    <row r="206" spans="1:13" ht="31.2" x14ac:dyDescent="0.3">
      <c r="A206" s="18" t="s">
        <v>55</v>
      </c>
      <c r="B206" s="18" t="s">
        <v>980</v>
      </c>
      <c r="C206" s="18" t="s">
        <v>451</v>
      </c>
      <c r="D206" s="18" t="s">
        <v>66</v>
      </c>
      <c r="E206" s="18" t="str">
        <f>IFERROR(VLOOKUP(TRIM(D206), Collection!$B$2:$D$1001, 2, FALSE), "")</f>
        <v>Historiques 222</v>
      </c>
      <c r="F206" s="21" t="str">
        <f>IFERROR(VLOOKUP(TRIM(D206), Collection!$B$2:$D$1001, 3, FALSE), "")</f>
        <v>121,000 AED</v>
      </c>
      <c r="G206" s="21">
        <f t="shared" si="6"/>
        <v>121000</v>
      </c>
      <c r="H206" s="18" t="s">
        <v>58</v>
      </c>
      <c r="I206" s="18">
        <v>92397711</v>
      </c>
      <c r="J206" s="18" t="s">
        <v>450</v>
      </c>
      <c r="K206" s="18" t="s">
        <v>60</v>
      </c>
      <c r="L206" s="18"/>
      <c r="M206" s="18" t="b">
        <f t="shared" si="7"/>
        <v>0</v>
      </c>
    </row>
    <row r="207" spans="1:13" ht="31.2" x14ac:dyDescent="0.3">
      <c r="A207" s="18" t="s">
        <v>55</v>
      </c>
      <c r="B207" s="18" t="s">
        <v>980</v>
      </c>
      <c r="C207" s="18" t="s">
        <v>451</v>
      </c>
      <c r="D207" s="18" t="s">
        <v>66</v>
      </c>
      <c r="E207" s="18" t="str">
        <f>IFERROR(VLOOKUP(TRIM(D207), Collection!$B$2:$D$1001, 2, FALSE), "")</f>
        <v>Historiques 222</v>
      </c>
      <c r="F207" s="21" t="str">
        <f>IFERROR(VLOOKUP(TRIM(D207), Collection!$B$2:$D$1001, 3, FALSE), "")</f>
        <v>121,000 AED</v>
      </c>
      <c r="G207" s="21">
        <f t="shared" si="6"/>
        <v>121000</v>
      </c>
      <c r="H207" s="18" t="s">
        <v>58</v>
      </c>
      <c r="I207" s="18">
        <v>103645755</v>
      </c>
      <c r="J207" s="18" t="s">
        <v>59</v>
      </c>
      <c r="K207" s="18" t="s">
        <v>67</v>
      </c>
      <c r="L207" s="18" t="s">
        <v>980</v>
      </c>
      <c r="M207" s="18" t="b">
        <f t="shared" si="7"/>
        <v>0</v>
      </c>
    </row>
    <row r="208" spans="1:13" ht="31.2" x14ac:dyDescent="0.3">
      <c r="A208" s="18" t="s">
        <v>55</v>
      </c>
      <c r="B208" s="18" t="s">
        <v>980</v>
      </c>
      <c r="C208" s="18" t="s">
        <v>451</v>
      </c>
      <c r="D208" s="18" t="s">
        <v>66</v>
      </c>
      <c r="E208" s="18" t="str">
        <f>IFERROR(VLOOKUP(TRIM(D208), Collection!$B$2:$D$1001, 2, FALSE), "")</f>
        <v>Historiques 222</v>
      </c>
      <c r="F208" s="21" t="str">
        <f>IFERROR(VLOOKUP(TRIM(D208), Collection!$B$2:$D$1001, 3, FALSE), "")</f>
        <v>121,000 AED</v>
      </c>
      <c r="G208" s="21">
        <f t="shared" si="6"/>
        <v>121000</v>
      </c>
      <c r="H208" s="18" t="s">
        <v>58</v>
      </c>
      <c r="I208" s="18">
        <v>92410153</v>
      </c>
      <c r="J208" s="18" t="s">
        <v>59</v>
      </c>
      <c r="K208" s="18" t="s">
        <v>67</v>
      </c>
      <c r="L208" s="18" t="s">
        <v>980</v>
      </c>
      <c r="M208" s="18" t="b">
        <f t="shared" si="7"/>
        <v>0</v>
      </c>
    </row>
    <row r="209" spans="1:13" ht="31.2" x14ac:dyDescent="0.3">
      <c r="A209" s="18" t="s">
        <v>55</v>
      </c>
      <c r="B209" s="18" t="s">
        <v>980</v>
      </c>
      <c r="C209" s="18" t="s">
        <v>451</v>
      </c>
      <c r="D209" s="18" t="s">
        <v>66</v>
      </c>
      <c r="E209" s="18" t="str">
        <f>IFERROR(VLOOKUP(TRIM(D209), Collection!$B$2:$D$1001, 2, FALSE), "")</f>
        <v>Historiques 222</v>
      </c>
      <c r="F209" s="21" t="str">
        <f>IFERROR(VLOOKUP(TRIM(D209), Collection!$B$2:$D$1001, 3, FALSE), "")</f>
        <v>121,000 AED</v>
      </c>
      <c r="G209" s="21">
        <f t="shared" si="6"/>
        <v>121000</v>
      </c>
      <c r="H209" s="18" t="s">
        <v>58</v>
      </c>
      <c r="I209" s="18">
        <v>92406326</v>
      </c>
      <c r="J209" s="18" t="s">
        <v>59</v>
      </c>
      <c r="K209" s="18" t="s">
        <v>67</v>
      </c>
      <c r="L209" s="18" t="s">
        <v>980</v>
      </c>
      <c r="M209" s="18" t="b">
        <f t="shared" si="7"/>
        <v>0</v>
      </c>
    </row>
    <row r="210" spans="1:13" ht="31.2" x14ac:dyDescent="0.3">
      <c r="A210" s="18" t="s">
        <v>55</v>
      </c>
      <c r="B210" s="18" t="s">
        <v>980</v>
      </c>
      <c r="C210" s="18" t="s">
        <v>451</v>
      </c>
      <c r="D210" s="18" t="s">
        <v>66</v>
      </c>
      <c r="E210" s="18" t="str">
        <f>IFERROR(VLOOKUP(TRIM(D210), Collection!$B$2:$D$1001, 2, FALSE), "")</f>
        <v>Historiques 222</v>
      </c>
      <c r="F210" s="21" t="str">
        <f>IFERROR(VLOOKUP(TRIM(D210), Collection!$B$2:$D$1001, 3, FALSE), "")</f>
        <v>121,000 AED</v>
      </c>
      <c r="G210" s="21">
        <f t="shared" si="6"/>
        <v>121000</v>
      </c>
      <c r="H210" s="18" t="s">
        <v>58</v>
      </c>
      <c r="I210" s="18">
        <v>100217721</v>
      </c>
      <c r="J210" s="18" t="s">
        <v>59</v>
      </c>
      <c r="K210" s="18" t="s">
        <v>67</v>
      </c>
      <c r="L210" s="18" t="s">
        <v>980</v>
      </c>
      <c r="M210" s="18" t="b">
        <f t="shared" si="7"/>
        <v>0</v>
      </c>
    </row>
    <row r="211" spans="1:13" ht="31.2" x14ac:dyDescent="0.3">
      <c r="A211" s="18" t="s">
        <v>55</v>
      </c>
      <c r="B211" s="18" t="s">
        <v>980</v>
      </c>
      <c r="C211" s="18" t="s">
        <v>451</v>
      </c>
      <c r="D211" s="18" t="s">
        <v>66</v>
      </c>
      <c r="E211" s="18" t="str">
        <f>IFERROR(VLOOKUP(TRIM(D211), Collection!$B$2:$D$1001, 2, FALSE), "")</f>
        <v>Historiques 222</v>
      </c>
      <c r="F211" s="21" t="str">
        <f>IFERROR(VLOOKUP(TRIM(D211), Collection!$B$2:$D$1001, 3, FALSE), "")</f>
        <v>121,000 AED</v>
      </c>
      <c r="G211" s="21">
        <f t="shared" si="6"/>
        <v>121000</v>
      </c>
      <c r="H211" s="18" t="s">
        <v>58</v>
      </c>
      <c r="I211" s="18">
        <v>103646324</v>
      </c>
      <c r="J211" s="18" t="s">
        <v>59</v>
      </c>
      <c r="K211" s="18" t="s">
        <v>67</v>
      </c>
      <c r="L211" s="18" t="s">
        <v>980</v>
      </c>
      <c r="M211" s="18" t="b">
        <f t="shared" si="7"/>
        <v>0</v>
      </c>
    </row>
    <row r="212" spans="1:13" ht="31.2" x14ac:dyDescent="0.3">
      <c r="A212" s="18" t="s">
        <v>55</v>
      </c>
      <c r="B212" s="18" t="s">
        <v>980</v>
      </c>
      <c r="C212" s="18" t="s">
        <v>451</v>
      </c>
      <c r="D212" s="18" t="s">
        <v>66</v>
      </c>
      <c r="E212" s="18" t="str">
        <f>IFERROR(VLOOKUP(TRIM(D212), Collection!$B$2:$D$1001, 2, FALSE), "")</f>
        <v>Historiques 222</v>
      </c>
      <c r="F212" s="21" t="str">
        <f>IFERROR(VLOOKUP(TRIM(D212), Collection!$B$2:$D$1001, 3, FALSE), "")</f>
        <v>121,000 AED</v>
      </c>
      <c r="G212" s="21">
        <f t="shared" si="6"/>
        <v>121000</v>
      </c>
      <c r="H212" s="18" t="s">
        <v>58</v>
      </c>
      <c r="I212" s="18">
        <v>103646387</v>
      </c>
      <c r="J212" s="18" t="s">
        <v>59</v>
      </c>
      <c r="K212" s="18" t="s">
        <v>67</v>
      </c>
      <c r="L212" s="18" t="s">
        <v>980</v>
      </c>
      <c r="M212" s="18" t="b">
        <f t="shared" si="7"/>
        <v>0</v>
      </c>
    </row>
    <row r="213" spans="1:13" ht="31.2" x14ac:dyDescent="0.3">
      <c r="A213" s="18" t="s">
        <v>55</v>
      </c>
      <c r="B213" s="18" t="s">
        <v>980</v>
      </c>
      <c r="C213" s="18" t="s">
        <v>451</v>
      </c>
      <c r="D213" s="18" t="s">
        <v>66</v>
      </c>
      <c r="E213" s="18" t="str">
        <f>IFERROR(VLOOKUP(TRIM(D213), Collection!$B$2:$D$1001, 2, FALSE), "")</f>
        <v>Historiques 222</v>
      </c>
      <c r="F213" s="21" t="str">
        <f>IFERROR(VLOOKUP(TRIM(D213), Collection!$B$2:$D$1001, 3, FALSE), "")</f>
        <v>121,000 AED</v>
      </c>
      <c r="G213" s="21">
        <f t="shared" si="6"/>
        <v>121000</v>
      </c>
      <c r="H213" s="18" t="s">
        <v>58</v>
      </c>
      <c r="I213" s="18">
        <v>101009517</v>
      </c>
      <c r="J213" s="18" t="s">
        <v>59</v>
      </c>
      <c r="K213" s="18" t="s">
        <v>67</v>
      </c>
      <c r="L213" s="18" t="s">
        <v>980</v>
      </c>
      <c r="M213" s="18" t="b">
        <f t="shared" si="7"/>
        <v>0</v>
      </c>
    </row>
    <row r="214" spans="1:13" ht="31.2" x14ac:dyDescent="0.3">
      <c r="A214" s="18" t="s">
        <v>55</v>
      </c>
      <c r="B214" s="18" t="s">
        <v>980</v>
      </c>
      <c r="C214" s="18" t="s">
        <v>451</v>
      </c>
      <c r="D214" s="18" t="s">
        <v>66</v>
      </c>
      <c r="E214" s="18" t="str">
        <f>IFERROR(VLOOKUP(TRIM(D214), Collection!$B$2:$D$1001, 2, FALSE), "")</f>
        <v>Historiques 222</v>
      </c>
      <c r="F214" s="21" t="str">
        <f>IFERROR(VLOOKUP(TRIM(D214), Collection!$B$2:$D$1001, 3, FALSE), "")</f>
        <v>121,000 AED</v>
      </c>
      <c r="G214" s="21">
        <f t="shared" si="6"/>
        <v>121000</v>
      </c>
      <c r="H214" s="18" t="s">
        <v>58</v>
      </c>
      <c r="I214" s="18">
        <v>101623615</v>
      </c>
      <c r="J214" s="18" t="s">
        <v>59</v>
      </c>
      <c r="K214" s="18" t="s">
        <v>67</v>
      </c>
      <c r="L214" s="18" t="s">
        <v>980</v>
      </c>
      <c r="M214" s="18" t="b">
        <f t="shared" si="7"/>
        <v>0</v>
      </c>
    </row>
    <row r="215" spans="1:13" ht="31.2" x14ac:dyDescent="0.3">
      <c r="A215" s="18" t="s">
        <v>55</v>
      </c>
      <c r="B215" s="18" t="s">
        <v>980</v>
      </c>
      <c r="C215" s="18" t="s">
        <v>451</v>
      </c>
      <c r="D215" s="18" t="s">
        <v>66</v>
      </c>
      <c r="E215" s="18" t="str">
        <f>IFERROR(VLOOKUP(TRIM(D215), Collection!$B$2:$D$1001, 2, FALSE), "")</f>
        <v>Historiques 222</v>
      </c>
      <c r="F215" s="21" t="str">
        <f>IFERROR(VLOOKUP(TRIM(D215), Collection!$B$2:$D$1001, 3, FALSE), "")</f>
        <v>121,000 AED</v>
      </c>
      <c r="G215" s="21">
        <f t="shared" si="6"/>
        <v>121000</v>
      </c>
      <c r="H215" s="18" t="s">
        <v>58</v>
      </c>
      <c r="I215" s="18">
        <v>101346110</v>
      </c>
      <c r="J215" s="18" t="s">
        <v>59</v>
      </c>
      <c r="K215" s="18" t="s">
        <v>60</v>
      </c>
      <c r="L215" s="18" t="s">
        <v>980</v>
      </c>
      <c r="M215" s="18" t="b">
        <f t="shared" si="7"/>
        <v>0</v>
      </c>
    </row>
    <row r="216" spans="1:13" ht="31.2" x14ac:dyDescent="0.3">
      <c r="A216" s="18" t="s">
        <v>55</v>
      </c>
      <c r="B216" s="18" t="s">
        <v>980</v>
      </c>
      <c r="C216" s="18" t="s">
        <v>451</v>
      </c>
      <c r="D216" s="18" t="s">
        <v>66</v>
      </c>
      <c r="E216" s="18" t="str">
        <f>IFERROR(VLOOKUP(TRIM(D216), Collection!$B$2:$D$1001, 2, FALSE), "")</f>
        <v>Historiques 222</v>
      </c>
      <c r="F216" s="21" t="str">
        <f>IFERROR(VLOOKUP(TRIM(D216), Collection!$B$2:$D$1001, 3, FALSE), "")</f>
        <v>121,000 AED</v>
      </c>
      <c r="G216" s="21">
        <f t="shared" si="6"/>
        <v>121000</v>
      </c>
      <c r="H216" s="18" t="s">
        <v>58</v>
      </c>
      <c r="I216" s="18">
        <v>102180966</v>
      </c>
      <c r="J216" s="18" t="s">
        <v>59</v>
      </c>
      <c r="K216" s="18" t="s">
        <v>67</v>
      </c>
      <c r="L216" s="18" t="s">
        <v>980</v>
      </c>
      <c r="M216" s="18" t="b">
        <f t="shared" si="7"/>
        <v>0</v>
      </c>
    </row>
    <row r="217" spans="1:13" ht="31.2" x14ac:dyDescent="0.3">
      <c r="A217" s="18" t="s">
        <v>55</v>
      </c>
      <c r="B217" s="18" t="s">
        <v>980</v>
      </c>
      <c r="C217" s="18" t="s">
        <v>451</v>
      </c>
      <c r="D217" s="18" t="s">
        <v>66</v>
      </c>
      <c r="E217" s="18" t="str">
        <f>IFERROR(VLOOKUP(TRIM(D217), Collection!$B$2:$D$1001, 2, FALSE), "")</f>
        <v>Historiques 222</v>
      </c>
      <c r="F217" s="21" t="str">
        <f>IFERROR(VLOOKUP(TRIM(D217), Collection!$B$2:$D$1001, 3, FALSE), "")</f>
        <v>121,000 AED</v>
      </c>
      <c r="G217" s="21">
        <f t="shared" si="6"/>
        <v>121000</v>
      </c>
      <c r="H217" s="18" t="s">
        <v>58</v>
      </c>
      <c r="I217" s="18">
        <v>103656728</v>
      </c>
      <c r="J217" s="18" t="s">
        <v>59</v>
      </c>
      <c r="K217" s="18" t="s">
        <v>60</v>
      </c>
      <c r="L217" s="18" t="s">
        <v>980</v>
      </c>
      <c r="M217" s="18" t="b">
        <f t="shared" si="7"/>
        <v>0</v>
      </c>
    </row>
    <row r="218" spans="1:13" ht="31.2" x14ac:dyDescent="0.3">
      <c r="A218" s="18" t="s">
        <v>55</v>
      </c>
      <c r="B218" s="18" t="s">
        <v>980</v>
      </c>
      <c r="C218" s="18" t="s">
        <v>451</v>
      </c>
      <c r="D218" s="18" t="s">
        <v>66</v>
      </c>
      <c r="E218" s="18" t="str">
        <f>IFERROR(VLOOKUP(TRIM(D218), Collection!$B$2:$D$1001, 2, FALSE), "")</f>
        <v>Historiques 222</v>
      </c>
      <c r="F218" s="21" t="str">
        <f>IFERROR(VLOOKUP(TRIM(D218), Collection!$B$2:$D$1001, 3, FALSE), "")</f>
        <v>121,000 AED</v>
      </c>
      <c r="G218" s="21">
        <f t="shared" si="6"/>
        <v>121000</v>
      </c>
      <c r="H218" s="18" t="s">
        <v>58</v>
      </c>
      <c r="I218" s="18">
        <v>92403591</v>
      </c>
      <c r="J218" s="18" t="s">
        <v>59</v>
      </c>
      <c r="K218" s="18" t="s">
        <v>60</v>
      </c>
      <c r="L218" s="18" t="s">
        <v>980</v>
      </c>
      <c r="M218" s="18" t="b">
        <f t="shared" si="7"/>
        <v>0</v>
      </c>
    </row>
    <row r="219" spans="1:13" ht="31.2" x14ac:dyDescent="0.3">
      <c r="A219" s="18" t="s">
        <v>55</v>
      </c>
      <c r="B219" s="18" t="s">
        <v>980</v>
      </c>
      <c r="C219" s="18" t="s">
        <v>451</v>
      </c>
      <c r="D219" s="18" t="s">
        <v>66</v>
      </c>
      <c r="E219" s="18" t="str">
        <f>IFERROR(VLOOKUP(TRIM(D219), Collection!$B$2:$D$1001, 2, FALSE), "")</f>
        <v>Historiques 222</v>
      </c>
      <c r="F219" s="21" t="str">
        <f>IFERROR(VLOOKUP(TRIM(D219), Collection!$B$2:$D$1001, 3, FALSE), "")</f>
        <v>121,000 AED</v>
      </c>
      <c r="G219" s="21">
        <f t="shared" si="6"/>
        <v>121000</v>
      </c>
      <c r="H219" s="18" t="s">
        <v>58</v>
      </c>
      <c r="I219" s="18">
        <v>92400865</v>
      </c>
      <c r="J219" s="18" t="s">
        <v>59</v>
      </c>
      <c r="K219" s="18" t="s">
        <v>60</v>
      </c>
      <c r="L219" s="18" t="s">
        <v>980</v>
      </c>
      <c r="M219" s="18" t="b">
        <f t="shared" si="7"/>
        <v>0</v>
      </c>
    </row>
    <row r="220" spans="1:13" ht="31.2" x14ac:dyDescent="0.3">
      <c r="A220" s="18" t="s">
        <v>55</v>
      </c>
      <c r="B220" s="18" t="s">
        <v>980</v>
      </c>
      <c r="C220" s="18" t="s">
        <v>478</v>
      </c>
      <c r="D220" s="18" t="s">
        <v>66</v>
      </c>
      <c r="E220" s="18" t="str">
        <f>IFERROR(VLOOKUP(TRIM(D220), Collection!$B$2:$D$1001, 2, FALSE), "")</f>
        <v>Historiques 222</v>
      </c>
      <c r="F220" s="21" t="str">
        <f>IFERROR(VLOOKUP(TRIM(D220), Collection!$B$2:$D$1001, 3, FALSE), "")</f>
        <v>121,000 AED</v>
      </c>
      <c r="G220" s="21">
        <f t="shared" si="6"/>
        <v>121000</v>
      </c>
      <c r="H220" s="18" t="s">
        <v>58</v>
      </c>
      <c r="I220" s="18">
        <v>103617461</v>
      </c>
      <c r="J220" s="18" t="s">
        <v>59</v>
      </c>
      <c r="K220" s="18" t="s">
        <v>67</v>
      </c>
      <c r="L220" s="18" t="s">
        <v>980</v>
      </c>
      <c r="M220" s="18" t="b">
        <f t="shared" si="7"/>
        <v>0</v>
      </c>
    </row>
    <row r="221" spans="1:13" ht="31.2" x14ac:dyDescent="0.3">
      <c r="A221" s="18" t="s">
        <v>55</v>
      </c>
      <c r="B221" s="18" t="s">
        <v>980</v>
      </c>
      <c r="C221" s="18" t="s">
        <v>478</v>
      </c>
      <c r="D221" s="18" t="s">
        <v>66</v>
      </c>
      <c r="E221" s="18" t="str">
        <f>IFERROR(VLOOKUP(TRIM(D221), Collection!$B$2:$D$1001, 2, FALSE), "")</f>
        <v>Historiques 222</v>
      </c>
      <c r="F221" s="21" t="str">
        <f>IFERROR(VLOOKUP(TRIM(D221), Collection!$B$2:$D$1001, 3, FALSE), "")</f>
        <v>121,000 AED</v>
      </c>
      <c r="G221" s="21">
        <f t="shared" si="6"/>
        <v>121000</v>
      </c>
      <c r="H221" s="18" t="s">
        <v>58</v>
      </c>
      <c r="I221" s="18">
        <v>103630373</v>
      </c>
      <c r="J221" s="18" t="s">
        <v>59</v>
      </c>
      <c r="K221" s="18" t="s">
        <v>70</v>
      </c>
      <c r="L221" s="18" t="s">
        <v>1079</v>
      </c>
      <c r="M221" s="18" t="b">
        <f t="shared" si="7"/>
        <v>0</v>
      </c>
    </row>
    <row r="222" spans="1:13" ht="31.2" x14ac:dyDescent="0.3">
      <c r="A222" s="18" t="s">
        <v>55</v>
      </c>
      <c r="B222" s="18" t="s">
        <v>980</v>
      </c>
      <c r="C222" s="18" t="s">
        <v>478</v>
      </c>
      <c r="D222" s="18" t="s">
        <v>66</v>
      </c>
      <c r="E222" s="18" t="str">
        <f>IFERROR(VLOOKUP(TRIM(D222), Collection!$B$2:$D$1001, 2, FALSE), "")</f>
        <v>Historiques 222</v>
      </c>
      <c r="F222" s="21" t="str">
        <f>IFERROR(VLOOKUP(TRIM(D222), Collection!$B$2:$D$1001, 3, FALSE), "")</f>
        <v>121,000 AED</v>
      </c>
      <c r="G222" s="21">
        <f t="shared" si="6"/>
        <v>121000</v>
      </c>
      <c r="H222" s="18" t="s">
        <v>58</v>
      </c>
      <c r="I222" s="18">
        <v>103620891</v>
      </c>
      <c r="J222" s="18" t="s">
        <v>59</v>
      </c>
      <c r="K222" s="18" t="s">
        <v>67</v>
      </c>
      <c r="L222" s="18" t="s">
        <v>1080</v>
      </c>
      <c r="M222" s="18" t="b">
        <f t="shared" si="7"/>
        <v>0</v>
      </c>
    </row>
    <row r="223" spans="1:13" ht="31.2" x14ac:dyDescent="0.3">
      <c r="A223" s="18" t="s">
        <v>55</v>
      </c>
      <c r="B223" s="18" t="s">
        <v>980</v>
      </c>
      <c r="C223" s="18" t="s">
        <v>478</v>
      </c>
      <c r="D223" s="18" t="s">
        <v>66</v>
      </c>
      <c r="E223" s="18" t="str">
        <f>IFERROR(VLOOKUP(TRIM(D223), Collection!$B$2:$D$1001, 2, FALSE), "")</f>
        <v>Historiques 222</v>
      </c>
      <c r="F223" s="21" t="str">
        <f>IFERROR(VLOOKUP(TRIM(D223), Collection!$B$2:$D$1001, 3, FALSE), "")</f>
        <v>121,000 AED</v>
      </c>
      <c r="G223" s="21">
        <f t="shared" si="6"/>
        <v>121000</v>
      </c>
      <c r="H223" s="18" t="s">
        <v>58</v>
      </c>
      <c r="I223" s="18">
        <v>103622461</v>
      </c>
      <c r="J223" s="18" t="s">
        <v>59</v>
      </c>
      <c r="K223" s="18" t="s">
        <v>70</v>
      </c>
      <c r="L223" s="18" t="s">
        <v>1081</v>
      </c>
      <c r="M223" s="18" t="b">
        <f t="shared" si="7"/>
        <v>0</v>
      </c>
    </row>
    <row r="224" spans="1:13" ht="31.2" x14ac:dyDescent="0.3">
      <c r="A224" s="18" t="s">
        <v>55</v>
      </c>
      <c r="B224" s="18" t="s">
        <v>980</v>
      </c>
      <c r="C224" s="18" t="s">
        <v>478</v>
      </c>
      <c r="D224" s="18" t="s">
        <v>66</v>
      </c>
      <c r="E224" s="18" t="str">
        <f>IFERROR(VLOOKUP(TRIM(D224), Collection!$B$2:$D$1001, 2, FALSE), "")</f>
        <v>Historiques 222</v>
      </c>
      <c r="F224" s="21" t="str">
        <f>IFERROR(VLOOKUP(TRIM(D224), Collection!$B$2:$D$1001, 3, FALSE), "")</f>
        <v>121,000 AED</v>
      </c>
      <c r="G224" s="21">
        <f t="shared" si="6"/>
        <v>121000</v>
      </c>
      <c r="H224" s="18" t="s">
        <v>58</v>
      </c>
      <c r="I224" s="18">
        <v>103616594</v>
      </c>
      <c r="J224" s="18" t="s">
        <v>59</v>
      </c>
      <c r="K224" s="18" t="s">
        <v>60</v>
      </c>
      <c r="L224" s="18" t="s">
        <v>1082</v>
      </c>
      <c r="M224" s="18" t="b">
        <f t="shared" si="7"/>
        <v>0</v>
      </c>
    </row>
    <row r="225" spans="1:13" ht="31.2" x14ac:dyDescent="0.3">
      <c r="A225" s="18" t="s">
        <v>55</v>
      </c>
      <c r="B225" s="18" t="s">
        <v>980</v>
      </c>
      <c r="C225" s="18" t="s">
        <v>478</v>
      </c>
      <c r="D225" s="18" t="s">
        <v>66</v>
      </c>
      <c r="E225" s="18" t="str">
        <f>IFERROR(VLOOKUP(TRIM(D225), Collection!$B$2:$D$1001, 2, FALSE), "")</f>
        <v>Historiques 222</v>
      </c>
      <c r="F225" s="21" t="str">
        <f>IFERROR(VLOOKUP(TRIM(D225), Collection!$B$2:$D$1001, 3, FALSE), "")</f>
        <v>121,000 AED</v>
      </c>
      <c r="G225" s="21">
        <f t="shared" si="6"/>
        <v>121000</v>
      </c>
      <c r="H225" s="18" t="s">
        <v>58</v>
      </c>
      <c r="I225" s="18">
        <v>103610315</v>
      </c>
      <c r="J225" s="18" t="s">
        <v>59</v>
      </c>
      <c r="K225" s="18" t="s">
        <v>60</v>
      </c>
      <c r="L225" s="18" t="s">
        <v>1083</v>
      </c>
      <c r="M225" s="18" t="b">
        <f t="shared" si="7"/>
        <v>0</v>
      </c>
    </row>
    <row r="226" spans="1:13" ht="31.2" x14ac:dyDescent="0.3">
      <c r="A226" s="18" t="s">
        <v>55</v>
      </c>
      <c r="B226" s="18" t="s">
        <v>980</v>
      </c>
      <c r="C226" s="18" t="s">
        <v>478</v>
      </c>
      <c r="D226" s="18" t="s">
        <v>66</v>
      </c>
      <c r="E226" s="18" t="str">
        <f>IFERROR(VLOOKUP(TRIM(D226), Collection!$B$2:$D$1001, 2, FALSE), "")</f>
        <v>Historiques 222</v>
      </c>
      <c r="F226" s="21" t="str">
        <f>IFERROR(VLOOKUP(TRIM(D226), Collection!$B$2:$D$1001, 3, FALSE), "")</f>
        <v>121,000 AED</v>
      </c>
      <c r="G226" s="21">
        <f t="shared" si="6"/>
        <v>121000</v>
      </c>
      <c r="H226" s="18" t="s">
        <v>58</v>
      </c>
      <c r="I226" s="18">
        <v>92400627</v>
      </c>
      <c r="J226" s="18" t="s">
        <v>59</v>
      </c>
      <c r="K226" s="18" t="s">
        <v>67</v>
      </c>
      <c r="L226" s="18" t="s">
        <v>1084</v>
      </c>
      <c r="M226" s="18" t="b">
        <f t="shared" si="7"/>
        <v>0</v>
      </c>
    </row>
    <row r="227" spans="1:13" ht="31.2" x14ac:dyDescent="0.3">
      <c r="A227" s="18" t="s">
        <v>55</v>
      </c>
      <c r="B227" s="18" t="s">
        <v>980</v>
      </c>
      <c r="C227" s="18" t="s">
        <v>478</v>
      </c>
      <c r="D227" s="18" t="s">
        <v>66</v>
      </c>
      <c r="E227" s="18" t="str">
        <f>IFERROR(VLOOKUP(TRIM(D227), Collection!$B$2:$D$1001, 2, FALSE), "")</f>
        <v>Historiques 222</v>
      </c>
      <c r="F227" s="21" t="str">
        <f>IFERROR(VLOOKUP(TRIM(D227), Collection!$B$2:$D$1001, 3, FALSE), "")</f>
        <v>121,000 AED</v>
      </c>
      <c r="G227" s="21">
        <f t="shared" si="6"/>
        <v>121000</v>
      </c>
      <c r="H227" s="18" t="s">
        <v>58</v>
      </c>
      <c r="I227" s="18">
        <v>103630617</v>
      </c>
      <c r="J227" s="18" t="s">
        <v>59</v>
      </c>
      <c r="K227" s="18" t="s">
        <v>67</v>
      </c>
      <c r="L227" s="18" t="s">
        <v>980</v>
      </c>
      <c r="M227" s="18" t="b">
        <f t="shared" si="7"/>
        <v>0</v>
      </c>
    </row>
    <row r="228" spans="1:13" ht="31.2" x14ac:dyDescent="0.3">
      <c r="A228" s="18" t="s">
        <v>55</v>
      </c>
      <c r="B228" s="18" t="s">
        <v>980</v>
      </c>
      <c r="C228" s="18" t="s">
        <v>478</v>
      </c>
      <c r="D228" s="18" t="s">
        <v>66</v>
      </c>
      <c r="E228" s="18" t="str">
        <f>IFERROR(VLOOKUP(TRIM(D228), Collection!$B$2:$D$1001, 2, FALSE), "")</f>
        <v>Historiques 222</v>
      </c>
      <c r="F228" s="21" t="str">
        <f>IFERROR(VLOOKUP(TRIM(D228), Collection!$B$2:$D$1001, 3, FALSE), "")</f>
        <v>121,000 AED</v>
      </c>
      <c r="G228" s="21">
        <f t="shared" si="6"/>
        <v>121000</v>
      </c>
      <c r="H228" s="18" t="s">
        <v>58</v>
      </c>
      <c r="I228" s="18">
        <v>92407337</v>
      </c>
      <c r="J228" s="18" t="s">
        <v>59</v>
      </c>
      <c r="K228" s="18" t="s">
        <v>67</v>
      </c>
      <c r="L228" s="18" t="s">
        <v>980</v>
      </c>
      <c r="M228" s="18" t="b">
        <f t="shared" si="7"/>
        <v>0</v>
      </c>
    </row>
    <row r="229" spans="1:13" ht="31.2" x14ac:dyDescent="0.3">
      <c r="A229" s="18" t="s">
        <v>55</v>
      </c>
      <c r="B229" s="18" t="s">
        <v>980</v>
      </c>
      <c r="C229" s="18" t="s">
        <v>478</v>
      </c>
      <c r="D229" s="18" t="s">
        <v>66</v>
      </c>
      <c r="E229" s="18" t="str">
        <f>IFERROR(VLOOKUP(TRIM(D229), Collection!$B$2:$D$1001, 2, FALSE), "")</f>
        <v>Historiques 222</v>
      </c>
      <c r="F229" s="21" t="str">
        <f>IFERROR(VLOOKUP(TRIM(D229), Collection!$B$2:$D$1001, 3, FALSE), "")</f>
        <v>121,000 AED</v>
      </c>
      <c r="G229" s="21">
        <f t="shared" si="6"/>
        <v>121000</v>
      </c>
      <c r="H229" s="18" t="s">
        <v>58</v>
      </c>
      <c r="I229" s="18">
        <v>92422856</v>
      </c>
      <c r="J229" s="18" t="s">
        <v>59</v>
      </c>
      <c r="K229" s="18" t="s">
        <v>67</v>
      </c>
      <c r="L229" s="18" t="s">
        <v>980</v>
      </c>
      <c r="M229" s="18" t="b">
        <f t="shared" si="7"/>
        <v>0</v>
      </c>
    </row>
    <row r="230" spans="1:13" ht="31.2" x14ac:dyDescent="0.3">
      <c r="A230" s="18" t="s">
        <v>55</v>
      </c>
      <c r="B230" s="18" t="s">
        <v>980</v>
      </c>
      <c r="C230" s="18" t="s">
        <v>478</v>
      </c>
      <c r="D230" s="18" t="s">
        <v>66</v>
      </c>
      <c r="E230" s="18" t="str">
        <f>IFERROR(VLOOKUP(TRIM(D230), Collection!$B$2:$D$1001, 2, FALSE), "")</f>
        <v>Historiques 222</v>
      </c>
      <c r="F230" s="21" t="str">
        <f>IFERROR(VLOOKUP(TRIM(D230), Collection!$B$2:$D$1001, 3, FALSE), "")</f>
        <v>121,000 AED</v>
      </c>
      <c r="G230" s="21">
        <f t="shared" si="6"/>
        <v>121000</v>
      </c>
      <c r="H230" s="18" t="s">
        <v>58</v>
      </c>
      <c r="I230" s="18">
        <v>93832355</v>
      </c>
      <c r="J230" s="18" t="s">
        <v>59</v>
      </c>
      <c r="K230" s="18" t="s">
        <v>60</v>
      </c>
      <c r="L230" s="18" t="s">
        <v>980</v>
      </c>
      <c r="M230" s="18" t="b">
        <f t="shared" si="7"/>
        <v>0</v>
      </c>
    </row>
    <row r="231" spans="1:13" ht="31.2" x14ac:dyDescent="0.3">
      <c r="A231" s="18" t="s">
        <v>55</v>
      </c>
      <c r="B231" s="18" t="s">
        <v>980</v>
      </c>
      <c r="C231" s="18" t="s">
        <v>478</v>
      </c>
      <c r="D231" s="18" t="s">
        <v>66</v>
      </c>
      <c r="E231" s="18" t="str">
        <f>IFERROR(VLOOKUP(TRIM(D231), Collection!$B$2:$D$1001, 2, FALSE), "")</f>
        <v>Historiques 222</v>
      </c>
      <c r="F231" s="21" t="str">
        <f>IFERROR(VLOOKUP(TRIM(D231), Collection!$B$2:$D$1001, 3, FALSE), "")</f>
        <v>121,000 AED</v>
      </c>
      <c r="G231" s="21">
        <f t="shared" si="6"/>
        <v>121000</v>
      </c>
      <c r="H231" s="18" t="s">
        <v>58</v>
      </c>
      <c r="I231" s="18">
        <v>103632699</v>
      </c>
      <c r="J231" s="18" t="s">
        <v>59</v>
      </c>
      <c r="K231" s="18" t="s">
        <v>67</v>
      </c>
      <c r="L231" s="18" t="s">
        <v>980</v>
      </c>
      <c r="M231" s="18" t="b">
        <f t="shared" si="7"/>
        <v>0</v>
      </c>
    </row>
    <row r="232" spans="1:13" ht="31.2" x14ac:dyDescent="0.3">
      <c r="A232" s="18" t="s">
        <v>55</v>
      </c>
      <c r="B232" s="18" t="s">
        <v>980</v>
      </c>
      <c r="C232" s="18" t="s">
        <v>478</v>
      </c>
      <c r="D232" s="18" t="s">
        <v>66</v>
      </c>
      <c r="E232" s="18" t="str">
        <f>IFERROR(VLOOKUP(TRIM(D232), Collection!$B$2:$D$1001, 2, FALSE), "")</f>
        <v>Historiques 222</v>
      </c>
      <c r="F232" s="21" t="str">
        <f>IFERROR(VLOOKUP(TRIM(D232), Collection!$B$2:$D$1001, 3, FALSE), "")</f>
        <v>121,000 AED</v>
      </c>
      <c r="G232" s="21">
        <f t="shared" si="6"/>
        <v>121000</v>
      </c>
      <c r="H232" s="18" t="s">
        <v>58</v>
      </c>
      <c r="I232" s="18">
        <v>103631041</v>
      </c>
      <c r="J232" s="18" t="s">
        <v>59</v>
      </c>
      <c r="K232" s="18" t="s">
        <v>70</v>
      </c>
      <c r="L232" s="18" t="s">
        <v>1085</v>
      </c>
      <c r="M232" s="18" t="b">
        <f t="shared" si="7"/>
        <v>0</v>
      </c>
    </row>
    <row r="233" spans="1:13" ht="31.2" x14ac:dyDescent="0.3">
      <c r="A233" s="18" t="s">
        <v>130</v>
      </c>
      <c r="B233" s="18" t="s">
        <v>130</v>
      </c>
      <c r="C233" s="18" t="s">
        <v>478</v>
      </c>
      <c r="D233" s="18" t="s">
        <v>499</v>
      </c>
      <c r="E233" s="18" t="str">
        <f>IFERROR(VLOOKUP(TRIM(D233), Collection!$B$2:$D$1001, 2, FALSE), "")</f>
        <v>Overseas self-winding</v>
      </c>
      <c r="F233" s="21" t="str">
        <f>IFERROR(VLOOKUP(TRIM(D233), Collection!$B$2:$D$1001, 3, FALSE), "")</f>
        <v>94,500 AED</v>
      </c>
      <c r="G233" s="21">
        <f t="shared" si="6"/>
        <v>94500</v>
      </c>
      <c r="H233" s="18" t="s">
        <v>58</v>
      </c>
      <c r="I233" s="18">
        <v>103633773</v>
      </c>
      <c r="J233" s="18" t="s">
        <v>59</v>
      </c>
      <c r="K233" s="18" t="s">
        <v>67</v>
      </c>
      <c r="L233" s="18" t="s">
        <v>980</v>
      </c>
      <c r="M233" s="18" t="b">
        <f t="shared" si="7"/>
        <v>0</v>
      </c>
    </row>
    <row r="234" spans="1:13" ht="31.2" x14ac:dyDescent="0.3">
      <c r="A234" s="18" t="s">
        <v>55</v>
      </c>
      <c r="B234" s="18" t="s">
        <v>980</v>
      </c>
      <c r="C234" s="18" t="s">
        <v>478</v>
      </c>
      <c r="D234" s="18" t="s">
        <v>66</v>
      </c>
      <c r="E234" s="18" t="str">
        <f>IFERROR(VLOOKUP(TRIM(D234), Collection!$B$2:$D$1001, 2, FALSE), "")</f>
        <v>Historiques 222</v>
      </c>
      <c r="F234" s="21" t="str">
        <f>IFERROR(VLOOKUP(TRIM(D234), Collection!$B$2:$D$1001, 3, FALSE), "")</f>
        <v>121,000 AED</v>
      </c>
      <c r="G234" s="21">
        <f t="shared" si="6"/>
        <v>121000</v>
      </c>
      <c r="H234" s="18" t="s">
        <v>58</v>
      </c>
      <c r="I234" s="18">
        <v>92398362</v>
      </c>
      <c r="J234" s="18" t="s">
        <v>59</v>
      </c>
      <c r="K234" s="18" t="s">
        <v>67</v>
      </c>
      <c r="L234" s="18" t="s">
        <v>980</v>
      </c>
      <c r="M234" s="18" t="b">
        <f t="shared" si="7"/>
        <v>0</v>
      </c>
    </row>
    <row r="235" spans="1:13" ht="31.2" x14ac:dyDescent="0.3">
      <c r="A235" s="18" t="s">
        <v>55</v>
      </c>
      <c r="B235" s="18" t="s">
        <v>980</v>
      </c>
      <c r="C235" s="18" t="s">
        <v>478</v>
      </c>
      <c r="D235" s="18" t="s">
        <v>66</v>
      </c>
      <c r="E235" s="18" t="str">
        <f>IFERROR(VLOOKUP(TRIM(D235), Collection!$B$2:$D$1001, 2, FALSE), "")</f>
        <v>Historiques 222</v>
      </c>
      <c r="F235" s="21" t="str">
        <f>IFERROR(VLOOKUP(TRIM(D235), Collection!$B$2:$D$1001, 3, FALSE), "")</f>
        <v>121,000 AED</v>
      </c>
      <c r="G235" s="21">
        <f t="shared" si="6"/>
        <v>121000</v>
      </c>
      <c r="H235" s="18" t="s">
        <v>58</v>
      </c>
      <c r="I235" s="18">
        <v>103616758</v>
      </c>
      <c r="J235" s="18" t="s">
        <v>59</v>
      </c>
      <c r="K235" s="18" t="s">
        <v>67</v>
      </c>
      <c r="L235" s="18" t="s">
        <v>980</v>
      </c>
      <c r="M235" s="18" t="b">
        <f t="shared" si="7"/>
        <v>0</v>
      </c>
    </row>
    <row r="236" spans="1:13" ht="31.2" x14ac:dyDescent="0.3">
      <c r="A236" s="18" t="s">
        <v>55</v>
      </c>
      <c r="B236" s="18" t="s">
        <v>980</v>
      </c>
      <c r="C236" s="18" t="s">
        <v>478</v>
      </c>
      <c r="D236" s="18" t="s">
        <v>66</v>
      </c>
      <c r="E236" s="18" t="str">
        <f>IFERROR(VLOOKUP(TRIM(D236), Collection!$B$2:$D$1001, 2, FALSE), "")</f>
        <v>Historiques 222</v>
      </c>
      <c r="F236" s="21" t="str">
        <f>IFERROR(VLOOKUP(TRIM(D236), Collection!$B$2:$D$1001, 3, FALSE), "")</f>
        <v>121,000 AED</v>
      </c>
      <c r="G236" s="21">
        <f t="shared" si="6"/>
        <v>121000</v>
      </c>
      <c r="H236" s="18" t="s">
        <v>58</v>
      </c>
      <c r="I236" s="18">
        <v>98742444</v>
      </c>
      <c r="J236" s="18" t="s">
        <v>59</v>
      </c>
      <c r="K236" s="18" t="s">
        <v>60</v>
      </c>
      <c r="L236" s="18" t="s">
        <v>980</v>
      </c>
      <c r="M236" s="18" t="b">
        <f t="shared" si="7"/>
        <v>0</v>
      </c>
    </row>
    <row r="237" spans="1:13" ht="31.2" x14ac:dyDescent="0.3">
      <c r="A237" s="18" t="s">
        <v>55</v>
      </c>
      <c r="B237" s="18" t="s">
        <v>980</v>
      </c>
      <c r="C237" s="18" t="s">
        <v>478</v>
      </c>
      <c r="D237" s="18" t="s">
        <v>66</v>
      </c>
      <c r="E237" s="18" t="str">
        <f>IFERROR(VLOOKUP(TRIM(D237), Collection!$B$2:$D$1001, 2, FALSE), "")</f>
        <v>Historiques 222</v>
      </c>
      <c r="F237" s="21" t="str">
        <f>IFERROR(VLOOKUP(TRIM(D237), Collection!$B$2:$D$1001, 3, FALSE), "")</f>
        <v>121,000 AED</v>
      </c>
      <c r="G237" s="21">
        <f t="shared" si="6"/>
        <v>121000</v>
      </c>
      <c r="H237" s="18" t="s">
        <v>58</v>
      </c>
      <c r="I237" s="18">
        <v>103629013</v>
      </c>
      <c r="J237" s="18" t="s">
        <v>59</v>
      </c>
      <c r="K237" s="18" t="s">
        <v>70</v>
      </c>
      <c r="L237" s="18" t="s">
        <v>1086</v>
      </c>
      <c r="M237" s="18" t="b">
        <f t="shared" si="7"/>
        <v>0</v>
      </c>
    </row>
    <row r="238" spans="1:13" ht="31.2" x14ac:dyDescent="0.3">
      <c r="A238" s="18" t="s">
        <v>55</v>
      </c>
      <c r="B238" s="18" t="s">
        <v>980</v>
      </c>
      <c r="C238" s="18" t="s">
        <v>478</v>
      </c>
      <c r="D238" s="18" t="s">
        <v>66</v>
      </c>
      <c r="E238" s="18" t="str">
        <f>IFERROR(VLOOKUP(TRIM(D238), Collection!$B$2:$D$1001, 2, FALSE), "")</f>
        <v>Historiques 222</v>
      </c>
      <c r="F238" s="21" t="str">
        <f>IFERROR(VLOOKUP(TRIM(D238), Collection!$B$2:$D$1001, 3, FALSE), "")</f>
        <v>121,000 AED</v>
      </c>
      <c r="G238" s="21">
        <f t="shared" si="6"/>
        <v>121000</v>
      </c>
      <c r="H238" s="18" t="s">
        <v>58</v>
      </c>
      <c r="I238" s="18">
        <v>92408025</v>
      </c>
      <c r="J238" s="18" t="s">
        <v>59</v>
      </c>
      <c r="K238" s="18" t="s">
        <v>60</v>
      </c>
      <c r="L238" s="18" t="s">
        <v>980</v>
      </c>
      <c r="M238" s="18" t="b">
        <f t="shared" si="7"/>
        <v>0</v>
      </c>
    </row>
    <row r="239" spans="1:13" ht="31.2" x14ac:dyDescent="0.3">
      <c r="A239" s="18" t="s">
        <v>55</v>
      </c>
      <c r="B239" s="18" t="s">
        <v>980</v>
      </c>
      <c r="C239" s="18" t="s">
        <v>478</v>
      </c>
      <c r="D239" s="18" t="s">
        <v>66</v>
      </c>
      <c r="E239" s="18" t="str">
        <f>IFERROR(VLOOKUP(TRIM(D239), Collection!$B$2:$D$1001, 2, FALSE), "")</f>
        <v>Historiques 222</v>
      </c>
      <c r="F239" s="21" t="str">
        <f>IFERROR(VLOOKUP(TRIM(D239), Collection!$B$2:$D$1001, 3, FALSE), "")</f>
        <v>121,000 AED</v>
      </c>
      <c r="G239" s="21">
        <f t="shared" si="6"/>
        <v>121000</v>
      </c>
      <c r="H239" s="18" t="s">
        <v>58</v>
      </c>
      <c r="I239" s="18">
        <v>103616558</v>
      </c>
      <c r="J239" s="18" t="s">
        <v>59</v>
      </c>
      <c r="K239" s="18" t="s">
        <v>60</v>
      </c>
      <c r="L239" s="18" t="s">
        <v>980</v>
      </c>
      <c r="M239" s="18" t="b">
        <f t="shared" si="7"/>
        <v>0</v>
      </c>
    </row>
    <row r="240" spans="1:13" ht="31.2" x14ac:dyDescent="0.3">
      <c r="A240" s="18" t="s">
        <v>55</v>
      </c>
      <c r="B240" s="18" t="s">
        <v>980</v>
      </c>
      <c r="C240" s="18" t="s">
        <v>478</v>
      </c>
      <c r="D240" s="18" t="s">
        <v>66</v>
      </c>
      <c r="E240" s="18" t="str">
        <f>IFERROR(VLOOKUP(TRIM(D240), Collection!$B$2:$D$1001, 2, FALSE), "")</f>
        <v>Historiques 222</v>
      </c>
      <c r="F240" s="21" t="str">
        <f>IFERROR(VLOOKUP(TRIM(D240), Collection!$B$2:$D$1001, 3, FALSE), "")</f>
        <v>121,000 AED</v>
      </c>
      <c r="G240" s="21">
        <f t="shared" si="6"/>
        <v>121000</v>
      </c>
      <c r="H240" s="18" t="s">
        <v>58</v>
      </c>
      <c r="I240" s="18">
        <v>92397362</v>
      </c>
      <c r="J240" s="18" t="s">
        <v>59</v>
      </c>
      <c r="K240" s="18" t="s">
        <v>60</v>
      </c>
      <c r="L240" s="18" t="s">
        <v>980</v>
      </c>
      <c r="M240" s="18" t="b">
        <f t="shared" si="7"/>
        <v>0</v>
      </c>
    </row>
    <row r="241" spans="1:13" ht="31.2" x14ac:dyDescent="0.3">
      <c r="A241" s="18" t="s">
        <v>55</v>
      </c>
      <c r="B241" s="18" t="s">
        <v>980</v>
      </c>
      <c r="C241" s="18" t="s">
        <v>478</v>
      </c>
      <c r="D241" s="18" t="s">
        <v>66</v>
      </c>
      <c r="E241" s="18" t="str">
        <f>IFERROR(VLOOKUP(TRIM(D241), Collection!$B$2:$D$1001, 2, FALSE), "")</f>
        <v>Historiques 222</v>
      </c>
      <c r="F241" s="21" t="str">
        <f>IFERROR(VLOOKUP(TRIM(D241), Collection!$B$2:$D$1001, 3, FALSE), "")</f>
        <v>121,000 AED</v>
      </c>
      <c r="G241" s="21">
        <f t="shared" si="6"/>
        <v>121000</v>
      </c>
      <c r="H241" s="18" t="s">
        <v>58</v>
      </c>
      <c r="I241" s="18">
        <v>103591723</v>
      </c>
      <c r="J241" s="18" t="s">
        <v>59</v>
      </c>
      <c r="K241" s="18" t="s">
        <v>60</v>
      </c>
      <c r="L241" s="18" t="s">
        <v>980</v>
      </c>
      <c r="M241" s="18" t="b">
        <f t="shared" si="7"/>
        <v>0</v>
      </c>
    </row>
    <row r="242" spans="1:13" ht="31.2" x14ac:dyDescent="0.3">
      <c r="A242" s="18" t="s">
        <v>55</v>
      </c>
      <c r="B242" s="18" t="s">
        <v>980</v>
      </c>
      <c r="C242" s="18" t="s">
        <v>478</v>
      </c>
      <c r="D242" s="18" t="s">
        <v>66</v>
      </c>
      <c r="E242" s="18" t="str">
        <f>IFERROR(VLOOKUP(TRIM(D242), Collection!$B$2:$D$1001, 2, FALSE), "")</f>
        <v>Historiques 222</v>
      </c>
      <c r="F242" s="21" t="str">
        <f>IFERROR(VLOOKUP(TRIM(D242), Collection!$B$2:$D$1001, 3, FALSE), "")</f>
        <v>121,000 AED</v>
      </c>
      <c r="G242" s="21">
        <f t="shared" si="6"/>
        <v>121000</v>
      </c>
      <c r="H242" s="18" t="s">
        <v>58</v>
      </c>
      <c r="I242" s="18">
        <v>92401316</v>
      </c>
      <c r="J242" s="18" t="s">
        <v>59</v>
      </c>
      <c r="K242" s="18" t="s">
        <v>60</v>
      </c>
      <c r="L242" s="18" t="s">
        <v>980</v>
      </c>
      <c r="M242" s="18" t="b">
        <f t="shared" si="7"/>
        <v>0</v>
      </c>
    </row>
    <row r="243" spans="1:13" ht="31.2" x14ac:dyDescent="0.3">
      <c r="A243" s="18" t="s">
        <v>55</v>
      </c>
      <c r="B243" s="18" t="s">
        <v>980</v>
      </c>
      <c r="C243" s="18" t="s">
        <v>478</v>
      </c>
      <c r="D243" s="18" t="s">
        <v>66</v>
      </c>
      <c r="E243" s="18" t="str">
        <f>IFERROR(VLOOKUP(TRIM(D243), Collection!$B$2:$D$1001, 2, FALSE), "")</f>
        <v>Historiques 222</v>
      </c>
      <c r="F243" s="21" t="str">
        <f>IFERROR(VLOOKUP(TRIM(D243), Collection!$B$2:$D$1001, 3, FALSE), "")</f>
        <v>121,000 AED</v>
      </c>
      <c r="G243" s="21">
        <f t="shared" si="6"/>
        <v>121000</v>
      </c>
      <c r="H243" s="18" t="s">
        <v>58</v>
      </c>
      <c r="I243" s="18">
        <v>103617256</v>
      </c>
      <c r="J243" s="18" t="s">
        <v>59</v>
      </c>
      <c r="K243" s="18" t="s">
        <v>60</v>
      </c>
      <c r="L243" s="18" t="s">
        <v>980</v>
      </c>
      <c r="M243" s="18" t="b">
        <f t="shared" si="7"/>
        <v>0</v>
      </c>
    </row>
    <row r="244" spans="1:13" ht="31.2" x14ac:dyDescent="0.3">
      <c r="A244" s="18" t="s">
        <v>55</v>
      </c>
      <c r="B244" s="18" t="s">
        <v>980</v>
      </c>
      <c r="C244" s="18" t="s">
        <v>478</v>
      </c>
      <c r="D244" s="18" t="s">
        <v>66</v>
      </c>
      <c r="E244" s="18" t="str">
        <f>IFERROR(VLOOKUP(TRIM(D244), Collection!$B$2:$D$1001, 2, FALSE), "")</f>
        <v>Historiques 222</v>
      </c>
      <c r="F244" s="21" t="str">
        <f>IFERROR(VLOOKUP(TRIM(D244), Collection!$B$2:$D$1001, 3, FALSE), "")</f>
        <v>121,000 AED</v>
      </c>
      <c r="G244" s="21">
        <f t="shared" si="6"/>
        <v>121000</v>
      </c>
      <c r="H244" s="18" t="s">
        <v>58</v>
      </c>
      <c r="I244" s="18">
        <v>103616653</v>
      </c>
      <c r="J244" s="18" t="s">
        <v>59</v>
      </c>
      <c r="K244" s="18" t="s">
        <v>60</v>
      </c>
      <c r="L244" s="18" t="s">
        <v>980</v>
      </c>
      <c r="M244" s="18" t="b">
        <f t="shared" si="7"/>
        <v>0</v>
      </c>
    </row>
    <row r="245" spans="1:13" ht="31.2" x14ac:dyDescent="0.3">
      <c r="A245" s="18" t="s">
        <v>55</v>
      </c>
      <c r="B245" s="18" t="s">
        <v>980</v>
      </c>
      <c r="C245" s="18" t="s">
        <v>478</v>
      </c>
      <c r="D245" s="18" t="s">
        <v>66</v>
      </c>
      <c r="E245" s="18" t="str">
        <f>IFERROR(VLOOKUP(TRIM(D245), Collection!$B$2:$D$1001, 2, FALSE), "")</f>
        <v>Historiques 222</v>
      </c>
      <c r="F245" s="21" t="str">
        <f>IFERROR(VLOOKUP(TRIM(D245), Collection!$B$2:$D$1001, 3, FALSE), "")</f>
        <v>121,000 AED</v>
      </c>
      <c r="G245" s="21">
        <f t="shared" si="6"/>
        <v>121000</v>
      </c>
      <c r="H245" s="18" t="s">
        <v>58</v>
      </c>
      <c r="I245" s="18">
        <v>103620663</v>
      </c>
      <c r="J245" s="18" t="s">
        <v>59</v>
      </c>
      <c r="K245" s="18" t="s">
        <v>60</v>
      </c>
      <c r="L245" s="18" t="s">
        <v>980</v>
      </c>
      <c r="M245" s="18" t="b">
        <f t="shared" si="7"/>
        <v>0</v>
      </c>
    </row>
    <row r="246" spans="1:13" ht="31.2" x14ac:dyDescent="0.3">
      <c r="A246" s="18" t="s">
        <v>55</v>
      </c>
      <c r="B246" s="18" t="s">
        <v>980</v>
      </c>
      <c r="C246" s="18" t="s">
        <v>478</v>
      </c>
      <c r="D246" s="18" t="s">
        <v>66</v>
      </c>
      <c r="E246" s="18" t="str">
        <f>IFERROR(VLOOKUP(TRIM(D246), Collection!$B$2:$D$1001, 2, FALSE), "")</f>
        <v>Historiques 222</v>
      </c>
      <c r="F246" s="21" t="str">
        <f>IFERROR(VLOOKUP(TRIM(D246), Collection!$B$2:$D$1001, 3, FALSE), "")</f>
        <v>121,000 AED</v>
      </c>
      <c r="G246" s="21">
        <f t="shared" si="6"/>
        <v>121000</v>
      </c>
      <c r="H246" s="18" t="s">
        <v>58</v>
      </c>
      <c r="I246" s="18">
        <v>103621182</v>
      </c>
      <c r="J246" s="18" t="s">
        <v>59</v>
      </c>
      <c r="K246" s="18" t="s">
        <v>60</v>
      </c>
      <c r="L246" s="18" t="s">
        <v>980</v>
      </c>
      <c r="M246" s="18" t="b">
        <f t="shared" si="7"/>
        <v>0</v>
      </c>
    </row>
    <row r="247" spans="1:13" ht="31.2" x14ac:dyDescent="0.3">
      <c r="A247" s="18" t="s">
        <v>55</v>
      </c>
      <c r="B247" s="18" t="s">
        <v>980</v>
      </c>
      <c r="C247" s="18" t="s">
        <v>478</v>
      </c>
      <c r="D247" s="18" t="s">
        <v>66</v>
      </c>
      <c r="E247" s="18" t="str">
        <f>IFERROR(VLOOKUP(TRIM(D247), Collection!$B$2:$D$1001, 2, FALSE), "")</f>
        <v>Historiques 222</v>
      </c>
      <c r="F247" s="21" t="str">
        <f>IFERROR(VLOOKUP(TRIM(D247), Collection!$B$2:$D$1001, 3, FALSE), "")</f>
        <v>121,000 AED</v>
      </c>
      <c r="G247" s="21">
        <f t="shared" si="6"/>
        <v>121000</v>
      </c>
      <c r="H247" s="18" t="s">
        <v>58</v>
      </c>
      <c r="I247" s="18">
        <v>103620632</v>
      </c>
      <c r="J247" s="18" t="s">
        <v>59</v>
      </c>
      <c r="K247" s="18" t="s">
        <v>60</v>
      </c>
      <c r="L247" s="18" t="s">
        <v>980</v>
      </c>
      <c r="M247" s="18" t="b">
        <f t="shared" si="7"/>
        <v>0</v>
      </c>
    </row>
    <row r="248" spans="1:13" ht="31.2" x14ac:dyDescent="0.3">
      <c r="A248" s="18" t="s">
        <v>55</v>
      </c>
      <c r="B248" s="18" t="s">
        <v>980</v>
      </c>
      <c r="C248" s="18" t="s">
        <v>478</v>
      </c>
      <c r="D248" s="18" t="s">
        <v>66</v>
      </c>
      <c r="E248" s="18" t="str">
        <f>IFERROR(VLOOKUP(TRIM(D248), Collection!$B$2:$D$1001, 2, FALSE), "")</f>
        <v>Historiques 222</v>
      </c>
      <c r="F248" s="21" t="str">
        <f>IFERROR(VLOOKUP(TRIM(D248), Collection!$B$2:$D$1001, 3, FALSE), "")</f>
        <v>121,000 AED</v>
      </c>
      <c r="G248" s="21">
        <f t="shared" si="6"/>
        <v>121000</v>
      </c>
      <c r="H248" s="18" t="s">
        <v>58</v>
      </c>
      <c r="I248" s="18">
        <v>92397707</v>
      </c>
      <c r="J248" s="18" t="s">
        <v>59</v>
      </c>
      <c r="K248" s="18" t="s">
        <v>60</v>
      </c>
      <c r="L248" s="18" t="s">
        <v>980</v>
      </c>
      <c r="M248" s="18" t="b">
        <f t="shared" si="7"/>
        <v>0</v>
      </c>
    </row>
    <row r="249" spans="1:13" ht="31.2" x14ac:dyDescent="0.3">
      <c r="A249" s="18" t="s">
        <v>55</v>
      </c>
      <c r="B249" s="18" t="s">
        <v>980</v>
      </c>
      <c r="C249" s="18" t="s">
        <v>478</v>
      </c>
      <c r="D249" s="18" t="s">
        <v>66</v>
      </c>
      <c r="E249" s="18" t="str">
        <f>IFERROR(VLOOKUP(TRIM(D249), Collection!$B$2:$D$1001, 2, FALSE), "")</f>
        <v>Historiques 222</v>
      </c>
      <c r="F249" s="21" t="str">
        <f>IFERROR(VLOOKUP(TRIM(D249), Collection!$B$2:$D$1001, 3, FALSE), "")</f>
        <v>121,000 AED</v>
      </c>
      <c r="G249" s="21">
        <f t="shared" si="6"/>
        <v>121000</v>
      </c>
      <c r="H249" s="18" t="s">
        <v>58</v>
      </c>
      <c r="I249" s="18">
        <v>92404856</v>
      </c>
      <c r="J249" s="18" t="s">
        <v>59</v>
      </c>
      <c r="K249" s="18" t="s">
        <v>60</v>
      </c>
      <c r="L249" s="18" t="s">
        <v>980</v>
      </c>
      <c r="M249" s="18" t="b">
        <f t="shared" si="7"/>
        <v>0</v>
      </c>
    </row>
    <row r="250" spans="1:13" ht="31.2" x14ac:dyDescent="0.3">
      <c r="A250" s="18" t="s">
        <v>55</v>
      </c>
      <c r="B250" s="18" t="s">
        <v>980</v>
      </c>
      <c r="C250" s="18" t="s">
        <v>517</v>
      </c>
      <c r="D250" s="18" t="s">
        <v>66</v>
      </c>
      <c r="E250" s="18" t="str">
        <f>IFERROR(VLOOKUP(TRIM(D250), Collection!$B$2:$D$1001, 2, FALSE), "")</f>
        <v>Historiques 222</v>
      </c>
      <c r="F250" s="21" t="str">
        <f>IFERROR(VLOOKUP(TRIM(D250), Collection!$B$2:$D$1001, 3, FALSE), "")</f>
        <v>121,000 AED</v>
      </c>
      <c r="G250" s="21">
        <f t="shared" si="6"/>
        <v>121000</v>
      </c>
      <c r="H250" s="18" t="s">
        <v>58</v>
      </c>
      <c r="I250" s="18">
        <v>103615698</v>
      </c>
      <c r="J250" s="18" t="s">
        <v>59</v>
      </c>
      <c r="K250" s="18" t="s">
        <v>67</v>
      </c>
      <c r="L250" s="18" t="s">
        <v>1087</v>
      </c>
      <c r="M250" s="18" t="b">
        <f t="shared" si="7"/>
        <v>0</v>
      </c>
    </row>
    <row r="251" spans="1:13" ht="31.2" x14ac:dyDescent="0.3">
      <c r="A251" s="18" t="s">
        <v>55</v>
      </c>
      <c r="B251" s="18" t="s">
        <v>980</v>
      </c>
      <c r="C251" s="18" t="s">
        <v>517</v>
      </c>
      <c r="D251" s="18" t="s">
        <v>66</v>
      </c>
      <c r="E251" s="18" t="str">
        <f>IFERROR(VLOOKUP(TRIM(D251), Collection!$B$2:$D$1001, 2, FALSE), "")</f>
        <v>Historiques 222</v>
      </c>
      <c r="F251" s="21" t="str">
        <f>IFERROR(VLOOKUP(TRIM(D251), Collection!$B$2:$D$1001, 3, FALSE), "")</f>
        <v>121,000 AED</v>
      </c>
      <c r="G251" s="21">
        <f t="shared" si="6"/>
        <v>121000</v>
      </c>
      <c r="H251" s="18" t="s">
        <v>58</v>
      </c>
      <c r="I251" s="18">
        <v>90999799</v>
      </c>
      <c r="J251" s="18" t="s">
        <v>114</v>
      </c>
      <c r="K251" s="18" t="s">
        <v>70</v>
      </c>
      <c r="L251" s="18" t="s">
        <v>1088</v>
      </c>
      <c r="M251" s="18" t="b">
        <f t="shared" si="7"/>
        <v>0</v>
      </c>
    </row>
    <row r="252" spans="1:13" ht="62.4" x14ac:dyDescent="0.3">
      <c r="A252" s="18" t="s">
        <v>55</v>
      </c>
      <c r="B252" s="18" t="s">
        <v>980</v>
      </c>
      <c r="C252" s="18" t="s">
        <v>517</v>
      </c>
      <c r="D252" s="18" t="s">
        <v>66</v>
      </c>
      <c r="E252" s="18" t="str">
        <f>IFERROR(VLOOKUP(TRIM(D252), Collection!$B$2:$D$1001, 2, FALSE), "")</f>
        <v>Historiques 222</v>
      </c>
      <c r="F252" s="21" t="str">
        <f>IFERROR(VLOOKUP(TRIM(D252), Collection!$B$2:$D$1001, 3, FALSE), "")</f>
        <v>121,000 AED</v>
      </c>
      <c r="G252" s="21">
        <f t="shared" si="6"/>
        <v>121000</v>
      </c>
      <c r="H252" s="18" t="s">
        <v>58</v>
      </c>
      <c r="I252" s="18">
        <v>103437674</v>
      </c>
      <c r="J252" s="18" t="s">
        <v>59</v>
      </c>
      <c r="K252" s="18" t="s">
        <v>60</v>
      </c>
      <c r="L252" s="18" t="s">
        <v>1089</v>
      </c>
      <c r="M252" s="18" t="b">
        <f t="shared" si="7"/>
        <v>0</v>
      </c>
    </row>
    <row r="253" spans="1:13" ht="31.2" x14ac:dyDescent="0.3">
      <c r="A253" s="18" t="s">
        <v>55</v>
      </c>
      <c r="B253" s="18" t="s">
        <v>980</v>
      </c>
      <c r="C253" s="18" t="s">
        <v>517</v>
      </c>
      <c r="D253" s="18" t="s">
        <v>66</v>
      </c>
      <c r="E253" s="18" t="str">
        <f>IFERROR(VLOOKUP(TRIM(D253), Collection!$B$2:$D$1001, 2, FALSE), "")</f>
        <v>Historiques 222</v>
      </c>
      <c r="F253" s="21" t="str">
        <f>IFERROR(VLOOKUP(TRIM(D253), Collection!$B$2:$D$1001, 3, FALSE), "")</f>
        <v>121,000 AED</v>
      </c>
      <c r="G253" s="21">
        <f t="shared" si="6"/>
        <v>121000</v>
      </c>
      <c r="H253" s="18" t="s">
        <v>58</v>
      </c>
      <c r="I253" s="18">
        <v>103531883</v>
      </c>
      <c r="J253" s="18" t="s">
        <v>59</v>
      </c>
      <c r="K253" s="18" t="s">
        <v>60</v>
      </c>
      <c r="L253" s="18" t="s">
        <v>1090</v>
      </c>
      <c r="M253" s="18" t="b">
        <f t="shared" si="7"/>
        <v>0</v>
      </c>
    </row>
    <row r="254" spans="1:13" ht="31.2" x14ac:dyDescent="0.3">
      <c r="A254" s="18" t="s">
        <v>55</v>
      </c>
      <c r="B254" s="18" t="s">
        <v>980</v>
      </c>
      <c r="C254" s="18" t="s">
        <v>517</v>
      </c>
      <c r="D254" s="18" t="s">
        <v>66</v>
      </c>
      <c r="E254" s="18" t="str">
        <f>IFERROR(VLOOKUP(TRIM(D254), Collection!$B$2:$D$1001, 2, FALSE), "")</f>
        <v>Historiques 222</v>
      </c>
      <c r="F254" s="21" t="str">
        <f>IFERROR(VLOOKUP(TRIM(D254), Collection!$B$2:$D$1001, 3, FALSE), "")</f>
        <v>121,000 AED</v>
      </c>
      <c r="G254" s="21">
        <f t="shared" si="6"/>
        <v>121000</v>
      </c>
      <c r="H254" s="18" t="s">
        <v>58</v>
      </c>
      <c r="I254" s="18">
        <v>101466987</v>
      </c>
      <c r="J254" s="18" t="s">
        <v>59</v>
      </c>
      <c r="K254" s="18" t="s">
        <v>67</v>
      </c>
      <c r="L254" s="18" t="s">
        <v>980</v>
      </c>
      <c r="M254" s="18" t="b">
        <f t="shared" si="7"/>
        <v>0</v>
      </c>
    </row>
    <row r="255" spans="1:13" ht="31.2" x14ac:dyDescent="0.3">
      <c r="A255" s="18" t="s">
        <v>55</v>
      </c>
      <c r="B255" s="18" t="s">
        <v>980</v>
      </c>
      <c r="C255" s="18" t="s">
        <v>517</v>
      </c>
      <c r="D255" s="18" t="s">
        <v>66</v>
      </c>
      <c r="E255" s="18" t="str">
        <f>IFERROR(VLOOKUP(TRIM(D255), Collection!$B$2:$D$1001, 2, FALSE), "")</f>
        <v>Historiques 222</v>
      </c>
      <c r="F255" s="21" t="str">
        <f>IFERROR(VLOOKUP(TRIM(D255), Collection!$B$2:$D$1001, 3, FALSE), "")</f>
        <v>121,000 AED</v>
      </c>
      <c r="G255" s="21">
        <f t="shared" si="6"/>
        <v>121000</v>
      </c>
      <c r="H255" s="18" t="s">
        <v>58</v>
      </c>
      <c r="I255" s="18">
        <v>103615908</v>
      </c>
      <c r="J255" s="18" t="s">
        <v>59</v>
      </c>
      <c r="K255" s="18" t="s">
        <v>70</v>
      </c>
      <c r="L255" s="18" t="s">
        <v>1091</v>
      </c>
      <c r="M255" s="18" t="b">
        <f t="shared" si="7"/>
        <v>0</v>
      </c>
    </row>
    <row r="256" spans="1:13" ht="31.2" x14ac:dyDescent="0.3">
      <c r="A256" s="18" t="s">
        <v>55</v>
      </c>
      <c r="B256" s="18" t="s">
        <v>980</v>
      </c>
      <c r="C256" s="18" t="s">
        <v>517</v>
      </c>
      <c r="D256" s="18" t="s">
        <v>66</v>
      </c>
      <c r="E256" s="18" t="str">
        <f>IFERROR(VLOOKUP(TRIM(D256), Collection!$B$2:$D$1001, 2, FALSE), "")</f>
        <v>Historiques 222</v>
      </c>
      <c r="F256" s="21" t="str">
        <f>IFERROR(VLOOKUP(TRIM(D256), Collection!$B$2:$D$1001, 3, FALSE), "")</f>
        <v>121,000 AED</v>
      </c>
      <c r="G256" s="21">
        <f t="shared" si="6"/>
        <v>121000</v>
      </c>
      <c r="H256" s="18" t="s">
        <v>58</v>
      </c>
      <c r="I256" s="18">
        <v>103617827</v>
      </c>
      <c r="J256" s="18" t="s">
        <v>59</v>
      </c>
      <c r="K256" s="18" t="s">
        <v>67</v>
      </c>
      <c r="L256" s="18" t="s">
        <v>980</v>
      </c>
      <c r="M256" s="18" t="b">
        <f t="shared" si="7"/>
        <v>0</v>
      </c>
    </row>
    <row r="257" spans="1:13" ht="31.2" x14ac:dyDescent="0.3">
      <c r="A257" s="18" t="s">
        <v>55</v>
      </c>
      <c r="B257" s="18" t="s">
        <v>980</v>
      </c>
      <c r="C257" s="18" t="s">
        <v>517</v>
      </c>
      <c r="D257" s="18" t="s">
        <v>66</v>
      </c>
      <c r="E257" s="18" t="str">
        <f>IFERROR(VLOOKUP(TRIM(D257), Collection!$B$2:$D$1001, 2, FALSE), "")</f>
        <v>Historiques 222</v>
      </c>
      <c r="F257" s="21" t="str">
        <f>IFERROR(VLOOKUP(TRIM(D257), Collection!$B$2:$D$1001, 3, FALSE), "")</f>
        <v>121,000 AED</v>
      </c>
      <c r="G257" s="21">
        <f t="shared" si="6"/>
        <v>121000</v>
      </c>
      <c r="H257" s="18" t="s">
        <v>58</v>
      </c>
      <c r="I257" s="18">
        <v>103616136</v>
      </c>
      <c r="J257" s="18" t="s">
        <v>59</v>
      </c>
      <c r="K257" s="18" t="s">
        <v>70</v>
      </c>
      <c r="L257" s="18" t="s">
        <v>1092</v>
      </c>
      <c r="M257" s="18" t="b">
        <f t="shared" si="7"/>
        <v>0</v>
      </c>
    </row>
    <row r="258" spans="1:13" ht="31.2" x14ac:dyDescent="0.3">
      <c r="A258" s="18" t="s">
        <v>55</v>
      </c>
      <c r="B258" s="18" t="s">
        <v>980</v>
      </c>
      <c r="C258" s="18" t="s">
        <v>517</v>
      </c>
      <c r="D258" s="18" t="s">
        <v>66</v>
      </c>
      <c r="E258" s="18" t="str">
        <f>IFERROR(VLOOKUP(TRIM(D258), Collection!$B$2:$D$1001, 2, FALSE), "")</f>
        <v>Historiques 222</v>
      </c>
      <c r="F258" s="21" t="str">
        <f>IFERROR(VLOOKUP(TRIM(D258), Collection!$B$2:$D$1001, 3, FALSE), "")</f>
        <v>121,000 AED</v>
      </c>
      <c r="G258" s="21">
        <f t="shared" ref="G258:G321" si="8">IFERROR(VALUE(SUBSTITUTE(SUBSTITUTE(F258, "Price", ""), "AED", "")), "")</f>
        <v>121000</v>
      </c>
      <c r="H258" s="18" t="s">
        <v>58</v>
      </c>
      <c r="I258" s="18">
        <v>103616580</v>
      </c>
      <c r="J258" s="18" t="s">
        <v>59</v>
      </c>
      <c r="K258" s="18" t="s">
        <v>70</v>
      </c>
      <c r="L258" s="18" t="s">
        <v>1093</v>
      </c>
      <c r="M258" s="18" t="b">
        <f t="shared" ref="M258:M321" si="9">IF(COUNTIF($R$3:$R$100, D258) &gt; 0, TRUE, FALSE)</f>
        <v>0</v>
      </c>
    </row>
    <row r="259" spans="1:13" ht="31.2" x14ac:dyDescent="0.3">
      <c r="A259" s="18" t="s">
        <v>55</v>
      </c>
      <c r="B259" s="18" t="s">
        <v>980</v>
      </c>
      <c r="C259" s="18" t="s">
        <v>517</v>
      </c>
      <c r="D259" s="18" t="s">
        <v>66</v>
      </c>
      <c r="E259" s="18" t="str">
        <f>IFERROR(VLOOKUP(TRIM(D259), Collection!$B$2:$D$1001, 2, FALSE), "")</f>
        <v>Historiques 222</v>
      </c>
      <c r="F259" s="21" t="str">
        <f>IFERROR(VLOOKUP(TRIM(D259), Collection!$B$2:$D$1001, 3, FALSE), "")</f>
        <v>121,000 AED</v>
      </c>
      <c r="G259" s="21">
        <f t="shared" si="8"/>
        <v>121000</v>
      </c>
      <c r="H259" s="18" t="s">
        <v>58</v>
      </c>
      <c r="I259" s="18">
        <v>103615205</v>
      </c>
      <c r="J259" s="18" t="s">
        <v>59</v>
      </c>
      <c r="K259" s="18" t="s">
        <v>67</v>
      </c>
      <c r="L259" s="18" t="s">
        <v>1094</v>
      </c>
      <c r="M259" s="18" t="b">
        <f t="shared" si="9"/>
        <v>0</v>
      </c>
    </row>
    <row r="260" spans="1:13" ht="31.2" x14ac:dyDescent="0.3">
      <c r="A260" s="18" t="s">
        <v>55</v>
      </c>
      <c r="B260" s="18" t="s">
        <v>980</v>
      </c>
      <c r="C260" s="18" t="s">
        <v>517</v>
      </c>
      <c r="D260" s="18" t="s">
        <v>66</v>
      </c>
      <c r="E260" s="18" t="str">
        <f>IFERROR(VLOOKUP(TRIM(D260), Collection!$B$2:$D$1001, 2, FALSE), "")</f>
        <v>Historiques 222</v>
      </c>
      <c r="F260" s="21" t="str">
        <f>IFERROR(VLOOKUP(TRIM(D260), Collection!$B$2:$D$1001, 3, FALSE), "")</f>
        <v>121,000 AED</v>
      </c>
      <c r="G260" s="21">
        <f t="shared" si="8"/>
        <v>121000</v>
      </c>
      <c r="H260" s="18" t="s">
        <v>58</v>
      </c>
      <c r="I260" s="18">
        <v>92409190</v>
      </c>
      <c r="J260" s="18" t="s">
        <v>59</v>
      </c>
      <c r="K260" s="18" t="s">
        <v>67</v>
      </c>
      <c r="L260" s="18" t="s">
        <v>980</v>
      </c>
      <c r="M260" s="18" t="b">
        <f t="shared" si="9"/>
        <v>0</v>
      </c>
    </row>
    <row r="261" spans="1:13" ht="31.2" x14ac:dyDescent="0.3">
      <c r="A261" s="18" t="s">
        <v>55</v>
      </c>
      <c r="B261" s="18" t="s">
        <v>980</v>
      </c>
      <c r="C261" s="18" t="s">
        <v>517</v>
      </c>
      <c r="D261" s="18" t="s">
        <v>66</v>
      </c>
      <c r="E261" s="18" t="str">
        <f>IFERROR(VLOOKUP(TRIM(D261), Collection!$B$2:$D$1001, 2, FALSE), "")</f>
        <v>Historiques 222</v>
      </c>
      <c r="F261" s="21" t="str">
        <f>IFERROR(VLOOKUP(TRIM(D261), Collection!$B$2:$D$1001, 3, FALSE), "")</f>
        <v>121,000 AED</v>
      </c>
      <c r="G261" s="21">
        <f t="shared" si="8"/>
        <v>121000</v>
      </c>
      <c r="H261" s="18" t="s">
        <v>58</v>
      </c>
      <c r="I261" s="18">
        <v>103616562</v>
      </c>
      <c r="J261" s="18" t="s">
        <v>59</v>
      </c>
      <c r="K261" s="18" t="s">
        <v>67</v>
      </c>
      <c r="L261" s="18" t="s">
        <v>980</v>
      </c>
      <c r="M261" s="18" t="b">
        <f t="shared" si="9"/>
        <v>0</v>
      </c>
    </row>
    <row r="262" spans="1:13" ht="31.2" x14ac:dyDescent="0.3">
      <c r="A262" s="18" t="s">
        <v>55</v>
      </c>
      <c r="B262" s="18" t="s">
        <v>980</v>
      </c>
      <c r="C262" s="18" t="s">
        <v>517</v>
      </c>
      <c r="D262" s="18" t="s">
        <v>66</v>
      </c>
      <c r="E262" s="18" t="str">
        <f>IFERROR(VLOOKUP(TRIM(D262), Collection!$B$2:$D$1001, 2, FALSE), "")</f>
        <v>Historiques 222</v>
      </c>
      <c r="F262" s="21" t="str">
        <f>IFERROR(VLOOKUP(TRIM(D262), Collection!$B$2:$D$1001, 3, FALSE), "")</f>
        <v>121,000 AED</v>
      </c>
      <c r="G262" s="21">
        <f t="shared" si="8"/>
        <v>121000</v>
      </c>
      <c r="H262" s="18" t="s">
        <v>58</v>
      </c>
      <c r="I262" s="18">
        <v>103616432</v>
      </c>
      <c r="J262" s="18" t="s">
        <v>59</v>
      </c>
      <c r="K262" s="18" t="s">
        <v>67</v>
      </c>
      <c r="L262" s="18" t="s">
        <v>980</v>
      </c>
      <c r="M262" s="18" t="b">
        <f t="shared" si="9"/>
        <v>0</v>
      </c>
    </row>
    <row r="263" spans="1:13" ht="31.2" x14ac:dyDescent="0.3">
      <c r="A263" s="18" t="s">
        <v>55</v>
      </c>
      <c r="B263" s="18" t="s">
        <v>980</v>
      </c>
      <c r="C263" s="18" t="s">
        <v>517</v>
      </c>
      <c r="D263" s="18" t="s">
        <v>66</v>
      </c>
      <c r="E263" s="18" t="str">
        <f>IFERROR(VLOOKUP(TRIM(D263), Collection!$B$2:$D$1001, 2, FALSE), "")</f>
        <v>Historiques 222</v>
      </c>
      <c r="F263" s="21" t="str">
        <f>IFERROR(VLOOKUP(TRIM(D263), Collection!$B$2:$D$1001, 3, FALSE), "")</f>
        <v>121,000 AED</v>
      </c>
      <c r="G263" s="21">
        <f t="shared" si="8"/>
        <v>121000</v>
      </c>
      <c r="H263" s="18" t="s">
        <v>58</v>
      </c>
      <c r="I263" s="18">
        <v>103620924</v>
      </c>
      <c r="J263" s="18" t="s">
        <v>59</v>
      </c>
      <c r="K263" s="18" t="s">
        <v>67</v>
      </c>
      <c r="L263" s="18" t="s">
        <v>980</v>
      </c>
      <c r="M263" s="18" t="b">
        <f t="shared" si="9"/>
        <v>0</v>
      </c>
    </row>
    <row r="264" spans="1:13" ht="31.2" x14ac:dyDescent="0.3">
      <c r="A264" s="18" t="s">
        <v>55</v>
      </c>
      <c r="B264" s="18" t="s">
        <v>980</v>
      </c>
      <c r="C264" s="18" t="s">
        <v>517</v>
      </c>
      <c r="D264" s="18" t="s">
        <v>66</v>
      </c>
      <c r="E264" s="18" t="str">
        <f>IFERROR(VLOOKUP(TRIM(D264), Collection!$B$2:$D$1001, 2, FALSE), "")</f>
        <v>Historiques 222</v>
      </c>
      <c r="F264" s="21" t="str">
        <f>IFERROR(VLOOKUP(TRIM(D264), Collection!$B$2:$D$1001, 3, FALSE), "")</f>
        <v>121,000 AED</v>
      </c>
      <c r="G264" s="21">
        <f t="shared" si="8"/>
        <v>121000</v>
      </c>
      <c r="H264" s="18" t="s">
        <v>58</v>
      </c>
      <c r="I264" s="18">
        <v>92404476</v>
      </c>
      <c r="J264" s="18" t="s">
        <v>114</v>
      </c>
      <c r="K264" s="18" t="s">
        <v>67</v>
      </c>
      <c r="L264" s="18" t="s">
        <v>980</v>
      </c>
      <c r="M264" s="18" t="b">
        <f t="shared" si="9"/>
        <v>0</v>
      </c>
    </row>
    <row r="265" spans="1:13" ht="31.2" x14ac:dyDescent="0.3">
      <c r="A265" s="18" t="s">
        <v>55</v>
      </c>
      <c r="B265" s="18" t="s">
        <v>980</v>
      </c>
      <c r="C265" s="18" t="s">
        <v>517</v>
      </c>
      <c r="D265" s="18" t="s">
        <v>66</v>
      </c>
      <c r="E265" s="18" t="str">
        <f>IFERROR(VLOOKUP(TRIM(D265), Collection!$B$2:$D$1001, 2, FALSE), "")</f>
        <v>Historiques 222</v>
      </c>
      <c r="F265" s="21" t="str">
        <f>IFERROR(VLOOKUP(TRIM(D265), Collection!$B$2:$D$1001, 3, FALSE), "")</f>
        <v>121,000 AED</v>
      </c>
      <c r="G265" s="21">
        <f t="shared" si="8"/>
        <v>121000</v>
      </c>
      <c r="H265" s="18" t="s">
        <v>58</v>
      </c>
      <c r="I265" s="18">
        <v>103531883</v>
      </c>
      <c r="J265" s="18" t="s">
        <v>59</v>
      </c>
      <c r="K265" s="18" t="s">
        <v>60</v>
      </c>
      <c r="L265" s="18" t="s">
        <v>1095</v>
      </c>
      <c r="M265" s="18" t="b">
        <f t="shared" si="9"/>
        <v>0</v>
      </c>
    </row>
    <row r="266" spans="1:13" ht="31.2" x14ac:dyDescent="0.3">
      <c r="A266" s="18" t="s">
        <v>55</v>
      </c>
      <c r="B266" s="18" t="s">
        <v>980</v>
      </c>
      <c r="C266" s="18" t="s">
        <v>517</v>
      </c>
      <c r="D266" s="18" t="s">
        <v>66</v>
      </c>
      <c r="E266" s="18" t="str">
        <f>IFERROR(VLOOKUP(TRIM(D266), Collection!$B$2:$D$1001, 2, FALSE), "")</f>
        <v>Historiques 222</v>
      </c>
      <c r="F266" s="21" t="str">
        <f>IFERROR(VLOOKUP(TRIM(D266), Collection!$B$2:$D$1001, 3, FALSE), "")</f>
        <v>121,000 AED</v>
      </c>
      <c r="G266" s="21">
        <f t="shared" si="8"/>
        <v>121000</v>
      </c>
      <c r="H266" s="18" t="s">
        <v>58</v>
      </c>
      <c r="I266" s="18">
        <v>92406536</v>
      </c>
      <c r="J266" s="18" t="s">
        <v>59</v>
      </c>
      <c r="K266" s="18" t="s">
        <v>60</v>
      </c>
      <c r="L266" s="18" t="s">
        <v>980</v>
      </c>
      <c r="M266" s="18" t="b">
        <f t="shared" si="9"/>
        <v>0</v>
      </c>
    </row>
    <row r="267" spans="1:13" ht="31.2" x14ac:dyDescent="0.3">
      <c r="A267" s="18" t="s">
        <v>55</v>
      </c>
      <c r="B267" s="18" t="s">
        <v>980</v>
      </c>
      <c r="C267" s="18" t="s">
        <v>517</v>
      </c>
      <c r="D267" s="18" t="s">
        <v>66</v>
      </c>
      <c r="E267" s="18" t="str">
        <f>IFERROR(VLOOKUP(TRIM(D267), Collection!$B$2:$D$1001, 2, FALSE), "")</f>
        <v>Historiques 222</v>
      </c>
      <c r="F267" s="21" t="str">
        <f>IFERROR(VLOOKUP(TRIM(D267), Collection!$B$2:$D$1001, 3, FALSE), "")</f>
        <v>121,000 AED</v>
      </c>
      <c r="G267" s="21">
        <f t="shared" si="8"/>
        <v>121000</v>
      </c>
      <c r="H267" s="18" t="s">
        <v>58</v>
      </c>
      <c r="I267" s="18">
        <v>103620484</v>
      </c>
      <c r="J267" s="18" t="s">
        <v>59</v>
      </c>
      <c r="K267" s="18" t="s">
        <v>60</v>
      </c>
      <c r="L267" s="18" t="s">
        <v>980</v>
      </c>
      <c r="M267" s="18" t="b">
        <f t="shared" si="9"/>
        <v>0</v>
      </c>
    </row>
    <row r="268" spans="1:13" ht="31.2" x14ac:dyDescent="0.3">
      <c r="A268" s="18" t="s">
        <v>55</v>
      </c>
      <c r="B268" s="18" t="s">
        <v>980</v>
      </c>
      <c r="C268" s="18" t="s">
        <v>517</v>
      </c>
      <c r="D268" s="18" t="s">
        <v>66</v>
      </c>
      <c r="E268" s="18" t="str">
        <f>IFERROR(VLOOKUP(TRIM(D268), Collection!$B$2:$D$1001, 2, FALSE), "")</f>
        <v>Historiques 222</v>
      </c>
      <c r="F268" s="21" t="str">
        <f>IFERROR(VLOOKUP(TRIM(D268), Collection!$B$2:$D$1001, 3, FALSE), "")</f>
        <v>121,000 AED</v>
      </c>
      <c r="G268" s="21">
        <f t="shared" si="8"/>
        <v>121000</v>
      </c>
      <c r="H268" s="18" t="s">
        <v>58</v>
      </c>
      <c r="I268" s="18">
        <v>103631902</v>
      </c>
      <c r="J268" s="18" t="s">
        <v>59</v>
      </c>
      <c r="K268" s="18" t="s">
        <v>60</v>
      </c>
      <c r="L268" s="18" t="s">
        <v>980</v>
      </c>
      <c r="M268" s="18" t="b">
        <f t="shared" si="9"/>
        <v>0</v>
      </c>
    </row>
    <row r="269" spans="1:13" ht="31.2" x14ac:dyDescent="0.3">
      <c r="A269" s="18" t="s">
        <v>55</v>
      </c>
      <c r="B269" s="18" t="s">
        <v>980</v>
      </c>
      <c r="C269" s="18" t="s">
        <v>517</v>
      </c>
      <c r="D269" s="18" t="s">
        <v>66</v>
      </c>
      <c r="E269" s="18" t="str">
        <f>IFERROR(VLOOKUP(TRIM(D269), Collection!$B$2:$D$1001, 2, FALSE), "")</f>
        <v>Historiques 222</v>
      </c>
      <c r="F269" s="21" t="str">
        <f>IFERROR(VLOOKUP(TRIM(D269), Collection!$B$2:$D$1001, 3, FALSE), "")</f>
        <v>121,000 AED</v>
      </c>
      <c r="G269" s="21">
        <f t="shared" si="8"/>
        <v>121000</v>
      </c>
      <c r="H269" s="18" t="s">
        <v>58</v>
      </c>
      <c r="I269" s="18">
        <v>93912121</v>
      </c>
      <c r="J269" s="18" t="s">
        <v>59</v>
      </c>
      <c r="K269" s="18" t="s">
        <v>60</v>
      </c>
      <c r="L269" s="18" t="s">
        <v>980</v>
      </c>
      <c r="M269" s="18" t="b">
        <f t="shared" si="9"/>
        <v>0</v>
      </c>
    </row>
    <row r="270" spans="1:13" ht="31.2" x14ac:dyDescent="0.3">
      <c r="A270" s="18" t="s">
        <v>55</v>
      </c>
      <c r="B270" s="18" t="s">
        <v>980</v>
      </c>
      <c r="C270" s="18" t="s">
        <v>517</v>
      </c>
      <c r="D270" s="18" t="s">
        <v>66</v>
      </c>
      <c r="E270" s="18" t="str">
        <f>IFERROR(VLOOKUP(TRIM(D270), Collection!$B$2:$D$1001, 2, FALSE), "")</f>
        <v>Historiques 222</v>
      </c>
      <c r="F270" s="21" t="str">
        <f>IFERROR(VLOOKUP(TRIM(D270), Collection!$B$2:$D$1001, 3, FALSE), "")</f>
        <v>121,000 AED</v>
      </c>
      <c r="G270" s="21">
        <f t="shared" si="8"/>
        <v>121000</v>
      </c>
      <c r="H270" s="18" t="s">
        <v>58</v>
      </c>
      <c r="I270" s="18">
        <v>103617256</v>
      </c>
      <c r="J270" s="18" t="s">
        <v>59</v>
      </c>
      <c r="K270" s="18" t="s">
        <v>60</v>
      </c>
      <c r="L270" s="18" t="s">
        <v>980</v>
      </c>
      <c r="M270" s="18" t="b">
        <f t="shared" si="9"/>
        <v>0</v>
      </c>
    </row>
    <row r="271" spans="1:13" ht="31.2" x14ac:dyDescent="0.3">
      <c r="A271" s="18" t="s">
        <v>55</v>
      </c>
      <c r="B271" s="18" t="s">
        <v>980</v>
      </c>
      <c r="C271" s="18" t="s">
        <v>517</v>
      </c>
      <c r="D271" s="18" t="s">
        <v>66</v>
      </c>
      <c r="E271" s="18" t="str">
        <f>IFERROR(VLOOKUP(TRIM(D271), Collection!$B$2:$D$1001, 2, FALSE), "")</f>
        <v>Historiques 222</v>
      </c>
      <c r="F271" s="21" t="str">
        <f>IFERROR(VLOOKUP(TRIM(D271), Collection!$B$2:$D$1001, 3, FALSE), "")</f>
        <v>121,000 AED</v>
      </c>
      <c r="G271" s="21">
        <f t="shared" si="8"/>
        <v>121000</v>
      </c>
      <c r="H271" s="18" t="s">
        <v>58</v>
      </c>
      <c r="I271" s="18">
        <v>103634777</v>
      </c>
      <c r="J271" s="18" t="s">
        <v>59</v>
      </c>
      <c r="K271" s="18" t="s">
        <v>60</v>
      </c>
      <c r="L271" s="18" t="s">
        <v>980</v>
      </c>
      <c r="M271" s="18" t="b">
        <f t="shared" si="9"/>
        <v>0</v>
      </c>
    </row>
    <row r="272" spans="1:13" ht="93.6" x14ac:dyDescent="0.3">
      <c r="A272" s="18" t="s">
        <v>55</v>
      </c>
      <c r="B272" s="18" t="s">
        <v>980</v>
      </c>
      <c r="C272" s="19">
        <v>45962</v>
      </c>
      <c r="D272" s="18" t="s">
        <v>22</v>
      </c>
      <c r="E272" s="18" t="str">
        <f>IFERROR(VLOOKUP(TRIM(D272), Collection!$B$2:$D$1001, 2, FALSE), "")</f>
        <v>Overseas dual time Blue</v>
      </c>
      <c r="F272" s="21" t="str">
        <f>IFERROR(VLOOKUP(TRIM(D272), Collection!$B$2:$D$1001, 3, FALSE), "")</f>
        <v>117,000 AED</v>
      </c>
      <c r="G272" s="21">
        <f t="shared" si="8"/>
        <v>117000</v>
      </c>
      <c r="H272" s="18" t="s">
        <v>58</v>
      </c>
      <c r="I272" s="18">
        <v>103576190</v>
      </c>
      <c r="J272" s="18" t="s">
        <v>59</v>
      </c>
      <c r="K272" s="18" t="s">
        <v>60</v>
      </c>
      <c r="L272" s="18" t="s">
        <v>1096</v>
      </c>
      <c r="M272" s="18" t="b">
        <f t="shared" si="9"/>
        <v>0</v>
      </c>
    </row>
    <row r="273" spans="1:13" ht="31.2" x14ac:dyDescent="0.3">
      <c r="A273" s="18" t="s">
        <v>55</v>
      </c>
      <c r="B273" s="18" t="s">
        <v>980</v>
      </c>
      <c r="C273" s="19">
        <v>45931</v>
      </c>
      <c r="D273" s="18" t="s">
        <v>29</v>
      </c>
      <c r="E273" s="18" t="str">
        <f>IFERROR(VLOOKUP(TRIM(D273), Collection!$B$2:$D$1001, 2, FALSE), "")</f>
        <v>Fiftysix self-winding</v>
      </c>
      <c r="F273" s="21" t="str">
        <f>IFERROR(VLOOKUP(TRIM(D273), Collection!$B$2:$D$1001, 3, FALSE), "")</f>
        <v>48,000 AED</v>
      </c>
      <c r="G273" s="21">
        <f t="shared" si="8"/>
        <v>48000</v>
      </c>
      <c r="H273" s="18" t="s">
        <v>58</v>
      </c>
      <c r="I273" s="18">
        <v>103437674</v>
      </c>
      <c r="J273" s="18" t="s">
        <v>59</v>
      </c>
      <c r="K273" s="18" t="s">
        <v>60</v>
      </c>
      <c r="L273" s="18" t="s">
        <v>1097</v>
      </c>
      <c r="M273" s="18" t="b">
        <f t="shared" si="9"/>
        <v>1</v>
      </c>
    </row>
    <row r="274" spans="1:13" ht="31.2" x14ac:dyDescent="0.3">
      <c r="A274" s="18" t="s">
        <v>130</v>
      </c>
      <c r="B274" s="18" t="s">
        <v>130</v>
      </c>
      <c r="C274" s="19">
        <v>45689</v>
      </c>
      <c r="D274" s="18" t="s">
        <v>552</v>
      </c>
      <c r="E274" s="18" t="str">
        <f>IFERROR(VLOOKUP(TRIM(D274), Collection!$B$2:$D$1001, 2, FALSE), "")</f>
        <v>Overseas chronograph</v>
      </c>
      <c r="F274" s="21" t="str">
        <f>IFERROR(VLOOKUP(TRIM(D274), Collection!$B$2:$D$1001, 3, FALSE), "")</f>
        <v>135,000 AED</v>
      </c>
      <c r="G274" s="21">
        <f t="shared" si="8"/>
        <v>135000</v>
      </c>
      <c r="H274" s="18" t="s">
        <v>58</v>
      </c>
      <c r="I274" s="18">
        <v>103437947</v>
      </c>
      <c r="J274" s="18" t="s">
        <v>59</v>
      </c>
      <c r="K274" s="18" t="s">
        <v>70</v>
      </c>
      <c r="L274" s="18" t="s">
        <v>1098</v>
      </c>
      <c r="M274" s="18" t="b">
        <f t="shared" si="9"/>
        <v>0</v>
      </c>
    </row>
    <row r="275" spans="1:13" ht="265.2" x14ac:dyDescent="0.3">
      <c r="A275" s="18" t="s">
        <v>55</v>
      </c>
      <c r="B275" s="18" t="s">
        <v>980</v>
      </c>
      <c r="C275" s="19">
        <v>45689</v>
      </c>
      <c r="D275" s="18" t="s">
        <v>22</v>
      </c>
      <c r="E275" s="18" t="str">
        <f>IFERROR(VLOOKUP(TRIM(D275), Collection!$B$2:$D$1001, 2, FALSE), "")</f>
        <v>Overseas dual time Blue</v>
      </c>
      <c r="F275" s="21" t="str">
        <f>IFERROR(VLOOKUP(TRIM(D275), Collection!$B$2:$D$1001, 3, FALSE), "")</f>
        <v>117,000 AED</v>
      </c>
      <c r="G275" s="21">
        <f t="shared" si="8"/>
        <v>117000</v>
      </c>
      <c r="H275" s="18" t="s">
        <v>58</v>
      </c>
      <c r="I275" s="18">
        <v>103437674</v>
      </c>
      <c r="J275" s="18" t="s">
        <v>59</v>
      </c>
      <c r="K275" s="18" t="s">
        <v>60</v>
      </c>
      <c r="L275" s="18" t="s">
        <v>1099</v>
      </c>
      <c r="M275" s="18" t="b">
        <f t="shared" si="9"/>
        <v>0</v>
      </c>
    </row>
    <row r="276" spans="1:13" ht="62.4" x14ac:dyDescent="0.3">
      <c r="A276" s="18" t="s">
        <v>55</v>
      </c>
      <c r="B276" s="18" t="s">
        <v>980</v>
      </c>
      <c r="C276" s="19">
        <v>45658</v>
      </c>
      <c r="D276" s="18" t="s">
        <v>39</v>
      </c>
      <c r="E276" s="18" t="str">
        <f>IFERROR(VLOOKUP(TRIM(D276), Collection!$B$2:$D$1001, 2, FALSE), "")</f>
        <v>Overseas dual time Green</v>
      </c>
      <c r="F276" s="21" t="str">
        <f>IFERROR(VLOOKUP(TRIM(D276), Collection!$B$2:$D$1001, 3, FALSE), "")</f>
        <v>286,000 AED</v>
      </c>
      <c r="G276" s="21">
        <f t="shared" si="8"/>
        <v>286000</v>
      </c>
      <c r="H276" s="18" t="s">
        <v>58</v>
      </c>
      <c r="I276" s="18">
        <v>103671316</v>
      </c>
      <c r="J276" s="18" t="s">
        <v>59</v>
      </c>
      <c r="K276" s="18" t="s">
        <v>60</v>
      </c>
      <c r="L276" s="18" t="s">
        <v>1100</v>
      </c>
      <c r="M276" s="18" t="b">
        <f t="shared" si="9"/>
        <v>0</v>
      </c>
    </row>
    <row r="277" spans="1:13" ht="31.2" x14ac:dyDescent="0.3">
      <c r="A277" s="18" t="s">
        <v>25</v>
      </c>
      <c r="B277" s="18" t="s">
        <v>95</v>
      </c>
      <c r="C277" s="18" t="s">
        <v>560</v>
      </c>
      <c r="D277" s="18" t="s">
        <v>107</v>
      </c>
      <c r="E277" s="18" t="str">
        <f>IFERROR(VLOOKUP(TRIM(D277), Collection!$B$2:$D$1001, 2, FALSE), "")</f>
        <v>Overseas chronograph</v>
      </c>
      <c r="F277" s="21" t="str">
        <f>IFERROR(VLOOKUP(TRIM(D277), Collection!$B$2:$D$1001, 3, FALSE), "")</f>
        <v>135,000 AED</v>
      </c>
      <c r="G277" s="21">
        <f t="shared" si="8"/>
        <v>135000</v>
      </c>
      <c r="H277" s="18" t="s">
        <v>58</v>
      </c>
      <c r="I277" s="18">
        <v>102277427</v>
      </c>
      <c r="J277" s="18" t="s">
        <v>59</v>
      </c>
      <c r="K277" s="18" t="s">
        <v>70</v>
      </c>
      <c r="L277" s="18" t="s">
        <v>1101</v>
      </c>
      <c r="M277" s="18" t="b">
        <f t="shared" si="9"/>
        <v>0</v>
      </c>
    </row>
    <row r="278" spans="1:13" ht="31.2" x14ac:dyDescent="0.3">
      <c r="A278" s="18" t="s">
        <v>55</v>
      </c>
      <c r="B278" s="18" t="s">
        <v>980</v>
      </c>
      <c r="C278" s="18" t="s">
        <v>562</v>
      </c>
      <c r="D278" s="18" t="s">
        <v>35</v>
      </c>
      <c r="E278" s="18" t="str">
        <f>IFERROR(VLOOKUP(TRIM(D278), Collection!$B$2:$D$1001, 2, FALSE), "")</f>
        <v>Overseas self-winding</v>
      </c>
      <c r="F278" s="21" t="str">
        <f>IFERROR(VLOOKUP(TRIM(D278), Collection!$B$2:$D$1001, 3, FALSE), "")</f>
        <v>94,500 AED</v>
      </c>
      <c r="G278" s="21">
        <f t="shared" si="8"/>
        <v>94500</v>
      </c>
      <c r="H278" s="18" t="s">
        <v>58</v>
      </c>
      <c r="I278" s="18">
        <v>103100862</v>
      </c>
      <c r="J278" s="18" t="s">
        <v>59</v>
      </c>
      <c r="K278" s="18" t="s">
        <v>67</v>
      </c>
      <c r="L278" s="18" t="s">
        <v>980</v>
      </c>
      <c r="M278" s="18" t="b">
        <f t="shared" si="9"/>
        <v>0</v>
      </c>
    </row>
    <row r="279" spans="1:13" ht="109.2" x14ac:dyDescent="0.3">
      <c r="A279" s="18" t="s">
        <v>55</v>
      </c>
      <c r="B279" s="18" t="s">
        <v>564</v>
      </c>
      <c r="C279" s="18" t="s">
        <v>562</v>
      </c>
      <c r="D279" s="18" t="s">
        <v>75</v>
      </c>
      <c r="E279" s="18" t="str">
        <f>IFERROR(VLOOKUP(TRIM(D279), Collection!$B$2:$D$1001, 2, FALSE), "")</f>
        <v>Overseas self-winding</v>
      </c>
      <c r="F279" s="21" t="str">
        <f>IFERROR(VLOOKUP(TRIM(D279), Collection!$B$2:$D$1001, 3, FALSE), "")</f>
        <v>94,500 AED</v>
      </c>
      <c r="G279" s="21">
        <f t="shared" si="8"/>
        <v>94500</v>
      </c>
      <c r="H279" s="18" t="s">
        <v>58</v>
      </c>
      <c r="I279" s="18">
        <v>99502446</v>
      </c>
      <c r="J279" s="18" t="s">
        <v>59</v>
      </c>
      <c r="K279" s="18" t="s">
        <v>67</v>
      </c>
      <c r="L279" s="18" t="s">
        <v>1102</v>
      </c>
      <c r="M279" s="18" t="b">
        <f t="shared" si="9"/>
        <v>0</v>
      </c>
    </row>
    <row r="280" spans="1:13" ht="171.6" x14ac:dyDescent="0.3">
      <c r="A280" s="18" t="s">
        <v>55</v>
      </c>
      <c r="B280" s="18" t="s">
        <v>95</v>
      </c>
      <c r="C280" s="18" t="s">
        <v>567</v>
      </c>
      <c r="D280" s="18" t="s">
        <v>107</v>
      </c>
      <c r="E280" s="18" t="str">
        <f>IFERROR(VLOOKUP(TRIM(D280), Collection!$B$2:$D$1001, 2, FALSE), "")</f>
        <v>Overseas chronograph</v>
      </c>
      <c r="F280" s="21" t="str">
        <f>IFERROR(VLOOKUP(TRIM(D280), Collection!$B$2:$D$1001, 3, FALSE), "")</f>
        <v>135,000 AED</v>
      </c>
      <c r="G280" s="21">
        <f t="shared" si="8"/>
        <v>135000</v>
      </c>
      <c r="H280" s="18" t="s">
        <v>58</v>
      </c>
      <c r="I280" s="18">
        <v>102505094</v>
      </c>
      <c r="J280" s="18" t="s">
        <v>59</v>
      </c>
      <c r="K280" s="18" t="s">
        <v>60</v>
      </c>
      <c r="L280" s="18" t="s">
        <v>1103</v>
      </c>
      <c r="M280" s="18" t="b">
        <f t="shared" si="9"/>
        <v>0</v>
      </c>
    </row>
    <row r="281" spans="1:13" ht="31.2" x14ac:dyDescent="0.3">
      <c r="A281" s="18" t="s">
        <v>55</v>
      </c>
      <c r="B281" s="18" t="s">
        <v>980</v>
      </c>
      <c r="C281" s="18" t="s">
        <v>570</v>
      </c>
      <c r="D281" s="18" t="s">
        <v>22</v>
      </c>
      <c r="E281" s="18" t="str">
        <f>IFERROR(VLOOKUP(TRIM(D281), Collection!$B$2:$D$1001, 2, FALSE), "")</f>
        <v>Overseas dual time Blue</v>
      </c>
      <c r="F281" s="21" t="str">
        <f>IFERROR(VLOOKUP(TRIM(D281), Collection!$B$2:$D$1001, 3, FALSE), "")</f>
        <v>117,000 AED</v>
      </c>
      <c r="G281" s="21">
        <f t="shared" si="8"/>
        <v>117000</v>
      </c>
      <c r="H281" s="18" t="s">
        <v>58</v>
      </c>
      <c r="I281" s="18">
        <v>102928395</v>
      </c>
      <c r="J281" s="18" t="s">
        <v>59</v>
      </c>
      <c r="K281" s="18" t="s">
        <v>60</v>
      </c>
      <c r="L281" s="18" t="s">
        <v>1104</v>
      </c>
      <c r="M281" s="18" t="b">
        <f t="shared" si="9"/>
        <v>0</v>
      </c>
    </row>
    <row r="282" spans="1:13" ht="31.2" x14ac:dyDescent="0.3">
      <c r="A282" s="18" t="s">
        <v>55</v>
      </c>
      <c r="B282" s="18" t="s">
        <v>980</v>
      </c>
      <c r="C282" s="18" t="s">
        <v>570</v>
      </c>
      <c r="D282" s="18" t="s">
        <v>35</v>
      </c>
      <c r="E282" s="18" t="str">
        <f>IFERROR(VLOOKUP(TRIM(D282), Collection!$B$2:$D$1001, 2, FALSE), "")</f>
        <v>Overseas self-winding</v>
      </c>
      <c r="F282" s="21" t="str">
        <f>IFERROR(VLOOKUP(TRIM(D282), Collection!$B$2:$D$1001, 3, FALSE), "")</f>
        <v>94,500 AED</v>
      </c>
      <c r="G282" s="21">
        <f t="shared" si="8"/>
        <v>94500</v>
      </c>
      <c r="H282" s="18" t="s">
        <v>58</v>
      </c>
      <c r="I282" s="18">
        <v>103124476</v>
      </c>
      <c r="J282" s="18" t="s">
        <v>59</v>
      </c>
      <c r="K282" s="18" t="s">
        <v>67</v>
      </c>
      <c r="L282" s="18" t="s">
        <v>980</v>
      </c>
      <c r="M282" s="18" t="b">
        <f t="shared" si="9"/>
        <v>0</v>
      </c>
    </row>
    <row r="283" spans="1:13" ht="31.2" x14ac:dyDescent="0.3">
      <c r="A283" s="18" t="s">
        <v>55</v>
      </c>
      <c r="B283" s="18" t="s">
        <v>980</v>
      </c>
      <c r="C283" s="18" t="s">
        <v>574</v>
      </c>
      <c r="D283" s="18" t="s">
        <v>75</v>
      </c>
      <c r="E283" s="18" t="str">
        <f>IFERROR(VLOOKUP(TRIM(D283), Collection!$B$2:$D$1001, 2, FALSE), "")</f>
        <v>Overseas self-winding</v>
      </c>
      <c r="F283" s="21" t="str">
        <f>IFERROR(VLOOKUP(TRIM(D283), Collection!$B$2:$D$1001, 3, FALSE), "")</f>
        <v>94,500 AED</v>
      </c>
      <c r="G283" s="21">
        <f t="shared" si="8"/>
        <v>94500</v>
      </c>
      <c r="H283" s="18" t="s">
        <v>58</v>
      </c>
      <c r="I283" s="18">
        <v>102945078</v>
      </c>
      <c r="J283" s="18" t="s">
        <v>59</v>
      </c>
      <c r="K283" s="18" t="s">
        <v>67</v>
      </c>
      <c r="L283" s="18" t="s">
        <v>980</v>
      </c>
      <c r="M283" s="18" t="b">
        <f t="shared" si="9"/>
        <v>0</v>
      </c>
    </row>
    <row r="284" spans="1:13" ht="46.8" x14ac:dyDescent="0.3">
      <c r="A284" s="18" t="s">
        <v>55</v>
      </c>
      <c r="B284" s="18" t="s">
        <v>564</v>
      </c>
      <c r="C284" s="18" t="s">
        <v>576</v>
      </c>
      <c r="D284" s="18" t="s">
        <v>552</v>
      </c>
      <c r="E284" s="18" t="str">
        <f>IFERROR(VLOOKUP(TRIM(D284), Collection!$B$2:$D$1001, 2, FALSE), "")</f>
        <v>Overseas chronograph</v>
      </c>
      <c r="F284" s="21" t="str">
        <f>IFERROR(VLOOKUP(TRIM(D284), Collection!$B$2:$D$1001, 3, FALSE), "")</f>
        <v>135,000 AED</v>
      </c>
      <c r="G284" s="21">
        <f t="shared" si="8"/>
        <v>135000</v>
      </c>
      <c r="H284" s="18" t="s">
        <v>58</v>
      </c>
      <c r="I284" s="18">
        <v>102505094</v>
      </c>
      <c r="J284" s="18" t="s">
        <v>59</v>
      </c>
      <c r="K284" s="18" t="s">
        <v>60</v>
      </c>
      <c r="L284" s="18" t="s">
        <v>1105</v>
      </c>
      <c r="M284" s="18" t="b">
        <f t="shared" si="9"/>
        <v>0</v>
      </c>
    </row>
    <row r="285" spans="1:13" ht="62.4" x14ac:dyDescent="0.3">
      <c r="A285" s="18" t="s">
        <v>55</v>
      </c>
      <c r="B285" s="18" t="s">
        <v>95</v>
      </c>
      <c r="C285" s="18" t="s">
        <v>576</v>
      </c>
      <c r="D285" s="18" t="s">
        <v>41</v>
      </c>
      <c r="E285" s="18" t="str">
        <f>IFERROR(VLOOKUP(TRIM(D285), Collection!$B$2:$D$1001, 2, FALSE), "")</f>
        <v>Overseas dual time Black</v>
      </c>
      <c r="F285" s="21" t="str">
        <f>IFERROR(VLOOKUP(TRIM(D285), Collection!$B$2:$D$1001, 3, FALSE), "")</f>
        <v>117,000 AED</v>
      </c>
      <c r="G285" s="21">
        <f t="shared" si="8"/>
        <v>117000</v>
      </c>
      <c r="H285" s="18" t="s">
        <v>58</v>
      </c>
      <c r="I285" s="18">
        <v>102928395</v>
      </c>
      <c r="J285" s="18" t="s">
        <v>59</v>
      </c>
      <c r="K285" s="18" t="s">
        <v>60</v>
      </c>
      <c r="L285" s="18" t="s">
        <v>1106</v>
      </c>
      <c r="M285" s="18" t="b">
        <f t="shared" si="9"/>
        <v>0</v>
      </c>
    </row>
    <row r="286" spans="1:13" ht="31.2" x14ac:dyDescent="0.3">
      <c r="A286" s="18" t="s">
        <v>25</v>
      </c>
      <c r="B286" s="18" t="s">
        <v>95</v>
      </c>
      <c r="C286" s="18" t="s">
        <v>576</v>
      </c>
      <c r="D286" s="18" t="s">
        <v>107</v>
      </c>
      <c r="E286" s="18" t="str">
        <f>IFERROR(VLOOKUP(TRIM(D286), Collection!$B$2:$D$1001, 2, FALSE), "")</f>
        <v>Overseas chronograph</v>
      </c>
      <c r="F286" s="21" t="str">
        <f>IFERROR(VLOOKUP(TRIM(D286), Collection!$B$2:$D$1001, 3, FALSE), "")</f>
        <v>135,000 AED</v>
      </c>
      <c r="G286" s="21">
        <f t="shared" si="8"/>
        <v>135000</v>
      </c>
      <c r="H286" s="18" t="s">
        <v>58</v>
      </c>
      <c r="I286" s="18">
        <v>102965997</v>
      </c>
      <c r="J286" s="18" t="s">
        <v>59</v>
      </c>
      <c r="K286" s="18" t="s">
        <v>67</v>
      </c>
      <c r="L286" s="18" t="s">
        <v>980</v>
      </c>
      <c r="M286" s="18" t="b">
        <f t="shared" si="9"/>
        <v>0</v>
      </c>
    </row>
    <row r="287" spans="1:13" ht="62.4" x14ac:dyDescent="0.3">
      <c r="A287" s="18" t="s">
        <v>55</v>
      </c>
      <c r="B287" s="18" t="s">
        <v>980</v>
      </c>
      <c r="C287" s="18" t="s">
        <v>580</v>
      </c>
      <c r="D287" s="18" t="s">
        <v>35</v>
      </c>
      <c r="E287" s="18" t="str">
        <f>IFERROR(VLOOKUP(TRIM(D287), Collection!$B$2:$D$1001, 2, FALSE), "")</f>
        <v>Overseas self-winding</v>
      </c>
      <c r="F287" s="21" t="str">
        <f>IFERROR(VLOOKUP(TRIM(D287), Collection!$B$2:$D$1001, 3, FALSE), "")</f>
        <v>94,500 AED</v>
      </c>
      <c r="G287" s="21">
        <f t="shared" si="8"/>
        <v>94500</v>
      </c>
      <c r="H287" s="18" t="s">
        <v>58</v>
      </c>
      <c r="I287" s="18">
        <v>103081456</v>
      </c>
      <c r="J287" s="18" t="s">
        <v>59</v>
      </c>
      <c r="K287" s="18" t="s">
        <v>67</v>
      </c>
      <c r="L287" s="18" t="s">
        <v>1107</v>
      </c>
      <c r="M287" s="18" t="b">
        <f t="shared" si="9"/>
        <v>0</v>
      </c>
    </row>
    <row r="288" spans="1:13" ht="62.4" x14ac:dyDescent="0.3">
      <c r="A288" s="18" t="s">
        <v>130</v>
      </c>
      <c r="B288" s="18" t="s">
        <v>130</v>
      </c>
      <c r="C288" s="18" t="s">
        <v>580</v>
      </c>
      <c r="D288" s="18" t="s">
        <v>40</v>
      </c>
      <c r="E288" s="18" t="str">
        <f>IFERROR(VLOOKUP(TRIM(D288), Collection!$B$2:$D$1001, 2, FALSE), "")</f>
        <v>Overseas self-winding Green</v>
      </c>
      <c r="F288" s="21" t="str">
        <f>IFERROR(VLOOKUP(TRIM(D288), Collection!$B$2:$D$1001, 3, FALSE), "")</f>
        <v>229,000 AED</v>
      </c>
      <c r="G288" s="21">
        <f t="shared" si="8"/>
        <v>229000</v>
      </c>
      <c r="H288" s="18" t="s">
        <v>58</v>
      </c>
      <c r="I288" s="18">
        <v>103058008</v>
      </c>
      <c r="J288" s="18" t="s">
        <v>59</v>
      </c>
      <c r="K288" s="18" t="s">
        <v>67</v>
      </c>
      <c r="L288" s="18" t="s">
        <v>1108</v>
      </c>
      <c r="M288" s="18" t="b">
        <f t="shared" si="9"/>
        <v>0</v>
      </c>
    </row>
    <row r="289" spans="1:13" ht="31.2" x14ac:dyDescent="0.3">
      <c r="A289" s="18" t="s">
        <v>130</v>
      </c>
      <c r="B289" s="18" t="s">
        <v>130</v>
      </c>
      <c r="C289" s="18" t="s">
        <v>580</v>
      </c>
      <c r="D289" s="18" t="s">
        <v>27</v>
      </c>
      <c r="E289" s="18" t="str">
        <f>IFERROR(VLOOKUP(TRIM(D289), Collection!$B$2:$D$1001, 2, FALSE), "")</f>
        <v>Historiques 222</v>
      </c>
      <c r="F289" s="21" t="str">
        <f>IFERROR(VLOOKUP(TRIM(D289), Collection!$B$2:$D$1001, 3, FALSE), "")</f>
        <v>279,000 AED</v>
      </c>
      <c r="G289" s="21">
        <f t="shared" si="8"/>
        <v>279000</v>
      </c>
      <c r="H289" s="18" t="s">
        <v>58</v>
      </c>
      <c r="I289" s="18">
        <v>103058008</v>
      </c>
      <c r="J289" s="18" t="s">
        <v>59</v>
      </c>
      <c r="K289" s="18" t="s">
        <v>67</v>
      </c>
      <c r="L289" s="18" t="s">
        <v>980</v>
      </c>
      <c r="M289" s="18" t="b">
        <f t="shared" si="9"/>
        <v>1</v>
      </c>
    </row>
    <row r="290" spans="1:13" ht="31.2" x14ac:dyDescent="0.3">
      <c r="A290" s="18" t="s">
        <v>130</v>
      </c>
      <c r="B290" s="18" t="s">
        <v>130</v>
      </c>
      <c r="C290" s="18" t="s">
        <v>584</v>
      </c>
      <c r="D290" s="18" t="s">
        <v>29</v>
      </c>
      <c r="E290" s="18" t="str">
        <f>IFERROR(VLOOKUP(TRIM(D290), Collection!$B$2:$D$1001, 2, FALSE), "")</f>
        <v>Fiftysix self-winding</v>
      </c>
      <c r="F290" s="21" t="str">
        <f>IFERROR(VLOOKUP(TRIM(D290), Collection!$B$2:$D$1001, 3, FALSE), "")</f>
        <v>48,000 AED</v>
      </c>
      <c r="G290" s="21">
        <f t="shared" si="8"/>
        <v>48000</v>
      </c>
      <c r="H290" s="18" t="s">
        <v>58</v>
      </c>
      <c r="I290" s="18">
        <v>103057654</v>
      </c>
      <c r="J290" s="18" t="s">
        <v>59</v>
      </c>
      <c r="K290" s="18" t="s">
        <v>67</v>
      </c>
      <c r="L290" s="18" t="s">
        <v>980</v>
      </c>
      <c r="M290" s="18" t="b">
        <f t="shared" si="9"/>
        <v>1</v>
      </c>
    </row>
    <row r="291" spans="1:13" ht="202.8" x14ac:dyDescent="0.3">
      <c r="A291" s="18" t="s">
        <v>55</v>
      </c>
      <c r="B291" s="18" t="s">
        <v>95</v>
      </c>
      <c r="C291" s="18" t="s">
        <v>584</v>
      </c>
      <c r="D291" s="18" t="s">
        <v>367</v>
      </c>
      <c r="E291" s="18" t="str">
        <f>IFERROR(VLOOKUP(TRIM(D291), Collection!$B$2:$D$1001, 2, FALSE), "")</f>
        <v>Overseas perpetual calendar ultra-thin skeleton</v>
      </c>
      <c r="F291" s="21" t="str">
        <f>IFERROR(VLOOKUP(TRIM(D291), Collection!$B$2:$D$1001, 3, FALSE), "")</f>
        <v>605,000 AED</v>
      </c>
      <c r="G291" s="21">
        <f t="shared" si="8"/>
        <v>605000</v>
      </c>
      <c r="H291" s="18" t="s">
        <v>58</v>
      </c>
      <c r="I291" s="18">
        <v>103058741</v>
      </c>
      <c r="J291" s="18" t="s">
        <v>59</v>
      </c>
      <c r="K291" s="18" t="s">
        <v>60</v>
      </c>
      <c r="L291" s="18" t="s">
        <v>1109</v>
      </c>
      <c r="M291" s="18" t="b">
        <f t="shared" si="9"/>
        <v>0</v>
      </c>
    </row>
    <row r="292" spans="1:13" ht="78" x14ac:dyDescent="0.3">
      <c r="A292" s="18" t="s">
        <v>130</v>
      </c>
      <c r="B292" s="18" t="s">
        <v>130</v>
      </c>
      <c r="C292" s="18" t="s">
        <v>588</v>
      </c>
      <c r="D292" s="18" t="s">
        <v>22</v>
      </c>
      <c r="E292" s="18" t="str">
        <f>IFERROR(VLOOKUP(TRIM(D292), Collection!$B$2:$D$1001, 2, FALSE), "")</f>
        <v>Overseas dual time Blue</v>
      </c>
      <c r="F292" s="21" t="str">
        <f>IFERROR(VLOOKUP(TRIM(D292), Collection!$B$2:$D$1001, 3, FALSE), "")</f>
        <v>117,000 AED</v>
      </c>
      <c r="G292" s="21">
        <f t="shared" si="8"/>
        <v>117000</v>
      </c>
      <c r="H292" s="18" t="s">
        <v>58</v>
      </c>
      <c r="I292" s="18">
        <v>102965997</v>
      </c>
      <c r="J292" s="18" t="s">
        <v>59</v>
      </c>
      <c r="K292" s="18" t="s">
        <v>67</v>
      </c>
      <c r="L292" s="18" t="s">
        <v>1110</v>
      </c>
      <c r="M292" s="18" t="b">
        <f t="shared" si="9"/>
        <v>0</v>
      </c>
    </row>
    <row r="293" spans="1:13" ht="124.8" x14ac:dyDescent="0.3">
      <c r="A293" s="18" t="s">
        <v>55</v>
      </c>
      <c r="B293" s="18" t="s">
        <v>980</v>
      </c>
      <c r="C293" s="18" t="s">
        <v>588</v>
      </c>
      <c r="D293" s="18" t="s">
        <v>35</v>
      </c>
      <c r="E293" s="18" t="str">
        <f>IFERROR(VLOOKUP(TRIM(D293), Collection!$B$2:$D$1001, 2, FALSE), "")</f>
        <v>Overseas self-winding</v>
      </c>
      <c r="F293" s="21" t="str">
        <f>IFERROR(VLOOKUP(TRIM(D293), Collection!$B$2:$D$1001, 3, FALSE), "")</f>
        <v>94,500 AED</v>
      </c>
      <c r="G293" s="21">
        <f t="shared" si="8"/>
        <v>94500</v>
      </c>
      <c r="H293" s="18" t="s">
        <v>58</v>
      </c>
      <c r="I293" s="18">
        <v>102991728</v>
      </c>
      <c r="J293" s="18" t="s">
        <v>59</v>
      </c>
      <c r="K293" s="18" t="s">
        <v>67</v>
      </c>
      <c r="L293" s="18" t="s">
        <v>1111</v>
      </c>
      <c r="M293" s="18" t="b">
        <f t="shared" si="9"/>
        <v>0</v>
      </c>
    </row>
    <row r="294" spans="1:13" ht="124.8" x14ac:dyDescent="0.3">
      <c r="A294" s="18" t="s">
        <v>130</v>
      </c>
      <c r="B294" s="18" t="s">
        <v>130</v>
      </c>
      <c r="C294" s="18" t="s">
        <v>592</v>
      </c>
      <c r="D294" s="18" t="s">
        <v>499</v>
      </c>
      <c r="E294" s="18" t="str">
        <f>IFERROR(VLOOKUP(TRIM(D294), Collection!$B$2:$D$1001, 2, FALSE), "")</f>
        <v>Overseas self-winding</v>
      </c>
      <c r="F294" s="21" t="str">
        <f>IFERROR(VLOOKUP(TRIM(D294), Collection!$B$2:$D$1001, 3, FALSE), "")</f>
        <v>94,500 AED</v>
      </c>
      <c r="G294" s="21">
        <f t="shared" si="8"/>
        <v>94500</v>
      </c>
      <c r="H294" s="18" t="s">
        <v>58</v>
      </c>
      <c r="I294" s="18">
        <v>102951000</v>
      </c>
      <c r="J294" s="18" t="s">
        <v>59</v>
      </c>
      <c r="K294" s="18" t="s">
        <v>67</v>
      </c>
      <c r="L294" s="18" t="s">
        <v>1112</v>
      </c>
      <c r="M294" s="18" t="b">
        <f t="shared" si="9"/>
        <v>0</v>
      </c>
    </row>
    <row r="295" spans="1:13" ht="31.2" x14ac:dyDescent="0.3">
      <c r="A295" s="18" t="s">
        <v>55</v>
      </c>
      <c r="B295" s="18" t="s">
        <v>980</v>
      </c>
      <c r="C295" s="19">
        <v>45577</v>
      </c>
      <c r="D295" s="18" t="s">
        <v>35</v>
      </c>
      <c r="E295" s="18" t="str">
        <f>IFERROR(VLOOKUP(TRIM(D295), Collection!$B$2:$D$1001, 2, FALSE), "")</f>
        <v>Overseas self-winding</v>
      </c>
      <c r="F295" s="21" t="str">
        <f>IFERROR(VLOOKUP(TRIM(D295), Collection!$B$2:$D$1001, 3, FALSE), "")</f>
        <v>94,500 AED</v>
      </c>
      <c r="G295" s="21">
        <f t="shared" si="8"/>
        <v>94500</v>
      </c>
      <c r="H295" s="18" t="s">
        <v>58</v>
      </c>
      <c r="I295" s="18">
        <v>102904196</v>
      </c>
      <c r="J295" s="18" t="s">
        <v>59</v>
      </c>
      <c r="K295" s="18" t="s">
        <v>67</v>
      </c>
      <c r="L295" s="18" t="s">
        <v>980</v>
      </c>
      <c r="M295" s="18" t="b">
        <f t="shared" si="9"/>
        <v>0</v>
      </c>
    </row>
    <row r="296" spans="1:13" ht="31.2" x14ac:dyDescent="0.3">
      <c r="A296" s="18" t="s">
        <v>25</v>
      </c>
      <c r="B296" s="18" t="s">
        <v>95</v>
      </c>
      <c r="C296" s="19">
        <v>45577</v>
      </c>
      <c r="D296" s="18" t="s">
        <v>35</v>
      </c>
      <c r="E296" s="18" t="str">
        <f>IFERROR(VLOOKUP(TRIM(D296), Collection!$B$2:$D$1001, 2, FALSE), "")</f>
        <v>Overseas self-winding</v>
      </c>
      <c r="F296" s="21" t="str">
        <f>IFERROR(VLOOKUP(TRIM(D296), Collection!$B$2:$D$1001, 3, FALSE), "")</f>
        <v>94,500 AED</v>
      </c>
      <c r="G296" s="21">
        <f t="shared" si="8"/>
        <v>94500</v>
      </c>
      <c r="H296" s="18" t="s">
        <v>58</v>
      </c>
      <c r="I296" s="18">
        <v>102905570</v>
      </c>
      <c r="J296" s="18" t="s">
        <v>59</v>
      </c>
      <c r="K296" s="18" t="s">
        <v>67</v>
      </c>
      <c r="L296" s="18" t="s">
        <v>980</v>
      </c>
      <c r="M296" s="18" t="b">
        <f t="shared" si="9"/>
        <v>0</v>
      </c>
    </row>
    <row r="297" spans="1:13" ht="46.8" x14ac:dyDescent="0.3">
      <c r="A297" s="18" t="s">
        <v>55</v>
      </c>
      <c r="B297" s="18" t="s">
        <v>564</v>
      </c>
      <c r="C297" s="19">
        <v>45424</v>
      </c>
      <c r="D297" s="18" t="s">
        <v>40</v>
      </c>
      <c r="E297" s="18" t="str">
        <f>IFERROR(VLOOKUP(TRIM(D297), Collection!$B$2:$D$1001, 2, FALSE), "")</f>
        <v>Overseas self-winding Green</v>
      </c>
      <c r="F297" s="21" t="str">
        <f>IFERROR(VLOOKUP(TRIM(D297), Collection!$B$2:$D$1001, 3, FALSE), "")</f>
        <v>229,000 AED</v>
      </c>
      <c r="G297" s="21">
        <f t="shared" si="8"/>
        <v>229000</v>
      </c>
      <c r="H297" s="18" t="s">
        <v>58</v>
      </c>
      <c r="I297" s="18">
        <v>102735123</v>
      </c>
      <c r="J297" s="18" t="s">
        <v>59</v>
      </c>
      <c r="K297" s="18" t="s">
        <v>70</v>
      </c>
      <c r="L297" s="18" t="s">
        <v>1113</v>
      </c>
      <c r="M297" s="18" t="b">
        <f t="shared" si="9"/>
        <v>0</v>
      </c>
    </row>
    <row r="298" spans="1:13" ht="62.4" x14ac:dyDescent="0.3">
      <c r="A298" s="18" t="s">
        <v>55</v>
      </c>
      <c r="B298" s="18" t="s">
        <v>564</v>
      </c>
      <c r="C298" s="19">
        <v>45424</v>
      </c>
      <c r="D298" s="18" t="s">
        <v>27</v>
      </c>
      <c r="E298" s="18" t="str">
        <f>IFERROR(VLOOKUP(TRIM(D298), Collection!$B$2:$D$1001, 2, FALSE), "")</f>
        <v>Historiques 222</v>
      </c>
      <c r="F298" s="21" t="str">
        <f>IFERROR(VLOOKUP(TRIM(D298), Collection!$B$2:$D$1001, 3, FALSE), "")</f>
        <v>279,000 AED</v>
      </c>
      <c r="G298" s="21">
        <f t="shared" si="8"/>
        <v>279000</v>
      </c>
      <c r="H298" s="18" t="s">
        <v>58</v>
      </c>
      <c r="I298" s="18">
        <v>102735123</v>
      </c>
      <c r="J298" s="18" t="s">
        <v>59</v>
      </c>
      <c r="K298" s="18" t="s">
        <v>70</v>
      </c>
      <c r="L298" s="18" t="s">
        <v>1114</v>
      </c>
      <c r="M298" s="18" t="b">
        <f t="shared" si="9"/>
        <v>1</v>
      </c>
    </row>
    <row r="299" spans="1:13" ht="62.4" x14ac:dyDescent="0.3">
      <c r="A299" s="18" t="s">
        <v>55</v>
      </c>
      <c r="B299" s="18" t="s">
        <v>980</v>
      </c>
      <c r="C299" s="19">
        <v>45394</v>
      </c>
      <c r="D299" s="18" t="s">
        <v>35</v>
      </c>
      <c r="E299" s="18" t="str">
        <f>IFERROR(VLOOKUP(TRIM(D299), Collection!$B$2:$D$1001, 2, FALSE), "")</f>
        <v>Overseas self-winding</v>
      </c>
      <c r="F299" s="21" t="str">
        <f>IFERROR(VLOOKUP(TRIM(D299), Collection!$B$2:$D$1001, 3, FALSE), "")</f>
        <v>94,500 AED</v>
      </c>
      <c r="G299" s="21">
        <f t="shared" si="8"/>
        <v>94500</v>
      </c>
      <c r="H299" s="18" t="s">
        <v>58</v>
      </c>
      <c r="I299" s="18">
        <v>102637104</v>
      </c>
      <c r="J299" s="18" t="s">
        <v>59</v>
      </c>
      <c r="K299" s="18" t="s">
        <v>60</v>
      </c>
      <c r="L299" s="18" t="s">
        <v>1115</v>
      </c>
      <c r="M299" s="18" t="b">
        <f t="shared" si="9"/>
        <v>0</v>
      </c>
    </row>
    <row r="300" spans="1:13" ht="31.2" x14ac:dyDescent="0.3">
      <c r="A300" s="18" t="s">
        <v>55</v>
      </c>
      <c r="B300" s="18" t="s">
        <v>980</v>
      </c>
      <c r="C300" s="18" t="s">
        <v>605</v>
      </c>
      <c r="D300" s="18" t="s">
        <v>22</v>
      </c>
      <c r="E300" s="18" t="str">
        <f>IFERROR(VLOOKUP(TRIM(D300), Collection!$B$2:$D$1001, 2, FALSE), "")</f>
        <v>Overseas dual time Blue</v>
      </c>
      <c r="F300" s="21" t="str">
        <f>IFERROR(VLOOKUP(TRIM(D300), Collection!$B$2:$D$1001, 3, FALSE), "")</f>
        <v>117,000 AED</v>
      </c>
      <c r="G300" s="21">
        <f t="shared" si="8"/>
        <v>117000</v>
      </c>
      <c r="H300" s="18" t="s">
        <v>58</v>
      </c>
      <c r="I300" s="18">
        <v>102618733</v>
      </c>
      <c r="J300" s="18" t="s">
        <v>59</v>
      </c>
      <c r="K300" s="18" t="s">
        <v>70</v>
      </c>
      <c r="L300" s="18" t="s">
        <v>1116</v>
      </c>
      <c r="M300" s="18" t="b">
        <f t="shared" si="9"/>
        <v>0</v>
      </c>
    </row>
    <row r="301" spans="1:13" ht="31.2" x14ac:dyDescent="0.3">
      <c r="A301" s="18" t="s">
        <v>55</v>
      </c>
      <c r="B301" s="18" t="s">
        <v>980</v>
      </c>
      <c r="C301" s="18" t="s">
        <v>608</v>
      </c>
      <c r="D301" s="18" t="s">
        <v>22</v>
      </c>
      <c r="E301" s="18" t="str">
        <f>IFERROR(VLOOKUP(TRIM(D301), Collection!$B$2:$D$1001, 2, FALSE), "")</f>
        <v>Overseas dual time Blue</v>
      </c>
      <c r="F301" s="21" t="str">
        <f>IFERROR(VLOOKUP(TRIM(D301), Collection!$B$2:$D$1001, 3, FALSE), "")</f>
        <v>117,000 AED</v>
      </c>
      <c r="G301" s="21">
        <f t="shared" si="8"/>
        <v>117000</v>
      </c>
      <c r="H301" s="18" t="s">
        <v>58</v>
      </c>
      <c r="I301" s="18">
        <v>102600071</v>
      </c>
      <c r="J301" s="18" t="s">
        <v>59</v>
      </c>
      <c r="K301" s="18" t="s">
        <v>70</v>
      </c>
      <c r="L301" s="18" t="s">
        <v>1117</v>
      </c>
      <c r="M301" s="18" t="b">
        <f t="shared" si="9"/>
        <v>0</v>
      </c>
    </row>
    <row r="302" spans="1:13" ht="78" x14ac:dyDescent="0.3">
      <c r="A302" s="18" t="s">
        <v>55</v>
      </c>
      <c r="B302" s="18" t="s">
        <v>980</v>
      </c>
      <c r="C302" s="18" t="s">
        <v>611</v>
      </c>
      <c r="D302" s="18" t="s">
        <v>35</v>
      </c>
      <c r="E302" s="18" t="str">
        <f>IFERROR(VLOOKUP(TRIM(D302), Collection!$B$2:$D$1001, 2, FALSE), "")</f>
        <v>Overseas self-winding</v>
      </c>
      <c r="F302" s="21" t="str">
        <f>IFERROR(VLOOKUP(TRIM(D302), Collection!$B$2:$D$1001, 3, FALSE), "")</f>
        <v>94,500 AED</v>
      </c>
      <c r="G302" s="21">
        <f t="shared" si="8"/>
        <v>94500</v>
      </c>
      <c r="H302" s="18" t="s">
        <v>58</v>
      </c>
      <c r="I302" s="18">
        <v>102549877</v>
      </c>
      <c r="J302" s="18" t="s">
        <v>59</v>
      </c>
      <c r="K302" s="18" t="s">
        <v>70</v>
      </c>
      <c r="L302" s="18" t="s">
        <v>1118</v>
      </c>
      <c r="M302" s="18" t="b">
        <f t="shared" si="9"/>
        <v>0</v>
      </c>
    </row>
    <row r="303" spans="1:13" ht="124.8" x14ac:dyDescent="0.3">
      <c r="A303" s="18" t="s">
        <v>130</v>
      </c>
      <c r="B303" s="18" t="s">
        <v>130</v>
      </c>
      <c r="C303" s="18" t="s">
        <v>614</v>
      </c>
      <c r="D303" s="18" t="s">
        <v>37</v>
      </c>
      <c r="E303" s="18" t="str">
        <f>IFERROR(VLOOKUP(TRIM(D303), Collection!$B$2:$D$1001, 2, FALSE), "")</f>
        <v>Overseas moon phase retrograde date</v>
      </c>
      <c r="F303" s="21" t="str">
        <f>IFERROR(VLOOKUP(TRIM(D303), Collection!$B$2:$D$1001, 3, FALSE), "")</f>
        <v>166,000 AED</v>
      </c>
      <c r="G303" s="21">
        <f t="shared" si="8"/>
        <v>166000</v>
      </c>
      <c r="H303" s="18" t="s">
        <v>58</v>
      </c>
      <c r="I303" s="18">
        <v>92404764</v>
      </c>
      <c r="J303" s="18" t="s">
        <v>59</v>
      </c>
      <c r="K303" s="18" t="s">
        <v>70</v>
      </c>
      <c r="L303" s="18" t="s">
        <v>1119</v>
      </c>
      <c r="M303" s="18" t="b">
        <f t="shared" si="9"/>
        <v>0</v>
      </c>
    </row>
    <row r="304" spans="1:13" ht="62.4" x14ac:dyDescent="0.3">
      <c r="A304" s="18" t="s">
        <v>55</v>
      </c>
      <c r="B304" s="18" t="s">
        <v>980</v>
      </c>
      <c r="C304" s="18" t="s">
        <v>617</v>
      </c>
      <c r="D304" s="18" t="s">
        <v>35</v>
      </c>
      <c r="E304" s="18" t="str">
        <f>IFERROR(VLOOKUP(TRIM(D304), Collection!$B$2:$D$1001, 2, FALSE), "")</f>
        <v>Overseas self-winding</v>
      </c>
      <c r="F304" s="21" t="str">
        <f>IFERROR(VLOOKUP(TRIM(D304), Collection!$B$2:$D$1001, 3, FALSE), "")</f>
        <v>94,500 AED</v>
      </c>
      <c r="G304" s="21">
        <f t="shared" si="8"/>
        <v>94500</v>
      </c>
      <c r="H304" s="18" t="s">
        <v>58</v>
      </c>
      <c r="I304" s="18">
        <v>101623615</v>
      </c>
      <c r="J304" s="18" t="s">
        <v>59</v>
      </c>
      <c r="K304" s="18" t="s">
        <v>67</v>
      </c>
      <c r="L304" s="18" t="s">
        <v>1120</v>
      </c>
      <c r="M304" s="18" t="b">
        <f t="shared" si="9"/>
        <v>0</v>
      </c>
    </row>
    <row r="305" spans="1:13" ht="93.6" x14ac:dyDescent="0.3">
      <c r="A305" s="18" t="s">
        <v>55</v>
      </c>
      <c r="B305" s="18" t="s">
        <v>980</v>
      </c>
      <c r="C305" s="18" t="s">
        <v>619</v>
      </c>
      <c r="D305" s="18" t="s">
        <v>14</v>
      </c>
      <c r="E305" s="18" t="str">
        <f>IFERROR(VLOOKUP(TRIM(D305), Collection!$B$2:$D$1001, 2, FALSE), "")</f>
        <v>Overseas quartz</v>
      </c>
      <c r="F305" s="21" t="str">
        <f>IFERROR(VLOOKUP(TRIM(D305), Collection!$B$2:$D$1001, 3, FALSE), "")</f>
        <v>62,500 AED</v>
      </c>
      <c r="G305" s="21">
        <f t="shared" si="8"/>
        <v>62500</v>
      </c>
      <c r="H305" s="18" t="s">
        <v>58</v>
      </c>
      <c r="I305" s="18">
        <v>102502922</v>
      </c>
      <c r="J305" s="18" t="s">
        <v>59</v>
      </c>
      <c r="K305" s="18" t="s">
        <v>60</v>
      </c>
      <c r="L305" s="18" t="s">
        <v>1121</v>
      </c>
      <c r="M305" s="18" t="b">
        <f t="shared" si="9"/>
        <v>0</v>
      </c>
    </row>
    <row r="306" spans="1:13" ht="109.2" x14ac:dyDescent="0.3">
      <c r="A306" s="18" t="s">
        <v>55</v>
      </c>
      <c r="B306" s="18" t="s">
        <v>980</v>
      </c>
      <c r="C306" s="18" t="s">
        <v>619</v>
      </c>
      <c r="D306" s="18" t="s">
        <v>22</v>
      </c>
      <c r="E306" s="18" t="str">
        <f>IFERROR(VLOOKUP(TRIM(D306), Collection!$B$2:$D$1001, 2, FALSE), "")</f>
        <v>Overseas dual time Blue</v>
      </c>
      <c r="F306" s="21" t="str">
        <f>IFERROR(VLOOKUP(TRIM(D306), Collection!$B$2:$D$1001, 3, FALSE), "")</f>
        <v>117,000 AED</v>
      </c>
      <c r="G306" s="21">
        <f t="shared" si="8"/>
        <v>117000</v>
      </c>
      <c r="H306" s="18" t="s">
        <v>58</v>
      </c>
      <c r="I306" s="18">
        <v>101472623</v>
      </c>
      <c r="J306" s="18" t="s">
        <v>59</v>
      </c>
      <c r="K306" s="18" t="s">
        <v>60</v>
      </c>
      <c r="L306" s="18" t="s">
        <v>1122</v>
      </c>
      <c r="M306" s="18" t="b">
        <f t="shared" si="9"/>
        <v>0</v>
      </c>
    </row>
    <row r="307" spans="1:13" ht="124.8" x14ac:dyDescent="0.3">
      <c r="A307" s="18" t="s">
        <v>55</v>
      </c>
      <c r="B307" s="18" t="s">
        <v>980</v>
      </c>
      <c r="C307" s="18" t="s">
        <v>619</v>
      </c>
      <c r="D307" s="18" t="s">
        <v>35</v>
      </c>
      <c r="E307" s="18" t="str">
        <f>IFERROR(VLOOKUP(TRIM(D307), Collection!$B$2:$D$1001, 2, FALSE), "")</f>
        <v>Overseas self-winding</v>
      </c>
      <c r="F307" s="21" t="str">
        <f>IFERROR(VLOOKUP(TRIM(D307), Collection!$B$2:$D$1001, 3, FALSE), "")</f>
        <v>94,500 AED</v>
      </c>
      <c r="G307" s="21">
        <f t="shared" si="8"/>
        <v>94500</v>
      </c>
      <c r="H307" s="18" t="s">
        <v>58</v>
      </c>
      <c r="I307" s="18">
        <v>102494314</v>
      </c>
      <c r="J307" s="18" t="s">
        <v>114</v>
      </c>
      <c r="K307" s="18" t="s">
        <v>67</v>
      </c>
      <c r="L307" s="18" t="s">
        <v>1123</v>
      </c>
      <c r="M307" s="18" t="b">
        <f t="shared" si="9"/>
        <v>0</v>
      </c>
    </row>
    <row r="308" spans="1:13" ht="93.6" x14ac:dyDescent="0.3">
      <c r="A308" s="18" t="s">
        <v>55</v>
      </c>
      <c r="B308" s="18" t="s">
        <v>564</v>
      </c>
      <c r="C308" s="18" t="s">
        <v>619</v>
      </c>
      <c r="D308" s="18" t="s">
        <v>22</v>
      </c>
      <c r="E308" s="18" t="str">
        <f>IFERROR(VLOOKUP(TRIM(D308), Collection!$B$2:$D$1001, 2, FALSE), "")</f>
        <v>Overseas dual time Blue</v>
      </c>
      <c r="F308" s="21" t="str">
        <f>IFERROR(VLOOKUP(TRIM(D308), Collection!$B$2:$D$1001, 3, FALSE), "")</f>
        <v>117,000 AED</v>
      </c>
      <c r="G308" s="21">
        <f t="shared" si="8"/>
        <v>117000</v>
      </c>
      <c r="H308" s="18" t="s">
        <v>58</v>
      </c>
      <c r="I308" s="18">
        <v>102505094</v>
      </c>
      <c r="J308" s="18" t="s">
        <v>59</v>
      </c>
      <c r="K308" s="18" t="s">
        <v>60</v>
      </c>
      <c r="L308" s="18" t="s">
        <v>1124</v>
      </c>
      <c r="M308" s="18" t="b">
        <f t="shared" si="9"/>
        <v>0</v>
      </c>
    </row>
    <row r="309" spans="1:13" ht="31.2" x14ac:dyDescent="0.3">
      <c r="A309" s="18" t="s">
        <v>55</v>
      </c>
      <c r="B309" s="18" t="s">
        <v>980</v>
      </c>
      <c r="C309" s="18" t="s">
        <v>627</v>
      </c>
      <c r="D309" s="18" t="s">
        <v>35</v>
      </c>
      <c r="E309" s="18" t="str">
        <f>IFERROR(VLOOKUP(TRIM(D309), Collection!$B$2:$D$1001, 2, FALSE), "")</f>
        <v>Overseas self-winding</v>
      </c>
      <c r="F309" s="21" t="str">
        <f>IFERROR(VLOOKUP(TRIM(D309), Collection!$B$2:$D$1001, 3, FALSE), "")</f>
        <v>94,500 AED</v>
      </c>
      <c r="G309" s="21">
        <f t="shared" si="8"/>
        <v>94500</v>
      </c>
      <c r="H309" s="18" t="s">
        <v>58</v>
      </c>
      <c r="I309" s="18">
        <v>102442135</v>
      </c>
      <c r="J309" s="18" t="s">
        <v>59</v>
      </c>
      <c r="K309" s="18" t="s">
        <v>67</v>
      </c>
      <c r="L309" s="18"/>
      <c r="M309" s="18" t="b">
        <f t="shared" si="9"/>
        <v>0</v>
      </c>
    </row>
    <row r="310" spans="1:13" ht="31.2" x14ac:dyDescent="0.3">
      <c r="A310" s="18" t="s">
        <v>130</v>
      </c>
      <c r="B310" s="18" t="s">
        <v>130</v>
      </c>
      <c r="C310" s="18" t="s">
        <v>627</v>
      </c>
      <c r="D310" s="18" t="s">
        <v>499</v>
      </c>
      <c r="E310" s="18" t="str">
        <f>IFERROR(VLOOKUP(TRIM(D310), Collection!$B$2:$D$1001, 2, FALSE), "")</f>
        <v>Overseas self-winding</v>
      </c>
      <c r="F310" s="21" t="str">
        <f>IFERROR(VLOOKUP(TRIM(D310), Collection!$B$2:$D$1001, 3, FALSE), "")</f>
        <v>94,500 AED</v>
      </c>
      <c r="G310" s="21">
        <f t="shared" si="8"/>
        <v>94500</v>
      </c>
      <c r="H310" s="18" t="s">
        <v>58</v>
      </c>
      <c r="I310" s="18">
        <v>102442135</v>
      </c>
      <c r="J310" s="18" t="s">
        <v>59</v>
      </c>
      <c r="K310" s="18" t="s">
        <v>67</v>
      </c>
      <c r="L310" s="18" t="s">
        <v>980</v>
      </c>
      <c r="M310" s="18" t="b">
        <f t="shared" si="9"/>
        <v>0</v>
      </c>
    </row>
    <row r="311" spans="1:13" ht="62.4" x14ac:dyDescent="0.3">
      <c r="A311" s="18" t="s">
        <v>55</v>
      </c>
      <c r="B311" s="18" t="s">
        <v>98</v>
      </c>
      <c r="C311" s="18" t="s">
        <v>628</v>
      </c>
      <c r="D311" s="18" t="s">
        <v>629</v>
      </c>
      <c r="E311" s="18" t="str">
        <f>IFERROR(VLOOKUP(TRIM(D311), Collection!$B$2:$D$1001, 2, FALSE), "")</f>
        <v>Overseas self-winding</v>
      </c>
      <c r="F311" s="21" t="str">
        <f>IFERROR(VLOOKUP(TRIM(D311), Collection!$B$2:$D$1001, 3, FALSE), "")</f>
        <v>87,500 AED</v>
      </c>
      <c r="G311" s="21">
        <f t="shared" si="8"/>
        <v>87500</v>
      </c>
      <c r="H311" s="18" t="s">
        <v>58</v>
      </c>
      <c r="I311" s="18">
        <v>102424724</v>
      </c>
      <c r="J311" s="18" t="s">
        <v>59</v>
      </c>
      <c r="K311" s="18" t="s">
        <v>60</v>
      </c>
      <c r="L311" s="18" t="s">
        <v>1125</v>
      </c>
      <c r="M311" s="18" t="b">
        <f t="shared" si="9"/>
        <v>0</v>
      </c>
    </row>
    <row r="312" spans="1:13" ht="46.8" x14ac:dyDescent="0.3">
      <c r="A312" s="18" t="s">
        <v>55</v>
      </c>
      <c r="B312" s="18" t="s">
        <v>95</v>
      </c>
      <c r="C312" s="18" t="s">
        <v>632</v>
      </c>
      <c r="D312" s="18" t="s">
        <v>35</v>
      </c>
      <c r="E312" s="18" t="str">
        <f>IFERROR(VLOOKUP(TRIM(D312), Collection!$B$2:$D$1001, 2, FALSE), "")</f>
        <v>Overseas self-winding</v>
      </c>
      <c r="F312" s="21" t="str">
        <f>IFERROR(VLOOKUP(TRIM(D312), Collection!$B$2:$D$1001, 3, FALSE), "")</f>
        <v>94,500 AED</v>
      </c>
      <c r="G312" s="21">
        <f t="shared" si="8"/>
        <v>94500</v>
      </c>
      <c r="H312" s="18" t="s">
        <v>58</v>
      </c>
      <c r="I312" s="18">
        <v>98700258</v>
      </c>
      <c r="J312" s="18" t="s">
        <v>59</v>
      </c>
      <c r="K312" s="18" t="s">
        <v>60</v>
      </c>
      <c r="L312" s="18" t="s">
        <v>1126</v>
      </c>
      <c r="M312" s="18" t="b">
        <f t="shared" si="9"/>
        <v>0</v>
      </c>
    </row>
    <row r="313" spans="1:13" ht="109.2" x14ac:dyDescent="0.3">
      <c r="A313" s="18" t="s">
        <v>55</v>
      </c>
      <c r="B313" s="18" t="s">
        <v>98</v>
      </c>
      <c r="C313" s="18" t="s">
        <v>632</v>
      </c>
      <c r="D313" s="18" t="s">
        <v>635</v>
      </c>
      <c r="E313" s="18" t="str">
        <f>IFERROR(VLOOKUP(TRIM(D313), Collection!$B$2:$D$1001, 2, FALSE), "")</f>
        <v>Overseas tourbillon</v>
      </c>
      <c r="F313" s="21" t="str">
        <f>IFERROR(VLOOKUP(TRIM(D313), Collection!$B$2:$D$1001, 3, FALSE), "")</f>
        <v>515,000 AED</v>
      </c>
      <c r="G313" s="21">
        <f t="shared" si="8"/>
        <v>515000</v>
      </c>
      <c r="H313" s="18" t="s">
        <v>58</v>
      </c>
      <c r="I313" s="18">
        <v>98700258</v>
      </c>
      <c r="J313" s="18" t="s">
        <v>59</v>
      </c>
      <c r="K313" s="18" t="s">
        <v>60</v>
      </c>
      <c r="L313" s="18" t="s">
        <v>1127</v>
      </c>
      <c r="M313" s="18" t="b">
        <f t="shared" si="9"/>
        <v>0</v>
      </c>
    </row>
    <row r="314" spans="1:13" ht="234" x14ac:dyDescent="0.3">
      <c r="A314" s="18" t="s">
        <v>55</v>
      </c>
      <c r="B314" s="18" t="s">
        <v>980</v>
      </c>
      <c r="C314" s="18" t="s">
        <v>637</v>
      </c>
      <c r="D314" s="18" t="s">
        <v>35</v>
      </c>
      <c r="E314" s="18" t="str">
        <f>IFERROR(VLOOKUP(TRIM(D314), Collection!$B$2:$D$1001, 2, FALSE), "")</f>
        <v>Overseas self-winding</v>
      </c>
      <c r="F314" s="21" t="str">
        <f>IFERROR(VLOOKUP(TRIM(D314), Collection!$B$2:$D$1001, 3, FALSE), "")</f>
        <v>94,500 AED</v>
      </c>
      <c r="G314" s="21">
        <f t="shared" si="8"/>
        <v>94500</v>
      </c>
      <c r="H314" s="18" t="s">
        <v>58</v>
      </c>
      <c r="I314" s="18">
        <v>102395824</v>
      </c>
      <c r="J314" s="18" t="s">
        <v>59</v>
      </c>
      <c r="K314" s="18" t="s">
        <v>60</v>
      </c>
      <c r="L314" s="18" t="s">
        <v>1128</v>
      </c>
      <c r="M314" s="18" t="b">
        <f t="shared" si="9"/>
        <v>0</v>
      </c>
    </row>
    <row r="315" spans="1:13" ht="109.2" x14ac:dyDescent="0.3">
      <c r="A315" s="18" t="s">
        <v>130</v>
      </c>
      <c r="B315" s="18" t="s">
        <v>130</v>
      </c>
      <c r="C315" s="19">
        <v>45637</v>
      </c>
      <c r="D315" s="18" t="s">
        <v>39</v>
      </c>
      <c r="E315" s="18" t="str">
        <f>IFERROR(VLOOKUP(TRIM(D315), Collection!$B$2:$D$1001, 2, FALSE), "")</f>
        <v>Overseas dual time Green</v>
      </c>
      <c r="F315" s="21" t="str">
        <f>IFERROR(VLOOKUP(TRIM(D315), Collection!$B$2:$D$1001, 3, FALSE), "")</f>
        <v>286,000 AED</v>
      </c>
      <c r="G315" s="21">
        <f t="shared" si="8"/>
        <v>286000</v>
      </c>
      <c r="H315" s="18" t="s">
        <v>58</v>
      </c>
      <c r="I315" s="18">
        <v>102381381</v>
      </c>
      <c r="J315" s="18" t="s">
        <v>59</v>
      </c>
      <c r="K315" s="18" t="s">
        <v>67</v>
      </c>
      <c r="L315" s="18" t="s">
        <v>1129</v>
      </c>
      <c r="M315" s="18" t="b">
        <f t="shared" si="9"/>
        <v>0</v>
      </c>
    </row>
    <row r="316" spans="1:13" ht="31.2" x14ac:dyDescent="0.3">
      <c r="A316" s="18" t="s">
        <v>130</v>
      </c>
      <c r="B316" s="18" t="s">
        <v>130</v>
      </c>
      <c r="C316" s="19">
        <v>45546</v>
      </c>
      <c r="D316" s="18" t="s">
        <v>22</v>
      </c>
      <c r="E316" s="18" t="str">
        <f>IFERROR(VLOOKUP(TRIM(D316), Collection!$B$2:$D$1001, 2, FALSE), "")</f>
        <v>Overseas dual time Blue</v>
      </c>
      <c r="F316" s="21" t="str">
        <f>IFERROR(VLOOKUP(TRIM(D316), Collection!$B$2:$D$1001, 3, FALSE), "")</f>
        <v>117,000 AED</v>
      </c>
      <c r="G316" s="21">
        <f t="shared" si="8"/>
        <v>117000</v>
      </c>
      <c r="H316" s="18" t="s">
        <v>58</v>
      </c>
      <c r="I316" s="18">
        <v>92403624</v>
      </c>
      <c r="J316" s="18" t="s">
        <v>59</v>
      </c>
      <c r="K316" s="18" t="s">
        <v>67</v>
      </c>
      <c r="L316" s="18" t="s">
        <v>980</v>
      </c>
      <c r="M316" s="18" t="b">
        <f t="shared" si="9"/>
        <v>0</v>
      </c>
    </row>
    <row r="317" spans="1:13" ht="31.2" x14ac:dyDescent="0.3">
      <c r="A317" s="18" t="s">
        <v>130</v>
      </c>
      <c r="B317" s="18" t="s">
        <v>130</v>
      </c>
      <c r="C317" s="19">
        <v>45484</v>
      </c>
      <c r="D317" s="18" t="s">
        <v>41</v>
      </c>
      <c r="E317" s="18" t="str">
        <f>IFERROR(VLOOKUP(TRIM(D317), Collection!$B$2:$D$1001, 2, FALSE), "")</f>
        <v>Overseas dual time Black</v>
      </c>
      <c r="F317" s="21" t="str">
        <f>IFERROR(VLOOKUP(TRIM(D317), Collection!$B$2:$D$1001, 3, FALSE), "")</f>
        <v>117,000 AED</v>
      </c>
      <c r="G317" s="21">
        <f t="shared" si="8"/>
        <v>117000</v>
      </c>
      <c r="H317" s="18" t="s">
        <v>58</v>
      </c>
      <c r="I317" s="18">
        <v>101641502</v>
      </c>
      <c r="J317" s="18" t="s">
        <v>59</v>
      </c>
      <c r="K317" s="18" t="s">
        <v>67</v>
      </c>
      <c r="L317" s="18" t="s">
        <v>980</v>
      </c>
      <c r="M317" s="18" t="b">
        <f t="shared" si="9"/>
        <v>0</v>
      </c>
    </row>
    <row r="318" spans="1:13" ht="31.2" x14ac:dyDescent="0.3">
      <c r="A318" s="18" t="s">
        <v>130</v>
      </c>
      <c r="B318" s="18" t="s">
        <v>130</v>
      </c>
      <c r="C318" s="19">
        <v>45454</v>
      </c>
      <c r="D318" s="18" t="s">
        <v>22</v>
      </c>
      <c r="E318" s="18" t="str">
        <f>IFERROR(VLOOKUP(TRIM(D318), Collection!$B$2:$D$1001, 2, FALSE), "")</f>
        <v>Overseas dual time Blue</v>
      </c>
      <c r="F318" s="21" t="str">
        <f>IFERROR(VLOOKUP(TRIM(D318), Collection!$B$2:$D$1001, 3, FALSE), "")</f>
        <v>117,000 AED</v>
      </c>
      <c r="G318" s="21">
        <f t="shared" si="8"/>
        <v>117000</v>
      </c>
      <c r="H318" s="18" t="s">
        <v>58</v>
      </c>
      <c r="I318" s="18">
        <v>101987055</v>
      </c>
      <c r="J318" s="18" t="s">
        <v>59</v>
      </c>
      <c r="K318" s="18" t="s">
        <v>67</v>
      </c>
      <c r="L318" s="18" t="s">
        <v>980</v>
      </c>
      <c r="M318" s="18" t="b">
        <f t="shared" si="9"/>
        <v>0</v>
      </c>
    </row>
    <row r="319" spans="1:13" ht="218.4" x14ac:dyDescent="0.3">
      <c r="A319" s="18" t="s">
        <v>55</v>
      </c>
      <c r="B319" s="18" t="s">
        <v>980</v>
      </c>
      <c r="C319" s="19">
        <v>45423</v>
      </c>
      <c r="D319" s="18" t="s">
        <v>22</v>
      </c>
      <c r="E319" s="18" t="str">
        <f>IFERROR(VLOOKUP(TRIM(D319), Collection!$B$2:$D$1001, 2, FALSE), "")</f>
        <v>Overseas dual time Blue</v>
      </c>
      <c r="F319" s="21" t="str">
        <f>IFERROR(VLOOKUP(TRIM(D319), Collection!$B$2:$D$1001, 3, FALSE), "")</f>
        <v>117,000 AED</v>
      </c>
      <c r="G319" s="21">
        <f t="shared" si="8"/>
        <v>117000</v>
      </c>
      <c r="H319" s="18" t="s">
        <v>58</v>
      </c>
      <c r="I319" s="18">
        <v>98635975</v>
      </c>
      <c r="J319" s="18" t="s">
        <v>462</v>
      </c>
      <c r="K319" s="18" t="s">
        <v>60</v>
      </c>
      <c r="L319" s="18" t="s">
        <v>1130</v>
      </c>
      <c r="M319" s="18" t="b">
        <f t="shared" si="9"/>
        <v>0</v>
      </c>
    </row>
    <row r="320" spans="1:13" ht="62.4" x14ac:dyDescent="0.3">
      <c r="A320" s="18" t="s">
        <v>130</v>
      </c>
      <c r="B320" s="18" t="s">
        <v>130</v>
      </c>
      <c r="C320" s="19">
        <v>45423</v>
      </c>
      <c r="D320" s="18" t="s">
        <v>22</v>
      </c>
      <c r="E320" s="18" t="str">
        <f>IFERROR(VLOOKUP(TRIM(D320), Collection!$B$2:$D$1001, 2, FALSE), "")</f>
        <v>Overseas dual time Blue</v>
      </c>
      <c r="F320" s="21" t="str">
        <f>IFERROR(VLOOKUP(TRIM(D320), Collection!$B$2:$D$1001, 3, FALSE), "")</f>
        <v>117,000 AED</v>
      </c>
      <c r="G320" s="21">
        <f t="shared" si="8"/>
        <v>117000</v>
      </c>
      <c r="H320" s="18" t="s">
        <v>58</v>
      </c>
      <c r="I320" s="18">
        <v>92401119</v>
      </c>
      <c r="J320" s="18" t="s">
        <v>59</v>
      </c>
      <c r="K320" s="18" t="s">
        <v>70</v>
      </c>
      <c r="L320" s="18" t="s">
        <v>1131</v>
      </c>
      <c r="M320" s="18" t="b">
        <f t="shared" si="9"/>
        <v>0</v>
      </c>
    </row>
    <row r="321" spans="1:13" ht="46.8" x14ac:dyDescent="0.3">
      <c r="A321" s="18" t="s">
        <v>130</v>
      </c>
      <c r="B321" s="18" t="s">
        <v>130</v>
      </c>
      <c r="C321" s="19">
        <v>45423</v>
      </c>
      <c r="D321" s="18" t="s">
        <v>41</v>
      </c>
      <c r="E321" s="18" t="str">
        <f>IFERROR(VLOOKUP(TRIM(D321), Collection!$B$2:$D$1001, 2, FALSE), "")</f>
        <v>Overseas dual time Black</v>
      </c>
      <c r="F321" s="21" t="str">
        <f>IFERROR(VLOOKUP(TRIM(D321), Collection!$B$2:$D$1001, 3, FALSE), "")</f>
        <v>117,000 AED</v>
      </c>
      <c r="G321" s="21">
        <f t="shared" si="8"/>
        <v>117000</v>
      </c>
      <c r="H321" s="18" t="s">
        <v>58</v>
      </c>
      <c r="I321" s="18">
        <v>102281183</v>
      </c>
      <c r="J321" s="18" t="s">
        <v>59</v>
      </c>
      <c r="K321" s="18" t="s">
        <v>70</v>
      </c>
      <c r="L321" s="18" t="s">
        <v>1132</v>
      </c>
      <c r="M321" s="18" t="b">
        <f t="shared" si="9"/>
        <v>0</v>
      </c>
    </row>
    <row r="322" spans="1:13" ht="62.4" x14ac:dyDescent="0.3">
      <c r="A322" s="18" t="s">
        <v>55</v>
      </c>
      <c r="B322" s="18" t="s">
        <v>980</v>
      </c>
      <c r="C322" s="19">
        <v>45423</v>
      </c>
      <c r="D322" s="18" t="s">
        <v>75</v>
      </c>
      <c r="E322" s="18" t="str">
        <f>IFERROR(VLOOKUP(TRIM(D322), Collection!$B$2:$D$1001, 2, FALSE), "")</f>
        <v>Overseas self-winding</v>
      </c>
      <c r="F322" s="21" t="str">
        <f>IFERROR(VLOOKUP(TRIM(D322), Collection!$B$2:$D$1001, 3, FALSE), "")</f>
        <v>94,500 AED</v>
      </c>
      <c r="G322" s="21">
        <f t="shared" ref="G322:G385" si="10">IFERROR(VALUE(SUBSTITUTE(SUBSTITUTE(F322, "Price", ""), "AED", "")), "")</f>
        <v>94500</v>
      </c>
      <c r="H322" s="18" t="s">
        <v>58</v>
      </c>
      <c r="I322" s="18">
        <v>98711501</v>
      </c>
      <c r="J322" s="18" t="s">
        <v>59</v>
      </c>
      <c r="K322" s="18" t="s">
        <v>60</v>
      </c>
      <c r="L322" s="18" t="s">
        <v>1133</v>
      </c>
      <c r="M322" s="18" t="b">
        <f t="shared" ref="M322:M385" si="11">IF(COUNTIF($R$3:$R$100, D322) &gt; 0, TRUE, FALSE)</f>
        <v>0</v>
      </c>
    </row>
    <row r="323" spans="1:13" ht="62.4" x14ac:dyDescent="0.3">
      <c r="A323" s="18" t="s">
        <v>55</v>
      </c>
      <c r="B323" s="18" t="s">
        <v>980</v>
      </c>
      <c r="C323" s="19">
        <v>45333</v>
      </c>
      <c r="D323" s="18" t="s">
        <v>35</v>
      </c>
      <c r="E323" s="18" t="str">
        <f>IFERROR(VLOOKUP(TRIM(D323), Collection!$B$2:$D$1001, 2, FALSE), "")</f>
        <v>Overseas self-winding</v>
      </c>
      <c r="F323" s="21" t="str">
        <f>IFERROR(VLOOKUP(TRIM(D323), Collection!$B$2:$D$1001, 3, FALSE), "")</f>
        <v>94,500 AED</v>
      </c>
      <c r="G323" s="21">
        <f t="shared" si="10"/>
        <v>94500</v>
      </c>
      <c r="H323" s="18" t="s">
        <v>58</v>
      </c>
      <c r="I323" s="18">
        <v>102232596</v>
      </c>
      <c r="J323" s="18" t="s">
        <v>59</v>
      </c>
      <c r="K323" s="18" t="s">
        <v>60</v>
      </c>
      <c r="L323" s="18" t="s">
        <v>1134</v>
      </c>
      <c r="M323" s="18" t="b">
        <f t="shared" si="11"/>
        <v>0</v>
      </c>
    </row>
    <row r="324" spans="1:13" ht="46.8" x14ac:dyDescent="0.3">
      <c r="A324" s="18" t="s">
        <v>55</v>
      </c>
      <c r="B324" s="18" t="s">
        <v>980</v>
      </c>
      <c r="C324" s="19">
        <v>45333</v>
      </c>
      <c r="D324" s="18" t="s">
        <v>22</v>
      </c>
      <c r="E324" s="18" t="str">
        <f>IFERROR(VLOOKUP(TRIM(D324), Collection!$B$2:$D$1001, 2, FALSE), "")</f>
        <v>Overseas dual time Blue</v>
      </c>
      <c r="F324" s="21" t="str">
        <f>IFERROR(VLOOKUP(TRIM(D324), Collection!$B$2:$D$1001, 3, FALSE), "")</f>
        <v>117,000 AED</v>
      </c>
      <c r="G324" s="21">
        <f t="shared" si="10"/>
        <v>117000</v>
      </c>
      <c r="H324" s="18" t="s">
        <v>58</v>
      </c>
      <c r="I324" s="18">
        <v>102220776</v>
      </c>
      <c r="J324" s="18" t="s">
        <v>59</v>
      </c>
      <c r="K324" s="18" t="s">
        <v>60</v>
      </c>
      <c r="L324" s="18" t="s">
        <v>1135</v>
      </c>
      <c r="M324" s="18" t="b">
        <f t="shared" si="11"/>
        <v>0</v>
      </c>
    </row>
    <row r="325" spans="1:13" ht="62.4" x14ac:dyDescent="0.3">
      <c r="A325" s="18" t="s">
        <v>130</v>
      </c>
      <c r="B325" s="18" t="s">
        <v>130</v>
      </c>
      <c r="C325" s="18" t="s">
        <v>663</v>
      </c>
      <c r="D325" s="18" t="s">
        <v>35</v>
      </c>
      <c r="E325" s="18" t="str">
        <f>IFERROR(VLOOKUP(TRIM(D325), Collection!$B$2:$D$1001, 2, FALSE), "")</f>
        <v>Overseas self-winding</v>
      </c>
      <c r="F325" s="21" t="str">
        <f>IFERROR(VLOOKUP(TRIM(D325), Collection!$B$2:$D$1001, 3, FALSE), "")</f>
        <v>94,500 AED</v>
      </c>
      <c r="G325" s="21">
        <f t="shared" si="10"/>
        <v>94500</v>
      </c>
      <c r="H325" s="18" t="s">
        <v>58</v>
      </c>
      <c r="I325" s="18">
        <v>102176002</v>
      </c>
      <c r="J325" s="18" t="s">
        <v>59</v>
      </c>
      <c r="K325" s="18" t="s">
        <v>60</v>
      </c>
      <c r="L325" s="18" t="s">
        <v>1136</v>
      </c>
      <c r="M325" s="18" t="b">
        <f t="shared" si="11"/>
        <v>0</v>
      </c>
    </row>
    <row r="326" spans="1:13" ht="31.2" x14ac:dyDescent="0.3">
      <c r="A326" s="18" t="s">
        <v>130</v>
      </c>
      <c r="B326" s="18" t="s">
        <v>130</v>
      </c>
      <c r="C326" s="18" t="s">
        <v>666</v>
      </c>
      <c r="D326" s="18" t="s">
        <v>107</v>
      </c>
      <c r="E326" s="18" t="str">
        <f>IFERROR(VLOOKUP(TRIM(D326), Collection!$B$2:$D$1001, 2, FALSE), "")</f>
        <v>Overseas chronograph</v>
      </c>
      <c r="F326" s="21" t="str">
        <f>IFERROR(VLOOKUP(TRIM(D326), Collection!$B$2:$D$1001, 3, FALSE), "")</f>
        <v>135,000 AED</v>
      </c>
      <c r="G326" s="21">
        <f t="shared" si="10"/>
        <v>135000</v>
      </c>
      <c r="H326" s="18" t="s">
        <v>58</v>
      </c>
      <c r="I326" s="18">
        <v>102193096</v>
      </c>
      <c r="J326" s="18" t="s">
        <v>59</v>
      </c>
      <c r="K326" s="18" t="s">
        <v>67</v>
      </c>
      <c r="L326" s="18" t="s">
        <v>980</v>
      </c>
      <c r="M326" s="18" t="b">
        <f t="shared" si="11"/>
        <v>0</v>
      </c>
    </row>
    <row r="327" spans="1:13" ht="31.2" x14ac:dyDescent="0.3">
      <c r="A327" s="18" t="s">
        <v>55</v>
      </c>
      <c r="B327" s="18" t="s">
        <v>980</v>
      </c>
      <c r="C327" s="18" t="s">
        <v>666</v>
      </c>
      <c r="D327" s="18" t="s">
        <v>22</v>
      </c>
      <c r="E327" s="18" t="str">
        <f>IFERROR(VLOOKUP(TRIM(D327), Collection!$B$2:$D$1001, 2, FALSE), "")</f>
        <v>Overseas dual time Blue</v>
      </c>
      <c r="F327" s="21" t="str">
        <f>IFERROR(VLOOKUP(TRIM(D327), Collection!$B$2:$D$1001, 3, FALSE), "")</f>
        <v>117,000 AED</v>
      </c>
      <c r="G327" s="21">
        <f t="shared" si="10"/>
        <v>117000</v>
      </c>
      <c r="H327" s="18" t="s">
        <v>58</v>
      </c>
      <c r="I327" s="18">
        <v>102193096</v>
      </c>
      <c r="J327" s="18" t="s">
        <v>59</v>
      </c>
      <c r="K327" s="18" t="s">
        <v>67</v>
      </c>
      <c r="L327" s="18" t="s">
        <v>980</v>
      </c>
      <c r="M327" s="18" t="b">
        <f t="shared" si="11"/>
        <v>0</v>
      </c>
    </row>
    <row r="328" spans="1:13" ht="31.2" x14ac:dyDescent="0.3">
      <c r="A328" s="18" t="s">
        <v>55</v>
      </c>
      <c r="B328" s="18" t="s">
        <v>980</v>
      </c>
      <c r="C328" s="18" t="s">
        <v>666</v>
      </c>
      <c r="D328" s="18" t="s">
        <v>35</v>
      </c>
      <c r="E328" s="18" t="str">
        <f>IFERROR(VLOOKUP(TRIM(D328), Collection!$B$2:$D$1001, 2, FALSE), "")</f>
        <v>Overseas self-winding</v>
      </c>
      <c r="F328" s="21" t="str">
        <f>IFERROR(VLOOKUP(TRIM(D328), Collection!$B$2:$D$1001, 3, FALSE), "")</f>
        <v>94,500 AED</v>
      </c>
      <c r="G328" s="21">
        <f t="shared" si="10"/>
        <v>94500</v>
      </c>
      <c r="H328" s="18" t="s">
        <v>58</v>
      </c>
      <c r="I328" s="18">
        <v>102176002</v>
      </c>
      <c r="J328" s="18" t="s">
        <v>59</v>
      </c>
      <c r="K328" s="18" t="s">
        <v>60</v>
      </c>
      <c r="L328" s="18" t="s">
        <v>980</v>
      </c>
      <c r="M328" s="18" t="b">
        <f t="shared" si="11"/>
        <v>0</v>
      </c>
    </row>
    <row r="329" spans="1:13" ht="62.4" x14ac:dyDescent="0.3">
      <c r="A329" s="18" t="s">
        <v>130</v>
      </c>
      <c r="B329" s="18" t="s">
        <v>130</v>
      </c>
      <c r="C329" s="18" t="s">
        <v>666</v>
      </c>
      <c r="D329" s="18" t="s">
        <v>668</v>
      </c>
      <c r="E329" s="18" t="str">
        <f>IFERROR(VLOOKUP(TRIM(D329), Collection!$B$2:$D$1001, 2, FALSE), "")</f>
        <v>Overseas tourbillon</v>
      </c>
      <c r="F329" s="21" t="str">
        <f>IFERROR(VLOOKUP(TRIM(D329), Collection!$B$2:$D$1001, 3, FALSE), "")</f>
        <v>580,000 AED</v>
      </c>
      <c r="G329" s="21">
        <f t="shared" si="10"/>
        <v>580000</v>
      </c>
      <c r="H329" s="18" t="s">
        <v>58</v>
      </c>
      <c r="I329" s="18">
        <v>102113813</v>
      </c>
      <c r="J329" s="18" t="s">
        <v>59</v>
      </c>
      <c r="K329" s="18" t="s">
        <v>60</v>
      </c>
      <c r="L329" s="18" t="s">
        <v>1137</v>
      </c>
      <c r="M329" s="18" t="b">
        <f t="shared" si="11"/>
        <v>0</v>
      </c>
    </row>
    <row r="330" spans="1:13" ht="93.6" x14ac:dyDescent="0.3">
      <c r="A330" s="18" t="s">
        <v>55</v>
      </c>
      <c r="B330" s="18" t="s">
        <v>980</v>
      </c>
      <c r="C330" s="18" t="s">
        <v>671</v>
      </c>
      <c r="D330" s="18" t="s">
        <v>35</v>
      </c>
      <c r="E330" s="18" t="str">
        <f>IFERROR(VLOOKUP(TRIM(D330), Collection!$B$2:$D$1001, 2, FALSE), "")</f>
        <v>Overseas self-winding</v>
      </c>
      <c r="F330" s="21" t="str">
        <f>IFERROR(VLOOKUP(TRIM(D330), Collection!$B$2:$D$1001, 3, FALSE), "")</f>
        <v>94,500 AED</v>
      </c>
      <c r="G330" s="21">
        <f t="shared" si="10"/>
        <v>94500</v>
      </c>
      <c r="H330" s="18" t="s">
        <v>58</v>
      </c>
      <c r="I330" s="18">
        <v>0</v>
      </c>
      <c r="J330" s="18" t="s">
        <v>59</v>
      </c>
      <c r="K330" s="18" t="s">
        <v>60</v>
      </c>
      <c r="L330" s="18" t="s">
        <v>1138</v>
      </c>
      <c r="M330" s="18" t="b">
        <f t="shared" si="11"/>
        <v>0</v>
      </c>
    </row>
    <row r="331" spans="1:13" ht="93.6" x14ac:dyDescent="0.3">
      <c r="A331" s="18" t="s">
        <v>55</v>
      </c>
      <c r="B331" s="18" t="s">
        <v>980</v>
      </c>
      <c r="C331" s="18" t="s">
        <v>674</v>
      </c>
      <c r="D331" s="18" t="s">
        <v>35</v>
      </c>
      <c r="E331" s="18" t="str">
        <f>IFERROR(VLOOKUP(TRIM(D331), Collection!$B$2:$D$1001, 2, FALSE), "")</f>
        <v>Overseas self-winding</v>
      </c>
      <c r="F331" s="21" t="str">
        <f>IFERROR(VLOOKUP(TRIM(D331), Collection!$B$2:$D$1001, 3, FALSE), "")</f>
        <v>94,500 AED</v>
      </c>
      <c r="G331" s="21">
        <f t="shared" si="10"/>
        <v>94500</v>
      </c>
      <c r="H331" s="18" t="s">
        <v>58</v>
      </c>
      <c r="I331" s="18">
        <v>102113813</v>
      </c>
      <c r="J331" s="18" t="s">
        <v>59</v>
      </c>
      <c r="K331" s="18" t="s">
        <v>60</v>
      </c>
      <c r="L331" s="18" t="s">
        <v>1139</v>
      </c>
      <c r="M331" s="18" t="b">
        <f t="shared" si="11"/>
        <v>0</v>
      </c>
    </row>
    <row r="332" spans="1:13" ht="31.2" x14ac:dyDescent="0.3">
      <c r="A332" s="18" t="s">
        <v>130</v>
      </c>
      <c r="B332" s="18" t="s">
        <v>130</v>
      </c>
      <c r="C332" s="18" t="s">
        <v>674</v>
      </c>
      <c r="D332" s="18" t="s">
        <v>499</v>
      </c>
      <c r="E332" s="18" t="str">
        <f>IFERROR(VLOOKUP(TRIM(D332), Collection!$B$2:$D$1001, 2, FALSE), "")</f>
        <v>Overseas self-winding</v>
      </c>
      <c r="F332" s="21" t="str">
        <f>IFERROR(VLOOKUP(TRIM(D332), Collection!$B$2:$D$1001, 3, FALSE), "")</f>
        <v>94,500 AED</v>
      </c>
      <c r="G332" s="21">
        <f t="shared" si="10"/>
        <v>94500</v>
      </c>
      <c r="H332" s="18" t="s">
        <v>58</v>
      </c>
      <c r="I332" s="18">
        <v>101917600</v>
      </c>
      <c r="J332" s="18" t="s">
        <v>59</v>
      </c>
      <c r="K332" s="18" t="s">
        <v>67</v>
      </c>
      <c r="L332" s="18" t="s">
        <v>980</v>
      </c>
      <c r="M332" s="18" t="b">
        <f t="shared" si="11"/>
        <v>0</v>
      </c>
    </row>
    <row r="333" spans="1:13" ht="31.2" x14ac:dyDescent="0.3">
      <c r="A333" s="18" t="s">
        <v>130</v>
      </c>
      <c r="B333" s="18" t="s">
        <v>130</v>
      </c>
      <c r="C333" s="18" t="s">
        <v>676</v>
      </c>
      <c r="D333" s="18" t="s">
        <v>22</v>
      </c>
      <c r="E333" s="18" t="str">
        <f>IFERROR(VLOOKUP(TRIM(D333), Collection!$B$2:$D$1001, 2, FALSE), "")</f>
        <v>Overseas dual time Blue</v>
      </c>
      <c r="F333" s="21" t="str">
        <f>IFERROR(VLOOKUP(TRIM(D333), Collection!$B$2:$D$1001, 3, FALSE), "")</f>
        <v>117,000 AED</v>
      </c>
      <c r="G333" s="21">
        <f t="shared" si="10"/>
        <v>117000</v>
      </c>
      <c r="H333" s="18" t="s">
        <v>58</v>
      </c>
      <c r="I333" s="18">
        <v>101917600</v>
      </c>
      <c r="J333" s="18" t="s">
        <v>59</v>
      </c>
      <c r="K333" s="18" t="s">
        <v>67</v>
      </c>
      <c r="L333" s="18" t="s">
        <v>980</v>
      </c>
      <c r="M333" s="18" t="b">
        <f t="shared" si="11"/>
        <v>0</v>
      </c>
    </row>
    <row r="334" spans="1:13" ht="31.2" x14ac:dyDescent="0.3">
      <c r="A334" s="18" t="s">
        <v>130</v>
      </c>
      <c r="B334" s="18" t="s">
        <v>130</v>
      </c>
      <c r="C334" s="18" t="s">
        <v>676</v>
      </c>
      <c r="D334" s="18" t="s">
        <v>35</v>
      </c>
      <c r="E334" s="18" t="str">
        <f>IFERROR(VLOOKUP(TRIM(D334), Collection!$B$2:$D$1001, 2, FALSE), "")</f>
        <v>Overseas self-winding</v>
      </c>
      <c r="F334" s="21" t="str">
        <f>IFERROR(VLOOKUP(TRIM(D334), Collection!$B$2:$D$1001, 3, FALSE), "")</f>
        <v>94,500 AED</v>
      </c>
      <c r="G334" s="21">
        <f t="shared" si="10"/>
        <v>94500</v>
      </c>
      <c r="H334" s="18" t="s">
        <v>58</v>
      </c>
      <c r="I334" s="18">
        <v>101917600</v>
      </c>
      <c r="J334" s="18" t="s">
        <v>59</v>
      </c>
      <c r="K334" s="18" t="s">
        <v>67</v>
      </c>
      <c r="L334" s="18" t="s">
        <v>980</v>
      </c>
      <c r="M334" s="18" t="b">
        <f t="shared" si="11"/>
        <v>0</v>
      </c>
    </row>
    <row r="335" spans="1:13" ht="31.2" x14ac:dyDescent="0.3">
      <c r="A335" s="18" t="s">
        <v>55</v>
      </c>
      <c r="B335" s="18" t="s">
        <v>980</v>
      </c>
      <c r="C335" s="18" t="s">
        <v>677</v>
      </c>
      <c r="D335" s="18" t="s">
        <v>35</v>
      </c>
      <c r="E335" s="18" t="str">
        <f>IFERROR(VLOOKUP(TRIM(D335), Collection!$B$2:$D$1001, 2, FALSE), "")</f>
        <v>Overseas self-winding</v>
      </c>
      <c r="F335" s="21" t="str">
        <f>IFERROR(VLOOKUP(TRIM(D335), Collection!$B$2:$D$1001, 3, FALSE), "")</f>
        <v>94,500 AED</v>
      </c>
      <c r="G335" s="21">
        <f t="shared" si="10"/>
        <v>94500</v>
      </c>
      <c r="H335" s="18" t="s">
        <v>58</v>
      </c>
      <c r="I335" s="18">
        <v>102076880</v>
      </c>
      <c r="J335" s="18" t="s">
        <v>59</v>
      </c>
      <c r="K335" s="18" t="s">
        <v>67</v>
      </c>
      <c r="L335" s="18" t="s">
        <v>980</v>
      </c>
      <c r="M335" s="18" t="b">
        <f t="shared" si="11"/>
        <v>0</v>
      </c>
    </row>
    <row r="336" spans="1:13" ht="31.2" x14ac:dyDescent="0.3">
      <c r="A336" s="18" t="s">
        <v>25</v>
      </c>
      <c r="B336" s="18" t="s">
        <v>95</v>
      </c>
      <c r="C336" s="18" t="s">
        <v>677</v>
      </c>
      <c r="D336" s="18" t="s">
        <v>552</v>
      </c>
      <c r="E336" s="18" t="str">
        <f>IFERROR(VLOOKUP(TRIM(D336), Collection!$B$2:$D$1001, 2, FALSE), "")</f>
        <v>Overseas chronograph</v>
      </c>
      <c r="F336" s="21" t="str">
        <f>IFERROR(VLOOKUP(TRIM(D336), Collection!$B$2:$D$1001, 3, FALSE), "")</f>
        <v>135,000 AED</v>
      </c>
      <c r="G336" s="21">
        <f t="shared" si="10"/>
        <v>135000</v>
      </c>
      <c r="H336" s="18" t="s">
        <v>58</v>
      </c>
      <c r="I336" s="18">
        <v>102078501</v>
      </c>
      <c r="J336" s="18" t="s">
        <v>59</v>
      </c>
      <c r="K336" s="18" t="s">
        <v>70</v>
      </c>
      <c r="L336" s="18" t="s">
        <v>980</v>
      </c>
      <c r="M336" s="18" t="b">
        <f t="shared" si="11"/>
        <v>0</v>
      </c>
    </row>
    <row r="337" spans="1:13" ht="93.6" x14ac:dyDescent="0.3">
      <c r="A337" s="18" t="s">
        <v>55</v>
      </c>
      <c r="B337" s="18" t="s">
        <v>95</v>
      </c>
      <c r="C337" s="18" t="s">
        <v>680</v>
      </c>
      <c r="D337" s="18" t="s">
        <v>22</v>
      </c>
      <c r="E337" s="18" t="str">
        <f>IFERROR(VLOOKUP(TRIM(D337), Collection!$B$2:$D$1001, 2, FALSE), "")</f>
        <v>Overseas dual time Blue</v>
      </c>
      <c r="F337" s="21" t="str">
        <f>IFERROR(VLOOKUP(TRIM(D337), Collection!$B$2:$D$1001, 3, FALSE), "")</f>
        <v>117,000 AED</v>
      </c>
      <c r="G337" s="21">
        <f t="shared" si="10"/>
        <v>117000</v>
      </c>
      <c r="H337" s="18" t="s">
        <v>58</v>
      </c>
      <c r="I337" s="18">
        <v>98711501</v>
      </c>
      <c r="J337" s="18" t="s">
        <v>59</v>
      </c>
      <c r="K337" s="18" t="s">
        <v>60</v>
      </c>
      <c r="L337" s="18" t="s">
        <v>1140</v>
      </c>
      <c r="M337" s="18" t="b">
        <f t="shared" si="11"/>
        <v>0</v>
      </c>
    </row>
    <row r="338" spans="1:13" ht="78" x14ac:dyDescent="0.3">
      <c r="A338" s="18" t="s">
        <v>55</v>
      </c>
      <c r="B338" s="18" t="s">
        <v>980</v>
      </c>
      <c r="C338" s="18" t="s">
        <v>682</v>
      </c>
      <c r="D338" s="18" t="s">
        <v>35</v>
      </c>
      <c r="E338" s="18" t="str">
        <f>IFERROR(VLOOKUP(TRIM(D338), Collection!$B$2:$D$1001, 2, FALSE), "")</f>
        <v>Overseas self-winding</v>
      </c>
      <c r="F338" s="21" t="str">
        <f>IFERROR(VLOOKUP(TRIM(D338), Collection!$B$2:$D$1001, 3, FALSE), "")</f>
        <v>94,500 AED</v>
      </c>
      <c r="G338" s="21">
        <f t="shared" si="10"/>
        <v>94500</v>
      </c>
      <c r="H338" s="18" t="s">
        <v>58</v>
      </c>
      <c r="I338" s="18">
        <v>0</v>
      </c>
      <c r="J338" s="18" t="s">
        <v>59</v>
      </c>
      <c r="K338" s="18" t="s">
        <v>60</v>
      </c>
      <c r="L338" s="18" t="s">
        <v>1141</v>
      </c>
      <c r="M338" s="18" t="b">
        <f t="shared" si="11"/>
        <v>0</v>
      </c>
    </row>
    <row r="339" spans="1:13" ht="31.2" x14ac:dyDescent="0.3">
      <c r="A339" s="18" t="s">
        <v>55</v>
      </c>
      <c r="B339" s="18" t="s">
        <v>980</v>
      </c>
      <c r="C339" s="18" t="s">
        <v>682</v>
      </c>
      <c r="D339" s="18" t="s">
        <v>35</v>
      </c>
      <c r="E339" s="18" t="str">
        <f>IFERROR(VLOOKUP(TRIM(D339), Collection!$B$2:$D$1001, 2, FALSE), "")</f>
        <v>Overseas self-winding</v>
      </c>
      <c r="F339" s="21" t="str">
        <f>IFERROR(VLOOKUP(TRIM(D339), Collection!$B$2:$D$1001, 3, FALSE), "")</f>
        <v>94,500 AED</v>
      </c>
      <c r="G339" s="21">
        <f t="shared" si="10"/>
        <v>94500</v>
      </c>
      <c r="H339" s="18" t="s">
        <v>58</v>
      </c>
      <c r="I339" s="18">
        <v>102015200</v>
      </c>
      <c r="J339" s="18" t="s">
        <v>59</v>
      </c>
      <c r="K339" s="18" t="s">
        <v>67</v>
      </c>
      <c r="L339" s="18" t="s">
        <v>980</v>
      </c>
      <c r="M339" s="18" t="b">
        <f t="shared" si="11"/>
        <v>0</v>
      </c>
    </row>
    <row r="340" spans="1:13" ht="62.4" x14ac:dyDescent="0.3">
      <c r="A340" s="18" t="s">
        <v>685</v>
      </c>
      <c r="B340" s="18" t="s">
        <v>95</v>
      </c>
      <c r="C340" s="18" t="s">
        <v>686</v>
      </c>
      <c r="D340" s="18" t="s">
        <v>687</v>
      </c>
      <c r="E340" s="18" t="str">
        <f>IFERROR(VLOOKUP(TRIM(D340), Collection!$B$2:$D$1001, 2, FALSE), "")</f>
        <v>Overseas perpetual calendar ultra-thin</v>
      </c>
      <c r="F340" s="21" t="str">
        <f>IFERROR(VLOOKUP(TRIM(D340), Collection!$B$2:$D$1001, 3, FALSE), "")</f>
        <v>442,000 AED</v>
      </c>
      <c r="G340" s="21">
        <f t="shared" si="10"/>
        <v>442000</v>
      </c>
      <c r="H340" s="18" t="s">
        <v>58</v>
      </c>
      <c r="I340" s="18">
        <v>101987118</v>
      </c>
      <c r="J340" s="18" t="s">
        <v>59</v>
      </c>
      <c r="K340" s="18" t="s">
        <v>67</v>
      </c>
      <c r="L340" s="18" t="s">
        <v>980</v>
      </c>
      <c r="M340" s="18" t="b">
        <f t="shared" si="11"/>
        <v>0</v>
      </c>
    </row>
    <row r="341" spans="1:13" ht="31.2" x14ac:dyDescent="0.3">
      <c r="A341" s="18" t="s">
        <v>130</v>
      </c>
      <c r="B341" s="18" t="s">
        <v>130</v>
      </c>
      <c r="C341" s="18" t="s">
        <v>689</v>
      </c>
      <c r="D341" s="18" t="s">
        <v>107</v>
      </c>
      <c r="E341" s="18" t="str">
        <f>IFERROR(VLOOKUP(TRIM(D341), Collection!$B$2:$D$1001, 2, FALSE), "")</f>
        <v>Overseas chronograph</v>
      </c>
      <c r="F341" s="21" t="str">
        <f>IFERROR(VLOOKUP(TRIM(D341), Collection!$B$2:$D$1001, 3, FALSE), "")</f>
        <v>135,000 AED</v>
      </c>
      <c r="G341" s="21">
        <f t="shared" si="10"/>
        <v>135000</v>
      </c>
      <c r="H341" s="18" t="s">
        <v>58</v>
      </c>
      <c r="I341" s="18">
        <v>97412230</v>
      </c>
      <c r="J341" s="18" t="s">
        <v>59</v>
      </c>
      <c r="K341" s="18" t="s">
        <v>70</v>
      </c>
      <c r="L341" s="18" t="s">
        <v>1142</v>
      </c>
      <c r="M341" s="18" t="b">
        <f t="shared" si="11"/>
        <v>0</v>
      </c>
    </row>
    <row r="342" spans="1:13" ht="31.2" x14ac:dyDescent="0.3">
      <c r="A342" s="18" t="s">
        <v>25</v>
      </c>
      <c r="B342" s="18" t="s">
        <v>95</v>
      </c>
      <c r="C342" s="18" t="s">
        <v>689</v>
      </c>
      <c r="D342" s="18" t="s">
        <v>29</v>
      </c>
      <c r="E342" s="18" t="str">
        <f>IFERROR(VLOOKUP(TRIM(D342), Collection!$B$2:$D$1001, 2, FALSE), "")</f>
        <v>Fiftysix self-winding</v>
      </c>
      <c r="F342" s="21" t="str">
        <f>IFERROR(VLOOKUP(TRIM(D342), Collection!$B$2:$D$1001, 3, FALSE), "")</f>
        <v>48,000 AED</v>
      </c>
      <c r="G342" s="21">
        <f t="shared" si="10"/>
        <v>48000</v>
      </c>
      <c r="H342" s="18" t="s">
        <v>58</v>
      </c>
      <c r="I342" s="18">
        <v>101319151</v>
      </c>
      <c r="J342" s="18" t="s">
        <v>59</v>
      </c>
      <c r="K342" s="18" t="s">
        <v>67</v>
      </c>
      <c r="L342" s="18" t="s">
        <v>980</v>
      </c>
      <c r="M342" s="18" t="b">
        <f t="shared" si="11"/>
        <v>1</v>
      </c>
    </row>
    <row r="343" spans="1:13" ht="234" x14ac:dyDescent="0.3">
      <c r="A343" s="18" t="s">
        <v>25</v>
      </c>
      <c r="B343" s="18" t="s">
        <v>95</v>
      </c>
      <c r="C343" s="18" t="s">
        <v>689</v>
      </c>
      <c r="D343" s="18" t="s">
        <v>36</v>
      </c>
      <c r="E343" s="18" t="str">
        <f>IFERROR(VLOOKUP(TRIM(D343), Collection!$B$2:$D$1001, 2, FALSE), "")</f>
        <v>Overseas chronograph Pink Gold</v>
      </c>
      <c r="F343" s="21" t="str">
        <f>IFERROR(VLOOKUP(TRIM(D343), Collection!$B$2:$D$1001, 3, FALSE), "")</f>
        <v>299,000 AED</v>
      </c>
      <c r="G343" s="21">
        <f t="shared" si="10"/>
        <v>299000</v>
      </c>
      <c r="H343" s="18" t="s">
        <v>58</v>
      </c>
      <c r="I343" s="18">
        <v>101923321</v>
      </c>
      <c r="J343" s="18" t="s">
        <v>59</v>
      </c>
      <c r="K343" s="18" t="s">
        <v>60</v>
      </c>
      <c r="L343" s="18" t="s">
        <v>1143</v>
      </c>
      <c r="M343" s="18" t="b">
        <f t="shared" si="11"/>
        <v>1</v>
      </c>
    </row>
    <row r="344" spans="1:13" ht="78" x14ac:dyDescent="0.3">
      <c r="A344" s="18" t="s">
        <v>130</v>
      </c>
      <c r="B344" s="18" t="s">
        <v>130</v>
      </c>
      <c r="C344" s="18" t="s">
        <v>689</v>
      </c>
      <c r="D344" s="18" t="s">
        <v>39</v>
      </c>
      <c r="E344" s="18" t="str">
        <f>IFERROR(VLOOKUP(TRIM(D344), Collection!$B$2:$D$1001, 2, FALSE), "")</f>
        <v>Overseas dual time Green</v>
      </c>
      <c r="F344" s="21" t="str">
        <f>IFERROR(VLOOKUP(TRIM(D344), Collection!$B$2:$D$1001, 3, FALSE), "")</f>
        <v>286,000 AED</v>
      </c>
      <c r="G344" s="21">
        <f t="shared" si="10"/>
        <v>286000</v>
      </c>
      <c r="H344" s="18" t="s">
        <v>58</v>
      </c>
      <c r="I344" s="18">
        <v>101923321</v>
      </c>
      <c r="J344" s="18" t="s">
        <v>59</v>
      </c>
      <c r="K344" s="18" t="s">
        <v>60</v>
      </c>
      <c r="L344" s="18" t="s">
        <v>1144</v>
      </c>
      <c r="M344" s="18" t="b">
        <f t="shared" si="11"/>
        <v>0</v>
      </c>
    </row>
    <row r="345" spans="1:13" ht="46.8" x14ac:dyDescent="0.3">
      <c r="A345" s="18" t="s">
        <v>130</v>
      </c>
      <c r="B345" s="18" t="s">
        <v>130</v>
      </c>
      <c r="C345" s="18" t="s">
        <v>689</v>
      </c>
      <c r="D345" s="18" t="s">
        <v>696</v>
      </c>
      <c r="E345" s="18" t="str">
        <f>IFERROR(VLOOKUP(TRIM(D345), Collection!$B$2:$D$1001, 2, FALSE), "")</f>
        <v>Historiques American 1921</v>
      </c>
      <c r="F345" s="21" t="str">
        <f>IFERROR(VLOOKUP(TRIM(D345), Collection!$B$2:$D$1001, 3, FALSE), "")</f>
        <v>153,000 AED</v>
      </c>
      <c r="G345" s="21">
        <f t="shared" si="10"/>
        <v>153000</v>
      </c>
      <c r="H345" s="18" t="s">
        <v>58</v>
      </c>
      <c r="I345" s="18">
        <v>101952731</v>
      </c>
      <c r="J345" s="18" t="s">
        <v>59</v>
      </c>
      <c r="K345" s="18" t="s">
        <v>60</v>
      </c>
      <c r="L345" s="18" t="s">
        <v>1145</v>
      </c>
      <c r="M345" s="18" t="b">
        <f t="shared" si="11"/>
        <v>0</v>
      </c>
    </row>
    <row r="346" spans="1:13" ht="31.2" x14ac:dyDescent="0.3">
      <c r="A346" s="18" t="s">
        <v>55</v>
      </c>
      <c r="B346" s="18" t="s">
        <v>980</v>
      </c>
      <c r="C346" s="18" t="s">
        <v>699</v>
      </c>
      <c r="D346" s="18" t="s">
        <v>22</v>
      </c>
      <c r="E346" s="18" t="str">
        <f>IFERROR(VLOOKUP(TRIM(D346), Collection!$B$2:$D$1001, 2, FALSE), "")</f>
        <v>Overseas dual time Blue</v>
      </c>
      <c r="F346" s="21" t="str">
        <f>IFERROR(VLOOKUP(TRIM(D346), Collection!$B$2:$D$1001, 3, FALSE), "")</f>
        <v>117,000 AED</v>
      </c>
      <c r="G346" s="21">
        <f t="shared" si="10"/>
        <v>117000</v>
      </c>
      <c r="H346" s="18" t="s">
        <v>58</v>
      </c>
      <c r="I346" s="18">
        <v>92407429</v>
      </c>
      <c r="J346" s="18" t="s">
        <v>59</v>
      </c>
      <c r="K346" s="18" t="s">
        <v>67</v>
      </c>
      <c r="L346" s="18" t="s">
        <v>980</v>
      </c>
      <c r="M346" s="18" t="b">
        <f t="shared" si="11"/>
        <v>0</v>
      </c>
    </row>
    <row r="347" spans="1:13" ht="124.8" x14ac:dyDescent="0.3">
      <c r="A347" s="18" t="s">
        <v>55</v>
      </c>
      <c r="B347" s="18" t="s">
        <v>98</v>
      </c>
      <c r="C347" s="18" t="s">
        <v>699</v>
      </c>
      <c r="D347" s="18" t="s">
        <v>37</v>
      </c>
      <c r="E347" s="18" t="str">
        <f>IFERROR(VLOOKUP(TRIM(D347), Collection!$B$2:$D$1001, 2, FALSE), "")</f>
        <v>Overseas moon phase retrograde date</v>
      </c>
      <c r="F347" s="21" t="str">
        <f>IFERROR(VLOOKUP(TRIM(D347), Collection!$B$2:$D$1001, 3, FALSE), "")</f>
        <v>166,000 AED</v>
      </c>
      <c r="G347" s="21">
        <f t="shared" si="10"/>
        <v>166000</v>
      </c>
      <c r="H347" s="18" t="s">
        <v>58</v>
      </c>
      <c r="I347" s="18">
        <v>102003092</v>
      </c>
      <c r="J347" s="18" t="s">
        <v>59</v>
      </c>
      <c r="K347" s="18" t="s">
        <v>60</v>
      </c>
      <c r="L347" s="18" t="s">
        <v>1146</v>
      </c>
      <c r="M347" s="18" t="b">
        <f t="shared" si="11"/>
        <v>0</v>
      </c>
    </row>
    <row r="348" spans="1:13" ht="62.4" x14ac:dyDescent="0.3">
      <c r="A348" s="18" t="s">
        <v>25</v>
      </c>
      <c r="B348" s="18" t="s">
        <v>95</v>
      </c>
      <c r="C348" s="18" t="s">
        <v>702</v>
      </c>
      <c r="D348" s="18" t="s">
        <v>35</v>
      </c>
      <c r="E348" s="18" t="str">
        <f>IFERROR(VLOOKUP(TRIM(D348), Collection!$B$2:$D$1001, 2, FALSE), "")</f>
        <v>Overseas self-winding</v>
      </c>
      <c r="F348" s="21" t="str">
        <f>IFERROR(VLOOKUP(TRIM(D348), Collection!$B$2:$D$1001, 3, FALSE), "")</f>
        <v>94,500 AED</v>
      </c>
      <c r="G348" s="21">
        <f t="shared" si="10"/>
        <v>94500</v>
      </c>
      <c r="H348" s="18" t="s">
        <v>58</v>
      </c>
      <c r="I348" s="18">
        <v>101705197</v>
      </c>
      <c r="J348" s="18" t="s">
        <v>59</v>
      </c>
      <c r="K348" s="18" t="s">
        <v>67</v>
      </c>
      <c r="L348" s="18" t="s">
        <v>1147</v>
      </c>
      <c r="M348" s="18" t="b">
        <f t="shared" si="11"/>
        <v>0</v>
      </c>
    </row>
    <row r="349" spans="1:13" ht="124.8" x14ac:dyDescent="0.3">
      <c r="A349" s="18" t="s">
        <v>130</v>
      </c>
      <c r="B349" s="18" t="s">
        <v>130</v>
      </c>
      <c r="C349" s="18" t="s">
        <v>702</v>
      </c>
      <c r="D349" s="18" t="s">
        <v>16</v>
      </c>
      <c r="E349" s="18" t="str">
        <f>IFERROR(VLOOKUP(TRIM(D349), Collection!$B$2:$D$1001, 2, FALSE), "")</f>
        <v>Overseas chronograph</v>
      </c>
      <c r="F349" s="21" t="str">
        <f>IFERROR(VLOOKUP(TRIM(D349), Collection!$B$2:$D$1001, 3, FALSE), "")</f>
        <v>135,000 AED</v>
      </c>
      <c r="G349" s="21">
        <f t="shared" si="10"/>
        <v>135000</v>
      </c>
      <c r="H349" s="18" t="s">
        <v>58</v>
      </c>
      <c r="I349" s="18">
        <v>101293683</v>
      </c>
      <c r="J349" s="18" t="s">
        <v>59</v>
      </c>
      <c r="K349" s="18" t="s">
        <v>70</v>
      </c>
      <c r="L349" s="18" t="s">
        <v>1148</v>
      </c>
      <c r="M349" s="18" t="b">
        <f t="shared" si="11"/>
        <v>0</v>
      </c>
    </row>
    <row r="350" spans="1:13" ht="62.4" x14ac:dyDescent="0.3">
      <c r="A350" s="18" t="s">
        <v>130</v>
      </c>
      <c r="B350" s="18" t="s">
        <v>130</v>
      </c>
      <c r="C350" s="18" t="s">
        <v>702</v>
      </c>
      <c r="D350" s="18" t="s">
        <v>35</v>
      </c>
      <c r="E350" s="18" t="str">
        <f>IFERROR(VLOOKUP(TRIM(D350), Collection!$B$2:$D$1001, 2, FALSE), "")</f>
        <v>Overseas self-winding</v>
      </c>
      <c r="F350" s="21" t="str">
        <f>IFERROR(VLOOKUP(TRIM(D350), Collection!$B$2:$D$1001, 3, FALSE), "")</f>
        <v>94,500 AED</v>
      </c>
      <c r="G350" s="21">
        <f t="shared" si="10"/>
        <v>94500</v>
      </c>
      <c r="H350" s="18" t="s">
        <v>58</v>
      </c>
      <c r="I350" s="18">
        <v>101987055</v>
      </c>
      <c r="J350" s="18" t="s">
        <v>59</v>
      </c>
      <c r="K350" s="18" t="s">
        <v>67</v>
      </c>
      <c r="L350" s="18" t="s">
        <v>1149</v>
      </c>
      <c r="M350" s="18" t="b">
        <f t="shared" si="11"/>
        <v>0</v>
      </c>
    </row>
    <row r="351" spans="1:13" ht="31.2" x14ac:dyDescent="0.3">
      <c r="A351" s="18" t="s">
        <v>130</v>
      </c>
      <c r="B351" s="18" t="s">
        <v>130</v>
      </c>
      <c r="C351" s="19">
        <v>45606</v>
      </c>
      <c r="D351" s="18" t="s">
        <v>35</v>
      </c>
      <c r="E351" s="18" t="str">
        <f>IFERROR(VLOOKUP(TRIM(D351), Collection!$B$2:$D$1001, 2, FALSE), "")</f>
        <v>Overseas self-winding</v>
      </c>
      <c r="F351" s="21" t="str">
        <f>IFERROR(VLOOKUP(TRIM(D351), Collection!$B$2:$D$1001, 3, FALSE), "")</f>
        <v>94,500 AED</v>
      </c>
      <c r="G351" s="21">
        <f t="shared" si="10"/>
        <v>94500</v>
      </c>
      <c r="H351" s="18" t="s">
        <v>58</v>
      </c>
      <c r="I351" s="18">
        <v>101917600</v>
      </c>
      <c r="J351" s="18" t="s">
        <v>59</v>
      </c>
      <c r="K351" s="18" t="s">
        <v>67</v>
      </c>
      <c r="L351" s="18" t="s">
        <v>980</v>
      </c>
      <c r="M351" s="18" t="b">
        <f t="shared" si="11"/>
        <v>0</v>
      </c>
    </row>
    <row r="352" spans="1:13" ht="31.2" x14ac:dyDescent="0.3">
      <c r="A352" s="18" t="s">
        <v>55</v>
      </c>
      <c r="B352" s="18" t="s">
        <v>980</v>
      </c>
      <c r="C352" s="19">
        <v>45606</v>
      </c>
      <c r="D352" s="18" t="s">
        <v>22</v>
      </c>
      <c r="E352" s="18" t="str">
        <f>IFERROR(VLOOKUP(TRIM(D352), Collection!$B$2:$D$1001, 2, FALSE), "")</f>
        <v>Overseas dual time Blue</v>
      </c>
      <c r="F352" s="21" t="str">
        <f>IFERROR(VLOOKUP(TRIM(D352), Collection!$B$2:$D$1001, 3, FALSE), "")</f>
        <v>117,000 AED</v>
      </c>
      <c r="G352" s="21">
        <f t="shared" si="10"/>
        <v>117000</v>
      </c>
      <c r="H352" s="18" t="s">
        <v>58</v>
      </c>
      <c r="I352" s="18">
        <v>101917600</v>
      </c>
      <c r="J352" s="18" t="s">
        <v>59</v>
      </c>
      <c r="K352" s="18" t="s">
        <v>67</v>
      </c>
      <c r="L352" s="18" t="s">
        <v>980</v>
      </c>
      <c r="M352" s="18" t="b">
        <f t="shared" si="11"/>
        <v>0</v>
      </c>
    </row>
    <row r="353" spans="1:13" ht="31.2" x14ac:dyDescent="0.3">
      <c r="A353" s="18" t="s">
        <v>130</v>
      </c>
      <c r="B353" s="18" t="s">
        <v>130</v>
      </c>
      <c r="C353" s="19">
        <v>45575</v>
      </c>
      <c r="D353" s="18" t="s">
        <v>35</v>
      </c>
      <c r="E353" s="18" t="str">
        <f>IFERROR(VLOOKUP(TRIM(D353), Collection!$B$2:$D$1001, 2, FALSE), "")</f>
        <v>Overseas self-winding</v>
      </c>
      <c r="F353" s="21" t="str">
        <f>IFERROR(VLOOKUP(TRIM(D353), Collection!$B$2:$D$1001, 3, FALSE), "")</f>
        <v>94,500 AED</v>
      </c>
      <c r="G353" s="21">
        <f t="shared" si="10"/>
        <v>94500</v>
      </c>
      <c r="H353" s="18" t="s">
        <v>58</v>
      </c>
      <c r="I353" s="18">
        <v>101876625</v>
      </c>
      <c r="J353" s="18" t="s">
        <v>59</v>
      </c>
      <c r="K353" s="18" t="s">
        <v>60</v>
      </c>
      <c r="L353" s="18" t="s">
        <v>1150</v>
      </c>
      <c r="M353" s="18" t="b">
        <f t="shared" si="11"/>
        <v>0</v>
      </c>
    </row>
    <row r="354" spans="1:13" ht="46.8" x14ac:dyDescent="0.3">
      <c r="A354" s="18" t="s">
        <v>55</v>
      </c>
      <c r="B354" s="18" t="s">
        <v>980</v>
      </c>
      <c r="C354" s="19">
        <v>45575</v>
      </c>
      <c r="D354" s="18" t="s">
        <v>32</v>
      </c>
      <c r="E354" s="18" t="str">
        <f>IFERROR(VLOOKUP(TRIM(D354), Collection!$B$2:$D$1001, 2, FALSE), "")</f>
        <v>Overseas dual time Silver</v>
      </c>
      <c r="F354" s="21" t="str">
        <f>IFERROR(VLOOKUP(TRIM(D354), Collection!$B$2:$D$1001, 3, FALSE), "")</f>
        <v>117,000 AED</v>
      </c>
      <c r="G354" s="21">
        <f t="shared" si="10"/>
        <v>117000</v>
      </c>
      <c r="H354" s="18" t="s">
        <v>58</v>
      </c>
      <c r="I354" s="18">
        <v>92407429</v>
      </c>
      <c r="J354" s="18" t="s">
        <v>114</v>
      </c>
      <c r="K354" s="18" t="s">
        <v>67</v>
      </c>
      <c r="L354" s="18" t="s">
        <v>1151</v>
      </c>
      <c r="M354" s="18" t="b">
        <f t="shared" si="11"/>
        <v>0</v>
      </c>
    </row>
    <row r="355" spans="1:13" ht="46.8" x14ac:dyDescent="0.3">
      <c r="A355" s="18" t="s">
        <v>55</v>
      </c>
      <c r="B355" s="18" t="s">
        <v>564</v>
      </c>
      <c r="C355" s="19">
        <v>45575</v>
      </c>
      <c r="D355" s="18" t="s">
        <v>30</v>
      </c>
      <c r="E355" s="18" t="str">
        <f>IFERROR(VLOOKUP(TRIM(D355), Collection!$B$2:$D$1001, 2, FALSE), "")</f>
        <v>Overseas self-winding</v>
      </c>
      <c r="F355" s="21" t="str">
        <f>IFERROR(VLOOKUP(TRIM(D355), Collection!$B$2:$D$1001, 3, FALSE), "")</f>
        <v>229,000 AED</v>
      </c>
      <c r="G355" s="21">
        <f t="shared" si="10"/>
        <v>229000</v>
      </c>
      <c r="H355" s="18" t="s">
        <v>58</v>
      </c>
      <c r="I355" s="18">
        <v>92404145</v>
      </c>
      <c r="J355" s="18" t="s">
        <v>114</v>
      </c>
      <c r="K355" s="18" t="s">
        <v>67</v>
      </c>
      <c r="L355" s="18" t="s">
        <v>1152</v>
      </c>
      <c r="M355" s="18" t="b">
        <f t="shared" si="11"/>
        <v>0</v>
      </c>
    </row>
    <row r="356" spans="1:13" ht="62.4" x14ac:dyDescent="0.3">
      <c r="A356" s="18" t="s">
        <v>130</v>
      </c>
      <c r="B356" s="18" t="s">
        <v>130</v>
      </c>
      <c r="C356" s="19">
        <v>45545</v>
      </c>
      <c r="D356" s="18" t="s">
        <v>35</v>
      </c>
      <c r="E356" s="18" t="str">
        <f>IFERROR(VLOOKUP(TRIM(D356), Collection!$B$2:$D$1001, 2, FALSE), "")</f>
        <v>Overseas self-winding</v>
      </c>
      <c r="F356" s="21" t="str">
        <f>IFERROR(VLOOKUP(TRIM(D356), Collection!$B$2:$D$1001, 3, FALSE), "")</f>
        <v>94,500 AED</v>
      </c>
      <c r="G356" s="21">
        <f t="shared" si="10"/>
        <v>94500</v>
      </c>
      <c r="H356" s="18" t="s">
        <v>58</v>
      </c>
      <c r="I356" s="18">
        <v>101808480</v>
      </c>
      <c r="J356" s="18" t="s">
        <v>59</v>
      </c>
      <c r="K356" s="18" t="s">
        <v>60</v>
      </c>
      <c r="L356" s="18" t="s">
        <v>1153</v>
      </c>
      <c r="M356" s="18" t="b">
        <f t="shared" si="11"/>
        <v>0</v>
      </c>
    </row>
    <row r="357" spans="1:13" ht="62.4" x14ac:dyDescent="0.3">
      <c r="A357" s="18" t="s">
        <v>25</v>
      </c>
      <c r="B357" s="18" t="s">
        <v>98</v>
      </c>
      <c r="C357" s="19">
        <v>45545</v>
      </c>
      <c r="D357" s="18" t="s">
        <v>367</v>
      </c>
      <c r="E357" s="18" t="str">
        <f>IFERROR(VLOOKUP(TRIM(D357), Collection!$B$2:$D$1001, 2, FALSE), "")</f>
        <v>Overseas perpetual calendar ultra-thin skeleton</v>
      </c>
      <c r="F357" s="21" t="str">
        <f>IFERROR(VLOOKUP(TRIM(D357), Collection!$B$2:$D$1001, 3, FALSE), "")</f>
        <v>605,000 AED</v>
      </c>
      <c r="G357" s="21">
        <f t="shared" si="10"/>
        <v>605000</v>
      </c>
      <c r="H357" s="18" t="s">
        <v>58</v>
      </c>
      <c r="I357" s="18">
        <v>101808480</v>
      </c>
      <c r="J357" s="18" t="s">
        <v>59</v>
      </c>
      <c r="K357" s="18" t="s">
        <v>60</v>
      </c>
      <c r="L357" s="18" t="s">
        <v>1154</v>
      </c>
      <c r="M357" s="18" t="b">
        <f t="shared" si="11"/>
        <v>0</v>
      </c>
    </row>
    <row r="358" spans="1:13" ht="31.2" x14ac:dyDescent="0.3">
      <c r="A358" s="18" t="s">
        <v>130</v>
      </c>
      <c r="B358" s="18" t="s">
        <v>130</v>
      </c>
      <c r="C358" s="19">
        <v>45545</v>
      </c>
      <c r="D358" s="18" t="s">
        <v>499</v>
      </c>
      <c r="E358" s="18" t="str">
        <f>IFERROR(VLOOKUP(TRIM(D358), Collection!$B$2:$D$1001, 2, FALSE), "")</f>
        <v>Overseas self-winding</v>
      </c>
      <c r="F358" s="21" t="str">
        <f>IFERROR(VLOOKUP(TRIM(D358), Collection!$B$2:$D$1001, 3, FALSE), "")</f>
        <v>94,500 AED</v>
      </c>
      <c r="G358" s="21">
        <f t="shared" si="10"/>
        <v>94500</v>
      </c>
      <c r="H358" s="18" t="s">
        <v>58</v>
      </c>
      <c r="I358" s="18">
        <v>101876625</v>
      </c>
      <c r="J358" s="18" t="s">
        <v>59</v>
      </c>
      <c r="K358" s="18" t="s">
        <v>60</v>
      </c>
      <c r="L358" s="18" t="s">
        <v>980</v>
      </c>
      <c r="M358" s="18" t="b">
        <f t="shared" si="11"/>
        <v>0</v>
      </c>
    </row>
    <row r="359" spans="1:13" ht="31.2" x14ac:dyDescent="0.3">
      <c r="A359" s="18" t="s">
        <v>55</v>
      </c>
      <c r="B359" s="18" t="s">
        <v>564</v>
      </c>
      <c r="C359" s="19">
        <v>45514</v>
      </c>
      <c r="D359" s="18" t="s">
        <v>75</v>
      </c>
      <c r="E359" s="18" t="str">
        <f>IFERROR(VLOOKUP(TRIM(D359), Collection!$B$2:$D$1001, 2, FALSE), "")</f>
        <v>Overseas self-winding</v>
      </c>
      <c r="F359" s="21" t="str">
        <f>IFERROR(VLOOKUP(TRIM(D359), Collection!$B$2:$D$1001, 3, FALSE), "")</f>
        <v>94,500 AED</v>
      </c>
      <c r="G359" s="21">
        <f t="shared" si="10"/>
        <v>94500</v>
      </c>
      <c r="H359" s="18" t="s">
        <v>58</v>
      </c>
      <c r="I359" s="18">
        <v>101823588</v>
      </c>
      <c r="J359" s="18" t="s">
        <v>59</v>
      </c>
      <c r="K359" s="18" t="s">
        <v>67</v>
      </c>
      <c r="L359" s="18" t="s">
        <v>980</v>
      </c>
      <c r="M359" s="18" t="b">
        <f t="shared" si="11"/>
        <v>0</v>
      </c>
    </row>
    <row r="360" spans="1:13" ht="31.2" x14ac:dyDescent="0.3">
      <c r="A360" s="18" t="s">
        <v>130</v>
      </c>
      <c r="B360" s="18" t="s">
        <v>130</v>
      </c>
      <c r="C360" s="19">
        <v>45514</v>
      </c>
      <c r="D360" s="18" t="s">
        <v>22</v>
      </c>
      <c r="E360" s="18" t="str">
        <f>IFERROR(VLOOKUP(TRIM(D360), Collection!$B$2:$D$1001, 2, FALSE), "")</f>
        <v>Overseas dual time Blue</v>
      </c>
      <c r="F360" s="21" t="str">
        <f>IFERROR(VLOOKUP(TRIM(D360), Collection!$B$2:$D$1001, 3, FALSE), "")</f>
        <v>117,000 AED</v>
      </c>
      <c r="G360" s="21">
        <f t="shared" si="10"/>
        <v>117000</v>
      </c>
      <c r="H360" s="18" t="s">
        <v>58</v>
      </c>
      <c r="I360" s="18">
        <v>101893659</v>
      </c>
      <c r="J360" s="18" t="s">
        <v>59</v>
      </c>
      <c r="K360" s="18" t="s">
        <v>67</v>
      </c>
      <c r="L360" s="18" t="s">
        <v>980</v>
      </c>
      <c r="M360" s="18" t="b">
        <f t="shared" si="11"/>
        <v>0</v>
      </c>
    </row>
    <row r="361" spans="1:13" ht="31.2" x14ac:dyDescent="0.3">
      <c r="A361" s="18" t="s">
        <v>130</v>
      </c>
      <c r="B361" s="18" t="s">
        <v>130</v>
      </c>
      <c r="C361" s="19">
        <v>45514</v>
      </c>
      <c r="D361" s="18" t="s">
        <v>107</v>
      </c>
      <c r="E361" s="18" t="str">
        <f>IFERROR(VLOOKUP(TRIM(D361), Collection!$B$2:$D$1001, 2, FALSE), "")</f>
        <v>Overseas chronograph</v>
      </c>
      <c r="F361" s="21" t="str">
        <f>IFERROR(VLOOKUP(TRIM(D361), Collection!$B$2:$D$1001, 3, FALSE), "")</f>
        <v>135,000 AED</v>
      </c>
      <c r="G361" s="21">
        <f t="shared" si="10"/>
        <v>135000</v>
      </c>
      <c r="H361" s="18" t="s">
        <v>58</v>
      </c>
      <c r="I361" s="18">
        <v>101893659</v>
      </c>
      <c r="J361" s="18" t="s">
        <v>59</v>
      </c>
      <c r="K361" s="18" t="s">
        <v>67</v>
      </c>
      <c r="L361" s="18" t="s">
        <v>980</v>
      </c>
      <c r="M361" s="18" t="b">
        <f t="shared" si="11"/>
        <v>0</v>
      </c>
    </row>
    <row r="362" spans="1:13" ht="78" x14ac:dyDescent="0.3">
      <c r="A362" s="18" t="s">
        <v>25</v>
      </c>
      <c r="B362" s="18" t="s">
        <v>98</v>
      </c>
      <c r="C362" s="19">
        <v>45422</v>
      </c>
      <c r="D362" s="18" t="s">
        <v>22</v>
      </c>
      <c r="E362" s="18" t="str">
        <f>IFERROR(VLOOKUP(TRIM(D362), Collection!$B$2:$D$1001, 2, FALSE), "")</f>
        <v>Overseas dual time Blue</v>
      </c>
      <c r="F362" s="21" t="str">
        <f>IFERROR(VLOOKUP(TRIM(D362), Collection!$B$2:$D$1001, 3, FALSE), "")</f>
        <v>117,000 AED</v>
      </c>
      <c r="G362" s="21">
        <f t="shared" si="10"/>
        <v>117000</v>
      </c>
      <c r="H362" s="18" t="s">
        <v>58</v>
      </c>
      <c r="I362" s="18">
        <v>101808480</v>
      </c>
      <c r="J362" s="18" t="s">
        <v>59</v>
      </c>
      <c r="K362" s="18" t="s">
        <v>60</v>
      </c>
      <c r="L362" s="18" t="s">
        <v>1155</v>
      </c>
      <c r="M362" s="18" t="b">
        <f t="shared" si="11"/>
        <v>0</v>
      </c>
    </row>
    <row r="363" spans="1:13" ht="218.4" x14ac:dyDescent="0.3">
      <c r="A363" s="18" t="s">
        <v>55</v>
      </c>
      <c r="B363" s="18" t="s">
        <v>95</v>
      </c>
      <c r="C363" s="19">
        <v>45332</v>
      </c>
      <c r="D363" s="18" t="s">
        <v>37</v>
      </c>
      <c r="E363" s="18" t="str">
        <f>IFERROR(VLOOKUP(TRIM(D363), Collection!$B$2:$D$1001, 2, FALSE), "")</f>
        <v>Overseas moon phase retrograde date</v>
      </c>
      <c r="F363" s="21" t="str">
        <f>IFERROR(VLOOKUP(TRIM(D363), Collection!$B$2:$D$1001, 3, FALSE), "")</f>
        <v>166,000 AED</v>
      </c>
      <c r="G363" s="21">
        <f t="shared" si="10"/>
        <v>166000</v>
      </c>
      <c r="H363" s="18" t="s">
        <v>58</v>
      </c>
      <c r="I363" s="18">
        <v>101770162</v>
      </c>
      <c r="J363" s="18" t="s">
        <v>59</v>
      </c>
      <c r="K363" s="18" t="s">
        <v>60</v>
      </c>
      <c r="L363" s="20" t="s">
        <v>1156</v>
      </c>
      <c r="M363" s="18" t="b">
        <f t="shared" si="11"/>
        <v>0</v>
      </c>
    </row>
    <row r="364" spans="1:13" ht="46.8" x14ac:dyDescent="0.3">
      <c r="A364" s="18" t="s">
        <v>55</v>
      </c>
      <c r="B364" s="18" t="s">
        <v>980</v>
      </c>
      <c r="C364" s="18" t="s">
        <v>725</v>
      </c>
      <c r="D364" s="18" t="s">
        <v>22</v>
      </c>
      <c r="E364" s="18" t="str">
        <f>IFERROR(VLOOKUP(TRIM(D364), Collection!$B$2:$D$1001, 2, FALSE), "")</f>
        <v>Overseas dual time Blue</v>
      </c>
      <c r="F364" s="21" t="str">
        <f>IFERROR(VLOOKUP(TRIM(D364), Collection!$B$2:$D$1001, 3, FALSE), "")</f>
        <v>117,000 AED</v>
      </c>
      <c r="G364" s="21">
        <f t="shared" si="10"/>
        <v>117000</v>
      </c>
      <c r="H364" s="18" t="s">
        <v>58</v>
      </c>
      <c r="I364" s="18">
        <v>101624260</v>
      </c>
      <c r="J364" s="18" t="s">
        <v>59</v>
      </c>
      <c r="K364" s="18" t="s">
        <v>70</v>
      </c>
      <c r="L364" s="18" t="s">
        <v>1157</v>
      </c>
      <c r="M364" s="18" t="b">
        <f t="shared" si="11"/>
        <v>0</v>
      </c>
    </row>
    <row r="365" spans="1:13" ht="31.2" x14ac:dyDescent="0.3">
      <c r="A365" s="18" t="s">
        <v>130</v>
      </c>
      <c r="B365" s="18" t="s">
        <v>130</v>
      </c>
      <c r="C365" s="18" t="s">
        <v>728</v>
      </c>
      <c r="D365" s="18" t="s">
        <v>172</v>
      </c>
      <c r="E365" s="18" t="str">
        <f>IFERROR(VLOOKUP(TRIM(D365), Collection!$B$2:$D$1001, 2, FALSE), "")</f>
        <v>Fiftysix self-winding</v>
      </c>
      <c r="F365" s="21" t="str">
        <f>IFERROR(VLOOKUP(TRIM(D365), Collection!$B$2:$D$1001, 3, FALSE), "")</f>
        <v>48,000 AED</v>
      </c>
      <c r="G365" s="21">
        <f t="shared" si="10"/>
        <v>48000</v>
      </c>
      <c r="H365" s="18" t="s">
        <v>58</v>
      </c>
      <c r="I365" s="18">
        <v>101705220</v>
      </c>
      <c r="J365" s="18" t="s">
        <v>59</v>
      </c>
      <c r="K365" s="18" t="s">
        <v>67</v>
      </c>
      <c r="L365" s="18" t="s">
        <v>980</v>
      </c>
      <c r="M365" s="18" t="b">
        <f t="shared" si="11"/>
        <v>0</v>
      </c>
    </row>
    <row r="366" spans="1:13" ht="31.2" x14ac:dyDescent="0.3">
      <c r="A366" s="18" t="s">
        <v>55</v>
      </c>
      <c r="B366" s="18" t="s">
        <v>980</v>
      </c>
      <c r="C366" s="18" t="s">
        <v>728</v>
      </c>
      <c r="D366" s="18" t="s">
        <v>27</v>
      </c>
      <c r="E366" s="18" t="str">
        <f>IFERROR(VLOOKUP(TRIM(D366), Collection!$B$2:$D$1001, 2, FALSE), "")</f>
        <v>Historiques 222</v>
      </c>
      <c r="F366" s="21" t="str">
        <f>IFERROR(VLOOKUP(TRIM(D366), Collection!$B$2:$D$1001, 3, FALSE), "")</f>
        <v>279,000 AED</v>
      </c>
      <c r="G366" s="21">
        <f t="shared" si="10"/>
        <v>279000</v>
      </c>
      <c r="H366" s="18" t="s">
        <v>58</v>
      </c>
      <c r="I366" s="18">
        <v>101705253</v>
      </c>
      <c r="J366" s="18" t="s">
        <v>59</v>
      </c>
      <c r="K366" s="18" t="s">
        <v>67</v>
      </c>
      <c r="L366" s="18" t="s">
        <v>980</v>
      </c>
      <c r="M366" s="18" t="b">
        <f t="shared" si="11"/>
        <v>1</v>
      </c>
    </row>
    <row r="367" spans="1:13" ht="171.6" x14ac:dyDescent="0.3">
      <c r="A367" s="18" t="s">
        <v>55</v>
      </c>
      <c r="B367" s="18" t="s">
        <v>980</v>
      </c>
      <c r="C367" s="18" t="s">
        <v>731</v>
      </c>
      <c r="D367" s="18" t="s">
        <v>14</v>
      </c>
      <c r="E367" s="18" t="str">
        <f>IFERROR(VLOOKUP(TRIM(D367), Collection!$B$2:$D$1001, 2, FALSE), "")</f>
        <v>Overseas quartz</v>
      </c>
      <c r="F367" s="21" t="str">
        <f>IFERROR(VLOOKUP(TRIM(D367), Collection!$B$2:$D$1001, 3, FALSE), "")</f>
        <v>62,500 AED</v>
      </c>
      <c r="G367" s="21">
        <f t="shared" si="10"/>
        <v>62500</v>
      </c>
      <c r="H367" s="18" t="s">
        <v>58</v>
      </c>
      <c r="I367" s="18">
        <v>101680942</v>
      </c>
      <c r="J367" s="18" t="s">
        <v>59</v>
      </c>
      <c r="K367" s="18" t="s">
        <v>60</v>
      </c>
      <c r="L367" s="18" t="s">
        <v>1158</v>
      </c>
      <c r="M367" s="18" t="b">
        <f t="shared" si="11"/>
        <v>0</v>
      </c>
    </row>
    <row r="368" spans="1:13" ht="140.4" x14ac:dyDescent="0.3">
      <c r="A368" s="18" t="s">
        <v>55</v>
      </c>
      <c r="B368" s="18" t="s">
        <v>980</v>
      </c>
      <c r="C368" s="18" t="s">
        <v>731</v>
      </c>
      <c r="D368" s="18" t="s">
        <v>22</v>
      </c>
      <c r="E368" s="18" t="str">
        <f>IFERROR(VLOOKUP(TRIM(D368), Collection!$B$2:$D$1001, 2, FALSE), "")</f>
        <v>Overseas dual time Blue</v>
      </c>
      <c r="F368" s="21" t="str">
        <f>IFERROR(VLOOKUP(TRIM(D368), Collection!$B$2:$D$1001, 3, FALSE), "")</f>
        <v>117,000 AED</v>
      </c>
      <c r="G368" s="21">
        <f t="shared" si="10"/>
        <v>117000</v>
      </c>
      <c r="H368" s="18" t="s">
        <v>58</v>
      </c>
      <c r="I368" s="18">
        <v>101467478</v>
      </c>
      <c r="J368" s="18" t="s">
        <v>59</v>
      </c>
      <c r="K368" s="18" t="s">
        <v>60</v>
      </c>
      <c r="L368" s="18" t="s">
        <v>1159</v>
      </c>
      <c r="M368" s="18" t="b">
        <f t="shared" si="11"/>
        <v>0</v>
      </c>
    </row>
    <row r="369" spans="1:13" ht="62.4" x14ac:dyDescent="0.3">
      <c r="A369" s="18" t="s">
        <v>130</v>
      </c>
      <c r="B369" s="18" t="s">
        <v>130</v>
      </c>
      <c r="C369" s="18" t="s">
        <v>736</v>
      </c>
      <c r="D369" s="18" t="s">
        <v>75</v>
      </c>
      <c r="E369" s="18" t="str">
        <f>IFERROR(VLOOKUP(TRIM(D369), Collection!$B$2:$D$1001, 2, FALSE), "")</f>
        <v>Overseas self-winding</v>
      </c>
      <c r="F369" s="21" t="str">
        <f>IFERROR(VLOOKUP(TRIM(D369), Collection!$B$2:$D$1001, 3, FALSE), "")</f>
        <v>94,500 AED</v>
      </c>
      <c r="G369" s="21">
        <f t="shared" si="10"/>
        <v>94500</v>
      </c>
      <c r="H369" s="18" t="s">
        <v>58</v>
      </c>
      <c r="I369" s="18">
        <v>101641502</v>
      </c>
      <c r="J369" s="18" t="s">
        <v>59</v>
      </c>
      <c r="K369" s="18" t="s">
        <v>67</v>
      </c>
      <c r="L369" s="18" t="s">
        <v>1160</v>
      </c>
      <c r="M369" s="18" t="b">
        <f t="shared" si="11"/>
        <v>0</v>
      </c>
    </row>
    <row r="370" spans="1:13" ht="46.8" x14ac:dyDescent="0.3">
      <c r="A370" s="18" t="s">
        <v>130</v>
      </c>
      <c r="B370" s="18" t="s">
        <v>130</v>
      </c>
      <c r="C370" s="18" t="s">
        <v>738</v>
      </c>
      <c r="D370" s="18" t="s">
        <v>37</v>
      </c>
      <c r="E370" s="18" t="str">
        <f>IFERROR(VLOOKUP(TRIM(D370), Collection!$B$2:$D$1001, 2, FALSE), "")</f>
        <v>Overseas moon phase retrograde date</v>
      </c>
      <c r="F370" s="21" t="str">
        <f>IFERROR(VLOOKUP(TRIM(D370), Collection!$B$2:$D$1001, 3, FALSE), "")</f>
        <v>166,000 AED</v>
      </c>
      <c r="G370" s="21">
        <f t="shared" si="10"/>
        <v>166000</v>
      </c>
      <c r="H370" s="18" t="s">
        <v>58</v>
      </c>
      <c r="I370" s="18">
        <v>101623615</v>
      </c>
      <c r="J370" s="18" t="s">
        <v>59</v>
      </c>
      <c r="K370" s="18" t="s">
        <v>67</v>
      </c>
      <c r="L370" s="18" t="s">
        <v>980</v>
      </c>
      <c r="M370" s="18" t="b">
        <f t="shared" si="11"/>
        <v>0</v>
      </c>
    </row>
    <row r="371" spans="1:13" ht="62.4" x14ac:dyDescent="0.3">
      <c r="A371" s="18" t="s">
        <v>55</v>
      </c>
      <c r="B371" s="18" t="s">
        <v>980</v>
      </c>
      <c r="C371" s="18" t="s">
        <v>739</v>
      </c>
      <c r="D371" s="18" t="s">
        <v>35</v>
      </c>
      <c r="E371" s="18" t="str">
        <f>IFERROR(VLOOKUP(TRIM(D371), Collection!$B$2:$D$1001, 2, FALSE), "")</f>
        <v>Overseas self-winding</v>
      </c>
      <c r="F371" s="21" t="str">
        <f>IFERROR(VLOOKUP(TRIM(D371), Collection!$B$2:$D$1001, 3, FALSE), "")</f>
        <v>94,500 AED</v>
      </c>
      <c r="G371" s="21">
        <f t="shared" si="10"/>
        <v>94500</v>
      </c>
      <c r="H371" s="18" t="s">
        <v>58</v>
      </c>
      <c r="I371" s="18">
        <v>101584188</v>
      </c>
      <c r="J371" s="18" t="s">
        <v>59</v>
      </c>
      <c r="K371" s="18" t="s">
        <v>67</v>
      </c>
      <c r="L371" s="18" t="s">
        <v>1161</v>
      </c>
      <c r="M371" s="18" t="b">
        <f t="shared" si="11"/>
        <v>0</v>
      </c>
    </row>
    <row r="372" spans="1:13" ht="46.8" x14ac:dyDescent="0.3">
      <c r="A372" s="18" t="s">
        <v>55</v>
      </c>
      <c r="B372" s="18" t="s">
        <v>564</v>
      </c>
      <c r="C372" s="18" t="s">
        <v>739</v>
      </c>
      <c r="D372" s="18" t="s">
        <v>36</v>
      </c>
      <c r="E372" s="18" t="str">
        <f>IFERROR(VLOOKUP(TRIM(D372), Collection!$B$2:$D$1001, 2, FALSE), "")</f>
        <v>Overseas chronograph Pink Gold</v>
      </c>
      <c r="F372" s="21" t="str">
        <f>IFERROR(VLOOKUP(TRIM(D372), Collection!$B$2:$D$1001, 3, FALSE), "")</f>
        <v>299,000 AED</v>
      </c>
      <c r="G372" s="21">
        <f t="shared" si="10"/>
        <v>299000</v>
      </c>
      <c r="H372" s="18" t="s">
        <v>58</v>
      </c>
      <c r="I372" s="18">
        <v>101615228</v>
      </c>
      <c r="J372" s="18" t="s">
        <v>59</v>
      </c>
      <c r="K372" s="18" t="s">
        <v>67</v>
      </c>
      <c r="L372" s="18" t="s">
        <v>980</v>
      </c>
      <c r="M372" s="18" t="b">
        <f t="shared" si="11"/>
        <v>1</v>
      </c>
    </row>
    <row r="373" spans="1:13" ht="31.2" x14ac:dyDescent="0.3">
      <c r="A373" s="18" t="s">
        <v>55</v>
      </c>
      <c r="B373" s="18" t="s">
        <v>980</v>
      </c>
      <c r="C373" s="18" t="s">
        <v>743</v>
      </c>
      <c r="D373" s="18" t="s">
        <v>35</v>
      </c>
      <c r="E373" s="18" t="str">
        <f>IFERROR(VLOOKUP(TRIM(D373), Collection!$B$2:$D$1001, 2, FALSE), "")</f>
        <v>Overseas self-winding</v>
      </c>
      <c r="F373" s="21" t="str">
        <f>IFERROR(VLOOKUP(TRIM(D373), Collection!$B$2:$D$1001, 3, FALSE), "")</f>
        <v>94,500 AED</v>
      </c>
      <c r="G373" s="21">
        <f t="shared" si="10"/>
        <v>94500</v>
      </c>
      <c r="H373" s="18" t="s">
        <v>58</v>
      </c>
      <c r="I373" s="18">
        <v>101498463</v>
      </c>
      <c r="J373" s="18" t="s">
        <v>59</v>
      </c>
      <c r="K373" s="18" t="s">
        <v>70</v>
      </c>
      <c r="L373" s="18" t="s">
        <v>980</v>
      </c>
      <c r="M373" s="18" t="b">
        <f t="shared" si="11"/>
        <v>0</v>
      </c>
    </row>
    <row r="374" spans="1:13" ht="46.8" x14ac:dyDescent="0.3">
      <c r="A374" s="18" t="s">
        <v>55</v>
      </c>
      <c r="B374" s="18" t="s">
        <v>980</v>
      </c>
      <c r="C374" s="18" t="s">
        <v>745</v>
      </c>
      <c r="D374" s="18" t="s">
        <v>35</v>
      </c>
      <c r="E374" s="18" t="str">
        <f>IFERROR(VLOOKUP(TRIM(D374), Collection!$B$2:$D$1001, 2, FALSE), "")</f>
        <v>Overseas self-winding</v>
      </c>
      <c r="F374" s="21" t="str">
        <f>IFERROR(VLOOKUP(TRIM(D374), Collection!$B$2:$D$1001, 3, FALSE), "")</f>
        <v>94,500 AED</v>
      </c>
      <c r="G374" s="21">
        <f t="shared" si="10"/>
        <v>94500</v>
      </c>
      <c r="H374" s="18" t="s">
        <v>58</v>
      </c>
      <c r="I374" s="18">
        <v>101522662</v>
      </c>
      <c r="J374" s="18" t="s">
        <v>59</v>
      </c>
      <c r="K374" s="18" t="s">
        <v>60</v>
      </c>
      <c r="L374" s="18" t="s">
        <v>1162</v>
      </c>
      <c r="M374" s="18" t="b">
        <f t="shared" si="11"/>
        <v>0</v>
      </c>
    </row>
    <row r="375" spans="1:13" ht="171.6" x14ac:dyDescent="0.3">
      <c r="A375" s="18" t="s">
        <v>130</v>
      </c>
      <c r="B375" s="18" t="s">
        <v>130</v>
      </c>
      <c r="C375" s="18" t="s">
        <v>748</v>
      </c>
      <c r="D375" s="18" t="s">
        <v>16</v>
      </c>
      <c r="E375" s="18" t="str">
        <f>IFERROR(VLOOKUP(TRIM(D375), Collection!$B$2:$D$1001, 2, FALSE), "")</f>
        <v>Overseas chronograph</v>
      </c>
      <c r="F375" s="21" t="str">
        <f>IFERROR(VLOOKUP(TRIM(D375), Collection!$B$2:$D$1001, 3, FALSE), "")</f>
        <v>135,000 AED</v>
      </c>
      <c r="G375" s="21">
        <f t="shared" si="10"/>
        <v>135000</v>
      </c>
      <c r="H375" s="18" t="s">
        <v>58</v>
      </c>
      <c r="I375" s="18">
        <v>101467474</v>
      </c>
      <c r="J375" s="18" t="s">
        <v>59</v>
      </c>
      <c r="K375" s="18" t="s">
        <v>67</v>
      </c>
      <c r="L375" s="18" t="s">
        <v>1163</v>
      </c>
      <c r="M375" s="18" t="b">
        <f t="shared" si="11"/>
        <v>0</v>
      </c>
    </row>
    <row r="376" spans="1:13" ht="31.2" x14ac:dyDescent="0.3">
      <c r="A376" s="18" t="s">
        <v>55</v>
      </c>
      <c r="B376" s="18" t="s">
        <v>980</v>
      </c>
      <c r="C376" s="19">
        <v>45635</v>
      </c>
      <c r="D376" s="18" t="s">
        <v>22</v>
      </c>
      <c r="E376" s="18" t="str">
        <f>IFERROR(VLOOKUP(TRIM(D376), Collection!$B$2:$D$1001, 2, FALSE), "")</f>
        <v>Overseas dual time Blue</v>
      </c>
      <c r="F376" s="21" t="str">
        <f>IFERROR(VLOOKUP(TRIM(D376), Collection!$B$2:$D$1001, 3, FALSE), "")</f>
        <v>117,000 AED</v>
      </c>
      <c r="G376" s="21">
        <f t="shared" si="10"/>
        <v>117000</v>
      </c>
      <c r="H376" s="18" t="s">
        <v>58</v>
      </c>
      <c r="I376" s="18">
        <v>92400340</v>
      </c>
      <c r="J376" s="18" t="s">
        <v>114</v>
      </c>
      <c r="K376" s="18" t="s">
        <v>67</v>
      </c>
      <c r="L376" s="18" t="s">
        <v>980</v>
      </c>
      <c r="M376" s="18" t="b">
        <f t="shared" si="11"/>
        <v>0</v>
      </c>
    </row>
    <row r="377" spans="1:13" ht="78" x14ac:dyDescent="0.3">
      <c r="A377" s="18" t="s">
        <v>55</v>
      </c>
      <c r="B377" s="18" t="s">
        <v>564</v>
      </c>
      <c r="C377" s="19">
        <v>45574</v>
      </c>
      <c r="D377" s="18" t="s">
        <v>22</v>
      </c>
      <c r="E377" s="18" t="str">
        <f>IFERROR(VLOOKUP(TRIM(D377), Collection!$B$2:$D$1001, 2, FALSE), "")</f>
        <v>Overseas dual time Blue</v>
      </c>
      <c r="F377" s="21" t="str">
        <f>IFERROR(VLOOKUP(TRIM(D377), Collection!$B$2:$D$1001, 3, FALSE), "")</f>
        <v>117,000 AED</v>
      </c>
      <c r="G377" s="21">
        <f t="shared" si="10"/>
        <v>117000</v>
      </c>
      <c r="H377" s="18" t="s">
        <v>58</v>
      </c>
      <c r="I377" s="18">
        <v>101319151</v>
      </c>
      <c r="J377" s="18" t="s">
        <v>59</v>
      </c>
      <c r="K377" s="18" t="s">
        <v>67</v>
      </c>
      <c r="L377" s="18" t="s">
        <v>1164</v>
      </c>
      <c r="M377" s="18" t="b">
        <f t="shared" si="11"/>
        <v>0</v>
      </c>
    </row>
    <row r="378" spans="1:13" ht="78" x14ac:dyDescent="0.3">
      <c r="A378" s="18" t="s">
        <v>55</v>
      </c>
      <c r="B378" s="18" t="s">
        <v>980</v>
      </c>
      <c r="C378" s="19">
        <v>45574</v>
      </c>
      <c r="D378" s="18" t="s">
        <v>30</v>
      </c>
      <c r="E378" s="18" t="str">
        <f>IFERROR(VLOOKUP(TRIM(D378), Collection!$B$2:$D$1001, 2, FALSE), "")</f>
        <v>Overseas self-winding</v>
      </c>
      <c r="F378" s="21" t="str">
        <f>IFERROR(VLOOKUP(TRIM(D378), Collection!$B$2:$D$1001, 3, FALSE), "")</f>
        <v>229,000 AED</v>
      </c>
      <c r="G378" s="21">
        <f t="shared" si="10"/>
        <v>229000</v>
      </c>
      <c r="H378" s="18" t="s">
        <v>58</v>
      </c>
      <c r="I378" s="18">
        <v>100995935</v>
      </c>
      <c r="J378" s="18" t="s">
        <v>59</v>
      </c>
      <c r="K378" s="18" t="s">
        <v>60</v>
      </c>
      <c r="L378" s="18" t="s">
        <v>1165</v>
      </c>
      <c r="M378" s="18" t="b">
        <f t="shared" si="11"/>
        <v>0</v>
      </c>
    </row>
    <row r="379" spans="1:13" ht="62.4" x14ac:dyDescent="0.3">
      <c r="A379" s="18" t="s">
        <v>55</v>
      </c>
      <c r="B379" s="18" t="s">
        <v>980</v>
      </c>
      <c r="C379" s="19">
        <v>45574</v>
      </c>
      <c r="D379" s="18" t="s">
        <v>35</v>
      </c>
      <c r="E379" s="18" t="str">
        <f>IFERROR(VLOOKUP(TRIM(D379), Collection!$B$2:$D$1001, 2, FALSE), "")</f>
        <v>Overseas self-winding</v>
      </c>
      <c r="F379" s="21" t="str">
        <f>IFERROR(VLOOKUP(TRIM(D379), Collection!$B$2:$D$1001, 3, FALSE), "")</f>
        <v>94,500 AED</v>
      </c>
      <c r="G379" s="21">
        <f t="shared" si="10"/>
        <v>94500</v>
      </c>
      <c r="H379" s="18" t="s">
        <v>58</v>
      </c>
      <c r="I379" s="18">
        <v>100995935</v>
      </c>
      <c r="J379" s="18" t="s">
        <v>59</v>
      </c>
      <c r="K379" s="18" t="s">
        <v>60</v>
      </c>
      <c r="L379" s="18" t="s">
        <v>1166</v>
      </c>
      <c r="M379" s="18" t="b">
        <f t="shared" si="11"/>
        <v>0</v>
      </c>
    </row>
    <row r="380" spans="1:13" ht="31.2" x14ac:dyDescent="0.3">
      <c r="A380" s="18" t="s">
        <v>55</v>
      </c>
      <c r="B380" s="18" t="s">
        <v>980</v>
      </c>
      <c r="C380" s="19">
        <v>45574</v>
      </c>
      <c r="D380" s="18" t="s">
        <v>22</v>
      </c>
      <c r="E380" s="18" t="str">
        <f>IFERROR(VLOOKUP(TRIM(D380), Collection!$B$2:$D$1001, 2, FALSE), "")</f>
        <v>Overseas dual time Blue</v>
      </c>
      <c r="F380" s="21" t="str">
        <f>IFERROR(VLOOKUP(TRIM(D380), Collection!$B$2:$D$1001, 3, FALSE), "")</f>
        <v>117,000 AED</v>
      </c>
      <c r="G380" s="21">
        <f t="shared" si="10"/>
        <v>117000</v>
      </c>
      <c r="H380" s="18" t="s">
        <v>58</v>
      </c>
      <c r="I380" s="18">
        <v>101424152</v>
      </c>
      <c r="J380" s="18" t="s">
        <v>59</v>
      </c>
      <c r="K380" s="18" t="s">
        <v>70</v>
      </c>
      <c r="L380" s="18" t="s">
        <v>980</v>
      </c>
      <c r="M380" s="18" t="b">
        <f t="shared" si="11"/>
        <v>0</v>
      </c>
    </row>
    <row r="381" spans="1:13" ht="31.2" x14ac:dyDescent="0.3">
      <c r="A381" s="18" t="s">
        <v>55</v>
      </c>
      <c r="B381" s="18" t="s">
        <v>980</v>
      </c>
      <c r="C381" s="19">
        <v>45574</v>
      </c>
      <c r="D381" s="18" t="s">
        <v>35</v>
      </c>
      <c r="E381" s="18" t="str">
        <f>IFERROR(VLOOKUP(TRIM(D381), Collection!$B$2:$D$1001, 2, FALSE), "")</f>
        <v>Overseas self-winding</v>
      </c>
      <c r="F381" s="21" t="str">
        <f>IFERROR(VLOOKUP(TRIM(D381), Collection!$B$2:$D$1001, 3, FALSE), "")</f>
        <v>94,500 AED</v>
      </c>
      <c r="G381" s="21">
        <f t="shared" si="10"/>
        <v>94500</v>
      </c>
      <c r="H381" s="18" t="s">
        <v>58</v>
      </c>
      <c r="I381" s="18">
        <v>101413931</v>
      </c>
      <c r="J381" s="18" t="s">
        <v>59</v>
      </c>
      <c r="K381" s="18" t="s">
        <v>60</v>
      </c>
      <c r="L381" s="18" t="s">
        <v>1167</v>
      </c>
      <c r="M381" s="18" t="b">
        <f t="shared" si="11"/>
        <v>0</v>
      </c>
    </row>
    <row r="382" spans="1:13" ht="46.8" x14ac:dyDescent="0.3">
      <c r="A382" s="18" t="s">
        <v>55</v>
      </c>
      <c r="B382" s="18" t="s">
        <v>980</v>
      </c>
      <c r="C382" s="19">
        <v>45574</v>
      </c>
      <c r="D382" s="18" t="s">
        <v>761</v>
      </c>
      <c r="E382" s="18" t="str">
        <f>IFERROR(VLOOKUP(TRIM(D382), Collection!$B$2:$D$1001, 2, FALSE), "")</f>
        <v>Fiftysix self-winding</v>
      </c>
      <c r="F382" s="21" t="str">
        <f>IFERROR(VLOOKUP(TRIM(D382), Collection!$B$2:$D$1001, 3, FALSE), "")</f>
        <v>58,500 AED</v>
      </c>
      <c r="G382" s="21">
        <f t="shared" si="10"/>
        <v>58500</v>
      </c>
      <c r="H382" s="18" t="s">
        <v>58</v>
      </c>
      <c r="I382" s="18">
        <v>101413931</v>
      </c>
      <c r="J382" s="18" t="s">
        <v>59</v>
      </c>
      <c r="K382" s="18" t="s">
        <v>60</v>
      </c>
      <c r="L382" s="18" t="s">
        <v>1168</v>
      </c>
      <c r="M382" s="18" t="b">
        <f t="shared" si="11"/>
        <v>0</v>
      </c>
    </row>
    <row r="383" spans="1:13" ht="62.4" x14ac:dyDescent="0.3">
      <c r="A383" s="18" t="s">
        <v>55</v>
      </c>
      <c r="B383" s="18" t="s">
        <v>980</v>
      </c>
      <c r="C383" s="19">
        <v>45574</v>
      </c>
      <c r="D383" s="18" t="s">
        <v>75</v>
      </c>
      <c r="E383" s="18" t="str">
        <f>IFERROR(VLOOKUP(TRIM(D383), Collection!$B$2:$D$1001, 2, FALSE), "")</f>
        <v>Overseas self-winding</v>
      </c>
      <c r="F383" s="21" t="str">
        <f>IFERROR(VLOOKUP(TRIM(D383), Collection!$B$2:$D$1001, 3, FALSE), "")</f>
        <v>94,500 AED</v>
      </c>
      <c r="G383" s="21">
        <f t="shared" si="10"/>
        <v>94500</v>
      </c>
      <c r="H383" s="18" t="s">
        <v>58</v>
      </c>
      <c r="I383" s="18">
        <v>101413931</v>
      </c>
      <c r="J383" s="18" t="s">
        <v>59</v>
      </c>
      <c r="K383" s="18" t="s">
        <v>60</v>
      </c>
      <c r="L383" s="18" t="s">
        <v>1169</v>
      </c>
      <c r="M383" s="18" t="b">
        <f t="shared" si="11"/>
        <v>0</v>
      </c>
    </row>
    <row r="384" spans="1:13" ht="46.8" x14ac:dyDescent="0.3">
      <c r="A384" s="18" t="s">
        <v>55</v>
      </c>
      <c r="B384" s="18" t="s">
        <v>980</v>
      </c>
      <c r="C384" s="19">
        <v>45574</v>
      </c>
      <c r="D384" s="18" t="s">
        <v>75</v>
      </c>
      <c r="E384" s="18" t="str">
        <f>IFERROR(VLOOKUP(TRIM(D384), Collection!$B$2:$D$1001, 2, FALSE), "")</f>
        <v>Overseas self-winding</v>
      </c>
      <c r="F384" s="21" t="str">
        <f>IFERROR(VLOOKUP(TRIM(D384), Collection!$B$2:$D$1001, 3, FALSE), "")</f>
        <v>94,500 AED</v>
      </c>
      <c r="G384" s="21">
        <f t="shared" si="10"/>
        <v>94500</v>
      </c>
      <c r="H384" s="18" t="s">
        <v>58</v>
      </c>
      <c r="I384" s="18">
        <v>101413931</v>
      </c>
      <c r="J384" s="18" t="s">
        <v>59</v>
      </c>
      <c r="K384" s="18" t="s">
        <v>60</v>
      </c>
      <c r="L384" s="18" t="s">
        <v>1170</v>
      </c>
      <c r="M384" s="18" t="b">
        <f t="shared" si="11"/>
        <v>0</v>
      </c>
    </row>
    <row r="385" spans="1:13" ht="46.8" x14ac:dyDescent="0.3">
      <c r="A385" s="18" t="s">
        <v>55</v>
      </c>
      <c r="B385" s="18" t="s">
        <v>980</v>
      </c>
      <c r="C385" s="19">
        <v>45574</v>
      </c>
      <c r="D385" s="18" t="s">
        <v>35</v>
      </c>
      <c r="E385" s="18" t="str">
        <f>IFERROR(VLOOKUP(TRIM(D385), Collection!$B$2:$D$1001, 2, FALSE), "")</f>
        <v>Overseas self-winding</v>
      </c>
      <c r="F385" s="21" t="str">
        <f>IFERROR(VLOOKUP(TRIM(D385), Collection!$B$2:$D$1001, 3, FALSE), "")</f>
        <v>94,500 AED</v>
      </c>
      <c r="G385" s="21">
        <f t="shared" si="10"/>
        <v>94500</v>
      </c>
      <c r="H385" s="18" t="s">
        <v>58</v>
      </c>
      <c r="I385" s="18">
        <v>101467308</v>
      </c>
      <c r="J385" s="18" t="s">
        <v>59</v>
      </c>
      <c r="K385" s="18" t="s">
        <v>60</v>
      </c>
      <c r="L385" s="18" t="s">
        <v>1171</v>
      </c>
      <c r="M385" s="18" t="b">
        <f t="shared" si="11"/>
        <v>0</v>
      </c>
    </row>
    <row r="386" spans="1:13" ht="46.8" x14ac:dyDescent="0.3">
      <c r="A386" s="18" t="s">
        <v>55</v>
      </c>
      <c r="B386" s="18" t="s">
        <v>95</v>
      </c>
      <c r="C386" s="19">
        <v>45574</v>
      </c>
      <c r="D386" s="18" t="s">
        <v>162</v>
      </c>
      <c r="E386" s="18" t="str">
        <f>IFERROR(VLOOKUP(TRIM(D386), Collection!$B$2:$D$1001, 2, FALSE), "")</f>
        <v>Fiftysix self-winding</v>
      </c>
      <c r="F386" s="21" t="str">
        <f>IFERROR(VLOOKUP(TRIM(D386), Collection!$B$2:$D$1001, 3, FALSE), "")</f>
        <v>96,500 AED</v>
      </c>
      <c r="G386" s="21">
        <f t="shared" ref="G386:G449" si="12">IFERROR(VALUE(SUBSTITUTE(SUBSTITUTE(F386, "Price", ""), "AED", "")), "")</f>
        <v>96500</v>
      </c>
      <c r="H386" s="18" t="s">
        <v>58</v>
      </c>
      <c r="I386" s="18">
        <v>101467913</v>
      </c>
      <c r="J386" s="18" t="s">
        <v>59</v>
      </c>
      <c r="K386" s="18" t="s">
        <v>60</v>
      </c>
      <c r="L386" s="18" t="s">
        <v>1172</v>
      </c>
      <c r="M386" s="18" t="b">
        <f t="shared" ref="M386:M449" si="13">IF(COUNTIF($R$3:$R$100, D386) &gt; 0, TRUE, FALSE)</f>
        <v>0</v>
      </c>
    </row>
    <row r="387" spans="1:13" ht="31.2" x14ac:dyDescent="0.3">
      <c r="A387" s="18" t="s">
        <v>55</v>
      </c>
      <c r="B387" s="18" t="s">
        <v>980</v>
      </c>
      <c r="C387" s="19">
        <v>45482</v>
      </c>
      <c r="D387" s="18" t="s">
        <v>22</v>
      </c>
      <c r="E387" s="18" t="str">
        <f>IFERROR(VLOOKUP(TRIM(D387), Collection!$B$2:$D$1001, 2, FALSE), "")</f>
        <v>Overseas dual time Blue</v>
      </c>
      <c r="F387" s="21" t="str">
        <f>IFERROR(VLOOKUP(TRIM(D387), Collection!$B$2:$D$1001, 3, FALSE), "")</f>
        <v>117,000 AED</v>
      </c>
      <c r="G387" s="21">
        <f t="shared" si="12"/>
        <v>117000</v>
      </c>
      <c r="H387" s="18" t="s">
        <v>58</v>
      </c>
      <c r="I387" s="18">
        <v>101428000</v>
      </c>
      <c r="J387" s="18" t="s">
        <v>59</v>
      </c>
      <c r="K387" s="18" t="s">
        <v>67</v>
      </c>
      <c r="L387" s="18" t="s">
        <v>980</v>
      </c>
      <c r="M387" s="18" t="b">
        <f t="shared" si="13"/>
        <v>0</v>
      </c>
    </row>
    <row r="388" spans="1:13" ht="31.2" x14ac:dyDescent="0.3">
      <c r="A388" s="18" t="s">
        <v>55</v>
      </c>
      <c r="B388" s="18" t="s">
        <v>980</v>
      </c>
      <c r="C388" s="19">
        <v>45482</v>
      </c>
      <c r="D388" s="18" t="s">
        <v>35</v>
      </c>
      <c r="E388" s="18" t="str">
        <f>IFERROR(VLOOKUP(TRIM(D388), Collection!$B$2:$D$1001, 2, FALSE), "")</f>
        <v>Overseas self-winding</v>
      </c>
      <c r="F388" s="21" t="str">
        <f>IFERROR(VLOOKUP(TRIM(D388), Collection!$B$2:$D$1001, 3, FALSE), "")</f>
        <v>94,500 AED</v>
      </c>
      <c r="G388" s="21">
        <f t="shared" si="12"/>
        <v>94500</v>
      </c>
      <c r="H388" s="18" t="s">
        <v>58</v>
      </c>
      <c r="I388" s="18">
        <v>101428000</v>
      </c>
      <c r="J388" s="18" t="s">
        <v>59</v>
      </c>
      <c r="K388" s="18" t="s">
        <v>67</v>
      </c>
      <c r="L388" s="18" t="s">
        <v>980</v>
      </c>
      <c r="M388" s="18" t="b">
        <f t="shared" si="13"/>
        <v>0</v>
      </c>
    </row>
    <row r="389" spans="1:13" ht="46.8" x14ac:dyDescent="0.3">
      <c r="A389" s="18" t="s">
        <v>55</v>
      </c>
      <c r="B389" s="18" t="s">
        <v>980</v>
      </c>
      <c r="C389" s="19">
        <v>45421</v>
      </c>
      <c r="D389" s="18" t="s">
        <v>29</v>
      </c>
      <c r="E389" s="18" t="str">
        <f>IFERROR(VLOOKUP(TRIM(D389), Collection!$B$2:$D$1001, 2, FALSE), "")</f>
        <v>Fiftysix self-winding</v>
      </c>
      <c r="F389" s="21" t="str">
        <f>IFERROR(VLOOKUP(TRIM(D389), Collection!$B$2:$D$1001, 3, FALSE), "")</f>
        <v>48,000 AED</v>
      </c>
      <c r="G389" s="21">
        <f t="shared" si="12"/>
        <v>48000</v>
      </c>
      <c r="H389" s="18" t="s">
        <v>58</v>
      </c>
      <c r="I389" s="18">
        <v>101369992</v>
      </c>
      <c r="J389" s="18" t="s">
        <v>59</v>
      </c>
      <c r="K389" s="18" t="s">
        <v>60</v>
      </c>
      <c r="L389" s="18" t="s">
        <v>1173</v>
      </c>
      <c r="M389" s="18" t="b">
        <f t="shared" si="13"/>
        <v>1</v>
      </c>
    </row>
    <row r="390" spans="1:13" ht="78" x14ac:dyDescent="0.3">
      <c r="A390" s="18" t="s">
        <v>55</v>
      </c>
      <c r="B390" s="18" t="s">
        <v>980</v>
      </c>
      <c r="C390" s="19">
        <v>45391</v>
      </c>
      <c r="D390" s="18" t="s">
        <v>75</v>
      </c>
      <c r="E390" s="18" t="str">
        <f>IFERROR(VLOOKUP(TRIM(D390), Collection!$B$2:$D$1001, 2, FALSE), "")</f>
        <v>Overseas self-winding</v>
      </c>
      <c r="F390" s="21" t="str">
        <f>IFERROR(VLOOKUP(TRIM(D390), Collection!$B$2:$D$1001, 3, FALSE), "")</f>
        <v>94,500 AED</v>
      </c>
      <c r="G390" s="21">
        <f t="shared" si="12"/>
        <v>94500</v>
      </c>
      <c r="H390" s="18" t="s">
        <v>58</v>
      </c>
      <c r="I390" s="18">
        <v>101314200</v>
      </c>
      <c r="J390" s="18" t="s">
        <v>59</v>
      </c>
      <c r="K390" s="18" t="s">
        <v>60</v>
      </c>
      <c r="L390" s="18" t="s">
        <v>1174</v>
      </c>
      <c r="M390" s="18" t="b">
        <f t="shared" si="13"/>
        <v>0</v>
      </c>
    </row>
    <row r="391" spans="1:13" ht="124.8" x14ac:dyDescent="0.3">
      <c r="A391" s="18" t="s">
        <v>55</v>
      </c>
      <c r="B391" s="18" t="s">
        <v>95</v>
      </c>
      <c r="C391" s="19">
        <v>45391</v>
      </c>
      <c r="D391" s="18" t="s">
        <v>162</v>
      </c>
      <c r="E391" s="18" t="str">
        <f>IFERROR(VLOOKUP(TRIM(D391), Collection!$B$2:$D$1001, 2, FALSE), "")</f>
        <v>Fiftysix self-winding</v>
      </c>
      <c r="F391" s="21" t="str">
        <f>IFERROR(VLOOKUP(TRIM(D391), Collection!$B$2:$D$1001, 3, FALSE), "")</f>
        <v>96,500 AED</v>
      </c>
      <c r="G391" s="21">
        <f t="shared" si="12"/>
        <v>96500</v>
      </c>
      <c r="H391" s="18" t="s">
        <v>58</v>
      </c>
      <c r="I391" s="18">
        <v>101314200</v>
      </c>
      <c r="J391" s="18" t="s">
        <v>59</v>
      </c>
      <c r="K391" s="18" t="s">
        <v>60</v>
      </c>
      <c r="L391" s="18" t="s">
        <v>1175</v>
      </c>
      <c r="M391" s="18" t="b">
        <f t="shared" si="13"/>
        <v>0</v>
      </c>
    </row>
    <row r="392" spans="1:13" ht="31.2" x14ac:dyDescent="0.3">
      <c r="A392" s="18" t="s">
        <v>130</v>
      </c>
      <c r="B392" s="18" t="s">
        <v>130</v>
      </c>
      <c r="C392" s="19">
        <v>45391</v>
      </c>
      <c r="D392" s="18" t="s">
        <v>29</v>
      </c>
      <c r="E392" s="18" t="str">
        <f>IFERROR(VLOOKUP(TRIM(D392), Collection!$B$2:$D$1001, 2, FALSE), "")</f>
        <v>Fiftysix self-winding</v>
      </c>
      <c r="F392" s="21" t="str">
        <f>IFERROR(VLOOKUP(TRIM(D392), Collection!$B$2:$D$1001, 3, FALSE), "")</f>
        <v>48,000 AED</v>
      </c>
      <c r="G392" s="21">
        <f t="shared" si="12"/>
        <v>48000</v>
      </c>
      <c r="H392" s="18" t="s">
        <v>58</v>
      </c>
      <c r="I392" s="18">
        <v>101009393</v>
      </c>
      <c r="J392" s="18" t="s">
        <v>59</v>
      </c>
      <c r="K392" s="18" t="s">
        <v>67</v>
      </c>
      <c r="L392" s="18" t="s">
        <v>980</v>
      </c>
      <c r="M392" s="18" t="b">
        <f t="shared" si="13"/>
        <v>1</v>
      </c>
    </row>
    <row r="393" spans="1:13" ht="31.2" x14ac:dyDescent="0.3">
      <c r="A393" s="18" t="s">
        <v>130</v>
      </c>
      <c r="B393" s="18" t="s">
        <v>130</v>
      </c>
      <c r="C393" s="19">
        <v>45360</v>
      </c>
      <c r="D393" s="18" t="s">
        <v>22</v>
      </c>
      <c r="E393" s="18" t="str">
        <f>IFERROR(VLOOKUP(TRIM(D393), Collection!$B$2:$D$1001, 2, FALSE), "")</f>
        <v>Overseas dual time Blue</v>
      </c>
      <c r="F393" s="21" t="str">
        <f>IFERROR(VLOOKUP(TRIM(D393), Collection!$B$2:$D$1001, 3, FALSE), "")</f>
        <v>117,000 AED</v>
      </c>
      <c r="G393" s="21">
        <f t="shared" si="12"/>
        <v>117000</v>
      </c>
      <c r="H393" s="18" t="s">
        <v>58</v>
      </c>
      <c r="I393" s="18">
        <v>101364406</v>
      </c>
      <c r="J393" s="18" t="s">
        <v>59</v>
      </c>
      <c r="K393" s="18" t="s">
        <v>67</v>
      </c>
      <c r="L393" s="18" t="s">
        <v>980</v>
      </c>
      <c r="M393" s="18" t="b">
        <f t="shared" si="13"/>
        <v>0</v>
      </c>
    </row>
    <row r="394" spans="1:13" ht="46.8" x14ac:dyDescent="0.3">
      <c r="A394" s="18" t="s">
        <v>55</v>
      </c>
      <c r="B394" s="18" t="s">
        <v>980</v>
      </c>
      <c r="C394" s="18" t="s">
        <v>780</v>
      </c>
      <c r="D394" s="18" t="s">
        <v>75</v>
      </c>
      <c r="E394" s="18" t="str">
        <f>IFERROR(VLOOKUP(TRIM(D394), Collection!$B$2:$D$1001, 2, FALSE), "")</f>
        <v>Overseas self-winding</v>
      </c>
      <c r="F394" s="21" t="str">
        <f>IFERROR(VLOOKUP(TRIM(D394), Collection!$B$2:$D$1001, 3, FALSE), "")</f>
        <v>94,500 AED</v>
      </c>
      <c r="G394" s="21">
        <f t="shared" si="12"/>
        <v>94500</v>
      </c>
      <c r="H394" s="18" t="s">
        <v>58</v>
      </c>
      <c r="I394" s="18">
        <v>101314200</v>
      </c>
      <c r="J394" s="18" t="s">
        <v>59</v>
      </c>
      <c r="K394" s="18" t="s">
        <v>60</v>
      </c>
      <c r="L394" s="18" t="s">
        <v>1176</v>
      </c>
      <c r="M394" s="18" t="b">
        <f t="shared" si="13"/>
        <v>0</v>
      </c>
    </row>
    <row r="395" spans="1:13" ht="31.2" x14ac:dyDescent="0.3">
      <c r="A395" s="18" t="s">
        <v>55</v>
      </c>
      <c r="B395" s="18" t="s">
        <v>980</v>
      </c>
      <c r="C395" s="18" t="s">
        <v>782</v>
      </c>
      <c r="D395" s="18" t="s">
        <v>22</v>
      </c>
      <c r="E395" s="18" t="str">
        <f>IFERROR(VLOOKUP(TRIM(D395), Collection!$B$2:$D$1001, 2, FALSE), "")</f>
        <v>Overseas dual time Blue</v>
      </c>
      <c r="F395" s="21" t="str">
        <f>IFERROR(VLOOKUP(TRIM(D395), Collection!$B$2:$D$1001, 3, FALSE), "")</f>
        <v>117,000 AED</v>
      </c>
      <c r="G395" s="21">
        <f t="shared" si="12"/>
        <v>117000</v>
      </c>
      <c r="H395" s="18" t="s">
        <v>58</v>
      </c>
      <c r="I395" s="18">
        <v>101302751</v>
      </c>
      <c r="J395" s="18" t="s">
        <v>59</v>
      </c>
      <c r="K395" s="18" t="s">
        <v>67</v>
      </c>
      <c r="L395" s="18"/>
      <c r="M395" s="18" t="b">
        <f t="shared" si="13"/>
        <v>0</v>
      </c>
    </row>
    <row r="396" spans="1:13" ht="31.2" x14ac:dyDescent="0.3">
      <c r="A396" s="18" t="s">
        <v>55</v>
      </c>
      <c r="B396" s="18" t="s">
        <v>980</v>
      </c>
      <c r="C396" s="18" t="s">
        <v>784</v>
      </c>
      <c r="D396" s="18" t="s">
        <v>35</v>
      </c>
      <c r="E396" s="18" t="str">
        <f>IFERROR(VLOOKUP(TRIM(D396), Collection!$B$2:$D$1001, 2, FALSE), "")</f>
        <v>Overseas self-winding</v>
      </c>
      <c r="F396" s="21" t="str">
        <f>IFERROR(VLOOKUP(TRIM(D396), Collection!$B$2:$D$1001, 3, FALSE), "")</f>
        <v>94,500 AED</v>
      </c>
      <c r="G396" s="21">
        <f t="shared" si="12"/>
        <v>94500</v>
      </c>
      <c r="H396" s="18" t="s">
        <v>58</v>
      </c>
      <c r="I396" s="18">
        <v>101283226</v>
      </c>
      <c r="J396" s="18" t="s">
        <v>59</v>
      </c>
      <c r="K396" s="18" t="s">
        <v>70</v>
      </c>
      <c r="L396" s="18" t="s">
        <v>1177</v>
      </c>
      <c r="M396" s="18" t="b">
        <f t="shared" si="13"/>
        <v>0</v>
      </c>
    </row>
    <row r="397" spans="1:13" ht="46.8" x14ac:dyDescent="0.3">
      <c r="A397" s="18" t="s">
        <v>130</v>
      </c>
      <c r="B397" s="18" t="s">
        <v>130</v>
      </c>
      <c r="C397" s="18" t="s">
        <v>787</v>
      </c>
      <c r="D397" s="18" t="s">
        <v>14</v>
      </c>
      <c r="E397" s="18" t="str">
        <f>IFERROR(VLOOKUP(TRIM(D397), Collection!$B$2:$D$1001, 2, FALSE), "")</f>
        <v>Overseas quartz</v>
      </c>
      <c r="F397" s="21" t="str">
        <f>IFERROR(VLOOKUP(TRIM(D397), Collection!$B$2:$D$1001, 3, FALSE), "")</f>
        <v>62,500 AED</v>
      </c>
      <c r="G397" s="21">
        <f t="shared" si="12"/>
        <v>62500</v>
      </c>
      <c r="H397" s="18" t="s">
        <v>58</v>
      </c>
      <c r="I397" s="18">
        <v>101220865</v>
      </c>
      <c r="J397" s="18" t="s">
        <v>59</v>
      </c>
      <c r="K397" s="18" t="s">
        <v>60</v>
      </c>
      <c r="L397" s="18" t="s">
        <v>1178</v>
      </c>
      <c r="M397" s="18" t="b">
        <f t="shared" si="13"/>
        <v>0</v>
      </c>
    </row>
    <row r="398" spans="1:13" ht="93.6" x14ac:dyDescent="0.3">
      <c r="A398" s="18" t="s">
        <v>55</v>
      </c>
      <c r="B398" s="18" t="s">
        <v>980</v>
      </c>
      <c r="C398" s="18" t="s">
        <v>790</v>
      </c>
      <c r="D398" s="18" t="s">
        <v>35</v>
      </c>
      <c r="E398" s="18" t="str">
        <f>IFERROR(VLOOKUP(TRIM(D398), Collection!$B$2:$D$1001, 2, FALSE), "")</f>
        <v>Overseas self-winding</v>
      </c>
      <c r="F398" s="21" t="str">
        <f>IFERROR(VLOOKUP(TRIM(D398), Collection!$B$2:$D$1001, 3, FALSE), "")</f>
        <v>94,500 AED</v>
      </c>
      <c r="G398" s="21">
        <f t="shared" si="12"/>
        <v>94500</v>
      </c>
      <c r="H398" s="18" t="s">
        <v>58</v>
      </c>
      <c r="I398" s="18">
        <v>101145972</v>
      </c>
      <c r="J398" s="18" t="s">
        <v>59</v>
      </c>
      <c r="K398" s="18" t="s">
        <v>60</v>
      </c>
      <c r="L398" s="18" t="s">
        <v>1179</v>
      </c>
      <c r="M398" s="18" t="b">
        <f t="shared" si="13"/>
        <v>0</v>
      </c>
    </row>
    <row r="399" spans="1:13" ht="31.2" x14ac:dyDescent="0.3">
      <c r="A399" s="18" t="s">
        <v>55</v>
      </c>
      <c r="B399" s="18" t="s">
        <v>980</v>
      </c>
      <c r="C399" s="18" t="s">
        <v>793</v>
      </c>
      <c r="D399" s="18" t="s">
        <v>35</v>
      </c>
      <c r="E399" s="18" t="str">
        <f>IFERROR(VLOOKUP(TRIM(D399), Collection!$B$2:$D$1001, 2, FALSE), "")</f>
        <v>Overseas self-winding</v>
      </c>
      <c r="F399" s="21" t="str">
        <f>IFERROR(VLOOKUP(TRIM(D399), Collection!$B$2:$D$1001, 3, FALSE), "")</f>
        <v>94,500 AED</v>
      </c>
      <c r="G399" s="21">
        <f t="shared" si="12"/>
        <v>94500</v>
      </c>
      <c r="H399" s="18" t="s">
        <v>58</v>
      </c>
      <c r="I399" s="18">
        <v>101196299</v>
      </c>
      <c r="J399" s="18" t="s">
        <v>59</v>
      </c>
      <c r="K399" s="18" t="s">
        <v>67</v>
      </c>
      <c r="L399" s="18"/>
      <c r="M399" s="18" t="b">
        <f t="shared" si="13"/>
        <v>0</v>
      </c>
    </row>
    <row r="400" spans="1:13" ht="78" x14ac:dyDescent="0.3">
      <c r="A400" s="18" t="s">
        <v>55</v>
      </c>
      <c r="B400" s="18" t="s">
        <v>95</v>
      </c>
      <c r="C400" s="18" t="s">
        <v>795</v>
      </c>
      <c r="D400" s="18" t="s">
        <v>36</v>
      </c>
      <c r="E400" s="18" t="str">
        <f>IFERROR(VLOOKUP(TRIM(D400), Collection!$B$2:$D$1001, 2, FALSE), "")</f>
        <v>Overseas chronograph Pink Gold</v>
      </c>
      <c r="F400" s="21" t="str">
        <f>IFERROR(VLOOKUP(TRIM(D400), Collection!$B$2:$D$1001, 3, FALSE), "")</f>
        <v>299,000 AED</v>
      </c>
      <c r="G400" s="21">
        <f t="shared" si="12"/>
        <v>299000</v>
      </c>
      <c r="H400" s="18" t="s">
        <v>58</v>
      </c>
      <c r="I400" s="18">
        <v>101110183</v>
      </c>
      <c r="J400" s="18" t="s">
        <v>59</v>
      </c>
      <c r="K400" s="18" t="s">
        <v>60</v>
      </c>
      <c r="L400" s="18" t="s">
        <v>1180</v>
      </c>
      <c r="M400" s="18" t="b">
        <f t="shared" si="13"/>
        <v>1</v>
      </c>
    </row>
    <row r="401" spans="1:13" ht="93.6" x14ac:dyDescent="0.3">
      <c r="A401" s="18" t="s">
        <v>55</v>
      </c>
      <c r="B401" s="18" t="s">
        <v>980</v>
      </c>
      <c r="C401" s="18" t="s">
        <v>798</v>
      </c>
      <c r="D401" s="18" t="s">
        <v>552</v>
      </c>
      <c r="E401" s="18" t="str">
        <f>IFERROR(VLOOKUP(TRIM(D401), Collection!$B$2:$D$1001, 2, FALSE), "")</f>
        <v>Overseas chronograph</v>
      </c>
      <c r="F401" s="21" t="str">
        <f>IFERROR(VLOOKUP(TRIM(D401), Collection!$B$2:$D$1001, 3, FALSE), "")</f>
        <v>135,000 AED</v>
      </c>
      <c r="G401" s="21">
        <f t="shared" si="12"/>
        <v>135000</v>
      </c>
      <c r="H401" s="18" t="s">
        <v>58</v>
      </c>
      <c r="I401" s="18">
        <v>101104408</v>
      </c>
      <c r="J401" s="18" t="s">
        <v>59</v>
      </c>
      <c r="K401" s="18" t="s">
        <v>60</v>
      </c>
      <c r="L401" s="18" t="s">
        <v>1181</v>
      </c>
      <c r="M401" s="18" t="b">
        <f t="shared" si="13"/>
        <v>0</v>
      </c>
    </row>
    <row r="402" spans="1:13" ht="109.2" x14ac:dyDescent="0.3">
      <c r="A402" s="18" t="s">
        <v>130</v>
      </c>
      <c r="B402" s="18" t="s">
        <v>130</v>
      </c>
      <c r="C402" s="18" t="s">
        <v>798</v>
      </c>
      <c r="D402" s="18" t="s">
        <v>22</v>
      </c>
      <c r="E402" s="18" t="str">
        <f>IFERROR(VLOOKUP(TRIM(D402), Collection!$B$2:$D$1001, 2, FALSE), "")</f>
        <v>Overseas dual time Blue</v>
      </c>
      <c r="F402" s="21" t="str">
        <f>IFERROR(VLOOKUP(TRIM(D402), Collection!$B$2:$D$1001, 3, FALSE), "")</f>
        <v>117,000 AED</v>
      </c>
      <c r="G402" s="21">
        <f t="shared" si="12"/>
        <v>117000</v>
      </c>
      <c r="H402" s="18" t="s">
        <v>58</v>
      </c>
      <c r="I402" s="18">
        <v>101104467</v>
      </c>
      <c r="J402" s="18" t="s">
        <v>59</v>
      </c>
      <c r="K402" s="18" t="s">
        <v>67</v>
      </c>
      <c r="L402" s="18" t="s">
        <v>1182</v>
      </c>
      <c r="M402" s="18" t="b">
        <f t="shared" si="13"/>
        <v>0</v>
      </c>
    </row>
    <row r="403" spans="1:13" ht="109.2" x14ac:dyDescent="0.3">
      <c r="A403" s="18" t="s">
        <v>130</v>
      </c>
      <c r="B403" s="18" t="s">
        <v>130</v>
      </c>
      <c r="C403" s="18" t="s">
        <v>798</v>
      </c>
      <c r="D403" s="18" t="s">
        <v>107</v>
      </c>
      <c r="E403" s="18" t="str">
        <f>IFERROR(VLOOKUP(TRIM(D403), Collection!$B$2:$D$1001, 2, FALSE), "")</f>
        <v>Overseas chronograph</v>
      </c>
      <c r="F403" s="21" t="str">
        <f>IFERROR(VLOOKUP(TRIM(D403), Collection!$B$2:$D$1001, 3, FALSE), "")</f>
        <v>135,000 AED</v>
      </c>
      <c r="G403" s="21">
        <f t="shared" si="12"/>
        <v>135000</v>
      </c>
      <c r="H403" s="18" t="s">
        <v>58</v>
      </c>
      <c r="I403" s="18">
        <v>101104467</v>
      </c>
      <c r="J403" s="18" t="s">
        <v>59</v>
      </c>
      <c r="K403" s="18" t="s">
        <v>67</v>
      </c>
      <c r="L403" s="18" t="s">
        <v>1182</v>
      </c>
      <c r="M403" s="18" t="b">
        <f t="shared" si="13"/>
        <v>0</v>
      </c>
    </row>
    <row r="404" spans="1:13" ht="78" x14ac:dyDescent="0.3">
      <c r="A404" s="18" t="s">
        <v>130</v>
      </c>
      <c r="B404" s="18" t="s">
        <v>130</v>
      </c>
      <c r="C404" s="19">
        <v>45573</v>
      </c>
      <c r="D404" s="18" t="s">
        <v>37</v>
      </c>
      <c r="E404" s="18" t="str">
        <f>IFERROR(VLOOKUP(TRIM(D404), Collection!$B$2:$D$1001, 2, FALSE), "")</f>
        <v>Overseas moon phase retrograde date</v>
      </c>
      <c r="F404" s="21" t="str">
        <f>IFERROR(VLOOKUP(TRIM(D404), Collection!$B$2:$D$1001, 3, FALSE), "")</f>
        <v>166,000 AED</v>
      </c>
      <c r="G404" s="21">
        <f t="shared" si="12"/>
        <v>166000</v>
      </c>
      <c r="H404" s="18" t="s">
        <v>58</v>
      </c>
      <c r="I404" s="18">
        <v>101055665</v>
      </c>
      <c r="J404" s="18" t="s">
        <v>59</v>
      </c>
      <c r="K404" s="18" t="s">
        <v>67</v>
      </c>
      <c r="L404" s="18" t="s">
        <v>1183</v>
      </c>
      <c r="M404" s="18" t="b">
        <f t="shared" si="13"/>
        <v>0</v>
      </c>
    </row>
    <row r="405" spans="1:13" ht="109.2" x14ac:dyDescent="0.3">
      <c r="A405" s="18" t="s">
        <v>130</v>
      </c>
      <c r="B405" s="18" t="s">
        <v>130</v>
      </c>
      <c r="C405" s="19">
        <v>45512</v>
      </c>
      <c r="D405" s="18" t="s">
        <v>40</v>
      </c>
      <c r="E405" s="18" t="str">
        <f>IFERROR(VLOOKUP(TRIM(D405), Collection!$B$2:$D$1001, 2, FALSE), "")</f>
        <v>Overseas self-winding Green</v>
      </c>
      <c r="F405" s="21" t="str">
        <f>IFERROR(VLOOKUP(TRIM(D405), Collection!$B$2:$D$1001, 3, FALSE), "")</f>
        <v>229,000 AED</v>
      </c>
      <c r="G405" s="21">
        <f t="shared" si="12"/>
        <v>229000</v>
      </c>
      <c r="H405" s="18" t="s">
        <v>58</v>
      </c>
      <c r="I405" s="18">
        <v>101009517</v>
      </c>
      <c r="J405" s="18" t="s">
        <v>59</v>
      </c>
      <c r="K405" s="18" t="s">
        <v>67</v>
      </c>
      <c r="L405" s="18" t="s">
        <v>1184</v>
      </c>
      <c r="M405" s="18" t="b">
        <f t="shared" si="13"/>
        <v>0</v>
      </c>
    </row>
    <row r="406" spans="1:13" ht="109.2" x14ac:dyDescent="0.3">
      <c r="A406" s="18" t="s">
        <v>130</v>
      </c>
      <c r="B406" s="18" t="s">
        <v>130</v>
      </c>
      <c r="C406" s="19">
        <v>45512</v>
      </c>
      <c r="D406" s="18" t="s">
        <v>39</v>
      </c>
      <c r="E406" s="18" t="str">
        <f>IFERROR(VLOOKUP(TRIM(D406), Collection!$B$2:$D$1001, 2, FALSE), "")</f>
        <v>Overseas dual time Green</v>
      </c>
      <c r="F406" s="21" t="str">
        <f>IFERROR(VLOOKUP(TRIM(D406), Collection!$B$2:$D$1001, 3, FALSE), "")</f>
        <v>286,000 AED</v>
      </c>
      <c r="G406" s="21">
        <f t="shared" si="12"/>
        <v>286000</v>
      </c>
      <c r="H406" s="18" t="s">
        <v>58</v>
      </c>
      <c r="I406" s="18">
        <v>101009517</v>
      </c>
      <c r="J406" s="18" t="s">
        <v>59</v>
      </c>
      <c r="K406" s="18" t="s">
        <v>67</v>
      </c>
      <c r="L406" s="18" t="s">
        <v>1184</v>
      </c>
      <c r="M406" s="18" t="b">
        <f t="shared" si="13"/>
        <v>0</v>
      </c>
    </row>
    <row r="407" spans="1:13" ht="31.2" x14ac:dyDescent="0.3">
      <c r="A407" s="18" t="s">
        <v>130</v>
      </c>
      <c r="B407" s="18" t="s">
        <v>130</v>
      </c>
      <c r="C407" s="19">
        <v>45512</v>
      </c>
      <c r="D407" s="18" t="s">
        <v>176</v>
      </c>
      <c r="E407" s="18" t="str">
        <f>IFERROR(VLOOKUP(TRIM(D407), Collection!$B$2:$D$1001, 2, FALSE), "")</f>
        <v>Overseas chronograph</v>
      </c>
      <c r="F407" s="21" t="str">
        <f>IFERROR(VLOOKUP(TRIM(D407), Collection!$B$2:$D$1001, 3, FALSE), "")</f>
        <v>299,000 AED</v>
      </c>
      <c r="G407" s="21">
        <f t="shared" si="12"/>
        <v>299000</v>
      </c>
      <c r="H407" s="18" t="s">
        <v>58</v>
      </c>
      <c r="I407" s="18">
        <v>101032092</v>
      </c>
      <c r="J407" s="18" t="s">
        <v>59</v>
      </c>
      <c r="K407" s="18" t="s">
        <v>67</v>
      </c>
      <c r="L407" s="18"/>
      <c r="M407" s="18" t="b">
        <f t="shared" si="13"/>
        <v>0</v>
      </c>
    </row>
    <row r="408" spans="1:13" ht="78" x14ac:dyDescent="0.3">
      <c r="A408" s="18" t="s">
        <v>25</v>
      </c>
      <c r="B408" s="18" t="s">
        <v>95</v>
      </c>
      <c r="C408" s="19">
        <v>45512</v>
      </c>
      <c r="D408" s="18" t="s">
        <v>39</v>
      </c>
      <c r="E408" s="18" t="str">
        <f>IFERROR(VLOOKUP(TRIM(D408), Collection!$B$2:$D$1001, 2, FALSE), "")</f>
        <v>Overseas dual time Green</v>
      </c>
      <c r="F408" s="21" t="str">
        <f>IFERROR(VLOOKUP(TRIM(D408), Collection!$B$2:$D$1001, 3, FALSE), "")</f>
        <v>286,000 AED</v>
      </c>
      <c r="G408" s="21">
        <f t="shared" si="12"/>
        <v>286000</v>
      </c>
      <c r="H408" s="18" t="s">
        <v>58</v>
      </c>
      <c r="I408" s="18">
        <v>100436027</v>
      </c>
      <c r="J408" s="18" t="s">
        <v>59</v>
      </c>
      <c r="K408" s="18" t="s">
        <v>70</v>
      </c>
      <c r="L408" s="18" t="s">
        <v>1185</v>
      </c>
      <c r="M408" s="18" t="b">
        <f t="shared" si="13"/>
        <v>0</v>
      </c>
    </row>
    <row r="409" spans="1:13" ht="62.4" x14ac:dyDescent="0.3">
      <c r="A409" s="18" t="s">
        <v>55</v>
      </c>
      <c r="B409" s="18" t="s">
        <v>980</v>
      </c>
      <c r="C409" s="19">
        <v>45512</v>
      </c>
      <c r="D409" s="18" t="s">
        <v>810</v>
      </c>
      <c r="E409" s="18" t="str">
        <f>IFERROR(VLOOKUP(TRIM(D409), Collection!$B$2:$D$1001, 2, FALSE), "")</f>
        <v>Overseas dual time</v>
      </c>
      <c r="F409" s="21" t="str">
        <f>IFERROR(VLOOKUP(TRIM(D409), Collection!$B$2:$D$1001, 3, FALSE), "")</f>
        <v>184,000 AED</v>
      </c>
      <c r="G409" s="21">
        <f t="shared" si="12"/>
        <v>184000</v>
      </c>
      <c r="H409" s="18" t="s">
        <v>58</v>
      </c>
      <c r="I409" s="18">
        <v>101036635</v>
      </c>
      <c r="J409" s="18" t="s">
        <v>59</v>
      </c>
      <c r="K409" s="18" t="s">
        <v>60</v>
      </c>
      <c r="L409" s="18" t="s">
        <v>1186</v>
      </c>
      <c r="M409" s="18" t="b">
        <f t="shared" si="13"/>
        <v>0</v>
      </c>
    </row>
    <row r="410" spans="1:13" ht="62.4" x14ac:dyDescent="0.3">
      <c r="A410" s="18" t="s">
        <v>130</v>
      </c>
      <c r="B410" s="18" t="s">
        <v>130</v>
      </c>
      <c r="C410" s="19">
        <v>45481</v>
      </c>
      <c r="D410" s="18" t="s">
        <v>22</v>
      </c>
      <c r="E410" s="18" t="str">
        <f>IFERROR(VLOOKUP(TRIM(D410), Collection!$B$2:$D$1001, 2, FALSE), "")</f>
        <v>Overseas dual time Blue</v>
      </c>
      <c r="F410" s="21" t="str">
        <f>IFERROR(VLOOKUP(TRIM(D410), Collection!$B$2:$D$1001, 3, FALSE), "")</f>
        <v>117,000 AED</v>
      </c>
      <c r="G410" s="21">
        <f t="shared" si="12"/>
        <v>117000</v>
      </c>
      <c r="H410" s="18" t="s">
        <v>58</v>
      </c>
      <c r="I410" s="18">
        <v>101011549</v>
      </c>
      <c r="J410" s="18" t="s">
        <v>59</v>
      </c>
      <c r="K410" s="18" t="s">
        <v>67</v>
      </c>
      <c r="L410" s="18" t="s">
        <v>1187</v>
      </c>
      <c r="M410" s="18" t="b">
        <f t="shared" si="13"/>
        <v>0</v>
      </c>
    </row>
    <row r="411" spans="1:13" ht="78" x14ac:dyDescent="0.3">
      <c r="A411" s="18" t="s">
        <v>130</v>
      </c>
      <c r="B411" s="18" t="s">
        <v>130</v>
      </c>
      <c r="C411" s="19">
        <v>45481</v>
      </c>
      <c r="D411" s="18" t="s">
        <v>41</v>
      </c>
      <c r="E411" s="18" t="str">
        <f>IFERROR(VLOOKUP(TRIM(D411), Collection!$B$2:$D$1001, 2, FALSE), "")</f>
        <v>Overseas dual time Black</v>
      </c>
      <c r="F411" s="21" t="str">
        <f>IFERROR(VLOOKUP(TRIM(D411), Collection!$B$2:$D$1001, 3, FALSE), "")</f>
        <v>117,000 AED</v>
      </c>
      <c r="G411" s="21">
        <f t="shared" si="12"/>
        <v>117000</v>
      </c>
      <c r="H411" s="18" t="s">
        <v>58</v>
      </c>
      <c r="I411" s="18">
        <v>101011549</v>
      </c>
      <c r="J411" s="18" t="s">
        <v>59</v>
      </c>
      <c r="K411" s="18" t="s">
        <v>67</v>
      </c>
      <c r="L411" s="18" t="s">
        <v>1188</v>
      </c>
      <c r="M411" s="18" t="b">
        <f t="shared" si="13"/>
        <v>0</v>
      </c>
    </row>
    <row r="412" spans="1:13" ht="46.8" x14ac:dyDescent="0.3">
      <c r="A412" s="18" t="s">
        <v>130</v>
      </c>
      <c r="B412" s="18" t="s">
        <v>130</v>
      </c>
      <c r="C412" s="19">
        <v>45451</v>
      </c>
      <c r="D412" s="18" t="s">
        <v>35</v>
      </c>
      <c r="E412" s="18" t="str">
        <f>IFERROR(VLOOKUP(TRIM(D412), Collection!$B$2:$D$1001, 2, FALSE), "")</f>
        <v>Overseas self-winding</v>
      </c>
      <c r="F412" s="21" t="str">
        <f>IFERROR(VLOOKUP(TRIM(D412), Collection!$B$2:$D$1001, 3, FALSE), "")</f>
        <v>94,500 AED</v>
      </c>
      <c r="G412" s="21">
        <f t="shared" si="12"/>
        <v>94500</v>
      </c>
      <c r="H412" s="18" t="s">
        <v>58</v>
      </c>
      <c r="I412" s="18">
        <v>101009517</v>
      </c>
      <c r="J412" s="18" t="s">
        <v>59</v>
      </c>
      <c r="K412" s="18" t="s">
        <v>67</v>
      </c>
      <c r="L412" s="18" t="s">
        <v>1189</v>
      </c>
      <c r="M412" s="18" t="b">
        <f t="shared" si="13"/>
        <v>0</v>
      </c>
    </row>
    <row r="413" spans="1:13" ht="46.8" x14ac:dyDescent="0.3">
      <c r="A413" s="18" t="s">
        <v>55</v>
      </c>
      <c r="B413" s="18" t="s">
        <v>564</v>
      </c>
      <c r="C413" s="19">
        <v>45451</v>
      </c>
      <c r="D413" s="18" t="s">
        <v>30</v>
      </c>
      <c r="E413" s="18" t="str">
        <f>IFERROR(VLOOKUP(TRIM(D413), Collection!$B$2:$D$1001, 2, FALSE), "")</f>
        <v>Overseas self-winding</v>
      </c>
      <c r="F413" s="21" t="str">
        <f>IFERROR(VLOOKUP(TRIM(D413), Collection!$B$2:$D$1001, 3, FALSE), "")</f>
        <v>229,000 AED</v>
      </c>
      <c r="G413" s="21">
        <f t="shared" si="12"/>
        <v>229000</v>
      </c>
      <c r="H413" s="18" t="s">
        <v>58</v>
      </c>
      <c r="I413" s="18">
        <v>101009517</v>
      </c>
      <c r="J413" s="18" t="s">
        <v>59</v>
      </c>
      <c r="K413" s="18" t="s">
        <v>67</v>
      </c>
      <c r="L413" s="18" t="s">
        <v>1190</v>
      </c>
      <c r="M413" s="18" t="b">
        <f t="shared" si="13"/>
        <v>0</v>
      </c>
    </row>
    <row r="414" spans="1:13" ht="46.8" x14ac:dyDescent="0.3">
      <c r="A414" s="18" t="s">
        <v>130</v>
      </c>
      <c r="B414" s="18" t="s">
        <v>130</v>
      </c>
      <c r="C414" s="19">
        <v>45451</v>
      </c>
      <c r="D414" s="18" t="s">
        <v>30</v>
      </c>
      <c r="E414" s="18" t="str">
        <f>IFERROR(VLOOKUP(TRIM(D414), Collection!$B$2:$D$1001, 2, FALSE), "")</f>
        <v>Overseas self-winding</v>
      </c>
      <c r="F414" s="21" t="str">
        <f>IFERROR(VLOOKUP(TRIM(D414), Collection!$B$2:$D$1001, 3, FALSE), "")</f>
        <v>229,000 AED</v>
      </c>
      <c r="G414" s="21">
        <f t="shared" si="12"/>
        <v>229000</v>
      </c>
      <c r="H414" s="18" t="s">
        <v>58</v>
      </c>
      <c r="I414" s="18">
        <v>100962157</v>
      </c>
      <c r="J414" s="18" t="s">
        <v>59</v>
      </c>
      <c r="K414" s="18" t="s">
        <v>67</v>
      </c>
      <c r="L414" s="18" t="s">
        <v>1191</v>
      </c>
      <c r="M414" s="18" t="b">
        <f t="shared" si="13"/>
        <v>0</v>
      </c>
    </row>
    <row r="415" spans="1:13" ht="62.4" x14ac:dyDescent="0.3">
      <c r="A415" s="18" t="s">
        <v>130</v>
      </c>
      <c r="B415" s="18" t="s">
        <v>130</v>
      </c>
      <c r="C415" s="19">
        <v>45451</v>
      </c>
      <c r="D415" s="18" t="s">
        <v>822</v>
      </c>
      <c r="E415" s="18" t="str">
        <f>IFERROR(VLOOKUP(TRIM(D415), Collection!$B$2:$D$1001, 2, FALSE), "")</f>
        <v>Overseas perpetual calendar ultra-thin</v>
      </c>
      <c r="F415" s="21" t="str">
        <f>IFERROR(VLOOKUP(TRIM(D415), Collection!$B$2:$D$1001, 3, FALSE), "")</f>
        <v>442,000 AED</v>
      </c>
      <c r="G415" s="21">
        <f t="shared" si="12"/>
        <v>442000</v>
      </c>
      <c r="H415" s="18" t="s">
        <v>58</v>
      </c>
      <c r="I415" s="18">
        <v>100962157</v>
      </c>
      <c r="J415" s="18" t="s">
        <v>59</v>
      </c>
      <c r="K415" s="18" t="s">
        <v>67</v>
      </c>
      <c r="L415" s="18" t="s">
        <v>1192</v>
      </c>
      <c r="M415" s="18" t="b">
        <f t="shared" si="13"/>
        <v>0</v>
      </c>
    </row>
    <row r="416" spans="1:13" ht="93.6" x14ac:dyDescent="0.3">
      <c r="A416" s="18" t="s">
        <v>55</v>
      </c>
      <c r="B416" s="18" t="s">
        <v>980</v>
      </c>
      <c r="C416" s="18" t="s">
        <v>824</v>
      </c>
      <c r="D416" s="18" t="s">
        <v>29</v>
      </c>
      <c r="E416" s="18" t="str">
        <f>IFERROR(VLOOKUP(TRIM(D416), Collection!$B$2:$D$1001, 2, FALSE), "")</f>
        <v>Fiftysix self-winding</v>
      </c>
      <c r="F416" s="21" t="str">
        <f>IFERROR(VLOOKUP(TRIM(D416), Collection!$B$2:$D$1001, 3, FALSE), "")</f>
        <v>48,000 AED</v>
      </c>
      <c r="G416" s="21">
        <f t="shared" si="12"/>
        <v>48000</v>
      </c>
      <c r="H416" s="18" t="s">
        <v>58</v>
      </c>
      <c r="I416" s="18">
        <v>100830227</v>
      </c>
      <c r="J416" s="18" t="s">
        <v>59</v>
      </c>
      <c r="K416" s="18" t="s">
        <v>60</v>
      </c>
      <c r="L416" s="18" t="s">
        <v>1193</v>
      </c>
      <c r="M416" s="18" t="b">
        <f t="shared" si="13"/>
        <v>1</v>
      </c>
    </row>
    <row r="417" spans="1:13" ht="93.6" x14ac:dyDescent="0.3">
      <c r="A417" s="18" t="s">
        <v>55</v>
      </c>
      <c r="B417" s="18" t="s">
        <v>980</v>
      </c>
      <c r="C417" s="18" t="s">
        <v>824</v>
      </c>
      <c r="D417" s="18" t="s">
        <v>27</v>
      </c>
      <c r="E417" s="18" t="str">
        <f>IFERROR(VLOOKUP(TRIM(D417), Collection!$B$2:$D$1001, 2, FALSE), "")</f>
        <v>Historiques 222</v>
      </c>
      <c r="F417" s="21" t="str">
        <f>IFERROR(VLOOKUP(TRIM(D417), Collection!$B$2:$D$1001, 3, FALSE), "")</f>
        <v>279,000 AED</v>
      </c>
      <c r="G417" s="21">
        <f t="shared" si="12"/>
        <v>279000</v>
      </c>
      <c r="H417" s="18" t="s">
        <v>58</v>
      </c>
      <c r="I417" s="18">
        <v>100833648</v>
      </c>
      <c r="J417" s="18" t="s">
        <v>59</v>
      </c>
      <c r="K417" s="18" t="s">
        <v>60</v>
      </c>
      <c r="L417" s="18" t="s">
        <v>1194</v>
      </c>
      <c r="M417" s="18" t="b">
        <f t="shared" si="13"/>
        <v>1</v>
      </c>
    </row>
    <row r="418" spans="1:13" ht="62.4" x14ac:dyDescent="0.3">
      <c r="A418" s="18" t="s">
        <v>55</v>
      </c>
      <c r="B418" s="18" t="s">
        <v>980</v>
      </c>
      <c r="C418" s="18" t="s">
        <v>829</v>
      </c>
      <c r="D418" s="18" t="s">
        <v>35</v>
      </c>
      <c r="E418" s="18" t="str">
        <f>IFERROR(VLOOKUP(TRIM(D418), Collection!$B$2:$D$1001, 2, FALSE), "")</f>
        <v>Overseas self-winding</v>
      </c>
      <c r="F418" s="21" t="str">
        <f>IFERROR(VLOOKUP(TRIM(D418), Collection!$B$2:$D$1001, 3, FALSE), "")</f>
        <v>94,500 AED</v>
      </c>
      <c r="G418" s="21">
        <f t="shared" si="12"/>
        <v>94500</v>
      </c>
      <c r="H418" s="18" t="s">
        <v>58</v>
      </c>
      <c r="I418" s="18">
        <v>100793790</v>
      </c>
      <c r="J418" s="18" t="s">
        <v>59</v>
      </c>
      <c r="K418" s="18" t="s">
        <v>60</v>
      </c>
      <c r="L418" s="18" t="s">
        <v>1195</v>
      </c>
      <c r="M418" s="18" t="b">
        <f t="shared" si="13"/>
        <v>0</v>
      </c>
    </row>
    <row r="419" spans="1:13" ht="78" x14ac:dyDescent="0.3">
      <c r="A419" s="18" t="s">
        <v>55</v>
      </c>
      <c r="B419" s="18" t="s">
        <v>980</v>
      </c>
      <c r="C419" s="18" t="s">
        <v>829</v>
      </c>
      <c r="D419" s="18" t="s">
        <v>35</v>
      </c>
      <c r="E419" s="18" t="str">
        <f>IFERROR(VLOOKUP(TRIM(D419), Collection!$B$2:$D$1001, 2, FALSE), "")</f>
        <v>Overseas self-winding</v>
      </c>
      <c r="F419" s="21" t="str">
        <f>IFERROR(VLOOKUP(TRIM(D419), Collection!$B$2:$D$1001, 3, FALSE), "")</f>
        <v>94,500 AED</v>
      </c>
      <c r="G419" s="21">
        <f t="shared" si="12"/>
        <v>94500</v>
      </c>
      <c r="H419" s="18" t="s">
        <v>58</v>
      </c>
      <c r="I419" s="18">
        <v>100788006</v>
      </c>
      <c r="J419" s="18" t="s">
        <v>59</v>
      </c>
      <c r="K419" s="18" t="s">
        <v>60</v>
      </c>
      <c r="L419" s="18" t="s">
        <v>1196</v>
      </c>
      <c r="M419" s="18" t="b">
        <f t="shared" si="13"/>
        <v>0</v>
      </c>
    </row>
    <row r="420" spans="1:13" ht="156" x14ac:dyDescent="0.3">
      <c r="A420" s="18" t="s">
        <v>130</v>
      </c>
      <c r="B420" s="18" t="s">
        <v>130</v>
      </c>
      <c r="C420" s="18" t="s">
        <v>834</v>
      </c>
      <c r="D420" s="18" t="s">
        <v>635</v>
      </c>
      <c r="E420" s="18" t="str">
        <f>IFERROR(VLOOKUP(TRIM(D420), Collection!$B$2:$D$1001, 2, FALSE), "")</f>
        <v>Overseas tourbillon</v>
      </c>
      <c r="F420" s="21" t="str">
        <f>IFERROR(VLOOKUP(TRIM(D420), Collection!$B$2:$D$1001, 3, FALSE), "")</f>
        <v>515,000 AED</v>
      </c>
      <c r="G420" s="21">
        <f t="shared" si="12"/>
        <v>515000</v>
      </c>
      <c r="H420" s="18" t="s">
        <v>58</v>
      </c>
      <c r="I420" s="18">
        <v>100788004</v>
      </c>
      <c r="J420" s="18" t="s">
        <v>59</v>
      </c>
      <c r="K420" s="18" t="s">
        <v>60</v>
      </c>
      <c r="L420" s="18" t="s">
        <v>1197</v>
      </c>
      <c r="M420" s="18" t="b">
        <f t="shared" si="13"/>
        <v>0</v>
      </c>
    </row>
    <row r="421" spans="1:13" ht="124.8" x14ac:dyDescent="0.3">
      <c r="A421" s="18" t="s">
        <v>55</v>
      </c>
      <c r="B421" s="18" t="s">
        <v>980</v>
      </c>
      <c r="C421" s="18" t="s">
        <v>837</v>
      </c>
      <c r="D421" s="18" t="s">
        <v>35</v>
      </c>
      <c r="E421" s="18" t="str">
        <f>IFERROR(VLOOKUP(TRIM(D421), Collection!$B$2:$D$1001, 2, FALSE), "")</f>
        <v>Overseas self-winding</v>
      </c>
      <c r="F421" s="21" t="str">
        <f>IFERROR(VLOOKUP(TRIM(D421), Collection!$B$2:$D$1001, 3, FALSE), "")</f>
        <v>94,500 AED</v>
      </c>
      <c r="G421" s="21">
        <f t="shared" si="12"/>
        <v>94500</v>
      </c>
      <c r="H421" s="18" t="s">
        <v>58</v>
      </c>
      <c r="I421" s="18">
        <v>100737696</v>
      </c>
      <c r="J421" s="18" t="s">
        <v>59</v>
      </c>
      <c r="K421" s="18" t="s">
        <v>60</v>
      </c>
      <c r="L421" s="18" t="s">
        <v>1198</v>
      </c>
      <c r="M421" s="18" t="b">
        <f t="shared" si="13"/>
        <v>0</v>
      </c>
    </row>
    <row r="422" spans="1:13" ht="46.8" x14ac:dyDescent="0.3">
      <c r="A422" s="18" t="s">
        <v>55</v>
      </c>
      <c r="B422" s="18" t="s">
        <v>980</v>
      </c>
      <c r="C422" s="18" t="s">
        <v>840</v>
      </c>
      <c r="D422" s="18" t="s">
        <v>35</v>
      </c>
      <c r="E422" s="18" t="str">
        <f>IFERROR(VLOOKUP(TRIM(D422), Collection!$B$2:$D$1001, 2, FALSE), "")</f>
        <v>Overseas self-winding</v>
      </c>
      <c r="F422" s="21" t="str">
        <f>IFERROR(VLOOKUP(TRIM(D422), Collection!$B$2:$D$1001, 3, FALSE), "")</f>
        <v>94,500 AED</v>
      </c>
      <c r="G422" s="21">
        <f t="shared" si="12"/>
        <v>94500</v>
      </c>
      <c r="H422" s="18" t="s">
        <v>58</v>
      </c>
      <c r="I422" s="18">
        <v>100599306</v>
      </c>
      <c r="J422" s="18" t="s">
        <v>59</v>
      </c>
      <c r="K422" s="18" t="s">
        <v>60</v>
      </c>
      <c r="L422" s="18" t="s">
        <v>1199</v>
      </c>
      <c r="M422" s="18" t="b">
        <f t="shared" si="13"/>
        <v>0</v>
      </c>
    </row>
    <row r="423" spans="1:13" ht="78" x14ac:dyDescent="0.3">
      <c r="A423" s="18" t="s">
        <v>55</v>
      </c>
      <c r="B423" s="18" t="s">
        <v>98</v>
      </c>
      <c r="C423" s="18" t="s">
        <v>840</v>
      </c>
      <c r="D423" s="18" t="s">
        <v>843</v>
      </c>
      <c r="E423" s="18" t="str">
        <f>IFERROR(VLOOKUP(TRIM(D423), Collection!$B$2:$D$1001, 2, FALSE), "")</f>
        <v/>
      </c>
      <c r="F423" s="21" t="str">
        <f>IFERROR(VLOOKUP(TRIM(D423), Collection!$B$2:$D$1001, 3, FALSE), "")</f>
        <v/>
      </c>
      <c r="G423" s="21" t="str">
        <f t="shared" si="12"/>
        <v/>
      </c>
      <c r="H423" s="18" t="s">
        <v>58</v>
      </c>
      <c r="I423" s="18">
        <v>100736346</v>
      </c>
      <c r="J423" s="18" t="s">
        <v>59</v>
      </c>
      <c r="K423" s="18" t="s">
        <v>60</v>
      </c>
      <c r="L423" s="18" t="s">
        <v>1200</v>
      </c>
      <c r="M423" s="18" t="b">
        <f t="shared" si="13"/>
        <v>0</v>
      </c>
    </row>
    <row r="424" spans="1:13" ht="62.4" x14ac:dyDescent="0.3">
      <c r="A424" s="18" t="s">
        <v>55</v>
      </c>
      <c r="B424" s="18" t="s">
        <v>98</v>
      </c>
      <c r="C424" s="18" t="s">
        <v>846</v>
      </c>
      <c r="D424" s="18" t="s">
        <v>22</v>
      </c>
      <c r="E424" s="18" t="str">
        <f>IFERROR(VLOOKUP(TRIM(D424), Collection!$B$2:$D$1001, 2, FALSE), "")</f>
        <v>Overseas dual time Blue</v>
      </c>
      <c r="F424" s="21" t="str">
        <f>IFERROR(VLOOKUP(TRIM(D424), Collection!$B$2:$D$1001, 3, FALSE), "")</f>
        <v>117,000 AED</v>
      </c>
      <c r="G424" s="21">
        <f t="shared" si="12"/>
        <v>117000</v>
      </c>
      <c r="H424" s="18" t="s">
        <v>58</v>
      </c>
      <c r="I424" s="18">
        <v>100668746</v>
      </c>
      <c r="J424" s="18" t="s">
        <v>59</v>
      </c>
      <c r="K424" s="18" t="s">
        <v>60</v>
      </c>
      <c r="L424" s="18" t="s">
        <v>1201</v>
      </c>
      <c r="M424" s="18" t="b">
        <f t="shared" si="13"/>
        <v>0</v>
      </c>
    </row>
    <row r="425" spans="1:13" ht="171.6" x14ac:dyDescent="0.3">
      <c r="A425" s="18" t="s">
        <v>55</v>
      </c>
      <c r="B425" s="18" t="s">
        <v>980</v>
      </c>
      <c r="C425" s="19">
        <v>45572</v>
      </c>
      <c r="D425" s="18" t="s">
        <v>22</v>
      </c>
      <c r="E425" s="18" t="str">
        <f>IFERROR(VLOOKUP(TRIM(D425), Collection!$B$2:$D$1001, 2, FALSE), "")</f>
        <v>Overseas dual time Blue</v>
      </c>
      <c r="F425" s="21" t="str">
        <f>IFERROR(VLOOKUP(TRIM(D425), Collection!$B$2:$D$1001, 3, FALSE), "")</f>
        <v>117,000 AED</v>
      </c>
      <c r="G425" s="21">
        <f t="shared" si="12"/>
        <v>117000</v>
      </c>
      <c r="H425" s="18" t="s">
        <v>58</v>
      </c>
      <c r="I425" s="18">
        <v>100634537</v>
      </c>
      <c r="J425" s="18" t="s">
        <v>59</v>
      </c>
      <c r="K425" s="18" t="s">
        <v>60</v>
      </c>
      <c r="L425" s="18" t="s">
        <v>1202</v>
      </c>
      <c r="M425" s="18" t="b">
        <f t="shared" si="13"/>
        <v>0</v>
      </c>
    </row>
    <row r="426" spans="1:13" ht="31.2" x14ac:dyDescent="0.3">
      <c r="A426" s="18" t="s">
        <v>55</v>
      </c>
      <c r="B426" s="18" t="s">
        <v>980</v>
      </c>
      <c r="C426" s="19">
        <v>45419</v>
      </c>
      <c r="D426" s="18" t="s">
        <v>35</v>
      </c>
      <c r="E426" s="18" t="str">
        <f>IFERROR(VLOOKUP(TRIM(D426), Collection!$B$2:$D$1001, 2, FALSE), "")</f>
        <v>Overseas self-winding</v>
      </c>
      <c r="F426" s="21" t="str">
        <f>IFERROR(VLOOKUP(TRIM(D426), Collection!$B$2:$D$1001, 3, FALSE), "")</f>
        <v>94,500 AED</v>
      </c>
      <c r="G426" s="21">
        <f t="shared" si="12"/>
        <v>94500</v>
      </c>
      <c r="H426" s="18" t="s">
        <v>58</v>
      </c>
      <c r="I426" s="18">
        <v>100582839</v>
      </c>
      <c r="J426" s="18" t="s">
        <v>59</v>
      </c>
      <c r="K426" s="18" t="s">
        <v>70</v>
      </c>
      <c r="L426" s="18" t="s">
        <v>980</v>
      </c>
      <c r="M426" s="18" t="b">
        <f t="shared" si="13"/>
        <v>0</v>
      </c>
    </row>
    <row r="427" spans="1:13" ht="31.2" x14ac:dyDescent="0.3">
      <c r="A427" s="18" t="s">
        <v>55</v>
      </c>
      <c r="B427" s="18" t="s">
        <v>980</v>
      </c>
      <c r="C427" s="19">
        <v>45389</v>
      </c>
      <c r="D427" s="18" t="s">
        <v>35</v>
      </c>
      <c r="E427" s="18" t="str">
        <f>IFERROR(VLOOKUP(TRIM(D427), Collection!$B$2:$D$1001, 2, FALSE), "")</f>
        <v>Overseas self-winding</v>
      </c>
      <c r="F427" s="21" t="str">
        <f>IFERROR(VLOOKUP(TRIM(D427), Collection!$B$2:$D$1001, 3, FALSE), "")</f>
        <v>94,500 AED</v>
      </c>
      <c r="G427" s="21">
        <f t="shared" si="12"/>
        <v>94500</v>
      </c>
      <c r="H427" s="18" t="s">
        <v>58</v>
      </c>
      <c r="I427" s="18">
        <v>100537423</v>
      </c>
      <c r="J427" s="18" t="s">
        <v>59</v>
      </c>
      <c r="K427" s="18" t="s">
        <v>70</v>
      </c>
      <c r="L427" s="18" t="s">
        <v>1203</v>
      </c>
      <c r="M427" s="18" t="b">
        <f t="shared" si="13"/>
        <v>0</v>
      </c>
    </row>
    <row r="428" spans="1:13" ht="46.8" x14ac:dyDescent="0.3">
      <c r="A428" s="18" t="s">
        <v>55</v>
      </c>
      <c r="B428" s="18" t="s">
        <v>980</v>
      </c>
      <c r="C428" s="18" t="s">
        <v>857</v>
      </c>
      <c r="D428" s="18" t="s">
        <v>35</v>
      </c>
      <c r="E428" s="18" t="str">
        <f>IFERROR(VLOOKUP(TRIM(D428), Collection!$B$2:$D$1001, 2, FALSE), "")</f>
        <v>Overseas self-winding</v>
      </c>
      <c r="F428" s="21" t="str">
        <f>IFERROR(VLOOKUP(TRIM(D428), Collection!$B$2:$D$1001, 3, FALSE), "")</f>
        <v>94,500 AED</v>
      </c>
      <c r="G428" s="21">
        <f t="shared" si="12"/>
        <v>94500</v>
      </c>
      <c r="H428" s="18" t="s">
        <v>58</v>
      </c>
      <c r="I428" s="18">
        <v>100480073</v>
      </c>
      <c r="J428" s="18" t="s">
        <v>59</v>
      </c>
      <c r="K428" s="18" t="s">
        <v>70</v>
      </c>
      <c r="L428" s="18" t="s">
        <v>1204</v>
      </c>
      <c r="M428" s="18" t="b">
        <f t="shared" si="13"/>
        <v>0</v>
      </c>
    </row>
    <row r="429" spans="1:13" ht="31.2" x14ac:dyDescent="0.3">
      <c r="A429" s="18" t="s">
        <v>130</v>
      </c>
      <c r="B429" s="18" t="s">
        <v>130</v>
      </c>
      <c r="C429" s="18" t="s">
        <v>857</v>
      </c>
      <c r="D429" s="18" t="s">
        <v>176</v>
      </c>
      <c r="E429" s="18" t="str">
        <f>IFERROR(VLOOKUP(TRIM(D429), Collection!$B$2:$D$1001, 2, FALSE), "")</f>
        <v>Overseas chronograph</v>
      </c>
      <c r="F429" s="21" t="str">
        <f>IFERROR(VLOOKUP(TRIM(D429), Collection!$B$2:$D$1001, 3, FALSE), "")</f>
        <v>299,000 AED</v>
      </c>
      <c r="G429" s="21">
        <f t="shared" si="12"/>
        <v>299000</v>
      </c>
      <c r="H429" s="18" t="s">
        <v>58</v>
      </c>
      <c r="I429" s="18">
        <v>100482907</v>
      </c>
      <c r="J429" s="18" t="s">
        <v>59</v>
      </c>
      <c r="K429" s="18" t="s">
        <v>70</v>
      </c>
      <c r="L429" s="18" t="s">
        <v>980</v>
      </c>
      <c r="M429" s="18" t="b">
        <f t="shared" si="13"/>
        <v>0</v>
      </c>
    </row>
    <row r="430" spans="1:13" ht="124.8" x14ac:dyDescent="0.3">
      <c r="A430" s="18" t="s">
        <v>55</v>
      </c>
      <c r="B430" s="18" t="s">
        <v>980</v>
      </c>
      <c r="C430" s="18" t="s">
        <v>861</v>
      </c>
      <c r="D430" s="18" t="s">
        <v>35</v>
      </c>
      <c r="E430" s="18" t="str">
        <f>IFERROR(VLOOKUP(TRIM(D430), Collection!$B$2:$D$1001, 2, FALSE), "")</f>
        <v>Overseas self-winding</v>
      </c>
      <c r="F430" s="21" t="str">
        <f>IFERROR(VLOOKUP(TRIM(D430), Collection!$B$2:$D$1001, 3, FALSE), "")</f>
        <v>94,500 AED</v>
      </c>
      <c r="G430" s="21">
        <f t="shared" si="12"/>
        <v>94500</v>
      </c>
      <c r="H430" s="18" t="s">
        <v>58</v>
      </c>
      <c r="I430" s="18">
        <v>100432455</v>
      </c>
      <c r="J430" s="18" t="s">
        <v>59</v>
      </c>
      <c r="K430" s="18" t="s">
        <v>70</v>
      </c>
      <c r="L430" s="18" t="s">
        <v>1205</v>
      </c>
      <c r="M430" s="18" t="b">
        <f t="shared" si="13"/>
        <v>0</v>
      </c>
    </row>
    <row r="431" spans="1:13" ht="62.4" x14ac:dyDescent="0.3">
      <c r="A431" s="18" t="s">
        <v>130</v>
      </c>
      <c r="B431" s="18" t="s">
        <v>130</v>
      </c>
      <c r="C431" s="18" t="s">
        <v>863</v>
      </c>
      <c r="D431" s="18" t="s">
        <v>864</v>
      </c>
      <c r="E431" s="18" t="str">
        <f>IFERROR(VLOOKUP(TRIM(D431), Collection!$B$2:$D$1001, 2, FALSE), "")</f>
        <v>Overseas perpetual calendar ultra-thin skeleton</v>
      </c>
      <c r="F431" s="21" t="str">
        <f>IFERROR(VLOOKUP(TRIM(D431), Collection!$B$2:$D$1001, 3, FALSE), "")</f>
        <v>605,000 AED</v>
      </c>
      <c r="G431" s="21">
        <f t="shared" si="12"/>
        <v>605000</v>
      </c>
      <c r="H431" s="18" t="s">
        <v>58</v>
      </c>
      <c r="I431" s="18">
        <v>100394867</v>
      </c>
      <c r="J431" s="18" t="s">
        <v>59</v>
      </c>
      <c r="K431" s="18" t="s">
        <v>70</v>
      </c>
      <c r="L431" s="18" t="s">
        <v>1206</v>
      </c>
      <c r="M431" s="18" t="b">
        <f t="shared" si="13"/>
        <v>0</v>
      </c>
    </row>
    <row r="432" spans="1:13" ht="62.4" x14ac:dyDescent="0.3">
      <c r="A432" s="18" t="s">
        <v>55</v>
      </c>
      <c r="B432" s="18" t="s">
        <v>980</v>
      </c>
      <c r="C432" s="18" t="s">
        <v>867</v>
      </c>
      <c r="D432" s="18" t="s">
        <v>35</v>
      </c>
      <c r="E432" s="18" t="str">
        <f>IFERROR(VLOOKUP(TRIM(D432), Collection!$B$2:$D$1001, 2, FALSE), "")</f>
        <v>Overseas self-winding</v>
      </c>
      <c r="F432" s="21" t="str">
        <f>IFERROR(VLOOKUP(TRIM(D432), Collection!$B$2:$D$1001, 3, FALSE), "")</f>
        <v>94,500 AED</v>
      </c>
      <c r="G432" s="21">
        <f t="shared" si="12"/>
        <v>94500</v>
      </c>
      <c r="H432" s="18" t="s">
        <v>58</v>
      </c>
      <c r="I432" s="18">
        <v>100279807</v>
      </c>
      <c r="J432" s="18" t="s">
        <v>59</v>
      </c>
      <c r="K432" s="18" t="s">
        <v>70</v>
      </c>
      <c r="L432" s="18" t="s">
        <v>1207</v>
      </c>
      <c r="M432" s="18" t="b">
        <f t="shared" si="13"/>
        <v>0</v>
      </c>
    </row>
    <row r="433" spans="1:13" ht="78" x14ac:dyDescent="0.3">
      <c r="A433" s="18" t="s">
        <v>55</v>
      </c>
      <c r="B433" s="18" t="s">
        <v>980</v>
      </c>
      <c r="C433" s="18" t="s">
        <v>867</v>
      </c>
      <c r="D433" s="18" t="s">
        <v>35</v>
      </c>
      <c r="E433" s="18" t="str">
        <f>IFERROR(VLOOKUP(TRIM(D433), Collection!$B$2:$D$1001, 2, FALSE), "")</f>
        <v>Overseas self-winding</v>
      </c>
      <c r="F433" s="21" t="str">
        <f>IFERROR(VLOOKUP(TRIM(D433), Collection!$B$2:$D$1001, 3, FALSE), "")</f>
        <v>94,500 AED</v>
      </c>
      <c r="G433" s="21">
        <f t="shared" si="12"/>
        <v>94500</v>
      </c>
      <c r="H433" s="18" t="s">
        <v>58</v>
      </c>
      <c r="I433" s="18">
        <v>100355498</v>
      </c>
      <c r="J433" s="18" t="s">
        <v>59</v>
      </c>
      <c r="K433" s="18" t="s">
        <v>70</v>
      </c>
      <c r="L433" s="18" t="s">
        <v>1208</v>
      </c>
      <c r="M433" s="18" t="b">
        <f t="shared" si="13"/>
        <v>0</v>
      </c>
    </row>
    <row r="434" spans="1:13" ht="46.8" x14ac:dyDescent="0.3">
      <c r="A434" s="18" t="s">
        <v>130</v>
      </c>
      <c r="B434" s="18" t="s">
        <v>130</v>
      </c>
      <c r="C434" s="18" t="s">
        <v>867</v>
      </c>
      <c r="D434" s="18" t="s">
        <v>499</v>
      </c>
      <c r="E434" s="18" t="str">
        <f>IFERROR(VLOOKUP(TRIM(D434), Collection!$B$2:$D$1001, 2, FALSE), "")</f>
        <v>Overseas self-winding</v>
      </c>
      <c r="F434" s="21" t="str">
        <f>IFERROR(VLOOKUP(TRIM(D434), Collection!$B$2:$D$1001, 3, FALSE), "")</f>
        <v>94,500 AED</v>
      </c>
      <c r="G434" s="21">
        <f t="shared" si="12"/>
        <v>94500</v>
      </c>
      <c r="H434" s="18" t="s">
        <v>58</v>
      </c>
      <c r="I434" s="18">
        <v>100341519</v>
      </c>
      <c r="J434" s="18" t="s">
        <v>59</v>
      </c>
      <c r="K434" s="18" t="s">
        <v>70</v>
      </c>
      <c r="L434" s="18" t="s">
        <v>1209</v>
      </c>
      <c r="M434" s="18" t="b">
        <f t="shared" si="13"/>
        <v>0</v>
      </c>
    </row>
    <row r="435" spans="1:13" ht="46.8" x14ac:dyDescent="0.3">
      <c r="A435" s="18" t="s">
        <v>130</v>
      </c>
      <c r="B435" s="18" t="s">
        <v>130</v>
      </c>
      <c r="C435" s="18" t="s">
        <v>867</v>
      </c>
      <c r="D435" s="18" t="s">
        <v>32</v>
      </c>
      <c r="E435" s="18" t="str">
        <f>IFERROR(VLOOKUP(TRIM(D435), Collection!$B$2:$D$1001, 2, FALSE), "")</f>
        <v>Overseas dual time Silver</v>
      </c>
      <c r="F435" s="21" t="str">
        <f>IFERROR(VLOOKUP(TRIM(D435), Collection!$B$2:$D$1001, 3, FALSE), "")</f>
        <v>117,000 AED</v>
      </c>
      <c r="G435" s="21">
        <f t="shared" si="12"/>
        <v>117000</v>
      </c>
      <c r="H435" s="18" t="s">
        <v>58</v>
      </c>
      <c r="I435" s="18">
        <v>100341519</v>
      </c>
      <c r="J435" s="18" t="s">
        <v>59</v>
      </c>
      <c r="K435" s="18" t="s">
        <v>70</v>
      </c>
      <c r="L435" s="18" t="s">
        <v>1209</v>
      </c>
      <c r="M435" s="18" t="b">
        <f t="shared" si="13"/>
        <v>0</v>
      </c>
    </row>
    <row r="436" spans="1:13" ht="62.4" x14ac:dyDescent="0.3">
      <c r="A436" s="18" t="s">
        <v>55</v>
      </c>
      <c r="B436" s="18" t="s">
        <v>980</v>
      </c>
      <c r="C436" s="18" t="s">
        <v>874</v>
      </c>
      <c r="D436" s="18" t="s">
        <v>35</v>
      </c>
      <c r="E436" s="18" t="str">
        <f>IFERROR(VLOOKUP(TRIM(D436), Collection!$B$2:$D$1001, 2, FALSE), "")</f>
        <v>Overseas self-winding</v>
      </c>
      <c r="F436" s="21" t="str">
        <f>IFERROR(VLOOKUP(TRIM(D436), Collection!$B$2:$D$1001, 3, FALSE), "")</f>
        <v>94,500 AED</v>
      </c>
      <c r="G436" s="21">
        <f t="shared" si="12"/>
        <v>94500</v>
      </c>
      <c r="H436" s="18" t="s">
        <v>58</v>
      </c>
      <c r="I436" s="18">
        <v>100339877</v>
      </c>
      <c r="J436" s="18" t="s">
        <v>59</v>
      </c>
      <c r="K436" s="18" t="s">
        <v>70</v>
      </c>
      <c r="L436" s="18" t="s">
        <v>1210</v>
      </c>
      <c r="M436" s="18" t="b">
        <f t="shared" si="13"/>
        <v>0</v>
      </c>
    </row>
    <row r="437" spans="1:13" ht="62.4" x14ac:dyDescent="0.3">
      <c r="A437" s="18" t="s">
        <v>55</v>
      </c>
      <c r="B437" s="18" t="s">
        <v>980</v>
      </c>
      <c r="C437" s="18" t="s">
        <v>874</v>
      </c>
      <c r="D437" s="18" t="s">
        <v>35</v>
      </c>
      <c r="E437" s="18" t="str">
        <f>IFERROR(VLOOKUP(TRIM(D437), Collection!$B$2:$D$1001, 2, FALSE), "")</f>
        <v>Overseas self-winding</v>
      </c>
      <c r="F437" s="21" t="str">
        <f>IFERROR(VLOOKUP(TRIM(D437), Collection!$B$2:$D$1001, 3, FALSE), "")</f>
        <v>94,500 AED</v>
      </c>
      <c r="G437" s="21">
        <f t="shared" si="12"/>
        <v>94500</v>
      </c>
      <c r="H437" s="18" t="s">
        <v>58</v>
      </c>
      <c r="I437" s="18">
        <v>100329803</v>
      </c>
      <c r="J437" s="18" t="s">
        <v>59</v>
      </c>
      <c r="K437" s="18" t="s">
        <v>70</v>
      </c>
      <c r="L437" s="18" t="s">
        <v>1211</v>
      </c>
      <c r="M437" s="18" t="b">
        <f t="shared" si="13"/>
        <v>0</v>
      </c>
    </row>
    <row r="438" spans="1:13" ht="78" x14ac:dyDescent="0.3">
      <c r="A438" s="18" t="s">
        <v>55</v>
      </c>
      <c r="B438" s="18" t="s">
        <v>980</v>
      </c>
      <c r="C438" s="18" t="s">
        <v>879</v>
      </c>
      <c r="D438" s="18" t="s">
        <v>35</v>
      </c>
      <c r="E438" s="18" t="str">
        <f>IFERROR(VLOOKUP(TRIM(D438), Collection!$B$2:$D$1001, 2, FALSE), "")</f>
        <v>Overseas self-winding</v>
      </c>
      <c r="F438" s="21" t="str">
        <f>IFERROR(VLOOKUP(TRIM(D438), Collection!$B$2:$D$1001, 3, FALSE), "")</f>
        <v>94,500 AED</v>
      </c>
      <c r="G438" s="21">
        <f t="shared" si="12"/>
        <v>94500</v>
      </c>
      <c r="H438" s="18" t="s">
        <v>58</v>
      </c>
      <c r="I438" s="18">
        <v>100330605</v>
      </c>
      <c r="J438" s="18" t="s">
        <v>59</v>
      </c>
      <c r="K438" s="18" t="s">
        <v>70</v>
      </c>
      <c r="L438" s="18" t="s">
        <v>1212</v>
      </c>
      <c r="M438" s="18" t="b">
        <f t="shared" si="13"/>
        <v>0</v>
      </c>
    </row>
    <row r="439" spans="1:13" ht="31.2" x14ac:dyDescent="0.3">
      <c r="A439" s="18" t="s">
        <v>55</v>
      </c>
      <c r="B439" s="18" t="s">
        <v>980</v>
      </c>
      <c r="C439" s="18" t="s">
        <v>881</v>
      </c>
      <c r="D439" s="18" t="s">
        <v>35</v>
      </c>
      <c r="E439" s="18" t="str">
        <f>IFERROR(VLOOKUP(TRIM(D439), Collection!$B$2:$D$1001, 2, FALSE), "")</f>
        <v>Overseas self-winding</v>
      </c>
      <c r="F439" s="21" t="str">
        <f>IFERROR(VLOOKUP(TRIM(D439), Collection!$B$2:$D$1001, 3, FALSE), "")</f>
        <v>94,500 AED</v>
      </c>
      <c r="G439" s="21">
        <f t="shared" si="12"/>
        <v>94500</v>
      </c>
      <c r="H439" s="18" t="s">
        <v>58</v>
      </c>
      <c r="I439" s="18">
        <v>100272691</v>
      </c>
      <c r="J439" s="18" t="s">
        <v>59</v>
      </c>
      <c r="K439" s="18" t="s">
        <v>70</v>
      </c>
      <c r="L439" s="18" t="s">
        <v>980</v>
      </c>
      <c r="M439" s="18" t="b">
        <f t="shared" si="13"/>
        <v>0</v>
      </c>
    </row>
    <row r="440" spans="1:13" ht="62.4" x14ac:dyDescent="0.3">
      <c r="A440" s="18" t="s">
        <v>130</v>
      </c>
      <c r="B440" s="18" t="s">
        <v>130</v>
      </c>
      <c r="C440" s="18" t="s">
        <v>883</v>
      </c>
      <c r="D440" s="18" t="s">
        <v>27</v>
      </c>
      <c r="E440" s="18" t="str">
        <f>IFERROR(VLOOKUP(TRIM(D440), Collection!$B$2:$D$1001, 2, FALSE), "")</f>
        <v>Historiques 222</v>
      </c>
      <c r="F440" s="21" t="str">
        <f>IFERROR(VLOOKUP(TRIM(D440), Collection!$B$2:$D$1001, 3, FALSE), "")</f>
        <v>279,000 AED</v>
      </c>
      <c r="G440" s="21">
        <f t="shared" si="12"/>
        <v>279000</v>
      </c>
      <c r="H440" s="18" t="s">
        <v>58</v>
      </c>
      <c r="I440" s="18">
        <v>100232514</v>
      </c>
      <c r="J440" s="18" t="s">
        <v>59</v>
      </c>
      <c r="K440" s="18" t="s">
        <v>70</v>
      </c>
      <c r="L440" s="18" t="s">
        <v>1213</v>
      </c>
      <c r="M440" s="18" t="b">
        <f t="shared" si="13"/>
        <v>1</v>
      </c>
    </row>
    <row r="441" spans="1:13" ht="46.8" x14ac:dyDescent="0.3">
      <c r="A441" s="18" t="s">
        <v>130</v>
      </c>
      <c r="B441" s="18" t="s">
        <v>130</v>
      </c>
      <c r="C441" s="18" t="s">
        <v>886</v>
      </c>
      <c r="D441" s="18" t="s">
        <v>75</v>
      </c>
      <c r="E441" s="18" t="str">
        <f>IFERROR(VLOOKUP(TRIM(D441), Collection!$B$2:$D$1001, 2, FALSE), "")</f>
        <v>Overseas self-winding</v>
      </c>
      <c r="F441" s="21" t="str">
        <f>IFERROR(VLOOKUP(TRIM(D441), Collection!$B$2:$D$1001, 3, FALSE), "")</f>
        <v>94,500 AED</v>
      </c>
      <c r="G441" s="21">
        <f t="shared" si="12"/>
        <v>94500</v>
      </c>
      <c r="H441" s="18" t="s">
        <v>58</v>
      </c>
      <c r="I441" s="18">
        <v>100245350</v>
      </c>
      <c r="J441" s="18" t="s">
        <v>59</v>
      </c>
      <c r="K441" s="18" t="s">
        <v>70</v>
      </c>
      <c r="L441" s="18" t="s">
        <v>1214</v>
      </c>
      <c r="M441" s="18" t="b">
        <f t="shared" si="13"/>
        <v>0</v>
      </c>
    </row>
    <row r="442" spans="1:13" ht="46.8" x14ac:dyDescent="0.3">
      <c r="A442" s="18" t="s">
        <v>55</v>
      </c>
      <c r="B442" s="18" t="s">
        <v>980</v>
      </c>
      <c r="C442" s="19">
        <v>45510</v>
      </c>
      <c r="D442" s="18" t="s">
        <v>35</v>
      </c>
      <c r="E442" s="18" t="str">
        <f>IFERROR(VLOOKUP(TRIM(D442), Collection!$B$2:$D$1001, 2, FALSE), "")</f>
        <v>Overseas self-winding</v>
      </c>
      <c r="F442" s="21" t="str">
        <f>IFERROR(VLOOKUP(TRIM(D442), Collection!$B$2:$D$1001, 3, FALSE), "")</f>
        <v>94,500 AED</v>
      </c>
      <c r="G442" s="21">
        <f t="shared" si="12"/>
        <v>94500</v>
      </c>
      <c r="H442" s="18" t="s">
        <v>58</v>
      </c>
      <c r="I442" s="18">
        <v>99019997</v>
      </c>
      <c r="J442" s="18" t="s">
        <v>114</v>
      </c>
      <c r="K442" s="18" t="s">
        <v>70</v>
      </c>
      <c r="L442" s="18" t="s">
        <v>1215</v>
      </c>
      <c r="M442" s="18" t="b">
        <f t="shared" si="13"/>
        <v>0</v>
      </c>
    </row>
    <row r="443" spans="1:13" ht="31.2" x14ac:dyDescent="0.3">
      <c r="A443" s="18" t="s">
        <v>130</v>
      </c>
      <c r="B443" s="18" t="s">
        <v>130</v>
      </c>
      <c r="C443" s="19">
        <v>45508</v>
      </c>
      <c r="D443" s="18" t="s">
        <v>27</v>
      </c>
      <c r="E443" s="18" t="str">
        <f>IFERROR(VLOOKUP(TRIM(D443), Collection!$B$2:$D$1001, 2, FALSE), "")</f>
        <v>Historiques 222</v>
      </c>
      <c r="F443" s="21" t="str">
        <f>IFERROR(VLOOKUP(TRIM(D443), Collection!$B$2:$D$1001, 3, FALSE), "")</f>
        <v>279,000 AED</v>
      </c>
      <c r="G443" s="21">
        <f t="shared" si="12"/>
        <v>279000</v>
      </c>
      <c r="H443" s="18" t="s">
        <v>58</v>
      </c>
      <c r="I443" s="18">
        <v>97223180</v>
      </c>
      <c r="J443" s="18" t="s">
        <v>114</v>
      </c>
      <c r="K443" s="18" t="s">
        <v>67</v>
      </c>
      <c r="L443" s="18" t="s">
        <v>980</v>
      </c>
      <c r="M443" s="18" t="b">
        <f t="shared" si="13"/>
        <v>1</v>
      </c>
    </row>
    <row r="444" spans="1:13" ht="31.2" x14ac:dyDescent="0.3">
      <c r="A444" s="18" t="s">
        <v>130</v>
      </c>
      <c r="B444" s="18" t="s">
        <v>130</v>
      </c>
      <c r="C444" s="18" t="s">
        <v>894</v>
      </c>
      <c r="D444" s="18" t="s">
        <v>895</v>
      </c>
      <c r="E444" s="18" t="str">
        <f>IFERROR(VLOOKUP(TRIM(D444), Collection!$B$2:$D$1001, 2, FALSE), "")</f>
        <v>Fiftysix complete calendar</v>
      </c>
      <c r="F444" s="21" t="str">
        <f>IFERROR(VLOOKUP(TRIM(D444), Collection!$B$2:$D$1001, 3, FALSE), "")</f>
        <v>104,000 AED</v>
      </c>
      <c r="G444" s="21">
        <f t="shared" si="12"/>
        <v>104000</v>
      </c>
      <c r="H444" s="18" t="s">
        <v>58</v>
      </c>
      <c r="I444" s="18">
        <v>98828137</v>
      </c>
      <c r="J444" s="18" t="s">
        <v>59</v>
      </c>
      <c r="K444" s="18" t="s">
        <v>70</v>
      </c>
      <c r="L444" s="18" t="s">
        <v>980</v>
      </c>
      <c r="M444" s="18" t="b">
        <f t="shared" si="13"/>
        <v>0</v>
      </c>
    </row>
    <row r="445" spans="1:13" ht="31.2" x14ac:dyDescent="0.3">
      <c r="A445" s="18" t="s">
        <v>55</v>
      </c>
      <c r="B445" s="18" t="s">
        <v>980</v>
      </c>
      <c r="C445" s="19">
        <v>45507</v>
      </c>
      <c r="D445" s="18" t="s">
        <v>35</v>
      </c>
      <c r="E445" s="18" t="str">
        <f>IFERROR(VLOOKUP(TRIM(D445), Collection!$B$2:$D$1001, 2, FALSE), "")</f>
        <v>Overseas self-winding</v>
      </c>
      <c r="F445" s="21" t="str">
        <f>IFERROR(VLOOKUP(TRIM(D445), Collection!$B$2:$D$1001, 3, FALSE), "")</f>
        <v>94,500 AED</v>
      </c>
      <c r="G445" s="21">
        <f t="shared" si="12"/>
        <v>94500</v>
      </c>
      <c r="H445" s="18" t="s">
        <v>58</v>
      </c>
      <c r="I445" s="18">
        <v>98340991</v>
      </c>
      <c r="J445" s="18" t="s">
        <v>59</v>
      </c>
      <c r="K445" s="18" t="s">
        <v>70</v>
      </c>
      <c r="L445" s="18" t="s">
        <v>980</v>
      </c>
      <c r="M445" s="18" t="b">
        <f t="shared" si="13"/>
        <v>0</v>
      </c>
    </row>
    <row r="446" spans="1:13" ht="46.8" x14ac:dyDescent="0.3">
      <c r="A446" s="18" t="s">
        <v>55</v>
      </c>
      <c r="B446" s="18" t="s">
        <v>980</v>
      </c>
      <c r="C446" s="19">
        <v>45476</v>
      </c>
      <c r="D446" s="18" t="s">
        <v>37</v>
      </c>
      <c r="E446" s="18" t="str">
        <f>IFERROR(VLOOKUP(TRIM(D446), Collection!$B$2:$D$1001, 2, FALSE), "")</f>
        <v>Overseas moon phase retrograde date</v>
      </c>
      <c r="F446" s="21" t="str">
        <f>IFERROR(VLOOKUP(TRIM(D446), Collection!$B$2:$D$1001, 3, FALSE), "")</f>
        <v>166,000 AED</v>
      </c>
      <c r="G446" s="21">
        <f t="shared" si="12"/>
        <v>166000</v>
      </c>
      <c r="H446" s="18" t="s">
        <v>58</v>
      </c>
      <c r="I446" s="18">
        <v>92424528</v>
      </c>
      <c r="J446" s="18" t="s">
        <v>59</v>
      </c>
      <c r="K446" s="18" t="s">
        <v>60</v>
      </c>
      <c r="L446" s="18" t="s">
        <v>980</v>
      </c>
      <c r="M446" s="18" t="b">
        <f t="shared" si="13"/>
        <v>0</v>
      </c>
    </row>
    <row r="447" spans="1:13" ht="31.2" x14ac:dyDescent="0.3">
      <c r="A447" s="18" t="s">
        <v>55</v>
      </c>
      <c r="B447" s="18" t="s">
        <v>98</v>
      </c>
      <c r="C447" s="19">
        <v>45294</v>
      </c>
      <c r="D447" s="18" t="s">
        <v>35</v>
      </c>
      <c r="E447" s="18" t="str">
        <f>IFERROR(VLOOKUP(TRIM(D447), Collection!$B$2:$D$1001, 2, FALSE), "")</f>
        <v>Overseas self-winding</v>
      </c>
      <c r="F447" s="21" t="str">
        <f>IFERROR(VLOOKUP(TRIM(D447), Collection!$B$2:$D$1001, 3, FALSE), "")</f>
        <v>94,500 AED</v>
      </c>
      <c r="G447" s="21">
        <f t="shared" si="12"/>
        <v>94500</v>
      </c>
      <c r="H447" s="18" t="s">
        <v>58</v>
      </c>
      <c r="I447" s="18">
        <v>92410222</v>
      </c>
      <c r="J447" s="18" t="s">
        <v>59</v>
      </c>
      <c r="K447" s="18" t="s">
        <v>67</v>
      </c>
      <c r="L447" s="18" t="s">
        <v>980</v>
      </c>
      <c r="M447" s="18" t="b">
        <f t="shared" si="13"/>
        <v>0</v>
      </c>
    </row>
    <row r="448" spans="1:13" ht="31.2" x14ac:dyDescent="0.3">
      <c r="A448" s="18" t="s">
        <v>55</v>
      </c>
      <c r="B448" s="18" t="s">
        <v>980</v>
      </c>
      <c r="C448" s="18" t="s">
        <v>902</v>
      </c>
      <c r="D448" s="18" t="s">
        <v>35</v>
      </c>
      <c r="E448" s="18" t="str">
        <f>IFERROR(VLOOKUP(TRIM(D448), Collection!$B$2:$D$1001, 2, FALSE), "")</f>
        <v>Overseas self-winding</v>
      </c>
      <c r="F448" s="21" t="str">
        <f>IFERROR(VLOOKUP(TRIM(D448), Collection!$B$2:$D$1001, 3, FALSE), "")</f>
        <v>94,500 AED</v>
      </c>
      <c r="G448" s="21">
        <f t="shared" si="12"/>
        <v>94500</v>
      </c>
      <c r="H448" s="18" t="s">
        <v>58</v>
      </c>
      <c r="I448" s="18">
        <v>98213478</v>
      </c>
      <c r="J448" s="18" t="s">
        <v>114</v>
      </c>
      <c r="K448" s="18" t="s">
        <v>70</v>
      </c>
      <c r="L448" s="18" t="s">
        <v>980</v>
      </c>
      <c r="M448" s="18" t="b">
        <f t="shared" si="13"/>
        <v>0</v>
      </c>
    </row>
    <row r="449" spans="1:13" ht="31.2" x14ac:dyDescent="0.3">
      <c r="A449" s="18" t="s">
        <v>55</v>
      </c>
      <c r="B449" s="18" t="s">
        <v>980</v>
      </c>
      <c r="C449" s="18" t="s">
        <v>902</v>
      </c>
      <c r="D449" s="18" t="s">
        <v>35</v>
      </c>
      <c r="E449" s="18" t="str">
        <f>IFERROR(VLOOKUP(TRIM(D449), Collection!$B$2:$D$1001, 2, FALSE), "")</f>
        <v>Overseas self-winding</v>
      </c>
      <c r="F449" s="21" t="str">
        <f>IFERROR(VLOOKUP(TRIM(D449), Collection!$B$2:$D$1001, 3, FALSE), "")</f>
        <v>94,500 AED</v>
      </c>
      <c r="G449" s="21">
        <f t="shared" si="12"/>
        <v>94500</v>
      </c>
      <c r="H449" s="18" t="s">
        <v>58</v>
      </c>
      <c r="I449" s="18">
        <v>98213878</v>
      </c>
      <c r="J449" s="18" t="s">
        <v>59</v>
      </c>
      <c r="K449" s="18" t="s">
        <v>60</v>
      </c>
      <c r="L449" s="18" t="s">
        <v>980</v>
      </c>
      <c r="M449" s="18" t="b">
        <f t="shared" si="13"/>
        <v>0</v>
      </c>
    </row>
    <row r="450" spans="1:13" ht="31.2" x14ac:dyDescent="0.3">
      <c r="A450" s="18" t="s">
        <v>55</v>
      </c>
      <c r="B450" s="18" t="s">
        <v>564</v>
      </c>
      <c r="C450" s="18" t="s">
        <v>905</v>
      </c>
      <c r="D450" s="18" t="s">
        <v>35</v>
      </c>
      <c r="E450" s="18" t="str">
        <f>IFERROR(VLOOKUP(TRIM(D450), Collection!$B$2:$D$1001, 2, FALSE), "")</f>
        <v>Overseas self-winding</v>
      </c>
      <c r="F450" s="21" t="str">
        <f>IFERROR(VLOOKUP(TRIM(D450), Collection!$B$2:$D$1001, 3, FALSE), "")</f>
        <v>94,500 AED</v>
      </c>
      <c r="G450" s="21">
        <f t="shared" ref="G450:G478" si="14">IFERROR(VALUE(SUBSTITUTE(SUBSTITUTE(F450, "Price", ""), "AED", "")), "")</f>
        <v>94500</v>
      </c>
      <c r="H450" s="18" t="s">
        <v>58</v>
      </c>
      <c r="I450" s="18">
        <v>97560994</v>
      </c>
      <c r="J450" s="18" t="s">
        <v>59</v>
      </c>
      <c r="K450" s="18" t="s">
        <v>67</v>
      </c>
      <c r="L450" s="18" t="s">
        <v>980</v>
      </c>
      <c r="M450" s="18" t="b">
        <f t="shared" ref="M450:M478" si="15">IF(COUNTIF($R$3:$R$100, D450) &gt; 0, TRUE, FALSE)</f>
        <v>0</v>
      </c>
    </row>
    <row r="451" spans="1:13" ht="31.2" x14ac:dyDescent="0.3">
      <c r="A451" s="18" t="s">
        <v>55</v>
      </c>
      <c r="B451" s="18" t="s">
        <v>564</v>
      </c>
      <c r="C451" s="18" t="s">
        <v>907</v>
      </c>
      <c r="D451" s="18" t="s">
        <v>22</v>
      </c>
      <c r="E451" s="18" t="str">
        <f>IFERROR(VLOOKUP(TRIM(D451), Collection!$B$2:$D$1001, 2, FALSE), "")</f>
        <v>Overseas dual time Blue</v>
      </c>
      <c r="F451" s="21" t="str">
        <f>IFERROR(VLOOKUP(TRIM(D451), Collection!$B$2:$D$1001, 3, FALSE), "")</f>
        <v>117,000 AED</v>
      </c>
      <c r="G451" s="21">
        <f t="shared" si="14"/>
        <v>117000</v>
      </c>
      <c r="H451" s="18" t="s">
        <v>58</v>
      </c>
      <c r="I451" s="18">
        <v>97560994</v>
      </c>
      <c r="J451" s="18" t="s">
        <v>59</v>
      </c>
      <c r="K451" s="18" t="s">
        <v>67</v>
      </c>
      <c r="L451" s="18" t="s">
        <v>980</v>
      </c>
      <c r="M451" s="18" t="b">
        <f t="shared" si="15"/>
        <v>0</v>
      </c>
    </row>
    <row r="452" spans="1:13" ht="31.2" x14ac:dyDescent="0.3">
      <c r="A452" s="18" t="s">
        <v>55</v>
      </c>
      <c r="B452" s="18" t="s">
        <v>980</v>
      </c>
      <c r="C452" s="18" t="s">
        <v>907</v>
      </c>
      <c r="D452" s="18" t="s">
        <v>35</v>
      </c>
      <c r="E452" s="18" t="str">
        <f>IFERROR(VLOOKUP(TRIM(D452), Collection!$B$2:$D$1001, 2, FALSE), "")</f>
        <v>Overseas self-winding</v>
      </c>
      <c r="F452" s="21" t="str">
        <f>IFERROR(VLOOKUP(TRIM(D452), Collection!$B$2:$D$1001, 3, FALSE), "")</f>
        <v>94,500 AED</v>
      </c>
      <c r="G452" s="21">
        <f t="shared" si="14"/>
        <v>94500</v>
      </c>
      <c r="H452" s="18" t="s">
        <v>58</v>
      </c>
      <c r="I452" s="18">
        <v>97863424</v>
      </c>
      <c r="J452" s="18" t="s">
        <v>59</v>
      </c>
      <c r="K452" s="18" t="s">
        <v>60</v>
      </c>
      <c r="L452" s="18" t="s">
        <v>980</v>
      </c>
      <c r="M452" s="18" t="b">
        <f t="shared" si="15"/>
        <v>0</v>
      </c>
    </row>
    <row r="453" spans="1:13" ht="31.2" x14ac:dyDescent="0.3">
      <c r="A453" s="18" t="s">
        <v>130</v>
      </c>
      <c r="B453" s="18" t="s">
        <v>130</v>
      </c>
      <c r="C453" s="19">
        <v>45475</v>
      </c>
      <c r="D453" s="18" t="s">
        <v>910</v>
      </c>
      <c r="E453" s="18" t="str">
        <f>IFERROR(VLOOKUP(TRIM(D453), Collection!$B$2:$D$1001, 2, FALSE), "")</f>
        <v>Historiques Triple calendrier 1942</v>
      </c>
      <c r="F453" s="21" t="str">
        <f>IFERROR(VLOOKUP(TRIM(D453), Collection!$B$2:$D$1001, 3, FALSE), "")</f>
        <v>91,000 AED</v>
      </c>
      <c r="G453" s="21">
        <f t="shared" si="14"/>
        <v>91000</v>
      </c>
      <c r="H453" s="18" t="s">
        <v>58</v>
      </c>
      <c r="I453" s="18">
        <v>97739424</v>
      </c>
      <c r="J453" s="18" t="s">
        <v>59</v>
      </c>
      <c r="K453" s="18" t="s">
        <v>67</v>
      </c>
      <c r="L453" s="18" t="s">
        <v>980</v>
      </c>
      <c r="M453" s="18" t="b">
        <f t="shared" si="15"/>
        <v>0</v>
      </c>
    </row>
    <row r="454" spans="1:13" ht="31.2" x14ac:dyDescent="0.3">
      <c r="A454" s="18" t="s">
        <v>25</v>
      </c>
      <c r="B454" s="18" t="s">
        <v>95</v>
      </c>
      <c r="C454" s="18" t="s">
        <v>912</v>
      </c>
      <c r="D454" s="18" t="s">
        <v>14</v>
      </c>
      <c r="E454" s="18" t="str">
        <f>IFERROR(VLOOKUP(TRIM(D454), Collection!$B$2:$D$1001, 2, FALSE), "")</f>
        <v>Overseas quartz</v>
      </c>
      <c r="F454" s="21" t="str">
        <f>IFERROR(VLOOKUP(TRIM(D454), Collection!$B$2:$D$1001, 3, FALSE), "")</f>
        <v>62,500 AED</v>
      </c>
      <c r="G454" s="21">
        <f t="shared" si="14"/>
        <v>62500</v>
      </c>
      <c r="H454" s="18" t="s">
        <v>58</v>
      </c>
      <c r="I454" s="18">
        <v>97341155</v>
      </c>
      <c r="J454" s="18" t="s">
        <v>59</v>
      </c>
      <c r="K454" s="18" t="s">
        <v>70</v>
      </c>
      <c r="L454" s="18" t="s">
        <v>980</v>
      </c>
      <c r="M454" s="18" t="b">
        <f t="shared" si="15"/>
        <v>0</v>
      </c>
    </row>
    <row r="455" spans="1:13" ht="93.6" x14ac:dyDescent="0.3">
      <c r="A455" s="18" t="s">
        <v>55</v>
      </c>
      <c r="B455" s="18" t="s">
        <v>980</v>
      </c>
      <c r="C455" s="18" t="s">
        <v>914</v>
      </c>
      <c r="D455" s="18" t="s">
        <v>895</v>
      </c>
      <c r="E455" s="18" t="str">
        <f>IFERROR(VLOOKUP(TRIM(D455), Collection!$B$2:$D$1001, 2, FALSE), "")</f>
        <v>Fiftysix complete calendar</v>
      </c>
      <c r="F455" s="21" t="str">
        <f>IFERROR(VLOOKUP(TRIM(D455), Collection!$B$2:$D$1001, 3, FALSE), "")</f>
        <v>104,000 AED</v>
      </c>
      <c r="G455" s="21">
        <f t="shared" si="14"/>
        <v>104000</v>
      </c>
      <c r="H455" s="18" t="s">
        <v>58</v>
      </c>
      <c r="I455" s="18">
        <v>97266884</v>
      </c>
      <c r="J455" s="18" t="s">
        <v>59</v>
      </c>
      <c r="K455" s="18" t="s">
        <v>60</v>
      </c>
      <c r="L455" s="18" t="s">
        <v>1216</v>
      </c>
      <c r="M455" s="18" t="b">
        <f t="shared" si="15"/>
        <v>0</v>
      </c>
    </row>
    <row r="456" spans="1:13" ht="31.2" x14ac:dyDescent="0.3">
      <c r="A456" s="18" t="s">
        <v>130</v>
      </c>
      <c r="B456" s="18" t="s">
        <v>130</v>
      </c>
      <c r="C456" s="18" t="s">
        <v>914</v>
      </c>
      <c r="D456" s="18" t="s">
        <v>16</v>
      </c>
      <c r="E456" s="18" t="str">
        <f>IFERROR(VLOOKUP(TRIM(D456), Collection!$B$2:$D$1001, 2, FALSE), "")</f>
        <v>Overseas chronograph</v>
      </c>
      <c r="F456" s="21" t="str">
        <f>IFERROR(VLOOKUP(TRIM(D456), Collection!$B$2:$D$1001, 3, FALSE), "")</f>
        <v>135,000 AED</v>
      </c>
      <c r="G456" s="21">
        <f t="shared" si="14"/>
        <v>135000</v>
      </c>
      <c r="H456" s="18" t="s">
        <v>58</v>
      </c>
      <c r="I456" s="18">
        <v>92401070</v>
      </c>
      <c r="J456" s="18" t="s">
        <v>59</v>
      </c>
      <c r="K456" s="18" t="s">
        <v>67</v>
      </c>
      <c r="L456" s="18" t="s">
        <v>980</v>
      </c>
      <c r="M456" s="18" t="b">
        <f t="shared" si="15"/>
        <v>0</v>
      </c>
    </row>
    <row r="457" spans="1:13" ht="31.2" x14ac:dyDescent="0.3">
      <c r="A457" s="18" t="s">
        <v>130</v>
      </c>
      <c r="B457" s="18" t="s">
        <v>130</v>
      </c>
      <c r="C457" s="19">
        <v>45566</v>
      </c>
      <c r="D457" s="18" t="s">
        <v>919</v>
      </c>
      <c r="E457" s="18" t="str">
        <f>IFERROR(VLOOKUP(TRIM(D457), Collection!$B$2:$D$1001, 2, FALSE), "")</f>
        <v>Overseas quartz</v>
      </c>
      <c r="F457" s="21" t="str">
        <f>IFERROR(VLOOKUP(TRIM(D457), Collection!$B$2:$D$1001, 3, FALSE), "")</f>
        <v>62,500 AED</v>
      </c>
      <c r="G457" s="21">
        <f t="shared" si="14"/>
        <v>62500</v>
      </c>
      <c r="H457" s="18" t="s">
        <v>58</v>
      </c>
      <c r="I457" s="18">
        <v>96731103</v>
      </c>
      <c r="J457" s="18" t="s">
        <v>59</v>
      </c>
      <c r="K457" s="18" t="s">
        <v>70</v>
      </c>
      <c r="L457" s="18" t="s">
        <v>980</v>
      </c>
      <c r="M457" s="18" t="b">
        <f t="shared" si="15"/>
        <v>0</v>
      </c>
    </row>
    <row r="458" spans="1:13" ht="31.2" x14ac:dyDescent="0.3">
      <c r="A458" s="18" t="s">
        <v>55</v>
      </c>
      <c r="B458" s="18" t="s">
        <v>980</v>
      </c>
      <c r="C458" s="19">
        <v>45292</v>
      </c>
      <c r="D458" s="18" t="s">
        <v>172</v>
      </c>
      <c r="E458" s="18" t="str">
        <f>IFERROR(VLOOKUP(TRIM(D458), Collection!$B$2:$D$1001, 2, FALSE), "")</f>
        <v>Fiftysix self-winding</v>
      </c>
      <c r="F458" s="21" t="str">
        <f>IFERROR(VLOOKUP(TRIM(D458), Collection!$B$2:$D$1001, 3, FALSE), "")</f>
        <v>48,000 AED</v>
      </c>
      <c r="G458" s="21">
        <f t="shared" si="14"/>
        <v>48000</v>
      </c>
      <c r="H458" s="18" t="s">
        <v>58</v>
      </c>
      <c r="I458" s="18">
        <v>94291400</v>
      </c>
      <c r="J458" s="18" t="s">
        <v>59</v>
      </c>
      <c r="K458" s="18" t="s">
        <v>60</v>
      </c>
      <c r="L458" s="18" t="s">
        <v>980</v>
      </c>
      <c r="M458" s="18" t="b">
        <f t="shared" si="15"/>
        <v>0</v>
      </c>
    </row>
    <row r="459" spans="1:13" ht="31.2" x14ac:dyDescent="0.3">
      <c r="A459" s="18" t="s">
        <v>130</v>
      </c>
      <c r="B459" s="18" t="s">
        <v>130</v>
      </c>
      <c r="C459" s="18" t="s">
        <v>923</v>
      </c>
      <c r="D459" s="18" t="s">
        <v>919</v>
      </c>
      <c r="E459" s="18" t="str">
        <f>IFERROR(VLOOKUP(TRIM(D459), Collection!$B$2:$D$1001, 2, FALSE), "")</f>
        <v>Overseas quartz</v>
      </c>
      <c r="F459" s="21" t="str">
        <f>IFERROR(VLOOKUP(TRIM(D459), Collection!$B$2:$D$1001, 3, FALSE), "")</f>
        <v>62,500 AED</v>
      </c>
      <c r="G459" s="21">
        <f t="shared" si="14"/>
        <v>62500</v>
      </c>
      <c r="H459" s="18" t="s">
        <v>58</v>
      </c>
      <c r="I459" s="18">
        <v>94195497</v>
      </c>
      <c r="J459" s="18" t="s">
        <v>59</v>
      </c>
      <c r="K459" s="18" t="s">
        <v>67</v>
      </c>
      <c r="L459" s="18" t="s">
        <v>980</v>
      </c>
      <c r="M459" s="18" t="b">
        <f t="shared" si="15"/>
        <v>0</v>
      </c>
    </row>
    <row r="460" spans="1:13" ht="31.2" x14ac:dyDescent="0.3">
      <c r="A460" s="18" t="s">
        <v>130</v>
      </c>
      <c r="B460" s="18" t="s">
        <v>130</v>
      </c>
      <c r="C460" s="18" t="s">
        <v>925</v>
      </c>
      <c r="D460" s="18" t="s">
        <v>172</v>
      </c>
      <c r="E460" s="18" t="str">
        <f>IFERROR(VLOOKUP(TRIM(D460), Collection!$B$2:$D$1001, 2, FALSE), "")</f>
        <v>Fiftysix self-winding</v>
      </c>
      <c r="F460" s="21" t="str">
        <f>IFERROR(VLOOKUP(TRIM(D460), Collection!$B$2:$D$1001, 3, FALSE), "")</f>
        <v>48,000 AED</v>
      </c>
      <c r="G460" s="21">
        <f t="shared" si="14"/>
        <v>48000</v>
      </c>
      <c r="H460" s="18" t="s">
        <v>58</v>
      </c>
      <c r="I460" s="18">
        <v>94028251</v>
      </c>
      <c r="J460" s="18" t="s">
        <v>59</v>
      </c>
      <c r="K460" s="18" t="s">
        <v>70</v>
      </c>
      <c r="L460" s="18" t="s">
        <v>980</v>
      </c>
      <c r="M460" s="18" t="b">
        <f t="shared" si="15"/>
        <v>0</v>
      </c>
    </row>
    <row r="461" spans="1:13" ht="31.2" x14ac:dyDescent="0.3">
      <c r="A461" s="18" t="s">
        <v>55</v>
      </c>
      <c r="B461" s="18" t="s">
        <v>980</v>
      </c>
      <c r="C461" s="18" t="s">
        <v>927</v>
      </c>
      <c r="D461" s="18" t="s">
        <v>22</v>
      </c>
      <c r="E461" s="18" t="str">
        <f>IFERROR(VLOOKUP(TRIM(D461), Collection!$B$2:$D$1001, 2, FALSE), "")</f>
        <v>Overseas dual time Blue</v>
      </c>
      <c r="F461" s="21" t="str">
        <f>IFERROR(VLOOKUP(TRIM(D461), Collection!$B$2:$D$1001, 3, FALSE), "")</f>
        <v>117,000 AED</v>
      </c>
      <c r="G461" s="21">
        <f t="shared" si="14"/>
        <v>117000</v>
      </c>
      <c r="H461" s="18" t="s">
        <v>58</v>
      </c>
      <c r="I461" s="18">
        <v>92398068</v>
      </c>
      <c r="J461" s="18" t="s">
        <v>59</v>
      </c>
      <c r="K461" s="18" t="s">
        <v>60</v>
      </c>
      <c r="L461" s="18" t="s">
        <v>980</v>
      </c>
      <c r="M461" s="18" t="b">
        <f t="shared" si="15"/>
        <v>0</v>
      </c>
    </row>
    <row r="462" spans="1:13" ht="31.2" x14ac:dyDescent="0.3">
      <c r="A462" s="18" t="s">
        <v>55</v>
      </c>
      <c r="B462" s="18" t="s">
        <v>980</v>
      </c>
      <c r="C462" s="19">
        <v>45181</v>
      </c>
      <c r="D462" s="18" t="s">
        <v>22</v>
      </c>
      <c r="E462" s="18" t="str">
        <f>IFERROR(VLOOKUP(TRIM(D462), Collection!$B$2:$D$1001, 2, FALSE), "")</f>
        <v>Overseas dual time Blue</v>
      </c>
      <c r="F462" s="21" t="str">
        <f>IFERROR(VLOOKUP(TRIM(D462), Collection!$B$2:$D$1001, 3, FALSE), "")</f>
        <v>117,000 AED</v>
      </c>
      <c r="G462" s="21">
        <f t="shared" si="14"/>
        <v>117000</v>
      </c>
      <c r="H462" s="18" t="s">
        <v>58</v>
      </c>
      <c r="I462" s="18">
        <v>92402171</v>
      </c>
      <c r="J462" s="18" t="s">
        <v>114</v>
      </c>
      <c r="K462" s="18" t="s">
        <v>67</v>
      </c>
      <c r="L462" s="18" t="s">
        <v>980</v>
      </c>
      <c r="M462" s="18" t="b">
        <f t="shared" si="15"/>
        <v>0</v>
      </c>
    </row>
    <row r="463" spans="1:13" ht="31.2" x14ac:dyDescent="0.3">
      <c r="A463" s="18" t="s">
        <v>130</v>
      </c>
      <c r="B463" s="18" t="s">
        <v>130</v>
      </c>
      <c r="C463" s="18" t="s">
        <v>931</v>
      </c>
      <c r="D463" s="18" t="s">
        <v>22</v>
      </c>
      <c r="E463" s="18" t="str">
        <f>IFERROR(VLOOKUP(TRIM(D463), Collection!$B$2:$D$1001, 2, FALSE), "")</f>
        <v>Overseas dual time Blue</v>
      </c>
      <c r="F463" s="21" t="str">
        <f>IFERROR(VLOOKUP(TRIM(D463), Collection!$B$2:$D$1001, 3, FALSE), "")</f>
        <v>117,000 AED</v>
      </c>
      <c r="G463" s="21">
        <f t="shared" si="14"/>
        <v>117000</v>
      </c>
      <c r="H463" s="18" t="s">
        <v>58</v>
      </c>
      <c r="I463" s="18">
        <v>79989586</v>
      </c>
      <c r="J463" s="18" t="s">
        <v>59</v>
      </c>
      <c r="K463" s="18" t="s">
        <v>70</v>
      </c>
      <c r="L463" s="18" t="s">
        <v>980</v>
      </c>
      <c r="M463" s="18" t="b">
        <f t="shared" si="15"/>
        <v>0</v>
      </c>
    </row>
    <row r="464" spans="1:13" ht="31.2" x14ac:dyDescent="0.3">
      <c r="A464" s="18" t="s">
        <v>55</v>
      </c>
      <c r="B464" s="18" t="s">
        <v>980</v>
      </c>
      <c r="C464" s="18" t="s">
        <v>933</v>
      </c>
      <c r="D464" s="18" t="s">
        <v>35</v>
      </c>
      <c r="E464" s="18" t="str">
        <f>IFERROR(VLOOKUP(TRIM(D464), Collection!$B$2:$D$1001, 2, FALSE), "")</f>
        <v>Overseas self-winding</v>
      </c>
      <c r="F464" s="21" t="str">
        <f>IFERROR(VLOOKUP(TRIM(D464), Collection!$B$2:$D$1001, 3, FALSE), "")</f>
        <v>94,500 AED</v>
      </c>
      <c r="G464" s="21">
        <f t="shared" si="14"/>
        <v>94500</v>
      </c>
      <c r="H464" s="18" t="s">
        <v>58</v>
      </c>
      <c r="I464" s="18">
        <v>93573185</v>
      </c>
      <c r="J464" s="18" t="s">
        <v>59</v>
      </c>
      <c r="K464" s="18" t="s">
        <v>60</v>
      </c>
      <c r="L464" s="18" t="s">
        <v>980</v>
      </c>
      <c r="M464" s="18" t="b">
        <f t="shared" si="15"/>
        <v>0</v>
      </c>
    </row>
    <row r="465" spans="1:13" ht="31.2" x14ac:dyDescent="0.3">
      <c r="A465" s="18" t="s">
        <v>25</v>
      </c>
      <c r="B465" s="18" t="s">
        <v>95</v>
      </c>
      <c r="C465" s="18" t="s">
        <v>933</v>
      </c>
      <c r="D465" s="18" t="s">
        <v>35</v>
      </c>
      <c r="E465" s="18" t="str">
        <f>IFERROR(VLOOKUP(TRIM(D465), Collection!$B$2:$D$1001, 2, FALSE), "")</f>
        <v>Overseas self-winding</v>
      </c>
      <c r="F465" s="21" t="str">
        <f>IFERROR(VLOOKUP(TRIM(D465), Collection!$B$2:$D$1001, 3, FALSE), "")</f>
        <v>94,500 AED</v>
      </c>
      <c r="G465" s="21">
        <f t="shared" si="14"/>
        <v>94500</v>
      </c>
      <c r="H465" s="18" t="s">
        <v>58</v>
      </c>
      <c r="I465" s="18">
        <v>93573388</v>
      </c>
      <c r="J465" s="18" t="s">
        <v>59</v>
      </c>
      <c r="K465" s="18" t="s">
        <v>936</v>
      </c>
      <c r="L465" s="18" t="s">
        <v>980</v>
      </c>
      <c r="M465" s="18" t="b">
        <f t="shared" si="15"/>
        <v>0</v>
      </c>
    </row>
    <row r="466" spans="1:13" ht="31.2" x14ac:dyDescent="0.3">
      <c r="A466" s="18" t="s">
        <v>130</v>
      </c>
      <c r="B466" s="18" t="s">
        <v>130</v>
      </c>
      <c r="C466" s="18" t="s">
        <v>937</v>
      </c>
      <c r="D466" s="18" t="s">
        <v>938</v>
      </c>
      <c r="E466" s="18" t="str">
        <f>IFERROR(VLOOKUP(TRIM(D466), Collection!$B$2:$D$1001, 2, FALSE), "")</f>
        <v>Overseas self-winding</v>
      </c>
      <c r="F466" s="21" t="str">
        <f>IFERROR(VLOOKUP(TRIM(D466), Collection!$B$2:$D$1001, 3, FALSE), "")</f>
        <v>153,000 AED</v>
      </c>
      <c r="G466" s="21">
        <f t="shared" si="14"/>
        <v>153000</v>
      </c>
      <c r="H466" s="18" t="s">
        <v>58</v>
      </c>
      <c r="I466" s="18">
        <v>93306019</v>
      </c>
      <c r="J466" s="18" t="s">
        <v>59</v>
      </c>
      <c r="K466" s="18" t="s">
        <v>70</v>
      </c>
      <c r="L466" s="18" t="s">
        <v>980</v>
      </c>
      <c r="M466" s="18" t="b">
        <f t="shared" si="15"/>
        <v>0</v>
      </c>
    </row>
    <row r="467" spans="1:13" ht="31.2" x14ac:dyDescent="0.3">
      <c r="A467" s="18" t="s">
        <v>55</v>
      </c>
      <c r="B467" s="18" t="s">
        <v>980</v>
      </c>
      <c r="C467" s="18" t="s">
        <v>937</v>
      </c>
      <c r="D467" s="18" t="s">
        <v>35</v>
      </c>
      <c r="E467" s="18" t="str">
        <f>IFERROR(VLOOKUP(TRIM(D467), Collection!$B$2:$D$1001, 2, FALSE), "")</f>
        <v>Overseas self-winding</v>
      </c>
      <c r="F467" s="21" t="str">
        <f>IFERROR(VLOOKUP(TRIM(D467), Collection!$B$2:$D$1001, 3, FALSE), "")</f>
        <v>94,500 AED</v>
      </c>
      <c r="G467" s="21">
        <f t="shared" si="14"/>
        <v>94500</v>
      </c>
      <c r="H467" s="18" t="s">
        <v>58</v>
      </c>
      <c r="I467" s="18">
        <v>92407789</v>
      </c>
      <c r="J467" s="18" t="s">
        <v>59</v>
      </c>
      <c r="K467" s="18" t="s">
        <v>60</v>
      </c>
      <c r="L467" s="18" t="s">
        <v>980</v>
      </c>
      <c r="M467" s="18" t="b">
        <f t="shared" si="15"/>
        <v>0</v>
      </c>
    </row>
    <row r="468" spans="1:13" ht="31.2" x14ac:dyDescent="0.3">
      <c r="A468" s="18" t="s">
        <v>55</v>
      </c>
      <c r="B468" s="18" t="s">
        <v>95</v>
      </c>
      <c r="C468" s="19">
        <v>45118</v>
      </c>
      <c r="D468" s="18" t="s">
        <v>35</v>
      </c>
      <c r="E468" s="18" t="str">
        <f>IFERROR(VLOOKUP(TRIM(D468), Collection!$B$2:$D$1001, 2, FALSE), "")</f>
        <v>Overseas self-winding</v>
      </c>
      <c r="F468" s="21" t="str">
        <f>IFERROR(VLOOKUP(TRIM(D468), Collection!$B$2:$D$1001, 3, FALSE), "")</f>
        <v>94,500 AED</v>
      </c>
      <c r="G468" s="21">
        <f t="shared" si="14"/>
        <v>94500</v>
      </c>
      <c r="H468" s="18" t="s">
        <v>58</v>
      </c>
      <c r="I468" s="18">
        <v>93307928</v>
      </c>
      <c r="J468" s="18" t="s">
        <v>59</v>
      </c>
      <c r="K468" s="18" t="s">
        <v>67</v>
      </c>
      <c r="L468" s="18" t="s">
        <v>980</v>
      </c>
      <c r="M468" s="18" t="b">
        <f t="shared" si="15"/>
        <v>0</v>
      </c>
    </row>
    <row r="469" spans="1:13" ht="78" x14ac:dyDescent="0.3">
      <c r="A469" s="18" t="s">
        <v>55</v>
      </c>
      <c r="B469" s="18" t="s">
        <v>980</v>
      </c>
      <c r="C469" s="19">
        <v>44996</v>
      </c>
      <c r="D469" s="18" t="s">
        <v>35</v>
      </c>
      <c r="E469" s="18" t="str">
        <f>IFERROR(VLOOKUP(TRIM(D469), Collection!$B$2:$D$1001, 2, FALSE), "")</f>
        <v>Overseas self-winding</v>
      </c>
      <c r="F469" s="21" t="str">
        <f>IFERROR(VLOOKUP(TRIM(D469), Collection!$B$2:$D$1001, 3, FALSE), "")</f>
        <v>94,500 AED</v>
      </c>
      <c r="G469" s="21">
        <f t="shared" si="14"/>
        <v>94500</v>
      </c>
      <c r="H469" s="18" t="s">
        <v>58</v>
      </c>
      <c r="I469" s="18">
        <v>93266623</v>
      </c>
      <c r="J469" s="18" t="s">
        <v>59</v>
      </c>
      <c r="K469" s="18" t="s">
        <v>70</v>
      </c>
      <c r="L469" s="18" t="s">
        <v>1217</v>
      </c>
      <c r="M469" s="18" t="b">
        <f t="shared" si="15"/>
        <v>0</v>
      </c>
    </row>
    <row r="470" spans="1:13" ht="31.2" x14ac:dyDescent="0.3">
      <c r="A470" s="18" t="s">
        <v>130</v>
      </c>
      <c r="B470" s="18" t="s">
        <v>130</v>
      </c>
      <c r="C470" s="19">
        <v>44937</v>
      </c>
      <c r="D470" s="18" t="s">
        <v>635</v>
      </c>
      <c r="E470" s="18" t="str">
        <f>IFERROR(VLOOKUP(TRIM(D470), Collection!$B$2:$D$1001, 2, FALSE), "")</f>
        <v>Overseas tourbillon</v>
      </c>
      <c r="F470" s="21" t="str">
        <f>IFERROR(VLOOKUP(TRIM(D470), Collection!$B$2:$D$1001, 3, FALSE), "")</f>
        <v>515,000 AED</v>
      </c>
      <c r="G470" s="21">
        <f t="shared" si="14"/>
        <v>515000</v>
      </c>
      <c r="H470" s="18" t="s">
        <v>58</v>
      </c>
      <c r="I470" s="18">
        <v>93234862</v>
      </c>
      <c r="J470" s="18" t="s">
        <v>59</v>
      </c>
      <c r="K470" s="18" t="s">
        <v>70</v>
      </c>
      <c r="L470" s="18" t="s">
        <v>980</v>
      </c>
      <c r="M470" s="18" t="b">
        <f t="shared" si="15"/>
        <v>0</v>
      </c>
    </row>
    <row r="471" spans="1:13" ht="31.2" x14ac:dyDescent="0.3">
      <c r="A471" s="18" t="s">
        <v>55</v>
      </c>
      <c r="B471" s="18" t="s">
        <v>980</v>
      </c>
      <c r="C471" s="18" t="s">
        <v>948</v>
      </c>
      <c r="D471" s="18" t="s">
        <v>499</v>
      </c>
      <c r="E471" s="18" t="str">
        <f>IFERROR(VLOOKUP(TRIM(D471), Collection!$B$2:$D$1001, 2, FALSE), "")</f>
        <v>Overseas self-winding</v>
      </c>
      <c r="F471" s="21" t="str">
        <f>IFERROR(VLOOKUP(TRIM(D471), Collection!$B$2:$D$1001, 3, FALSE), "")</f>
        <v>94,500 AED</v>
      </c>
      <c r="G471" s="21">
        <f t="shared" si="14"/>
        <v>94500</v>
      </c>
      <c r="H471" s="18" t="s">
        <v>58</v>
      </c>
      <c r="I471" s="18">
        <v>1301022</v>
      </c>
      <c r="J471" s="18" t="s">
        <v>59</v>
      </c>
      <c r="K471" s="18" t="s">
        <v>60</v>
      </c>
      <c r="L471" s="18" t="s">
        <v>980</v>
      </c>
      <c r="M471" s="18" t="b">
        <f t="shared" si="15"/>
        <v>0</v>
      </c>
    </row>
    <row r="472" spans="1:13" ht="78" x14ac:dyDescent="0.3">
      <c r="A472" s="18" t="s">
        <v>55</v>
      </c>
      <c r="B472" s="18" t="s">
        <v>980</v>
      </c>
      <c r="C472" s="18" t="s">
        <v>950</v>
      </c>
      <c r="D472" s="18" t="s">
        <v>35</v>
      </c>
      <c r="E472" s="18" t="str">
        <f>IFERROR(VLOOKUP(TRIM(D472), Collection!$B$2:$D$1001, 2, FALSE), "")</f>
        <v>Overseas self-winding</v>
      </c>
      <c r="F472" s="21" t="str">
        <f>IFERROR(VLOOKUP(TRIM(D472), Collection!$B$2:$D$1001, 3, FALSE), "")</f>
        <v>94,500 AED</v>
      </c>
      <c r="G472" s="21">
        <f t="shared" si="14"/>
        <v>94500</v>
      </c>
      <c r="H472" s="18" t="s">
        <v>58</v>
      </c>
      <c r="I472" s="18">
        <v>1297716</v>
      </c>
      <c r="J472" s="18" t="s">
        <v>59</v>
      </c>
      <c r="K472" s="18" t="s">
        <v>67</v>
      </c>
      <c r="L472" s="18" t="s">
        <v>1218</v>
      </c>
      <c r="M472" s="18" t="b">
        <f t="shared" si="15"/>
        <v>0</v>
      </c>
    </row>
    <row r="473" spans="1:13" ht="46.8" x14ac:dyDescent="0.3">
      <c r="A473" s="18" t="s">
        <v>130</v>
      </c>
      <c r="B473" s="18" t="s">
        <v>130</v>
      </c>
      <c r="C473" s="18" t="s">
        <v>953</v>
      </c>
      <c r="D473" s="18" t="s">
        <v>37</v>
      </c>
      <c r="E473" s="18" t="str">
        <f>IFERROR(VLOOKUP(TRIM(D473), Collection!$B$2:$D$1001, 2, FALSE), "")</f>
        <v>Overseas moon phase retrograde date</v>
      </c>
      <c r="F473" s="21" t="str">
        <f>IFERROR(VLOOKUP(TRIM(D473), Collection!$B$2:$D$1001, 3, FALSE), "")</f>
        <v>166,000 AED</v>
      </c>
      <c r="G473" s="21">
        <f t="shared" si="14"/>
        <v>166000</v>
      </c>
      <c r="H473" s="18" t="s">
        <v>58</v>
      </c>
      <c r="I473" s="18">
        <v>1297177</v>
      </c>
      <c r="J473" s="18" t="s">
        <v>59</v>
      </c>
      <c r="K473" s="18" t="s">
        <v>70</v>
      </c>
      <c r="L473" s="18" t="s">
        <v>980</v>
      </c>
      <c r="M473" s="18" t="b">
        <f t="shared" si="15"/>
        <v>0</v>
      </c>
    </row>
    <row r="474" spans="1:13" ht="31.2" x14ac:dyDescent="0.3">
      <c r="A474" s="18" t="s">
        <v>25</v>
      </c>
      <c r="B474" s="18" t="s">
        <v>980</v>
      </c>
      <c r="C474" s="18" t="s">
        <v>955</v>
      </c>
      <c r="D474" s="18" t="s">
        <v>27</v>
      </c>
      <c r="E474" s="18" t="str">
        <f>IFERROR(VLOOKUP(TRIM(D474), Collection!$B$2:$D$1001, 2, FALSE), "")</f>
        <v>Historiques 222</v>
      </c>
      <c r="F474" s="21" t="str">
        <f>IFERROR(VLOOKUP(TRIM(D474), Collection!$B$2:$D$1001, 3, FALSE), "")</f>
        <v>279,000 AED</v>
      </c>
      <c r="G474" s="21">
        <f t="shared" si="14"/>
        <v>279000</v>
      </c>
      <c r="H474" s="18" t="s">
        <v>58</v>
      </c>
      <c r="I474" s="18">
        <v>1291072</v>
      </c>
      <c r="J474" s="18" t="s">
        <v>59</v>
      </c>
      <c r="K474" s="18" t="s">
        <v>60</v>
      </c>
      <c r="L474" s="18" t="s">
        <v>980</v>
      </c>
      <c r="M474" s="18" t="b">
        <f t="shared" si="15"/>
        <v>1</v>
      </c>
    </row>
    <row r="475" spans="1:13" ht="31.2" x14ac:dyDescent="0.3">
      <c r="A475" s="18" t="s">
        <v>55</v>
      </c>
      <c r="B475" s="18" t="s">
        <v>980</v>
      </c>
      <c r="C475" s="18" t="s">
        <v>957</v>
      </c>
      <c r="D475" s="18" t="s">
        <v>35</v>
      </c>
      <c r="E475" s="18" t="str">
        <f>IFERROR(VLOOKUP(TRIM(D475), Collection!$B$2:$D$1001, 2, FALSE), "")</f>
        <v>Overseas self-winding</v>
      </c>
      <c r="F475" s="21" t="str">
        <f>IFERROR(VLOOKUP(TRIM(D475), Collection!$B$2:$D$1001, 3, FALSE), "")</f>
        <v>94,500 AED</v>
      </c>
      <c r="G475" s="21">
        <f t="shared" si="14"/>
        <v>94500</v>
      </c>
      <c r="H475" s="18" t="s">
        <v>58</v>
      </c>
      <c r="I475" s="18">
        <v>1291327</v>
      </c>
      <c r="J475" s="18" t="s">
        <v>59</v>
      </c>
      <c r="K475" s="18" t="s">
        <v>67</v>
      </c>
      <c r="L475" s="18" t="s">
        <v>980</v>
      </c>
      <c r="M475" s="18" t="b">
        <f t="shared" si="15"/>
        <v>0</v>
      </c>
    </row>
    <row r="476" spans="1:13" ht="31.2" x14ac:dyDescent="0.3">
      <c r="A476" s="18" t="s">
        <v>130</v>
      </c>
      <c r="B476" s="18" t="s">
        <v>130</v>
      </c>
      <c r="C476" s="19">
        <v>45240</v>
      </c>
      <c r="D476" s="18" t="s">
        <v>499</v>
      </c>
      <c r="E476" s="18" t="str">
        <f>IFERROR(VLOOKUP(TRIM(D476), Collection!$B$2:$D$1001, 2, FALSE), "")</f>
        <v>Overseas self-winding</v>
      </c>
      <c r="F476" s="21" t="str">
        <f>IFERROR(VLOOKUP(TRIM(D476), Collection!$B$2:$D$1001, 3, FALSE), "")</f>
        <v>94,500 AED</v>
      </c>
      <c r="G476" s="21">
        <f t="shared" si="14"/>
        <v>94500</v>
      </c>
      <c r="H476" s="18" t="s">
        <v>58</v>
      </c>
      <c r="I476" s="18">
        <v>1289465</v>
      </c>
      <c r="J476" s="18" t="s">
        <v>59</v>
      </c>
      <c r="K476" s="18" t="s">
        <v>70</v>
      </c>
      <c r="L476" s="18" t="s">
        <v>980</v>
      </c>
      <c r="M476" s="18" t="b">
        <f t="shared" si="15"/>
        <v>0</v>
      </c>
    </row>
    <row r="477" spans="1:13" ht="31.2" x14ac:dyDescent="0.3">
      <c r="A477" s="18" t="s">
        <v>55</v>
      </c>
      <c r="B477" s="18" t="s">
        <v>980</v>
      </c>
      <c r="C477" s="19">
        <v>45179</v>
      </c>
      <c r="D477" s="18" t="s">
        <v>35</v>
      </c>
      <c r="E477" s="18" t="str">
        <f>IFERROR(VLOOKUP(TRIM(D477), Collection!$B$2:$D$1001, 2, FALSE), "")</f>
        <v>Overseas self-winding</v>
      </c>
      <c r="F477" s="21" t="str">
        <f>IFERROR(VLOOKUP(TRIM(D477), Collection!$B$2:$D$1001, 3, FALSE), "")</f>
        <v>94,500 AED</v>
      </c>
      <c r="G477" s="21">
        <f t="shared" si="14"/>
        <v>94500</v>
      </c>
      <c r="H477" s="18" t="s">
        <v>58</v>
      </c>
      <c r="I477" s="18">
        <v>1288389</v>
      </c>
      <c r="J477" s="18" t="s">
        <v>59</v>
      </c>
      <c r="K477" s="18" t="s">
        <v>70</v>
      </c>
      <c r="L477" s="18" t="s">
        <v>980</v>
      </c>
      <c r="M477" s="18" t="b">
        <f t="shared" si="15"/>
        <v>0</v>
      </c>
    </row>
    <row r="478" spans="1:13" ht="31.2" x14ac:dyDescent="0.3">
      <c r="A478" s="18" t="s">
        <v>55</v>
      </c>
      <c r="B478" s="18" t="s">
        <v>980</v>
      </c>
      <c r="C478" s="19">
        <v>45148</v>
      </c>
      <c r="D478" s="18" t="s">
        <v>35</v>
      </c>
      <c r="E478" s="18" t="str">
        <f>IFERROR(VLOOKUP(TRIM(D478), Collection!$B$2:$D$1001, 2, FALSE), "")</f>
        <v>Overseas self-winding</v>
      </c>
      <c r="F478" s="21" t="str">
        <f>IFERROR(VLOOKUP(TRIM(D478), Collection!$B$2:$D$1001, 3, FALSE), "")</f>
        <v>94,500 AED</v>
      </c>
      <c r="G478" s="21">
        <f t="shared" si="14"/>
        <v>94500</v>
      </c>
      <c r="H478" s="18" t="s">
        <v>58</v>
      </c>
      <c r="I478" s="18">
        <v>1150674</v>
      </c>
      <c r="J478" s="18" t="s">
        <v>114</v>
      </c>
      <c r="K478" s="18" t="s">
        <v>60</v>
      </c>
      <c r="L478" s="18" t="s">
        <v>980</v>
      </c>
      <c r="M478" s="18" t="b">
        <f t="shared" si="15"/>
        <v>0</v>
      </c>
    </row>
    <row r="479" spans="1:13" x14ac:dyDescent="0.3">
      <c r="F479" s="14"/>
      <c r="G479" s="14"/>
    </row>
  </sheetData>
  <sheetProtection algorithmName="SHA-512" hashValue="/O6Tvs6a0s1rFkdSHjiBzGGV7aY+YOWAy4oAlu56+ZJPcxdSACu1sduQ51rofU4K5EagsR1pq+q/LvIpL7EvJA==" saltValue="oh+xVefi/O6p0IRbkgEf8Q==" spinCount="100000" sheet="1" objects="1" scenario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F871-F0D5-4160-9BF7-59B6D50AB0C8}">
  <sheetPr codeName="Sheet5"/>
  <dimension ref="A1:L333"/>
  <sheetViews>
    <sheetView tabSelected="1" topLeftCell="A12" zoomScaleNormal="100" workbookViewId="0">
      <selection activeCell="C30" sqref="A2:G333"/>
    </sheetView>
  </sheetViews>
  <sheetFormatPr defaultRowHeight="14.4" x14ac:dyDescent="0.3"/>
  <cols>
    <col min="1" max="1" width="12.44140625" customWidth="1"/>
    <col min="2" max="2" width="22.33203125" bestFit="1" customWidth="1"/>
    <col min="3" max="3" width="73.44140625" customWidth="1"/>
    <col min="4" max="4" width="16.6640625" bestFit="1" customWidth="1"/>
    <col min="5" max="5" width="13" bestFit="1" customWidth="1"/>
    <col min="6" max="6" width="13.109375" bestFit="1" customWidth="1"/>
    <col min="7" max="7" width="9.5546875" bestFit="1" customWidth="1"/>
    <col min="10" max="10" width="57.33203125" bestFit="1" customWidth="1"/>
  </cols>
  <sheetData>
    <row r="1" spans="1:12" x14ac:dyDescent="0.3">
      <c r="A1" s="6" t="s">
        <v>1219</v>
      </c>
      <c r="B1" s="2" t="s">
        <v>10</v>
      </c>
      <c r="C1" s="7" t="s">
        <v>1220</v>
      </c>
      <c r="D1" s="8" t="s">
        <v>20</v>
      </c>
      <c r="E1" s="7" t="s">
        <v>1221</v>
      </c>
      <c r="F1" s="7" t="s">
        <v>1222</v>
      </c>
      <c r="G1" s="7" t="s">
        <v>1223</v>
      </c>
      <c r="J1" s="62" t="s">
        <v>1224</v>
      </c>
    </row>
    <row r="2" spans="1:12" x14ac:dyDescent="0.3">
      <c r="A2" s="4" t="s">
        <v>1225</v>
      </c>
      <c r="B2" s="2" t="s">
        <v>983</v>
      </c>
      <c r="C2" s="2" t="s">
        <v>1226</v>
      </c>
      <c r="D2" s="12" t="s">
        <v>1227</v>
      </c>
      <c r="E2" t="str">
        <f t="shared" ref="E2:E65" si="0">IF(F2, "YES", "No")</f>
        <v>YES</v>
      </c>
      <c r="F2" s="11" t="b">
        <v>1</v>
      </c>
      <c r="G2" s="10" t="b">
        <f t="shared" ref="G2:G65" si="1">IF(COUNTIF($J$3:$J$100, B2) &gt; 0, TRUE, FALSE)</f>
        <v>1</v>
      </c>
      <c r="J2" s="62"/>
      <c r="K2" t="s">
        <v>1228</v>
      </c>
    </row>
    <row r="3" spans="1:12" x14ac:dyDescent="0.3">
      <c r="A3" s="4" t="s">
        <v>1229</v>
      </c>
      <c r="B3" s="2" t="s">
        <v>1230</v>
      </c>
      <c r="C3" s="2" t="s">
        <v>1231</v>
      </c>
      <c r="D3" s="12" t="s">
        <v>1227</v>
      </c>
      <c r="E3" t="str">
        <f t="shared" si="0"/>
        <v>No</v>
      </c>
      <c r="F3" s="11"/>
      <c r="G3" s="10" t="b">
        <f>IF(COUNTIF($J$3:$J$100, B3) &gt; 0, TRUE, FALSE)</f>
        <v>0</v>
      </c>
      <c r="J3" t="s">
        <v>983</v>
      </c>
    </row>
    <row r="4" spans="1:12" x14ac:dyDescent="0.3">
      <c r="A4" s="4" t="s">
        <v>1232</v>
      </c>
      <c r="B4" s="2" t="s">
        <v>1233</v>
      </c>
      <c r="C4" s="2" t="s">
        <v>1234</v>
      </c>
      <c r="D4" s="12" t="s">
        <v>1227</v>
      </c>
      <c r="E4" t="str">
        <f t="shared" si="0"/>
        <v>No</v>
      </c>
      <c r="F4" s="11"/>
      <c r="G4" s="10" t="b">
        <f t="shared" si="1"/>
        <v>0</v>
      </c>
      <c r="J4" t="s">
        <v>27</v>
      </c>
    </row>
    <row r="5" spans="1:12" x14ac:dyDescent="0.3">
      <c r="A5" s="4" t="s">
        <v>1235</v>
      </c>
      <c r="B5" s="2" t="s">
        <v>1236</v>
      </c>
      <c r="C5" s="2" t="s">
        <v>1237</v>
      </c>
      <c r="D5" s="12" t="s">
        <v>1227</v>
      </c>
      <c r="E5" t="str">
        <f t="shared" si="0"/>
        <v>No</v>
      </c>
      <c r="F5" s="11"/>
      <c r="G5" s="10" t="b">
        <f t="shared" si="1"/>
        <v>0</v>
      </c>
      <c r="J5" t="s">
        <v>29</v>
      </c>
    </row>
    <row r="6" spans="1:12" x14ac:dyDescent="0.3">
      <c r="A6" s="4"/>
      <c r="B6" s="2"/>
      <c r="C6" s="2"/>
      <c r="D6" s="12" t="s">
        <v>1227</v>
      </c>
      <c r="E6" t="str">
        <f t="shared" si="0"/>
        <v>No</v>
      </c>
      <c r="F6" s="11"/>
      <c r="G6" s="10" t="b">
        <f t="shared" si="1"/>
        <v>0</v>
      </c>
      <c r="J6" t="s">
        <v>24</v>
      </c>
    </row>
    <row r="7" spans="1:12" x14ac:dyDescent="0.3">
      <c r="A7" s="4" t="s">
        <v>1238</v>
      </c>
      <c r="B7" s="2" t="s">
        <v>1239</v>
      </c>
      <c r="C7" s="2" t="s">
        <v>1240</v>
      </c>
      <c r="D7" s="12" t="s">
        <v>23</v>
      </c>
      <c r="E7" t="str">
        <f t="shared" si="0"/>
        <v>No</v>
      </c>
      <c r="F7" s="11"/>
      <c r="G7" s="10" t="b">
        <f t="shared" si="1"/>
        <v>0</v>
      </c>
      <c r="J7" t="s">
        <v>217</v>
      </c>
    </row>
    <row r="8" spans="1:12" x14ac:dyDescent="0.3">
      <c r="A8" s="4" t="s">
        <v>1241</v>
      </c>
      <c r="B8" s="2" t="s">
        <v>38</v>
      </c>
      <c r="C8" s="2" t="s">
        <v>972</v>
      </c>
      <c r="D8" s="12" t="s">
        <v>1242</v>
      </c>
      <c r="E8" t="str">
        <f t="shared" si="0"/>
        <v>No</v>
      </c>
      <c r="F8" s="11"/>
      <c r="G8" s="10" t="b">
        <f t="shared" si="1"/>
        <v>0</v>
      </c>
      <c r="J8" t="s">
        <v>1243</v>
      </c>
    </row>
    <row r="9" spans="1:12" x14ac:dyDescent="0.3">
      <c r="A9" s="4"/>
      <c r="B9" s="2"/>
      <c r="C9" s="2"/>
      <c r="D9" s="12" t="s">
        <v>1242</v>
      </c>
      <c r="E9" t="str">
        <f t="shared" si="0"/>
        <v>No</v>
      </c>
      <c r="F9" s="11"/>
      <c r="G9" s="10" t="b">
        <f t="shared" si="1"/>
        <v>0</v>
      </c>
      <c r="J9" s="40" t="s">
        <v>1244</v>
      </c>
    </row>
    <row r="10" spans="1:12" x14ac:dyDescent="0.3">
      <c r="A10" s="4" t="s">
        <v>1245</v>
      </c>
      <c r="B10" s="2" t="s">
        <v>66</v>
      </c>
      <c r="C10" s="2" t="s">
        <v>976</v>
      </c>
      <c r="D10" s="12" t="s">
        <v>1246</v>
      </c>
      <c r="E10" t="str">
        <f t="shared" si="0"/>
        <v>No</v>
      </c>
      <c r="F10" s="11"/>
      <c r="G10" s="10" t="b">
        <f t="shared" si="1"/>
        <v>0</v>
      </c>
      <c r="J10" s="40" t="s">
        <v>1247</v>
      </c>
    </row>
    <row r="11" spans="1:12" x14ac:dyDescent="0.3">
      <c r="A11" s="4"/>
      <c r="B11" s="2"/>
      <c r="C11" s="2"/>
      <c r="D11" s="12" t="s">
        <v>1246</v>
      </c>
      <c r="E11" t="str">
        <f t="shared" si="0"/>
        <v>No</v>
      </c>
      <c r="F11" s="11"/>
      <c r="G11" s="10" t="b">
        <f t="shared" si="1"/>
        <v>0</v>
      </c>
      <c r="J11" s="40" t="s">
        <v>1248</v>
      </c>
    </row>
    <row r="12" spans="1:12" x14ac:dyDescent="0.3">
      <c r="A12" s="4" t="s">
        <v>1249</v>
      </c>
      <c r="B12" s="2" t="s">
        <v>1250</v>
      </c>
      <c r="C12" s="2" t="s">
        <v>1251</v>
      </c>
      <c r="D12" s="12" t="s">
        <v>1252</v>
      </c>
      <c r="E12" t="str">
        <f t="shared" si="0"/>
        <v>No</v>
      </c>
      <c r="F12" s="11"/>
      <c r="G12" s="10" t="b">
        <f t="shared" si="1"/>
        <v>0</v>
      </c>
      <c r="J12" s="40" t="s">
        <v>1253</v>
      </c>
    </row>
    <row r="13" spans="1:12" x14ac:dyDescent="0.3">
      <c r="A13" s="4"/>
      <c r="B13" s="2"/>
      <c r="C13" s="2"/>
      <c r="D13" s="12" t="s">
        <v>1252</v>
      </c>
      <c r="E13" t="str">
        <f t="shared" si="0"/>
        <v>No</v>
      </c>
      <c r="F13" s="11"/>
      <c r="G13" s="10" t="b">
        <f t="shared" si="1"/>
        <v>0</v>
      </c>
      <c r="J13" s="40" t="s">
        <v>696</v>
      </c>
    </row>
    <row r="14" spans="1:12" x14ac:dyDescent="0.3">
      <c r="A14" s="4" t="s">
        <v>1254</v>
      </c>
      <c r="B14" s="2" t="s">
        <v>1255</v>
      </c>
      <c r="C14" s="2" t="s">
        <v>1256</v>
      </c>
      <c r="D14" s="12" t="s">
        <v>1257</v>
      </c>
      <c r="E14" t="str">
        <f t="shared" si="0"/>
        <v>No</v>
      </c>
      <c r="F14" s="11"/>
      <c r="G14" s="10" t="b">
        <f t="shared" si="1"/>
        <v>0</v>
      </c>
      <c r="J14" s="40" t="s">
        <v>1258</v>
      </c>
    </row>
    <row r="15" spans="1:12" x14ac:dyDescent="0.3">
      <c r="A15" s="4"/>
      <c r="B15" s="2"/>
      <c r="C15" s="2"/>
      <c r="D15" s="12" t="s">
        <v>1257</v>
      </c>
      <c r="E15" t="str">
        <f t="shared" si="0"/>
        <v>No</v>
      </c>
      <c r="F15" s="11"/>
      <c r="G15" s="10" t="b">
        <f t="shared" si="1"/>
        <v>0</v>
      </c>
      <c r="J15" s="40" t="s">
        <v>1259</v>
      </c>
    </row>
    <row r="16" spans="1:12" x14ac:dyDescent="0.3">
      <c r="A16" s="4" t="s">
        <v>1260</v>
      </c>
      <c r="B16" s="2" t="s">
        <v>162</v>
      </c>
      <c r="C16" s="2" t="s">
        <v>975</v>
      </c>
      <c r="D16" s="12" t="s">
        <v>1261</v>
      </c>
      <c r="E16" t="str">
        <f t="shared" si="0"/>
        <v>YES</v>
      </c>
      <c r="F16" s="11" t="b">
        <v>1</v>
      </c>
      <c r="G16" s="10" t="b">
        <f t="shared" si="1"/>
        <v>1</v>
      </c>
      <c r="J16" s="40" t="s">
        <v>552</v>
      </c>
    </row>
    <row r="17" spans="1:10" x14ac:dyDescent="0.3">
      <c r="A17" s="4"/>
      <c r="B17" s="2"/>
      <c r="C17" s="2"/>
      <c r="D17" s="12" t="s">
        <v>1261</v>
      </c>
      <c r="E17" t="str">
        <f t="shared" si="0"/>
        <v>No</v>
      </c>
      <c r="F17" s="11"/>
      <c r="G17" s="10" t="b">
        <f t="shared" si="1"/>
        <v>0</v>
      </c>
      <c r="J17" s="40" t="s">
        <v>1262</v>
      </c>
    </row>
    <row r="18" spans="1:10" x14ac:dyDescent="0.3">
      <c r="A18" s="4" t="s">
        <v>1263</v>
      </c>
      <c r="B18" s="2" t="s">
        <v>1264</v>
      </c>
      <c r="C18" s="2" t="s">
        <v>1265</v>
      </c>
      <c r="D18" s="12" t="s">
        <v>1266</v>
      </c>
      <c r="E18" t="str">
        <f t="shared" si="0"/>
        <v>No</v>
      </c>
      <c r="F18" s="11"/>
      <c r="G18" s="10" t="b">
        <f t="shared" si="1"/>
        <v>0</v>
      </c>
      <c r="J18" s="40" t="s">
        <v>1267</v>
      </c>
    </row>
    <row r="19" spans="1:10" x14ac:dyDescent="0.3">
      <c r="A19" s="4" t="s">
        <v>1268</v>
      </c>
      <c r="B19" s="2" t="s">
        <v>1269</v>
      </c>
      <c r="C19" s="2" t="s">
        <v>1270</v>
      </c>
      <c r="D19" s="12" t="s">
        <v>1266</v>
      </c>
      <c r="E19" t="str">
        <f t="shared" si="0"/>
        <v>No</v>
      </c>
      <c r="F19" s="11"/>
      <c r="G19" s="10" t="b">
        <f t="shared" si="1"/>
        <v>0</v>
      </c>
      <c r="J19" s="40" t="s">
        <v>1271</v>
      </c>
    </row>
    <row r="20" spans="1:10" x14ac:dyDescent="0.3">
      <c r="A20" s="4" t="s">
        <v>1272</v>
      </c>
      <c r="B20" s="2" t="s">
        <v>1273</v>
      </c>
      <c r="C20" s="2" t="s">
        <v>1265</v>
      </c>
      <c r="D20" s="12" t="s">
        <v>1266</v>
      </c>
      <c r="E20" t="str">
        <f t="shared" si="0"/>
        <v>No</v>
      </c>
      <c r="F20" s="11"/>
      <c r="G20" s="10" t="b">
        <f t="shared" si="1"/>
        <v>0</v>
      </c>
      <c r="J20" t="s">
        <v>1274</v>
      </c>
    </row>
    <row r="21" spans="1:10" x14ac:dyDescent="0.3">
      <c r="A21" s="4" t="s">
        <v>1275</v>
      </c>
      <c r="B21" s="2" t="s">
        <v>1276</v>
      </c>
      <c r="C21" s="2" t="s">
        <v>1270</v>
      </c>
      <c r="D21" s="12" t="s">
        <v>1266</v>
      </c>
      <c r="E21" t="str">
        <f t="shared" si="0"/>
        <v>No</v>
      </c>
      <c r="F21" s="11"/>
      <c r="G21" s="10" t="b">
        <f t="shared" si="1"/>
        <v>0</v>
      </c>
      <c r="J21" t="s">
        <v>1277</v>
      </c>
    </row>
    <row r="22" spans="1:10" x14ac:dyDescent="0.3">
      <c r="A22" s="5" t="s">
        <v>1278</v>
      </c>
      <c r="B22" s="3" t="s">
        <v>1279</v>
      </c>
      <c r="C22" s="3" t="s">
        <v>1280</v>
      </c>
      <c r="D22" s="13" t="s">
        <v>1266</v>
      </c>
      <c r="E22" t="str">
        <f t="shared" si="0"/>
        <v>No</v>
      </c>
      <c r="F22" s="11"/>
      <c r="G22" s="10" t="b">
        <f t="shared" si="1"/>
        <v>0</v>
      </c>
      <c r="J22" t="s">
        <v>1281</v>
      </c>
    </row>
    <row r="23" spans="1:10" x14ac:dyDescent="0.3">
      <c r="A23" s="5" t="s">
        <v>1282</v>
      </c>
      <c r="B23" s="3" t="s">
        <v>1283</v>
      </c>
      <c r="C23" s="3" t="s">
        <v>1280</v>
      </c>
      <c r="D23" s="13" t="s">
        <v>1284</v>
      </c>
      <c r="E23" t="str">
        <f t="shared" si="0"/>
        <v>No</v>
      </c>
      <c r="F23" s="11"/>
      <c r="G23" s="10" t="b">
        <f t="shared" si="1"/>
        <v>0</v>
      </c>
      <c r="J23" t="s">
        <v>1285</v>
      </c>
    </row>
    <row r="24" spans="1:10" x14ac:dyDescent="0.3">
      <c r="A24" s="5" t="s">
        <v>1286</v>
      </c>
      <c r="B24" s="3" t="s">
        <v>1287</v>
      </c>
      <c r="C24" s="3" t="s">
        <v>1288</v>
      </c>
      <c r="D24" s="13" t="s">
        <v>1289</v>
      </c>
      <c r="E24" t="str">
        <f t="shared" si="0"/>
        <v>No</v>
      </c>
      <c r="F24" s="11"/>
      <c r="G24" s="10" t="b">
        <f t="shared" si="1"/>
        <v>0</v>
      </c>
      <c r="J24" t="s">
        <v>1290</v>
      </c>
    </row>
    <row r="25" spans="1:10" x14ac:dyDescent="0.3">
      <c r="A25" s="5" t="s">
        <v>1291</v>
      </c>
      <c r="B25" s="3" t="s">
        <v>864</v>
      </c>
      <c r="C25" s="3" t="s">
        <v>1288</v>
      </c>
      <c r="D25" s="13" t="s">
        <v>1289</v>
      </c>
      <c r="E25" t="str">
        <f t="shared" si="0"/>
        <v>No</v>
      </c>
      <c r="F25" s="11"/>
      <c r="G25" s="10" t="b">
        <f t="shared" si="1"/>
        <v>0</v>
      </c>
      <c r="J25" t="s">
        <v>1292</v>
      </c>
    </row>
    <row r="26" spans="1:10" x14ac:dyDescent="0.3">
      <c r="A26" s="5" t="s">
        <v>1293</v>
      </c>
      <c r="B26" s="3" t="s">
        <v>822</v>
      </c>
      <c r="C26" s="3" t="s">
        <v>1294</v>
      </c>
      <c r="D26" s="13" t="s">
        <v>1295</v>
      </c>
      <c r="E26" t="str">
        <f t="shared" si="0"/>
        <v>No</v>
      </c>
      <c r="F26" s="11"/>
      <c r="G26" s="10" t="b">
        <f t="shared" si="1"/>
        <v>0</v>
      </c>
      <c r="J26" t="s">
        <v>351</v>
      </c>
    </row>
    <row r="27" spans="1:10" x14ac:dyDescent="0.3">
      <c r="A27" s="5" t="s">
        <v>1296</v>
      </c>
      <c r="B27" s="3" t="s">
        <v>687</v>
      </c>
      <c r="C27" s="3" t="s">
        <v>1294</v>
      </c>
      <c r="D27" s="13" t="s">
        <v>1295</v>
      </c>
      <c r="E27" t="str">
        <f t="shared" si="0"/>
        <v>YES</v>
      </c>
      <c r="F27" s="11" t="b">
        <v>1</v>
      </c>
      <c r="G27" s="10" t="b">
        <f t="shared" si="1"/>
        <v>1</v>
      </c>
      <c r="J27" t="s">
        <v>123</v>
      </c>
    </row>
    <row r="28" spans="1:10" x14ac:dyDescent="0.3">
      <c r="A28" s="5" t="s">
        <v>1297</v>
      </c>
      <c r="B28" s="3" t="s">
        <v>367</v>
      </c>
      <c r="C28" s="3" t="s">
        <v>1288</v>
      </c>
      <c r="D28" s="13" t="s">
        <v>1289</v>
      </c>
      <c r="E28" t="str">
        <f t="shared" si="0"/>
        <v>YES</v>
      </c>
      <c r="F28" s="11" t="b">
        <v>1</v>
      </c>
      <c r="G28" s="10" t="b">
        <f t="shared" si="1"/>
        <v>1</v>
      </c>
      <c r="J28" t="s">
        <v>367</v>
      </c>
    </row>
    <row r="29" spans="1:10" x14ac:dyDescent="0.3">
      <c r="A29" s="5" t="s">
        <v>1298</v>
      </c>
      <c r="B29" s="3" t="s">
        <v>123</v>
      </c>
      <c r="C29" s="3" t="s">
        <v>1294</v>
      </c>
      <c r="D29" s="13" t="s">
        <v>1295</v>
      </c>
      <c r="E29" t="str">
        <f t="shared" si="0"/>
        <v>YES</v>
      </c>
      <c r="F29" s="11" t="b">
        <v>1</v>
      </c>
      <c r="G29" s="10" t="b">
        <f t="shared" si="1"/>
        <v>1</v>
      </c>
      <c r="J29" t="s">
        <v>687</v>
      </c>
    </row>
    <row r="30" spans="1:10" x14ac:dyDescent="0.3">
      <c r="A30" s="5" t="s">
        <v>1299</v>
      </c>
      <c r="B30" s="3" t="s">
        <v>1292</v>
      </c>
      <c r="C30" s="3" t="s">
        <v>1300</v>
      </c>
      <c r="D30" s="13" t="s">
        <v>1301</v>
      </c>
      <c r="E30" t="str">
        <f t="shared" si="0"/>
        <v>YES</v>
      </c>
      <c r="F30" s="11" t="b">
        <v>1</v>
      </c>
      <c r="G30" s="10" t="b">
        <f t="shared" si="1"/>
        <v>1</v>
      </c>
      <c r="J30" t="s">
        <v>40</v>
      </c>
    </row>
    <row r="31" spans="1:10" x14ac:dyDescent="0.3">
      <c r="A31" s="5" t="s">
        <v>1302</v>
      </c>
      <c r="B31" s="3" t="s">
        <v>668</v>
      </c>
      <c r="C31" s="3" t="s">
        <v>1303</v>
      </c>
      <c r="D31" s="13" t="s">
        <v>1304</v>
      </c>
      <c r="E31" t="str">
        <f t="shared" si="0"/>
        <v>No</v>
      </c>
      <c r="F31" s="11"/>
      <c r="G31" s="10" t="b">
        <f t="shared" si="1"/>
        <v>0</v>
      </c>
      <c r="J31" t="s">
        <v>162</v>
      </c>
    </row>
    <row r="32" spans="1:10" x14ac:dyDescent="0.3">
      <c r="A32" s="5" t="s">
        <v>1305</v>
      </c>
      <c r="B32" s="3" t="s">
        <v>39</v>
      </c>
      <c r="C32" s="3" t="s">
        <v>977</v>
      </c>
      <c r="D32" s="13" t="s">
        <v>1306</v>
      </c>
      <c r="E32" t="str">
        <f t="shared" si="0"/>
        <v>YES</v>
      </c>
      <c r="F32" s="11" t="b">
        <v>1</v>
      </c>
      <c r="G32" s="10" t="b">
        <f t="shared" si="1"/>
        <v>1</v>
      </c>
      <c r="J32" t="s">
        <v>107</v>
      </c>
    </row>
    <row r="33" spans="1:10" x14ac:dyDescent="0.3">
      <c r="A33" s="5" t="s">
        <v>1307</v>
      </c>
      <c r="B33" s="3" t="s">
        <v>36</v>
      </c>
      <c r="C33" s="3" t="s">
        <v>968</v>
      </c>
      <c r="D33" s="13" t="s">
        <v>1308</v>
      </c>
      <c r="E33" t="str">
        <f t="shared" si="0"/>
        <v>No</v>
      </c>
      <c r="F33" s="11"/>
      <c r="G33" s="10" t="b">
        <f t="shared" si="1"/>
        <v>0</v>
      </c>
      <c r="J33" t="s">
        <v>16</v>
      </c>
    </row>
    <row r="34" spans="1:10" x14ac:dyDescent="0.3">
      <c r="A34" s="5" t="s">
        <v>1309</v>
      </c>
      <c r="B34" s="3" t="s">
        <v>1310</v>
      </c>
      <c r="C34" s="3" t="s">
        <v>1311</v>
      </c>
      <c r="D34" s="13" t="s">
        <v>1312</v>
      </c>
      <c r="E34" t="str">
        <f t="shared" si="0"/>
        <v>No</v>
      </c>
      <c r="F34" s="11"/>
      <c r="G34" s="10" t="b">
        <f t="shared" si="1"/>
        <v>0</v>
      </c>
      <c r="J34" t="s">
        <v>236</v>
      </c>
    </row>
    <row r="35" spans="1:10" x14ac:dyDescent="0.3">
      <c r="A35" s="5" t="s">
        <v>1313</v>
      </c>
      <c r="B35" s="3" t="s">
        <v>40</v>
      </c>
      <c r="C35" s="3" t="s">
        <v>974</v>
      </c>
      <c r="D35" s="13" t="s">
        <v>1314</v>
      </c>
      <c r="E35" t="str">
        <f t="shared" si="0"/>
        <v>YES</v>
      </c>
      <c r="F35" s="11" t="b">
        <v>1</v>
      </c>
      <c r="G35" s="10" t="b">
        <f t="shared" si="1"/>
        <v>1</v>
      </c>
      <c r="J35" t="s">
        <v>635</v>
      </c>
    </row>
    <row r="36" spans="1:10" x14ac:dyDescent="0.3">
      <c r="A36" s="5" t="s">
        <v>1315</v>
      </c>
      <c r="B36" s="3" t="s">
        <v>1316</v>
      </c>
      <c r="C36" s="3" t="s">
        <v>967</v>
      </c>
      <c r="D36" s="13" t="s">
        <v>1317</v>
      </c>
      <c r="E36" t="str">
        <f t="shared" si="0"/>
        <v>No</v>
      </c>
      <c r="F36" s="11"/>
      <c r="G36" s="10" t="b">
        <f t="shared" si="1"/>
        <v>0</v>
      </c>
      <c r="J36" t="s">
        <v>39</v>
      </c>
    </row>
    <row r="37" spans="1:10" x14ac:dyDescent="0.3">
      <c r="A37" s="5" t="s">
        <v>1318</v>
      </c>
      <c r="B37" s="3" t="s">
        <v>1319</v>
      </c>
      <c r="C37" s="3" t="s">
        <v>1320</v>
      </c>
      <c r="D37" s="13" t="s">
        <v>1321</v>
      </c>
      <c r="E37" t="str">
        <f t="shared" si="0"/>
        <v>No</v>
      </c>
      <c r="F37" s="11"/>
      <c r="G37" s="10" t="b">
        <f t="shared" si="1"/>
        <v>0</v>
      </c>
      <c r="J37" t="s">
        <v>1322</v>
      </c>
    </row>
    <row r="38" spans="1:10" x14ac:dyDescent="0.3">
      <c r="A38" s="5" t="s">
        <v>1323</v>
      </c>
      <c r="B38" s="3" t="s">
        <v>1324</v>
      </c>
      <c r="C38" s="3" t="s">
        <v>1325</v>
      </c>
      <c r="D38" s="13" t="s">
        <v>1326</v>
      </c>
      <c r="E38" t="str">
        <f t="shared" si="0"/>
        <v>No</v>
      </c>
      <c r="F38" s="11"/>
      <c r="G38" s="10" t="b">
        <f t="shared" si="1"/>
        <v>0</v>
      </c>
    </row>
    <row r="39" spans="1:10" x14ac:dyDescent="0.3">
      <c r="A39" s="5" t="s">
        <v>1327</v>
      </c>
      <c r="B39" s="3" t="s">
        <v>1328</v>
      </c>
      <c r="C39" s="3" t="s">
        <v>1329</v>
      </c>
      <c r="D39" s="13" t="s">
        <v>1330</v>
      </c>
      <c r="E39" t="str">
        <f t="shared" si="0"/>
        <v>No</v>
      </c>
      <c r="F39" s="11"/>
      <c r="G39" s="10" t="b">
        <f t="shared" si="1"/>
        <v>0</v>
      </c>
    </row>
    <row r="40" spans="1:10" x14ac:dyDescent="0.3">
      <c r="A40" s="5" t="s">
        <v>1331</v>
      </c>
      <c r="B40" s="3" t="s">
        <v>1332</v>
      </c>
      <c r="C40" s="3" t="s">
        <v>1226</v>
      </c>
      <c r="D40" s="13" t="s">
        <v>23</v>
      </c>
      <c r="E40" t="str">
        <f t="shared" si="0"/>
        <v>No</v>
      </c>
      <c r="F40" s="11"/>
      <c r="G40" s="10" t="b">
        <f t="shared" si="1"/>
        <v>0</v>
      </c>
    </row>
    <row r="41" spans="1:10" x14ac:dyDescent="0.3">
      <c r="A41" s="5" t="s">
        <v>1333</v>
      </c>
      <c r="B41" s="3" t="s">
        <v>1334</v>
      </c>
      <c r="C41" s="3" t="s">
        <v>1226</v>
      </c>
      <c r="D41" s="13" t="s">
        <v>23</v>
      </c>
      <c r="E41" t="str">
        <f t="shared" si="0"/>
        <v>No</v>
      </c>
      <c r="F41" s="11"/>
      <c r="G41" s="10" t="b">
        <f t="shared" si="1"/>
        <v>0</v>
      </c>
    </row>
    <row r="42" spans="1:10" x14ac:dyDescent="0.3">
      <c r="A42" s="5" t="s">
        <v>1335</v>
      </c>
      <c r="B42" s="3" t="s">
        <v>1336</v>
      </c>
      <c r="C42" s="3" t="s">
        <v>1337</v>
      </c>
      <c r="D42" s="13" t="s">
        <v>1227</v>
      </c>
      <c r="E42" t="str">
        <f t="shared" si="0"/>
        <v>No</v>
      </c>
      <c r="F42" s="11"/>
      <c r="G42" s="10" t="b">
        <f t="shared" si="1"/>
        <v>0</v>
      </c>
    </row>
    <row r="43" spans="1:10" x14ac:dyDescent="0.3">
      <c r="A43" s="5" t="s">
        <v>1338</v>
      </c>
      <c r="B43" s="3" t="s">
        <v>1339</v>
      </c>
      <c r="C43" s="3" t="s">
        <v>1340</v>
      </c>
      <c r="D43" s="13" t="s">
        <v>1341</v>
      </c>
      <c r="E43" t="str">
        <f t="shared" si="0"/>
        <v>No</v>
      </c>
      <c r="F43" s="11"/>
      <c r="G43" s="10" t="b">
        <f t="shared" si="1"/>
        <v>0</v>
      </c>
    </row>
    <row r="44" spans="1:10" x14ac:dyDescent="0.3">
      <c r="A44" s="5" t="s">
        <v>1342</v>
      </c>
      <c r="B44" s="3" t="s">
        <v>1343</v>
      </c>
      <c r="C44" s="3" t="s">
        <v>1344</v>
      </c>
      <c r="D44" s="13" t="s">
        <v>1345</v>
      </c>
      <c r="E44" t="str">
        <f t="shared" si="0"/>
        <v>No</v>
      </c>
      <c r="F44" s="11"/>
      <c r="G44" s="10" t="b">
        <f t="shared" si="1"/>
        <v>0</v>
      </c>
    </row>
    <row r="45" spans="1:10" x14ac:dyDescent="0.3">
      <c r="A45" s="5" t="s">
        <v>1346</v>
      </c>
      <c r="B45" s="3" t="s">
        <v>1347</v>
      </c>
      <c r="C45" s="3" t="s">
        <v>1348</v>
      </c>
      <c r="D45" s="13" t="s">
        <v>1345</v>
      </c>
      <c r="E45" t="str">
        <f t="shared" si="0"/>
        <v>No</v>
      </c>
      <c r="F45" s="11"/>
      <c r="G45" s="10" t="b">
        <f t="shared" si="1"/>
        <v>0</v>
      </c>
    </row>
    <row r="46" spans="1:10" x14ac:dyDescent="0.3">
      <c r="A46" s="5" t="s">
        <v>1349</v>
      </c>
      <c r="B46" s="3" t="s">
        <v>1350</v>
      </c>
      <c r="C46" s="3" t="s">
        <v>1351</v>
      </c>
      <c r="D46" s="13" t="s">
        <v>1352</v>
      </c>
      <c r="E46" t="str">
        <f t="shared" si="0"/>
        <v>No</v>
      </c>
      <c r="F46" s="11"/>
      <c r="G46" s="10" t="b">
        <f t="shared" si="1"/>
        <v>0</v>
      </c>
    </row>
    <row r="47" spans="1:10" x14ac:dyDescent="0.3">
      <c r="A47" s="5" t="s">
        <v>1353</v>
      </c>
      <c r="B47" s="3" t="s">
        <v>1258</v>
      </c>
      <c r="C47" s="3" t="s">
        <v>965</v>
      </c>
      <c r="D47" s="13" t="s">
        <v>1354</v>
      </c>
      <c r="E47" t="str">
        <f t="shared" si="0"/>
        <v>YES</v>
      </c>
      <c r="F47" s="11" t="b">
        <v>1</v>
      </c>
      <c r="G47" s="10" t="b">
        <f t="shared" si="1"/>
        <v>1</v>
      </c>
    </row>
    <row r="48" spans="1:10" x14ac:dyDescent="0.3">
      <c r="A48" s="5" t="s">
        <v>1355</v>
      </c>
      <c r="B48" s="3" t="s">
        <v>14</v>
      </c>
      <c r="C48" s="3" t="s">
        <v>965</v>
      </c>
      <c r="D48" s="13" t="s">
        <v>1356</v>
      </c>
      <c r="E48" t="str">
        <f t="shared" si="0"/>
        <v>No</v>
      </c>
      <c r="F48" s="11"/>
      <c r="G48" s="10" t="b">
        <f t="shared" si="1"/>
        <v>0</v>
      </c>
    </row>
    <row r="49" spans="1:7" x14ac:dyDescent="0.3">
      <c r="A49" s="5" t="s">
        <v>1357</v>
      </c>
      <c r="B49" s="3" t="s">
        <v>1322</v>
      </c>
      <c r="C49" s="3" t="s">
        <v>1358</v>
      </c>
      <c r="D49" s="13" t="s">
        <v>1317</v>
      </c>
      <c r="E49" t="str">
        <f t="shared" si="0"/>
        <v>YES</v>
      </c>
      <c r="F49" s="11" t="b">
        <v>1</v>
      </c>
      <c r="G49" s="10" t="b">
        <f t="shared" si="1"/>
        <v>1</v>
      </c>
    </row>
    <row r="50" spans="1:7" x14ac:dyDescent="0.3">
      <c r="A50" s="5" t="s">
        <v>1359</v>
      </c>
      <c r="B50" s="3" t="s">
        <v>1259</v>
      </c>
      <c r="C50" s="3" t="s">
        <v>1360</v>
      </c>
      <c r="D50" s="13" t="s">
        <v>1312</v>
      </c>
      <c r="E50" t="str">
        <f t="shared" si="0"/>
        <v>YES</v>
      </c>
      <c r="F50" s="11" t="b">
        <v>1</v>
      </c>
      <c r="G50" s="10" t="b">
        <f t="shared" si="1"/>
        <v>1</v>
      </c>
    </row>
    <row r="51" spans="1:7" x14ac:dyDescent="0.3">
      <c r="A51" s="5" t="s">
        <v>1361</v>
      </c>
      <c r="B51" s="3" t="s">
        <v>1362</v>
      </c>
      <c r="C51" s="3" t="s">
        <v>1363</v>
      </c>
      <c r="D51" s="13" t="s">
        <v>1312</v>
      </c>
      <c r="E51" t="str">
        <f t="shared" si="0"/>
        <v>No</v>
      </c>
      <c r="F51" s="11"/>
      <c r="G51" s="10" t="b">
        <f t="shared" si="1"/>
        <v>0</v>
      </c>
    </row>
    <row r="52" spans="1:7" x14ac:dyDescent="0.3">
      <c r="A52" s="5" t="s">
        <v>1364</v>
      </c>
      <c r="B52" s="3" t="s">
        <v>629</v>
      </c>
      <c r="C52" s="3" t="s">
        <v>967</v>
      </c>
      <c r="D52" s="13" t="s">
        <v>1365</v>
      </c>
      <c r="E52" t="str">
        <f t="shared" si="0"/>
        <v>No</v>
      </c>
      <c r="F52" s="11"/>
      <c r="G52" s="10" t="b">
        <f t="shared" si="1"/>
        <v>0</v>
      </c>
    </row>
    <row r="53" spans="1:7" x14ac:dyDescent="0.3">
      <c r="A53" s="5" t="s">
        <v>1366</v>
      </c>
      <c r="B53" s="3" t="s">
        <v>1367</v>
      </c>
      <c r="C53" s="3" t="s">
        <v>967</v>
      </c>
      <c r="D53" s="13" t="s">
        <v>1368</v>
      </c>
      <c r="E53" t="str">
        <f t="shared" si="0"/>
        <v>No</v>
      </c>
      <c r="F53" s="11"/>
      <c r="G53" s="10" t="b">
        <f t="shared" si="1"/>
        <v>0</v>
      </c>
    </row>
    <row r="54" spans="1:7" x14ac:dyDescent="0.3">
      <c r="A54" s="5" t="s">
        <v>1369</v>
      </c>
      <c r="B54" s="3" t="s">
        <v>30</v>
      </c>
      <c r="C54" s="3" t="s">
        <v>967</v>
      </c>
      <c r="D54" s="13" t="s">
        <v>1314</v>
      </c>
      <c r="E54" t="str">
        <f t="shared" si="0"/>
        <v>No</v>
      </c>
      <c r="F54" s="11"/>
      <c r="G54" s="10" t="b">
        <f t="shared" si="1"/>
        <v>0</v>
      </c>
    </row>
    <row r="55" spans="1:7" x14ac:dyDescent="0.3">
      <c r="A55" s="5" t="s">
        <v>1370</v>
      </c>
      <c r="B55" s="3" t="s">
        <v>75</v>
      </c>
      <c r="C55" s="3" t="s">
        <v>967</v>
      </c>
      <c r="D55" s="13" t="s">
        <v>1371</v>
      </c>
      <c r="E55" t="str">
        <f t="shared" si="0"/>
        <v>No</v>
      </c>
      <c r="F55" s="11"/>
      <c r="G55" s="10" t="b">
        <f t="shared" si="1"/>
        <v>0</v>
      </c>
    </row>
    <row r="56" spans="1:7" x14ac:dyDescent="0.3">
      <c r="A56" s="5" t="s">
        <v>1372</v>
      </c>
      <c r="B56" s="3" t="s">
        <v>35</v>
      </c>
      <c r="C56" s="3" t="s">
        <v>967</v>
      </c>
      <c r="D56" s="13" t="s">
        <v>1371</v>
      </c>
      <c r="E56" t="str">
        <f t="shared" si="0"/>
        <v>No</v>
      </c>
      <c r="F56" s="11"/>
      <c r="G56" s="10" t="b">
        <f t="shared" si="1"/>
        <v>0</v>
      </c>
    </row>
    <row r="57" spans="1:7" x14ac:dyDescent="0.3">
      <c r="A57" s="5" t="s">
        <v>1373</v>
      </c>
      <c r="B57" s="3" t="s">
        <v>499</v>
      </c>
      <c r="C57" s="3" t="s">
        <v>967</v>
      </c>
      <c r="D57" s="13" t="s">
        <v>1371</v>
      </c>
      <c r="E57" t="str">
        <f t="shared" si="0"/>
        <v>No</v>
      </c>
      <c r="F57" s="11"/>
      <c r="G57" s="10" t="b">
        <f t="shared" si="1"/>
        <v>0</v>
      </c>
    </row>
    <row r="58" spans="1:7" x14ac:dyDescent="0.3">
      <c r="A58" s="5" t="s">
        <v>1374</v>
      </c>
      <c r="B58" s="3" t="s">
        <v>810</v>
      </c>
      <c r="C58" s="3" t="s">
        <v>1375</v>
      </c>
      <c r="D58" s="13" t="s">
        <v>1376</v>
      </c>
      <c r="E58" t="str">
        <f t="shared" si="0"/>
        <v>No</v>
      </c>
      <c r="F58" s="11"/>
      <c r="G58" s="10" t="b">
        <f t="shared" si="1"/>
        <v>0</v>
      </c>
    </row>
    <row r="59" spans="1:7" x14ac:dyDescent="0.3">
      <c r="A59" s="5" t="s">
        <v>1377</v>
      </c>
      <c r="B59" s="3" t="s">
        <v>41</v>
      </c>
      <c r="C59" s="3" t="s">
        <v>1378</v>
      </c>
      <c r="D59" s="13" t="s">
        <v>1379</v>
      </c>
      <c r="E59" t="str">
        <f t="shared" si="0"/>
        <v>No</v>
      </c>
      <c r="F59" s="11"/>
      <c r="G59" s="10" t="b">
        <f t="shared" si="1"/>
        <v>0</v>
      </c>
    </row>
    <row r="60" spans="1:7" x14ac:dyDescent="0.3">
      <c r="A60" s="5" t="s">
        <v>1380</v>
      </c>
      <c r="B60" s="3" t="s">
        <v>22</v>
      </c>
      <c r="C60" s="3" t="s">
        <v>971</v>
      </c>
      <c r="D60" s="13" t="s">
        <v>1379</v>
      </c>
      <c r="E60" t="str">
        <f t="shared" si="0"/>
        <v>No</v>
      </c>
      <c r="F60" s="11"/>
      <c r="G60" s="10" t="b">
        <f t="shared" si="1"/>
        <v>0</v>
      </c>
    </row>
    <row r="61" spans="1:7" x14ac:dyDescent="0.3">
      <c r="A61" s="5" t="s">
        <v>1381</v>
      </c>
      <c r="B61" s="3" t="s">
        <v>32</v>
      </c>
      <c r="C61" s="3" t="s">
        <v>1382</v>
      </c>
      <c r="D61" s="13" t="s">
        <v>1379</v>
      </c>
      <c r="E61" t="str">
        <f t="shared" si="0"/>
        <v>No</v>
      </c>
      <c r="F61" s="11"/>
      <c r="G61" s="10" t="b">
        <f t="shared" si="1"/>
        <v>0</v>
      </c>
    </row>
    <row r="62" spans="1:7" x14ac:dyDescent="0.3">
      <c r="A62" s="5" t="s">
        <v>1383</v>
      </c>
      <c r="B62" s="3" t="s">
        <v>1384</v>
      </c>
      <c r="C62" s="3" t="s">
        <v>1385</v>
      </c>
      <c r="D62" s="13" t="s">
        <v>1386</v>
      </c>
      <c r="E62" t="str">
        <f t="shared" si="0"/>
        <v>No</v>
      </c>
      <c r="F62" s="11"/>
      <c r="G62" s="10" t="b">
        <f t="shared" si="1"/>
        <v>0</v>
      </c>
    </row>
    <row r="63" spans="1:7" x14ac:dyDescent="0.3">
      <c r="A63" s="5" t="s">
        <v>1387</v>
      </c>
      <c r="B63" s="3" t="s">
        <v>217</v>
      </c>
      <c r="C63" s="3" t="s">
        <v>1388</v>
      </c>
      <c r="D63" s="13" t="s">
        <v>1389</v>
      </c>
      <c r="E63" t="str">
        <f t="shared" si="0"/>
        <v>YES</v>
      </c>
      <c r="F63" s="11" t="b">
        <v>1</v>
      </c>
      <c r="G63" s="10" t="b">
        <f t="shared" si="1"/>
        <v>1</v>
      </c>
    </row>
    <row r="64" spans="1:7" x14ac:dyDescent="0.3">
      <c r="A64" s="5" t="s">
        <v>1390</v>
      </c>
      <c r="B64" s="3" t="s">
        <v>1391</v>
      </c>
      <c r="C64" s="3" t="s">
        <v>1303</v>
      </c>
      <c r="D64" s="13" t="s">
        <v>1392</v>
      </c>
      <c r="E64" t="str">
        <f t="shared" si="0"/>
        <v>No</v>
      </c>
      <c r="F64" s="11"/>
      <c r="G64" s="10" t="b">
        <f t="shared" si="1"/>
        <v>0</v>
      </c>
    </row>
    <row r="65" spans="1:7" x14ac:dyDescent="0.3">
      <c r="A65" s="5" t="s">
        <v>1393</v>
      </c>
      <c r="B65" s="3" t="s">
        <v>176</v>
      </c>
      <c r="C65" s="3" t="s">
        <v>973</v>
      </c>
      <c r="D65" s="13" t="s">
        <v>1308</v>
      </c>
      <c r="E65" t="str">
        <f t="shared" si="0"/>
        <v>No</v>
      </c>
      <c r="F65" s="11"/>
      <c r="G65" s="10" t="b">
        <f t="shared" si="1"/>
        <v>0</v>
      </c>
    </row>
    <row r="66" spans="1:7" x14ac:dyDescent="0.3">
      <c r="A66" s="5" t="s">
        <v>1394</v>
      </c>
      <c r="B66" s="3" t="s">
        <v>16</v>
      </c>
      <c r="C66" s="3" t="s">
        <v>973</v>
      </c>
      <c r="D66" s="13" t="s">
        <v>1395</v>
      </c>
      <c r="E66" t="str">
        <f t="shared" ref="E66:E129" si="2">IF(F66, "YES", "No")</f>
        <v>YES</v>
      </c>
      <c r="F66" s="11" t="b">
        <v>1</v>
      </c>
      <c r="G66" s="10" t="b">
        <f t="shared" ref="G66:G129" si="3">IF(COUNTIF($J$3:$J$100, B66) &gt; 0, TRUE, FALSE)</f>
        <v>1</v>
      </c>
    </row>
    <row r="67" spans="1:7" x14ac:dyDescent="0.3">
      <c r="A67" s="5" t="s">
        <v>1396</v>
      </c>
      <c r="B67" s="3" t="s">
        <v>552</v>
      </c>
      <c r="C67" s="3" t="s">
        <v>973</v>
      </c>
      <c r="D67" s="13" t="s">
        <v>1395</v>
      </c>
      <c r="E67" t="str">
        <f t="shared" si="2"/>
        <v>YES</v>
      </c>
      <c r="F67" s="11" t="b">
        <v>1</v>
      </c>
      <c r="G67" s="10" t="b">
        <f t="shared" si="3"/>
        <v>1</v>
      </c>
    </row>
    <row r="68" spans="1:7" x14ac:dyDescent="0.3">
      <c r="A68" s="5" t="s">
        <v>1397</v>
      </c>
      <c r="B68" s="3" t="s">
        <v>107</v>
      </c>
      <c r="C68" s="3" t="s">
        <v>973</v>
      </c>
      <c r="D68" s="13" t="s">
        <v>1395</v>
      </c>
      <c r="E68" t="str">
        <f t="shared" si="2"/>
        <v>YES</v>
      </c>
      <c r="F68" s="11" t="b">
        <v>1</v>
      </c>
      <c r="G68" s="10" t="b">
        <f t="shared" si="3"/>
        <v>1</v>
      </c>
    </row>
    <row r="69" spans="1:7" x14ac:dyDescent="0.3">
      <c r="A69" s="5" t="s">
        <v>1398</v>
      </c>
      <c r="B69" s="3" t="s">
        <v>1399</v>
      </c>
      <c r="C69" s="3" t="s">
        <v>1400</v>
      </c>
      <c r="D69" s="13" t="s">
        <v>1401</v>
      </c>
      <c r="E69" t="str">
        <f t="shared" si="2"/>
        <v>No</v>
      </c>
      <c r="F69" s="11"/>
      <c r="G69" s="10" t="b">
        <f t="shared" si="3"/>
        <v>0</v>
      </c>
    </row>
    <row r="70" spans="1:7" x14ac:dyDescent="0.3">
      <c r="A70" s="5" t="s">
        <v>1402</v>
      </c>
      <c r="B70" s="3" t="s">
        <v>1403</v>
      </c>
      <c r="C70" s="3" t="s">
        <v>1400</v>
      </c>
      <c r="D70" s="13" t="s">
        <v>1404</v>
      </c>
      <c r="E70" t="str">
        <f t="shared" si="2"/>
        <v>No</v>
      </c>
      <c r="F70" s="11"/>
      <c r="G70" s="10" t="b">
        <f t="shared" si="3"/>
        <v>0</v>
      </c>
    </row>
    <row r="71" spans="1:7" x14ac:dyDescent="0.3">
      <c r="A71" s="5" t="s">
        <v>1405</v>
      </c>
      <c r="B71" s="3" t="s">
        <v>351</v>
      </c>
      <c r="C71" s="3" t="s">
        <v>1406</v>
      </c>
      <c r="D71" s="13" t="s">
        <v>1407</v>
      </c>
      <c r="E71" t="str">
        <f t="shared" si="2"/>
        <v>YES</v>
      </c>
      <c r="F71" s="11" t="b">
        <v>1</v>
      </c>
      <c r="G71" s="10" t="b">
        <f t="shared" si="3"/>
        <v>1</v>
      </c>
    </row>
    <row r="72" spans="1:7" x14ac:dyDescent="0.3">
      <c r="A72" s="5" t="s">
        <v>1408</v>
      </c>
      <c r="B72" s="3" t="s">
        <v>1409</v>
      </c>
      <c r="C72" s="3" t="s">
        <v>1410</v>
      </c>
      <c r="D72" s="13" t="s">
        <v>23</v>
      </c>
      <c r="E72" t="str">
        <f t="shared" si="2"/>
        <v>No</v>
      </c>
      <c r="F72" s="11"/>
      <c r="G72" s="10" t="b">
        <f t="shared" si="3"/>
        <v>0</v>
      </c>
    </row>
    <row r="73" spans="1:7" x14ac:dyDescent="0.3">
      <c r="A73" s="5" t="s">
        <v>1411</v>
      </c>
      <c r="B73" s="3" t="s">
        <v>1412</v>
      </c>
      <c r="C73" s="3" t="s">
        <v>1413</v>
      </c>
      <c r="D73" s="13" t="s">
        <v>23</v>
      </c>
      <c r="E73" t="str">
        <f t="shared" si="2"/>
        <v>No</v>
      </c>
      <c r="F73" s="11"/>
      <c r="G73" s="10" t="b">
        <f t="shared" si="3"/>
        <v>0</v>
      </c>
    </row>
    <row r="74" spans="1:7" x14ac:dyDescent="0.3">
      <c r="A74" s="5" t="s">
        <v>1414</v>
      </c>
      <c r="B74" s="3" t="s">
        <v>1415</v>
      </c>
      <c r="C74" s="3" t="s">
        <v>1416</v>
      </c>
      <c r="D74" s="13" t="s">
        <v>23</v>
      </c>
      <c r="E74" t="str">
        <f t="shared" si="2"/>
        <v>No</v>
      </c>
      <c r="F74" s="11"/>
      <c r="G74" s="10" t="b">
        <f t="shared" si="3"/>
        <v>0</v>
      </c>
    </row>
    <row r="75" spans="1:7" x14ac:dyDescent="0.3">
      <c r="A75" s="5" t="s">
        <v>1417</v>
      </c>
      <c r="B75" s="3" t="s">
        <v>1418</v>
      </c>
      <c r="C75" s="3" t="s">
        <v>1419</v>
      </c>
      <c r="D75" s="13" t="s">
        <v>23</v>
      </c>
      <c r="E75" t="str">
        <f t="shared" si="2"/>
        <v>No</v>
      </c>
      <c r="F75" s="11"/>
      <c r="G75" s="10" t="b">
        <f t="shared" si="3"/>
        <v>0</v>
      </c>
    </row>
    <row r="76" spans="1:7" x14ac:dyDescent="0.3">
      <c r="A76" s="5" t="s">
        <v>1420</v>
      </c>
      <c r="B76" s="3" t="s">
        <v>1277</v>
      </c>
      <c r="C76" s="3" t="s">
        <v>1421</v>
      </c>
      <c r="D76" s="13" t="s">
        <v>1422</v>
      </c>
      <c r="E76" t="str">
        <f t="shared" si="2"/>
        <v>YES</v>
      </c>
      <c r="F76" s="11" t="b">
        <v>1</v>
      </c>
      <c r="G76" s="10" t="b">
        <f t="shared" si="3"/>
        <v>1</v>
      </c>
    </row>
    <row r="77" spans="1:7" x14ac:dyDescent="0.3">
      <c r="A77" s="5" t="s">
        <v>1423</v>
      </c>
      <c r="B77" s="3" t="s">
        <v>1424</v>
      </c>
      <c r="C77" s="3" t="s">
        <v>973</v>
      </c>
      <c r="D77" s="13" t="s">
        <v>1395</v>
      </c>
      <c r="E77" t="str">
        <f t="shared" si="2"/>
        <v>No</v>
      </c>
      <c r="F77" s="11"/>
      <c r="G77" s="10" t="b">
        <f t="shared" si="3"/>
        <v>0</v>
      </c>
    </row>
    <row r="78" spans="1:7" x14ac:dyDescent="0.3">
      <c r="A78" s="5" t="s">
        <v>1425</v>
      </c>
      <c r="B78" s="3" t="s">
        <v>37</v>
      </c>
      <c r="C78" s="3" t="s">
        <v>966</v>
      </c>
      <c r="D78" s="13" t="s">
        <v>1426</v>
      </c>
      <c r="E78" t="str">
        <f t="shared" si="2"/>
        <v>No</v>
      </c>
      <c r="F78" s="11"/>
      <c r="G78" s="10" t="b">
        <f t="shared" si="3"/>
        <v>0</v>
      </c>
    </row>
    <row r="79" spans="1:7" x14ac:dyDescent="0.3">
      <c r="A79" s="5" t="s">
        <v>1427</v>
      </c>
      <c r="B79" s="3" t="s">
        <v>1428</v>
      </c>
      <c r="C79" s="3" t="s">
        <v>1429</v>
      </c>
      <c r="D79" s="13" t="s">
        <v>1430</v>
      </c>
      <c r="E79" t="str">
        <f t="shared" si="2"/>
        <v>No</v>
      </c>
      <c r="F79" s="11"/>
      <c r="G79" s="10" t="b">
        <f t="shared" si="3"/>
        <v>0</v>
      </c>
    </row>
    <row r="80" spans="1:7" x14ac:dyDescent="0.3">
      <c r="A80" s="5" t="s">
        <v>1431</v>
      </c>
      <c r="B80" s="3" t="s">
        <v>1432</v>
      </c>
      <c r="C80" s="3" t="s">
        <v>1329</v>
      </c>
      <c r="D80" s="13" t="s">
        <v>1433</v>
      </c>
      <c r="E80" t="str">
        <f t="shared" si="2"/>
        <v>No</v>
      </c>
      <c r="F80" s="11"/>
      <c r="G80" s="10" t="b">
        <f t="shared" si="3"/>
        <v>0</v>
      </c>
    </row>
    <row r="81" spans="1:7" x14ac:dyDescent="0.3">
      <c r="A81" s="5" t="s">
        <v>1434</v>
      </c>
      <c r="B81" s="3" t="s">
        <v>1435</v>
      </c>
      <c r="C81" s="3" t="s">
        <v>1436</v>
      </c>
      <c r="D81" s="13" t="s">
        <v>1352</v>
      </c>
      <c r="E81" t="str">
        <f t="shared" si="2"/>
        <v>No</v>
      </c>
      <c r="F81" s="11"/>
      <c r="G81" s="10" t="b">
        <f t="shared" si="3"/>
        <v>0</v>
      </c>
    </row>
    <row r="82" spans="1:7" x14ac:dyDescent="0.3">
      <c r="A82" s="5" t="s">
        <v>1437</v>
      </c>
      <c r="B82" s="3" t="s">
        <v>1438</v>
      </c>
      <c r="C82" s="3" t="s">
        <v>1439</v>
      </c>
      <c r="D82" s="13" t="s">
        <v>1440</v>
      </c>
      <c r="E82" t="str">
        <f t="shared" si="2"/>
        <v>No</v>
      </c>
      <c r="F82" s="11"/>
      <c r="G82" s="10" t="b">
        <f t="shared" si="3"/>
        <v>0</v>
      </c>
    </row>
    <row r="83" spans="1:7" x14ac:dyDescent="0.3">
      <c r="A83" s="5" t="s">
        <v>1441</v>
      </c>
      <c r="B83" s="3" t="s">
        <v>1442</v>
      </c>
      <c r="C83" s="3" t="s">
        <v>1439</v>
      </c>
      <c r="D83" s="13" t="s">
        <v>1440</v>
      </c>
      <c r="E83" t="str">
        <f t="shared" si="2"/>
        <v>No</v>
      </c>
      <c r="F83" s="11"/>
      <c r="G83" s="10" t="b">
        <f t="shared" si="3"/>
        <v>0</v>
      </c>
    </row>
    <row r="84" spans="1:7" x14ac:dyDescent="0.3">
      <c r="A84" s="5" t="s">
        <v>1443</v>
      </c>
      <c r="B84" s="3" t="s">
        <v>1444</v>
      </c>
      <c r="C84" s="3" t="s">
        <v>1439</v>
      </c>
      <c r="D84" s="13" t="s">
        <v>1440</v>
      </c>
      <c r="E84" t="str">
        <f t="shared" si="2"/>
        <v>No</v>
      </c>
      <c r="F84" s="11"/>
      <c r="G84" s="10" t="b">
        <f t="shared" si="3"/>
        <v>0</v>
      </c>
    </row>
    <row r="85" spans="1:7" x14ac:dyDescent="0.3">
      <c r="A85" s="5" t="s">
        <v>1445</v>
      </c>
      <c r="B85" s="3" t="s">
        <v>272</v>
      </c>
      <c r="C85" s="3" t="s">
        <v>1446</v>
      </c>
      <c r="D85" s="13" t="s">
        <v>1447</v>
      </c>
      <c r="E85" t="str">
        <f t="shared" si="2"/>
        <v>No</v>
      </c>
      <c r="F85" s="11"/>
      <c r="G85" s="10" t="b">
        <f t="shared" si="3"/>
        <v>0</v>
      </c>
    </row>
    <row r="86" spans="1:7" x14ac:dyDescent="0.3">
      <c r="A86" s="5" t="s">
        <v>1448</v>
      </c>
      <c r="B86" s="3" t="s">
        <v>1449</v>
      </c>
      <c r="C86" s="3" t="s">
        <v>1439</v>
      </c>
      <c r="D86" s="13" t="s">
        <v>1447</v>
      </c>
      <c r="E86" t="str">
        <f t="shared" si="2"/>
        <v>No</v>
      </c>
      <c r="F86" s="11"/>
      <c r="G86" s="10" t="b">
        <f t="shared" si="3"/>
        <v>0</v>
      </c>
    </row>
    <row r="87" spans="1:7" x14ac:dyDescent="0.3">
      <c r="A87" s="5" t="s">
        <v>1450</v>
      </c>
      <c r="B87" s="3" t="s">
        <v>1451</v>
      </c>
      <c r="C87" s="3" t="s">
        <v>1452</v>
      </c>
      <c r="D87" s="13" t="s">
        <v>1453</v>
      </c>
      <c r="E87" t="str">
        <f t="shared" si="2"/>
        <v>No</v>
      </c>
      <c r="F87" s="11"/>
      <c r="G87" s="10" t="b">
        <f t="shared" si="3"/>
        <v>0</v>
      </c>
    </row>
    <row r="88" spans="1:7" x14ac:dyDescent="0.3">
      <c r="A88" s="5" t="s">
        <v>1454</v>
      </c>
      <c r="B88" s="3" t="s">
        <v>1455</v>
      </c>
      <c r="C88" s="3" t="s">
        <v>1456</v>
      </c>
      <c r="D88" s="13" t="s">
        <v>1457</v>
      </c>
      <c r="E88" t="str">
        <f t="shared" si="2"/>
        <v>No</v>
      </c>
      <c r="F88" s="11"/>
      <c r="G88" s="10" t="b">
        <f t="shared" si="3"/>
        <v>0</v>
      </c>
    </row>
    <row r="89" spans="1:7" x14ac:dyDescent="0.3">
      <c r="A89" s="5" t="s">
        <v>1458</v>
      </c>
      <c r="B89" s="3" t="s">
        <v>1459</v>
      </c>
      <c r="C89" s="3" t="s">
        <v>1460</v>
      </c>
      <c r="D89" s="13" t="s">
        <v>1461</v>
      </c>
      <c r="E89" t="str">
        <f t="shared" si="2"/>
        <v>No</v>
      </c>
      <c r="F89" s="11"/>
      <c r="G89" s="10" t="b">
        <f t="shared" si="3"/>
        <v>0</v>
      </c>
    </row>
    <row r="90" spans="1:7" x14ac:dyDescent="0.3">
      <c r="A90" s="5" t="s">
        <v>1462</v>
      </c>
      <c r="B90" s="3" t="s">
        <v>1463</v>
      </c>
      <c r="C90" s="3" t="s">
        <v>1464</v>
      </c>
      <c r="D90" s="13" t="s">
        <v>1465</v>
      </c>
      <c r="E90" t="str">
        <f t="shared" si="2"/>
        <v>No</v>
      </c>
      <c r="F90" s="11"/>
      <c r="G90" s="10" t="b">
        <f t="shared" si="3"/>
        <v>0</v>
      </c>
    </row>
    <row r="91" spans="1:7" x14ac:dyDescent="0.3">
      <c r="A91" s="5" t="s">
        <v>1466</v>
      </c>
      <c r="B91" s="3" t="s">
        <v>1467</v>
      </c>
      <c r="C91" s="3" t="s">
        <v>1468</v>
      </c>
      <c r="D91" s="13" t="s">
        <v>1469</v>
      </c>
      <c r="E91" t="str">
        <f t="shared" si="2"/>
        <v>No</v>
      </c>
      <c r="F91" s="11"/>
      <c r="G91" s="10" t="b">
        <f t="shared" si="3"/>
        <v>0</v>
      </c>
    </row>
    <row r="92" spans="1:7" x14ac:dyDescent="0.3">
      <c r="A92" s="5" t="s">
        <v>1470</v>
      </c>
      <c r="B92" s="3" t="s">
        <v>1471</v>
      </c>
      <c r="C92" s="3" t="s">
        <v>1460</v>
      </c>
      <c r="D92" s="13" t="s">
        <v>1352</v>
      </c>
      <c r="E92" t="str">
        <f t="shared" si="2"/>
        <v>No</v>
      </c>
      <c r="F92" s="11"/>
      <c r="G92" s="10" t="b">
        <f t="shared" si="3"/>
        <v>0</v>
      </c>
    </row>
    <row r="93" spans="1:7" x14ac:dyDescent="0.3">
      <c r="A93" s="5" t="s">
        <v>1472</v>
      </c>
      <c r="B93" s="3" t="s">
        <v>1473</v>
      </c>
      <c r="C93" s="3" t="s">
        <v>1460</v>
      </c>
      <c r="D93" s="13" t="s">
        <v>1474</v>
      </c>
      <c r="E93" t="str">
        <f t="shared" si="2"/>
        <v>No</v>
      </c>
      <c r="F93" s="11"/>
      <c r="G93" s="10" t="b">
        <f t="shared" si="3"/>
        <v>0</v>
      </c>
    </row>
    <row r="94" spans="1:7" x14ac:dyDescent="0.3">
      <c r="A94" s="5" t="s">
        <v>1475</v>
      </c>
      <c r="B94" s="3" t="s">
        <v>1476</v>
      </c>
      <c r="C94" s="3" t="s">
        <v>973</v>
      </c>
      <c r="D94" s="13" t="s">
        <v>1308</v>
      </c>
      <c r="E94" t="str">
        <f t="shared" si="2"/>
        <v>No</v>
      </c>
      <c r="F94" s="11"/>
      <c r="G94" s="10" t="b">
        <f t="shared" si="3"/>
        <v>0</v>
      </c>
    </row>
    <row r="95" spans="1:7" x14ac:dyDescent="0.3">
      <c r="A95" s="5" t="s">
        <v>1477</v>
      </c>
      <c r="B95" s="3" t="s">
        <v>1478</v>
      </c>
      <c r="C95" s="3" t="s">
        <v>1479</v>
      </c>
      <c r="D95" s="13" t="s">
        <v>23</v>
      </c>
      <c r="E95" t="str">
        <f t="shared" si="2"/>
        <v>No</v>
      </c>
      <c r="F95" s="11"/>
      <c r="G95" s="10" t="b">
        <f t="shared" si="3"/>
        <v>0</v>
      </c>
    </row>
    <row r="96" spans="1:7" x14ac:dyDescent="0.3">
      <c r="A96" s="5" t="s">
        <v>1480</v>
      </c>
      <c r="B96" s="3" t="s">
        <v>1481</v>
      </c>
      <c r="C96" s="3" t="s">
        <v>1482</v>
      </c>
      <c r="D96" s="13" t="s">
        <v>23</v>
      </c>
      <c r="E96" t="str">
        <f t="shared" si="2"/>
        <v>No</v>
      </c>
      <c r="F96" s="11"/>
      <c r="G96" s="10" t="b">
        <f t="shared" si="3"/>
        <v>0</v>
      </c>
    </row>
    <row r="97" spans="1:7" x14ac:dyDescent="0.3">
      <c r="A97" s="5" t="s">
        <v>1483</v>
      </c>
      <c r="B97" s="3" t="s">
        <v>1484</v>
      </c>
      <c r="C97" s="3" t="s">
        <v>1485</v>
      </c>
      <c r="D97" s="13" t="s">
        <v>23</v>
      </c>
      <c r="E97" t="str">
        <f t="shared" si="2"/>
        <v>No</v>
      </c>
      <c r="F97" s="11"/>
      <c r="G97" s="10" t="b">
        <f t="shared" si="3"/>
        <v>0</v>
      </c>
    </row>
    <row r="98" spans="1:7" x14ac:dyDescent="0.3">
      <c r="A98" s="5" t="s">
        <v>1486</v>
      </c>
      <c r="B98" s="3" t="s">
        <v>1487</v>
      </c>
      <c r="C98" s="3" t="s">
        <v>1488</v>
      </c>
      <c r="D98" s="13" t="s">
        <v>23</v>
      </c>
      <c r="E98" t="str">
        <f t="shared" si="2"/>
        <v>No</v>
      </c>
      <c r="F98" s="11"/>
      <c r="G98" s="10" t="b">
        <f t="shared" si="3"/>
        <v>0</v>
      </c>
    </row>
    <row r="99" spans="1:7" x14ac:dyDescent="0.3">
      <c r="A99" s="5" t="s">
        <v>1489</v>
      </c>
      <c r="B99" s="3" t="s">
        <v>1490</v>
      </c>
      <c r="C99" s="3" t="s">
        <v>1491</v>
      </c>
      <c r="D99" s="13" t="s">
        <v>1401</v>
      </c>
      <c r="E99" t="str">
        <f t="shared" si="2"/>
        <v>No</v>
      </c>
      <c r="F99" s="11"/>
      <c r="G99" s="10" t="b">
        <f t="shared" si="3"/>
        <v>0</v>
      </c>
    </row>
    <row r="100" spans="1:7" x14ac:dyDescent="0.3">
      <c r="A100" s="5" t="s">
        <v>1492</v>
      </c>
      <c r="B100" s="3" t="s">
        <v>1493</v>
      </c>
      <c r="C100" s="3" t="s">
        <v>1491</v>
      </c>
      <c r="D100" s="13" t="s">
        <v>1404</v>
      </c>
      <c r="E100" t="str">
        <f t="shared" si="2"/>
        <v>No</v>
      </c>
      <c r="F100" s="11"/>
      <c r="G100" s="10" t="b">
        <f t="shared" si="3"/>
        <v>0</v>
      </c>
    </row>
    <row r="101" spans="1:7" x14ac:dyDescent="0.3">
      <c r="A101" s="5" t="s">
        <v>1494</v>
      </c>
      <c r="B101" s="3" t="s">
        <v>1495</v>
      </c>
      <c r="C101" s="3" t="s">
        <v>1256</v>
      </c>
      <c r="D101" s="13" t="s">
        <v>1496</v>
      </c>
      <c r="E101" t="str">
        <f t="shared" si="2"/>
        <v>No</v>
      </c>
      <c r="F101" s="11"/>
      <c r="G101" s="10" t="b">
        <f t="shared" si="3"/>
        <v>0</v>
      </c>
    </row>
    <row r="102" spans="1:7" x14ac:dyDescent="0.3">
      <c r="A102" s="5" t="s">
        <v>1497</v>
      </c>
      <c r="B102" s="3" t="s">
        <v>1498</v>
      </c>
      <c r="C102" s="3" t="s">
        <v>1256</v>
      </c>
      <c r="D102" s="13" t="s">
        <v>1496</v>
      </c>
      <c r="E102" t="str">
        <f t="shared" si="2"/>
        <v>No</v>
      </c>
      <c r="F102" s="11"/>
      <c r="G102" s="10" t="b">
        <f t="shared" si="3"/>
        <v>0</v>
      </c>
    </row>
    <row r="103" spans="1:7" x14ac:dyDescent="0.3">
      <c r="A103" s="5" t="s">
        <v>1499</v>
      </c>
      <c r="B103" s="3" t="s">
        <v>27</v>
      </c>
      <c r="C103" s="3" t="s">
        <v>976</v>
      </c>
      <c r="D103" s="13" t="s">
        <v>1500</v>
      </c>
      <c r="E103" t="str">
        <f t="shared" si="2"/>
        <v>YES</v>
      </c>
      <c r="F103" s="11" t="b">
        <v>1</v>
      </c>
      <c r="G103" s="10" t="b">
        <f t="shared" si="3"/>
        <v>1</v>
      </c>
    </row>
    <row r="104" spans="1:7" x14ac:dyDescent="0.3">
      <c r="A104" s="5" t="s">
        <v>1501</v>
      </c>
      <c r="B104" s="3" t="s">
        <v>1502</v>
      </c>
      <c r="C104" s="3" t="s">
        <v>1503</v>
      </c>
      <c r="D104" s="13" t="s">
        <v>1504</v>
      </c>
      <c r="E104" t="str">
        <f t="shared" si="2"/>
        <v>No</v>
      </c>
      <c r="F104" s="11"/>
      <c r="G104" s="10" t="b">
        <f t="shared" si="3"/>
        <v>0</v>
      </c>
    </row>
    <row r="105" spans="1:7" x14ac:dyDescent="0.3">
      <c r="A105" s="5" t="s">
        <v>1505</v>
      </c>
      <c r="B105" s="3" t="s">
        <v>1506</v>
      </c>
      <c r="C105" s="3" t="s">
        <v>1375</v>
      </c>
      <c r="D105" s="13" t="s">
        <v>1379</v>
      </c>
      <c r="E105" t="str">
        <f t="shared" si="2"/>
        <v>No</v>
      </c>
      <c r="F105" s="11"/>
      <c r="G105" s="10" t="b">
        <f t="shared" si="3"/>
        <v>0</v>
      </c>
    </row>
    <row r="106" spans="1:7" x14ac:dyDescent="0.3">
      <c r="A106" s="5" t="s">
        <v>1507</v>
      </c>
      <c r="B106" s="3" t="s">
        <v>1508</v>
      </c>
      <c r="C106" s="3" t="s">
        <v>1375</v>
      </c>
      <c r="D106" s="13" t="s">
        <v>1379</v>
      </c>
      <c r="E106" t="str">
        <f t="shared" si="2"/>
        <v>No</v>
      </c>
      <c r="F106" s="11"/>
      <c r="G106" s="10" t="b">
        <f t="shared" si="3"/>
        <v>0</v>
      </c>
    </row>
    <row r="107" spans="1:7" x14ac:dyDescent="0.3">
      <c r="A107" s="5" t="s">
        <v>1509</v>
      </c>
      <c r="B107" s="3" t="s">
        <v>1510</v>
      </c>
      <c r="C107" s="3" t="s">
        <v>1375</v>
      </c>
      <c r="D107" s="13" t="s">
        <v>1379</v>
      </c>
      <c r="E107" t="str">
        <f t="shared" si="2"/>
        <v>No</v>
      </c>
      <c r="F107" s="11"/>
      <c r="G107" s="10" t="b">
        <f t="shared" si="3"/>
        <v>0</v>
      </c>
    </row>
    <row r="108" spans="1:7" x14ac:dyDescent="0.3">
      <c r="A108" s="5" t="s">
        <v>1511</v>
      </c>
      <c r="B108" s="3" t="s">
        <v>1512</v>
      </c>
      <c r="C108" s="3" t="s">
        <v>1303</v>
      </c>
      <c r="D108" s="13" t="s">
        <v>1392</v>
      </c>
      <c r="E108" t="str">
        <f t="shared" si="2"/>
        <v>No</v>
      </c>
      <c r="F108" s="11"/>
      <c r="G108" s="10" t="b">
        <f t="shared" si="3"/>
        <v>0</v>
      </c>
    </row>
    <row r="109" spans="1:7" x14ac:dyDescent="0.3">
      <c r="A109" s="5" t="s">
        <v>1513</v>
      </c>
      <c r="B109" s="3" t="s">
        <v>635</v>
      </c>
      <c r="C109" s="3" t="s">
        <v>1303</v>
      </c>
      <c r="D109" s="13" t="s">
        <v>1514</v>
      </c>
      <c r="E109" t="str">
        <f t="shared" si="2"/>
        <v>YES</v>
      </c>
      <c r="F109" s="11" t="b">
        <v>1</v>
      </c>
      <c r="G109" s="10" t="b">
        <f t="shared" si="3"/>
        <v>1</v>
      </c>
    </row>
    <row r="110" spans="1:7" x14ac:dyDescent="0.3">
      <c r="A110" s="5" t="s">
        <v>1515</v>
      </c>
      <c r="B110" s="3" t="s">
        <v>1516</v>
      </c>
      <c r="C110" s="3" t="s">
        <v>973</v>
      </c>
      <c r="D110" s="13" t="s">
        <v>1517</v>
      </c>
      <c r="E110" t="str">
        <f t="shared" si="2"/>
        <v>No</v>
      </c>
      <c r="F110" s="11"/>
      <c r="G110" s="10" t="b">
        <f t="shared" si="3"/>
        <v>0</v>
      </c>
    </row>
    <row r="111" spans="1:7" x14ac:dyDescent="0.3">
      <c r="A111" s="5" t="s">
        <v>1518</v>
      </c>
      <c r="B111" s="3" t="s">
        <v>1519</v>
      </c>
      <c r="C111" s="3" t="s">
        <v>973</v>
      </c>
      <c r="D111" s="13" t="s">
        <v>1395</v>
      </c>
      <c r="E111" t="str">
        <f t="shared" si="2"/>
        <v>No</v>
      </c>
      <c r="F111" s="11"/>
      <c r="G111" s="10" t="b">
        <f t="shared" si="3"/>
        <v>0</v>
      </c>
    </row>
    <row r="112" spans="1:7" x14ac:dyDescent="0.3">
      <c r="A112" s="5" t="s">
        <v>1520</v>
      </c>
      <c r="B112" s="3" t="s">
        <v>1521</v>
      </c>
      <c r="C112" s="3" t="s">
        <v>973</v>
      </c>
      <c r="D112" s="13" t="s">
        <v>1395</v>
      </c>
      <c r="E112" t="str">
        <f t="shared" si="2"/>
        <v>No</v>
      </c>
      <c r="F112" s="11"/>
      <c r="G112" s="10" t="b">
        <f t="shared" si="3"/>
        <v>0</v>
      </c>
    </row>
    <row r="113" spans="1:7" x14ac:dyDescent="0.3">
      <c r="A113" s="5" t="s">
        <v>1522</v>
      </c>
      <c r="B113" s="3" t="s">
        <v>1523</v>
      </c>
      <c r="C113" s="3" t="s">
        <v>967</v>
      </c>
      <c r="D113" s="13" t="s">
        <v>1314</v>
      </c>
      <c r="E113" t="str">
        <f t="shared" si="2"/>
        <v>No</v>
      </c>
      <c r="F113" s="11"/>
      <c r="G113" s="10" t="b">
        <f t="shared" si="3"/>
        <v>0</v>
      </c>
    </row>
    <row r="114" spans="1:7" x14ac:dyDescent="0.3">
      <c r="A114" s="5" t="s">
        <v>1524</v>
      </c>
      <c r="B114" s="3" t="s">
        <v>938</v>
      </c>
      <c r="C114" s="3" t="s">
        <v>967</v>
      </c>
      <c r="D114" s="13" t="s">
        <v>1525</v>
      </c>
      <c r="E114" t="str">
        <f t="shared" si="2"/>
        <v>No</v>
      </c>
      <c r="F114" s="11"/>
      <c r="G114" s="10" t="b">
        <f t="shared" si="3"/>
        <v>0</v>
      </c>
    </row>
    <row r="115" spans="1:7" x14ac:dyDescent="0.3">
      <c r="A115" s="5" t="s">
        <v>1526</v>
      </c>
      <c r="B115" s="3" t="s">
        <v>1527</v>
      </c>
      <c r="C115" s="3" t="s">
        <v>967</v>
      </c>
      <c r="D115" s="13" t="s">
        <v>1371</v>
      </c>
      <c r="E115" t="str">
        <f t="shared" si="2"/>
        <v>No</v>
      </c>
      <c r="F115" s="11"/>
      <c r="G115" s="10" t="b">
        <f t="shared" si="3"/>
        <v>0</v>
      </c>
    </row>
    <row r="116" spans="1:7" x14ac:dyDescent="0.3">
      <c r="A116" s="5" t="s">
        <v>1528</v>
      </c>
      <c r="B116" s="3" t="s">
        <v>1529</v>
      </c>
      <c r="C116" s="3" t="s">
        <v>967</v>
      </c>
      <c r="D116" s="13" t="s">
        <v>1371</v>
      </c>
      <c r="E116" t="str">
        <f t="shared" si="2"/>
        <v>No</v>
      </c>
      <c r="F116" s="11"/>
      <c r="G116" s="10" t="b">
        <f t="shared" si="3"/>
        <v>0</v>
      </c>
    </row>
    <row r="117" spans="1:7" x14ac:dyDescent="0.3">
      <c r="A117" s="5" t="s">
        <v>1530</v>
      </c>
      <c r="B117" s="3" t="s">
        <v>1531</v>
      </c>
      <c r="C117" s="3" t="s">
        <v>967</v>
      </c>
      <c r="D117" s="13" t="s">
        <v>1371</v>
      </c>
      <c r="E117" t="str">
        <f t="shared" si="2"/>
        <v>No</v>
      </c>
      <c r="F117" s="11"/>
      <c r="G117" s="10" t="b">
        <f t="shared" si="3"/>
        <v>0</v>
      </c>
    </row>
    <row r="118" spans="1:7" x14ac:dyDescent="0.3">
      <c r="A118" s="5" t="s">
        <v>1532</v>
      </c>
      <c r="B118" s="3" t="s">
        <v>1533</v>
      </c>
      <c r="C118" s="3" t="s">
        <v>1288</v>
      </c>
      <c r="D118" s="13" t="s">
        <v>1289</v>
      </c>
      <c r="E118" t="str">
        <f t="shared" si="2"/>
        <v>No</v>
      </c>
      <c r="F118" s="11"/>
      <c r="G118" s="10" t="b">
        <f t="shared" si="3"/>
        <v>0</v>
      </c>
    </row>
    <row r="119" spans="1:7" x14ac:dyDescent="0.3">
      <c r="A119" s="5" t="s">
        <v>1534</v>
      </c>
      <c r="B119" s="3" t="s">
        <v>1535</v>
      </c>
      <c r="C119" s="3" t="s">
        <v>1294</v>
      </c>
      <c r="D119" s="13" t="s">
        <v>1295</v>
      </c>
      <c r="E119" t="str">
        <f t="shared" si="2"/>
        <v>No</v>
      </c>
      <c r="F119" s="11"/>
      <c r="G119" s="10" t="b">
        <f t="shared" si="3"/>
        <v>0</v>
      </c>
    </row>
    <row r="120" spans="1:7" x14ac:dyDescent="0.3">
      <c r="A120" s="5" t="s">
        <v>1536</v>
      </c>
      <c r="B120" s="3" t="s">
        <v>1537</v>
      </c>
      <c r="C120" s="3" t="s">
        <v>1288</v>
      </c>
      <c r="D120" s="13" t="s">
        <v>1289</v>
      </c>
      <c r="E120" t="str">
        <f t="shared" si="2"/>
        <v>No</v>
      </c>
      <c r="F120" s="11"/>
      <c r="G120" s="10" t="b">
        <f t="shared" si="3"/>
        <v>0</v>
      </c>
    </row>
    <row r="121" spans="1:7" x14ac:dyDescent="0.3">
      <c r="A121" s="5" t="s">
        <v>1538</v>
      </c>
      <c r="B121" s="3" t="s">
        <v>1539</v>
      </c>
      <c r="C121" s="3" t="s">
        <v>1294</v>
      </c>
      <c r="D121" s="13" t="s">
        <v>1295</v>
      </c>
      <c r="E121" t="str">
        <f t="shared" si="2"/>
        <v>No</v>
      </c>
      <c r="F121" s="11"/>
      <c r="G121" s="10" t="b">
        <f t="shared" si="3"/>
        <v>0</v>
      </c>
    </row>
    <row r="122" spans="1:7" x14ac:dyDescent="0.3">
      <c r="A122" s="5" t="s">
        <v>1540</v>
      </c>
      <c r="B122" s="3" t="s">
        <v>1541</v>
      </c>
      <c r="C122" s="3" t="s">
        <v>967</v>
      </c>
      <c r="D122" s="13" t="s">
        <v>1542</v>
      </c>
      <c r="E122" t="str">
        <f t="shared" si="2"/>
        <v>No</v>
      </c>
      <c r="F122" s="11"/>
      <c r="G122" s="10" t="b">
        <f t="shared" si="3"/>
        <v>0</v>
      </c>
    </row>
    <row r="123" spans="1:7" x14ac:dyDescent="0.3">
      <c r="A123" s="5" t="s">
        <v>1543</v>
      </c>
      <c r="B123" s="3" t="s">
        <v>1544</v>
      </c>
      <c r="C123" s="3" t="s">
        <v>967</v>
      </c>
      <c r="D123" s="13" t="s">
        <v>1545</v>
      </c>
      <c r="E123" t="str">
        <f t="shared" si="2"/>
        <v>No</v>
      </c>
      <c r="F123" s="11"/>
      <c r="G123" s="10" t="b">
        <f t="shared" si="3"/>
        <v>0</v>
      </c>
    </row>
    <row r="124" spans="1:7" x14ac:dyDescent="0.3">
      <c r="A124" s="5" t="s">
        <v>1546</v>
      </c>
      <c r="B124" s="3" t="s">
        <v>1547</v>
      </c>
      <c r="C124" s="3" t="s">
        <v>967</v>
      </c>
      <c r="D124" s="13" t="s">
        <v>1433</v>
      </c>
      <c r="E124" t="str">
        <f t="shared" si="2"/>
        <v>No</v>
      </c>
      <c r="F124" s="11"/>
      <c r="G124" s="10" t="b">
        <f t="shared" si="3"/>
        <v>0</v>
      </c>
    </row>
    <row r="125" spans="1:7" x14ac:dyDescent="0.3">
      <c r="A125" s="5" t="s">
        <v>1548</v>
      </c>
      <c r="B125" s="3" t="s">
        <v>1549</v>
      </c>
      <c r="C125" s="3" t="s">
        <v>967</v>
      </c>
      <c r="D125" s="13" t="s">
        <v>1433</v>
      </c>
      <c r="E125" t="str">
        <f t="shared" si="2"/>
        <v>No</v>
      </c>
      <c r="F125" s="11"/>
      <c r="G125" s="10" t="b">
        <f t="shared" si="3"/>
        <v>0</v>
      </c>
    </row>
    <row r="126" spans="1:7" x14ac:dyDescent="0.3">
      <c r="A126" s="5" t="s">
        <v>1550</v>
      </c>
      <c r="B126" s="3" t="s">
        <v>1551</v>
      </c>
      <c r="C126" s="3" t="s">
        <v>965</v>
      </c>
      <c r="D126" s="13" t="s">
        <v>1354</v>
      </c>
      <c r="E126" t="str">
        <f t="shared" si="2"/>
        <v>No</v>
      </c>
      <c r="F126" s="11"/>
      <c r="G126" s="10" t="b">
        <f t="shared" si="3"/>
        <v>0</v>
      </c>
    </row>
    <row r="127" spans="1:7" x14ac:dyDescent="0.3">
      <c r="A127" s="5" t="s">
        <v>1552</v>
      </c>
      <c r="B127" s="3" t="s">
        <v>919</v>
      </c>
      <c r="C127" s="3" t="s">
        <v>965</v>
      </c>
      <c r="D127" s="13" t="s">
        <v>1356</v>
      </c>
      <c r="E127" t="str">
        <f t="shared" si="2"/>
        <v>No</v>
      </c>
      <c r="F127" s="11"/>
      <c r="G127" s="10" t="b">
        <f t="shared" si="3"/>
        <v>0</v>
      </c>
    </row>
    <row r="128" spans="1:7" x14ac:dyDescent="0.3">
      <c r="A128" s="5" t="s">
        <v>1553</v>
      </c>
      <c r="B128" s="3" t="s">
        <v>1554</v>
      </c>
      <c r="C128" s="3" t="s">
        <v>965</v>
      </c>
      <c r="D128" s="13" t="s">
        <v>1356</v>
      </c>
      <c r="E128" t="str">
        <f t="shared" si="2"/>
        <v>No</v>
      </c>
      <c r="F128" s="11"/>
      <c r="G128" s="10" t="b">
        <f t="shared" si="3"/>
        <v>0</v>
      </c>
    </row>
    <row r="129" spans="1:7" x14ac:dyDescent="0.3">
      <c r="A129" s="5" t="s">
        <v>1555</v>
      </c>
      <c r="B129" s="3" t="s">
        <v>1556</v>
      </c>
      <c r="C129" s="3" t="s">
        <v>1388</v>
      </c>
      <c r="D129" s="13" t="s">
        <v>1386</v>
      </c>
      <c r="E129" t="str">
        <f t="shared" si="2"/>
        <v>No</v>
      </c>
      <c r="F129" s="11"/>
      <c r="G129" s="10" t="b">
        <f t="shared" si="3"/>
        <v>0</v>
      </c>
    </row>
    <row r="130" spans="1:7" x14ac:dyDescent="0.3">
      <c r="A130" s="5" t="s">
        <v>1557</v>
      </c>
      <c r="B130" s="3" t="s">
        <v>1558</v>
      </c>
      <c r="C130" s="3" t="s">
        <v>1388</v>
      </c>
      <c r="D130" s="13" t="s">
        <v>1389</v>
      </c>
      <c r="E130" t="str">
        <f t="shared" ref="E130:E193" si="4">IF(F130, "YES", "No")</f>
        <v>No</v>
      </c>
      <c r="F130" s="11"/>
      <c r="G130" s="10" t="b">
        <f t="shared" ref="G130:G193" si="5">IF(COUNTIF($J$3:$J$100, B130) &gt; 0, TRUE, FALSE)</f>
        <v>0</v>
      </c>
    </row>
    <row r="131" spans="1:7" x14ac:dyDescent="0.3">
      <c r="A131" s="5" t="s">
        <v>1559</v>
      </c>
      <c r="B131" s="3" t="s">
        <v>1560</v>
      </c>
      <c r="C131" s="3" t="s">
        <v>1288</v>
      </c>
      <c r="D131" s="13" t="s">
        <v>1289</v>
      </c>
      <c r="E131" t="str">
        <f t="shared" si="4"/>
        <v>No</v>
      </c>
      <c r="F131" s="11"/>
      <c r="G131" s="10" t="b">
        <f t="shared" si="5"/>
        <v>0</v>
      </c>
    </row>
    <row r="132" spans="1:7" x14ac:dyDescent="0.3">
      <c r="A132" s="5" t="s">
        <v>1561</v>
      </c>
      <c r="B132" s="3" t="s">
        <v>1562</v>
      </c>
      <c r="C132" s="3" t="s">
        <v>1256</v>
      </c>
      <c r="D132" s="13" t="s">
        <v>1563</v>
      </c>
      <c r="E132" t="str">
        <f t="shared" si="4"/>
        <v>No</v>
      </c>
      <c r="F132" s="11"/>
      <c r="G132" s="10" t="b">
        <f t="shared" si="5"/>
        <v>0</v>
      </c>
    </row>
    <row r="133" spans="1:7" x14ac:dyDescent="0.3">
      <c r="A133" s="5" t="s">
        <v>1564</v>
      </c>
      <c r="B133" s="3" t="s">
        <v>1565</v>
      </c>
      <c r="C133" s="3" t="s">
        <v>1256</v>
      </c>
      <c r="D133" s="13" t="s">
        <v>1563</v>
      </c>
      <c r="E133" t="str">
        <f t="shared" si="4"/>
        <v>No</v>
      </c>
      <c r="F133" s="11"/>
      <c r="G133" s="10" t="b">
        <f t="shared" si="5"/>
        <v>0</v>
      </c>
    </row>
    <row r="134" spans="1:7" x14ac:dyDescent="0.3">
      <c r="A134" s="5" t="s">
        <v>1566</v>
      </c>
      <c r="B134" s="3" t="s">
        <v>1567</v>
      </c>
      <c r="C134" s="3" t="s">
        <v>1568</v>
      </c>
      <c r="D134" s="13" t="s">
        <v>1392</v>
      </c>
      <c r="E134" t="str">
        <f t="shared" si="4"/>
        <v>No</v>
      </c>
      <c r="F134" s="11"/>
      <c r="G134" s="10" t="b">
        <f t="shared" si="5"/>
        <v>0</v>
      </c>
    </row>
    <row r="135" spans="1:7" x14ac:dyDescent="0.3">
      <c r="A135" s="5" t="s">
        <v>1569</v>
      </c>
      <c r="B135" s="3" t="s">
        <v>1570</v>
      </c>
      <c r="C135" s="3" t="s">
        <v>1429</v>
      </c>
      <c r="D135" s="13" t="s">
        <v>1430</v>
      </c>
      <c r="E135" t="str">
        <f t="shared" si="4"/>
        <v>No</v>
      </c>
      <c r="F135" s="11"/>
      <c r="G135" s="10" t="b">
        <f t="shared" si="5"/>
        <v>0</v>
      </c>
    </row>
    <row r="136" spans="1:7" x14ac:dyDescent="0.3">
      <c r="A136" s="5" t="s">
        <v>1571</v>
      </c>
      <c r="B136" s="3" t="s">
        <v>1572</v>
      </c>
      <c r="C136" s="3" t="s">
        <v>1573</v>
      </c>
      <c r="D136" s="13" t="s">
        <v>23</v>
      </c>
      <c r="E136" t="str">
        <f t="shared" si="4"/>
        <v>No</v>
      </c>
      <c r="F136" s="11"/>
      <c r="G136" s="10" t="b">
        <f t="shared" si="5"/>
        <v>0</v>
      </c>
    </row>
    <row r="137" spans="1:7" x14ac:dyDescent="0.3">
      <c r="A137" s="5" t="s">
        <v>1574</v>
      </c>
      <c r="B137" s="3" t="s">
        <v>1575</v>
      </c>
      <c r="C137" s="3" t="s">
        <v>1375</v>
      </c>
      <c r="D137" s="13" t="s">
        <v>1376</v>
      </c>
      <c r="E137" t="str">
        <f t="shared" si="4"/>
        <v>No</v>
      </c>
      <c r="F137" s="11"/>
      <c r="G137" s="10" t="b">
        <f t="shared" si="5"/>
        <v>0</v>
      </c>
    </row>
    <row r="138" spans="1:7" x14ac:dyDescent="0.3">
      <c r="A138" s="5" t="s">
        <v>1576</v>
      </c>
      <c r="B138" s="3" t="s">
        <v>1577</v>
      </c>
      <c r="C138" s="3" t="s">
        <v>1439</v>
      </c>
      <c r="D138" s="13" t="s">
        <v>1266</v>
      </c>
      <c r="E138" t="str">
        <f t="shared" si="4"/>
        <v>No</v>
      </c>
      <c r="F138" s="11"/>
      <c r="G138" s="10" t="b">
        <f t="shared" si="5"/>
        <v>0</v>
      </c>
    </row>
    <row r="139" spans="1:7" x14ac:dyDescent="0.3">
      <c r="A139" s="5" t="s">
        <v>1578</v>
      </c>
      <c r="B139" s="3" t="s">
        <v>1579</v>
      </c>
      <c r="C139" s="3" t="s">
        <v>1580</v>
      </c>
      <c r="D139" s="13" t="s">
        <v>1447</v>
      </c>
      <c r="E139" t="str">
        <f t="shared" si="4"/>
        <v>No</v>
      </c>
      <c r="F139" s="11"/>
      <c r="G139" s="10" t="b">
        <f t="shared" si="5"/>
        <v>0</v>
      </c>
    </row>
    <row r="140" spans="1:7" x14ac:dyDescent="0.3">
      <c r="A140" s="5" t="s">
        <v>1581</v>
      </c>
      <c r="B140" s="3" t="s">
        <v>1582</v>
      </c>
      <c r="C140" s="3" t="s">
        <v>1580</v>
      </c>
      <c r="D140" s="13" t="s">
        <v>1447</v>
      </c>
      <c r="E140" t="str">
        <f t="shared" si="4"/>
        <v>No</v>
      </c>
      <c r="F140" s="11"/>
      <c r="G140" s="10" t="b">
        <f t="shared" si="5"/>
        <v>0</v>
      </c>
    </row>
    <row r="141" spans="1:7" x14ac:dyDescent="0.3">
      <c r="A141" s="5" t="s">
        <v>1583</v>
      </c>
      <c r="B141" s="3" t="s">
        <v>42</v>
      </c>
      <c r="C141" s="3" t="s">
        <v>969</v>
      </c>
      <c r="D141" s="13" t="s">
        <v>1584</v>
      </c>
      <c r="E141" t="str">
        <f t="shared" si="4"/>
        <v>No</v>
      </c>
      <c r="F141" s="11"/>
      <c r="G141" s="10" t="b">
        <f t="shared" si="5"/>
        <v>0</v>
      </c>
    </row>
    <row r="142" spans="1:7" x14ac:dyDescent="0.3">
      <c r="A142" s="5" t="s">
        <v>1585</v>
      </c>
      <c r="B142" s="3" t="s">
        <v>1586</v>
      </c>
      <c r="C142" s="3" t="s">
        <v>1587</v>
      </c>
      <c r="D142" s="13" t="s">
        <v>1588</v>
      </c>
      <c r="E142" t="str">
        <f t="shared" si="4"/>
        <v>No</v>
      </c>
      <c r="F142" s="11"/>
      <c r="G142" s="10" t="b">
        <f t="shared" si="5"/>
        <v>0</v>
      </c>
    </row>
    <row r="143" spans="1:7" x14ac:dyDescent="0.3">
      <c r="A143" s="5" t="s">
        <v>1589</v>
      </c>
      <c r="B143" s="3" t="s">
        <v>1590</v>
      </c>
      <c r="C143" s="3" t="s">
        <v>1587</v>
      </c>
      <c r="D143" s="13" t="s">
        <v>1588</v>
      </c>
      <c r="E143" t="str">
        <f t="shared" si="4"/>
        <v>No</v>
      </c>
      <c r="F143" s="11"/>
      <c r="G143" s="10" t="b">
        <f t="shared" si="5"/>
        <v>0</v>
      </c>
    </row>
    <row r="144" spans="1:7" x14ac:dyDescent="0.3">
      <c r="A144" s="5" t="s">
        <v>1591</v>
      </c>
      <c r="B144" s="3" t="s">
        <v>1592</v>
      </c>
      <c r="C144" s="3" t="s">
        <v>1593</v>
      </c>
      <c r="D144" s="13" t="s">
        <v>1401</v>
      </c>
      <c r="E144" t="str">
        <f t="shared" si="4"/>
        <v>No</v>
      </c>
      <c r="F144" s="11"/>
      <c r="G144" s="10" t="b">
        <f t="shared" si="5"/>
        <v>0</v>
      </c>
    </row>
    <row r="145" spans="1:7" x14ac:dyDescent="0.3">
      <c r="A145" s="5" t="s">
        <v>1594</v>
      </c>
      <c r="B145" s="3" t="s">
        <v>1595</v>
      </c>
      <c r="C145" s="3" t="s">
        <v>1593</v>
      </c>
      <c r="D145" s="13" t="s">
        <v>1404</v>
      </c>
      <c r="E145" t="str">
        <f t="shared" si="4"/>
        <v>No</v>
      </c>
      <c r="F145" s="11"/>
      <c r="G145" s="10" t="b">
        <f t="shared" si="5"/>
        <v>0</v>
      </c>
    </row>
    <row r="146" spans="1:7" x14ac:dyDescent="0.3">
      <c r="A146" s="5" t="s">
        <v>1596</v>
      </c>
      <c r="B146" s="3" t="s">
        <v>1597</v>
      </c>
      <c r="C146" s="3" t="s">
        <v>1375</v>
      </c>
      <c r="D146" s="13" t="s">
        <v>1598</v>
      </c>
      <c r="E146" t="str">
        <f t="shared" si="4"/>
        <v>No</v>
      </c>
      <c r="F146" s="11"/>
      <c r="G146" s="10" t="b">
        <f t="shared" si="5"/>
        <v>0</v>
      </c>
    </row>
    <row r="147" spans="1:7" x14ac:dyDescent="0.3">
      <c r="A147" s="5" t="s">
        <v>1599</v>
      </c>
      <c r="B147" s="3" t="s">
        <v>1512</v>
      </c>
      <c r="C147" s="3" t="s">
        <v>1303</v>
      </c>
      <c r="D147" s="13" t="s">
        <v>1392</v>
      </c>
      <c r="E147" t="str">
        <f t="shared" si="4"/>
        <v>No</v>
      </c>
      <c r="F147" s="11"/>
      <c r="G147" s="10" t="b">
        <f t="shared" si="5"/>
        <v>0</v>
      </c>
    </row>
    <row r="148" spans="1:7" x14ac:dyDescent="0.3">
      <c r="A148" s="5" t="s">
        <v>1600</v>
      </c>
      <c r="B148" s="3" t="s">
        <v>1601</v>
      </c>
      <c r="C148" s="3" t="s">
        <v>973</v>
      </c>
      <c r="D148" s="13" t="s">
        <v>1602</v>
      </c>
      <c r="E148" t="str">
        <f t="shared" si="4"/>
        <v>No</v>
      </c>
      <c r="F148" s="11"/>
      <c r="G148" s="10" t="b">
        <f t="shared" si="5"/>
        <v>0</v>
      </c>
    </row>
    <row r="149" spans="1:7" x14ac:dyDescent="0.3">
      <c r="A149" s="5" t="s">
        <v>1603</v>
      </c>
      <c r="B149" s="3" t="s">
        <v>1604</v>
      </c>
      <c r="C149" s="3" t="s">
        <v>1294</v>
      </c>
      <c r="D149" s="13" t="s">
        <v>1605</v>
      </c>
      <c r="E149" t="str">
        <f t="shared" si="4"/>
        <v>No</v>
      </c>
      <c r="F149" s="11"/>
      <c r="G149" s="10" t="b">
        <f t="shared" si="5"/>
        <v>0</v>
      </c>
    </row>
    <row r="150" spans="1:7" x14ac:dyDescent="0.3">
      <c r="A150" s="5" t="s">
        <v>1606</v>
      </c>
      <c r="B150" s="3" t="s">
        <v>1607</v>
      </c>
      <c r="C150" s="3" t="s">
        <v>1294</v>
      </c>
      <c r="D150" s="13" t="s">
        <v>1295</v>
      </c>
      <c r="E150" t="str">
        <f t="shared" si="4"/>
        <v>No</v>
      </c>
      <c r="F150" s="11"/>
      <c r="G150" s="10" t="b">
        <f t="shared" si="5"/>
        <v>0</v>
      </c>
    </row>
    <row r="151" spans="1:7" x14ac:dyDescent="0.3">
      <c r="A151" s="5" t="s">
        <v>1608</v>
      </c>
      <c r="B151" s="3" t="s">
        <v>1609</v>
      </c>
      <c r="C151" s="3" t="s">
        <v>1294</v>
      </c>
      <c r="D151" s="13" t="s">
        <v>1605</v>
      </c>
      <c r="E151" t="str">
        <f t="shared" si="4"/>
        <v>No</v>
      </c>
      <c r="F151" s="11"/>
      <c r="G151" s="10" t="b">
        <f t="shared" si="5"/>
        <v>0</v>
      </c>
    </row>
    <row r="152" spans="1:7" x14ac:dyDescent="0.3">
      <c r="A152" s="5" t="s">
        <v>1610</v>
      </c>
      <c r="B152" s="3" t="s">
        <v>1533</v>
      </c>
      <c r="C152" s="3" t="s">
        <v>1288</v>
      </c>
      <c r="D152" s="13" t="s">
        <v>1289</v>
      </c>
      <c r="E152" t="str">
        <f t="shared" si="4"/>
        <v>No</v>
      </c>
      <c r="F152" s="11"/>
      <c r="G152" s="10" t="b">
        <f t="shared" si="5"/>
        <v>0</v>
      </c>
    </row>
    <row r="153" spans="1:7" x14ac:dyDescent="0.3">
      <c r="A153" s="5" t="s">
        <v>1611</v>
      </c>
      <c r="B153" s="3" t="s">
        <v>1537</v>
      </c>
      <c r="C153" s="3" t="s">
        <v>1288</v>
      </c>
      <c r="D153" s="13" t="s">
        <v>1289</v>
      </c>
      <c r="E153" t="str">
        <f t="shared" si="4"/>
        <v>No</v>
      </c>
      <c r="F153" s="11"/>
      <c r="G153" s="10" t="b">
        <f t="shared" si="5"/>
        <v>0</v>
      </c>
    </row>
    <row r="154" spans="1:7" x14ac:dyDescent="0.3">
      <c r="A154" s="4" t="s">
        <v>1612</v>
      </c>
      <c r="B154" s="2" t="s">
        <v>1539</v>
      </c>
      <c r="C154" s="2" t="s">
        <v>1294</v>
      </c>
      <c r="D154" s="12" t="s">
        <v>1295</v>
      </c>
      <c r="E154" t="str">
        <f t="shared" si="4"/>
        <v>No</v>
      </c>
      <c r="F154" s="11"/>
      <c r="G154" s="10" t="b">
        <f t="shared" si="5"/>
        <v>0</v>
      </c>
    </row>
    <row r="155" spans="1:7" x14ac:dyDescent="0.3">
      <c r="A155" s="4" t="s">
        <v>1613</v>
      </c>
      <c r="B155" s="2" t="s">
        <v>1243</v>
      </c>
      <c r="C155" s="2" t="s">
        <v>1464</v>
      </c>
      <c r="D155" s="12" t="s">
        <v>1614</v>
      </c>
      <c r="E155" t="str">
        <f t="shared" si="4"/>
        <v>YES</v>
      </c>
      <c r="F155" s="11" t="b">
        <v>1</v>
      </c>
      <c r="G155" s="10" t="b">
        <f t="shared" si="5"/>
        <v>1</v>
      </c>
    </row>
    <row r="156" spans="1:7" x14ac:dyDescent="0.3">
      <c r="A156" s="4" t="s">
        <v>1615</v>
      </c>
      <c r="B156" s="2" t="s">
        <v>1616</v>
      </c>
      <c r="C156" s="2" t="s">
        <v>1464</v>
      </c>
      <c r="D156" s="12" t="s">
        <v>1617</v>
      </c>
      <c r="E156" t="str">
        <f t="shared" si="4"/>
        <v>No</v>
      </c>
      <c r="F156" s="11"/>
      <c r="G156" s="10" t="b">
        <f t="shared" si="5"/>
        <v>0</v>
      </c>
    </row>
    <row r="157" spans="1:7" x14ac:dyDescent="0.3">
      <c r="A157" s="4" t="s">
        <v>1618</v>
      </c>
      <c r="B157" s="2" t="s">
        <v>1619</v>
      </c>
      <c r="C157" s="2" t="s">
        <v>1464</v>
      </c>
      <c r="D157" s="12" t="s">
        <v>1617</v>
      </c>
      <c r="E157" t="str">
        <f t="shared" si="4"/>
        <v>No</v>
      </c>
      <c r="F157" s="11"/>
      <c r="G157" s="10" t="b">
        <f t="shared" si="5"/>
        <v>0</v>
      </c>
    </row>
    <row r="158" spans="1:7" x14ac:dyDescent="0.3">
      <c r="A158" s="4" t="s">
        <v>1620</v>
      </c>
      <c r="B158" s="2" t="s">
        <v>1621</v>
      </c>
      <c r="C158" s="2" t="s">
        <v>1622</v>
      </c>
      <c r="D158" s="12" t="s">
        <v>1623</v>
      </c>
      <c r="E158" t="str">
        <f t="shared" si="4"/>
        <v>No</v>
      </c>
      <c r="F158" s="11"/>
      <c r="G158" s="10" t="b">
        <f t="shared" si="5"/>
        <v>0</v>
      </c>
    </row>
    <row r="159" spans="1:7" x14ac:dyDescent="0.3">
      <c r="A159" s="4" t="s">
        <v>1624</v>
      </c>
      <c r="B159" s="2" t="s">
        <v>1253</v>
      </c>
      <c r="C159" s="2" t="s">
        <v>1625</v>
      </c>
      <c r="D159" s="12" t="s">
        <v>1525</v>
      </c>
      <c r="E159" t="str">
        <f t="shared" si="4"/>
        <v>YES</v>
      </c>
      <c r="F159" s="11" t="b">
        <v>1</v>
      </c>
      <c r="G159" s="10" t="b">
        <f t="shared" si="5"/>
        <v>1</v>
      </c>
    </row>
    <row r="160" spans="1:7" x14ac:dyDescent="0.3">
      <c r="A160" s="4" t="s">
        <v>1626</v>
      </c>
      <c r="B160" s="2" t="s">
        <v>1627</v>
      </c>
      <c r="C160" s="2" t="s">
        <v>1625</v>
      </c>
      <c r="D160" s="12" t="s">
        <v>1628</v>
      </c>
      <c r="E160" t="str">
        <f t="shared" si="4"/>
        <v>No</v>
      </c>
      <c r="F160" s="11"/>
      <c r="G160" s="10" t="b">
        <f t="shared" si="5"/>
        <v>0</v>
      </c>
    </row>
    <row r="161" spans="1:7" x14ac:dyDescent="0.3">
      <c r="A161" s="4" t="s">
        <v>1629</v>
      </c>
      <c r="B161" s="2" t="s">
        <v>1630</v>
      </c>
      <c r="C161" s="2" t="s">
        <v>1631</v>
      </c>
      <c r="D161" s="12" t="s">
        <v>1632</v>
      </c>
      <c r="E161" t="str">
        <f t="shared" si="4"/>
        <v>No</v>
      </c>
      <c r="F161" s="11"/>
      <c r="G161" s="10" t="b">
        <f t="shared" si="5"/>
        <v>0</v>
      </c>
    </row>
    <row r="162" spans="1:7" x14ac:dyDescent="0.3">
      <c r="A162" s="4" t="s">
        <v>1633</v>
      </c>
      <c r="B162" s="2" t="s">
        <v>1634</v>
      </c>
      <c r="C162" s="2" t="s">
        <v>1439</v>
      </c>
      <c r="D162" s="12" t="s">
        <v>1635</v>
      </c>
      <c r="E162" t="str">
        <f t="shared" si="4"/>
        <v>No</v>
      </c>
      <c r="F162" s="11"/>
      <c r="G162" s="10" t="b">
        <f t="shared" si="5"/>
        <v>0</v>
      </c>
    </row>
    <row r="163" spans="1:7" x14ac:dyDescent="0.3">
      <c r="A163" s="4" t="s">
        <v>1636</v>
      </c>
      <c r="B163" s="2" t="s">
        <v>1637</v>
      </c>
      <c r="C163" s="2" t="s">
        <v>1638</v>
      </c>
      <c r="D163" s="12" t="s">
        <v>1639</v>
      </c>
      <c r="E163" t="str">
        <f t="shared" si="4"/>
        <v>No</v>
      </c>
      <c r="F163" s="11"/>
      <c r="G163" s="10" t="b">
        <f t="shared" si="5"/>
        <v>0</v>
      </c>
    </row>
    <row r="164" spans="1:7" x14ac:dyDescent="0.3">
      <c r="A164" s="4" t="s">
        <v>1640</v>
      </c>
      <c r="B164" s="2" t="s">
        <v>1641</v>
      </c>
      <c r="C164" s="2" t="s">
        <v>1642</v>
      </c>
      <c r="D164" s="12" t="s">
        <v>1301</v>
      </c>
      <c r="E164" t="str">
        <f t="shared" si="4"/>
        <v>No</v>
      </c>
      <c r="F164" s="11"/>
      <c r="G164" s="10" t="b">
        <f t="shared" si="5"/>
        <v>0</v>
      </c>
    </row>
    <row r="165" spans="1:7" x14ac:dyDescent="0.3">
      <c r="A165" s="4" t="s">
        <v>1643</v>
      </c>
      <c r="B165" s="2" t="s">
        <v>1644</v>
      </c>
      <c r="C165" s="2" t="s">
        <v>1468</v>
      </c>
      <c r="D165" s="12" t="s">
        <v>1469</v>
      </c>
      <c r="E165" t="str">
        <f t="shared" si="4"/>
        <v>No</v>
      </c>
      <c r="F165" s="11"/>
      <c r="G165" s="10" t="b">
        <f t="shared" si="5"/>
        <v>0</v>
      </c>
    </row>
    <row r="166" spans="1:7" x14ac:dyDescent="0.3">
      <c r="A166" s="4" t="s">
        <v>1645</v>
      </c>
      <c r="B166" s="2" t="s">
        <v>1646</v>
      </c>
      <c r="C166" s="2" t="s">
        <v>1647</v>
      </c>
      <c r="D166" s="12" t="s">
        <v>1648</v>
      </c>
      <c r="E166" t="str">
        <f t="shared" si="4"/>
        <v>No</v>
      </c>
      <c r="F166" s="11"/>
      <c r="G166" s="10" t="b">
        <f t="shared" si="5"/>
        <v>0</v>
      </c>
    </row>
    <row r="167" spans="1:7" x14ac:dyDescent="0.3">
      <c r="A167" s="4" t="s">
        <v>1649</v>
      </c>
      <c r="B167" s="2" t="s">
        <v>1650</v>
      </c>
      <c r="C167" s="2" t="s">
        <v>1651</v>
      </c>
      <c r="D167" s="12" t="s">
        <v>1404</v>
      </c>
      <c r="E167" t="str">
        <f t="shared" si="4"/>
        <v>No</v>
      </c>
      <c r="F167" s="11"/>
      <c r="G167" s="10" t="b">
        <f t="shared" si="5"/>
        <v>0</v>
      </c>
    </row>
    <row r="168" spans="1:7" x14ac:dyDescent="0.3">
      <c r="A168" s="4" t="s">
        <v>1652</v>
      </c>
      <c r="B168" s="2" t="s">
        <v>1653</v>
      </c>
      <c r="C168" s="2" t="s">
        <v>1654</v>
      </c>
      <c r="D168" s="12" t="s">
        <v>23</v>
      </c>
      <c r="E168" t="str">
        <f t="shared" si="4"/>
        <v>No</v>
      </c>
      <c r="F168" s="11"/>
      <c r="G168" s="10" t="b">
        <f t="shared" si="5"/>
        <v>0</v>
      </c>
    </row>
    <row r="169" spans="1:7" x14ac:dyDescent="0.3">
      <c r="A169" s="4" t="s">
        <v>1655</v>
      </c>
      <c r="B169" s="2" t="s">
        <v>1656</v>
      </c>
      <c r="C169" s="2" t="s">
        <v>1651</v>
      </c>
      <c r="D169" s="12" t="s">
        <v>1401</v>
      </c>
      <c r="E169" t="str">
        <f t="shared" si="4"/>
        <v>No</v>
      </c>
      <c r="F169" s="11"/>
      <c r="G169" s="10" t="b">
        <f t="shared" si="5"/>
        <v>0</v>
      </c>
    </row>
    <row r="170" spans="1:7" x14ac:dyDescent="0.3">
      <c r="A170" s="4" t="s">
        <v>1657</v>
      </c>
      <c r="B170" s="2" t="s">
        <v>1506</v>
      </c>
      <c r="C170" s="2" t="s">
        <v>1375</v>
      </c>
      <c r="D170" s="12" t="s">
        <v>1379</v>
      </c>
      <c r="E170" t="str">
        <f t="shared" si="4"/>
        <v>No</v>
      </c>
      <c r="F170" s="11"/>
      <c r="G170" s="10" t="b">
        <f t="shared" si="5"/>
        <v>0</v>
      </c>
    </row>
    <row r="171" spans="1:7" x14ac:dyDescent="0.3">
      <c r="A171" s="4" t="s">
        <v>1658</v>
      </c>
      <c r="B171" s="2" t="s">
        <v>1523</v>
      </c>
      <c r="C171" s="2" t="s">
        <v>967</v>
      </c>
      <c r="D171" s="12" t="s">
        <v>1314</v>
      </c>
      <c r="E171" t="str">
        <f t="shared" si="4"/>
        <v>No</v>
      </c>
      <c r="F171" s="11"/>
      <c r="G171" s="10" t="b">
        <f t="shared" si="5"/>
        <v>0</v>
      </c>
    </row>
    <row r="172" spans="1:7" x14ac:dyDescent="0.3">
      <c r="A172" s="4" t="s">
        <v>1659</v>
      </c>
      <c r="B172" s="2" t="s">
        <v>1607</v>
      </c>
      <c r="C172" s="2" t="s">
        <v>1294</v>
      </c>
      <c r="D172" s="12" t="s">
        <v>1295</v>
      </c>
      <c r="E172" t="str">
        <f t="shared" si="4"/>
        <v>No</v>
      </c>
      <c r="F172" s="11"/>
      <c r="G172" s="10" t="b">
        <f t="shared" si="5"/>
        <v>0</v>
      </c>
    </row>
    <row r="173" spans="1:7" x14ac:dyDescent="0.3">
      <c r="A173" s="4" t="s">
        <v>1660</v>
      </c>
      <c r="B173" s="2" t="s">
        <v>1661</v>
      </c>
      <c r="C173" s="2" t="s">
        <v>1439</v>
      </c>
      <c r="D173" s="12" t="s">
        <v>1662</v>
      </c>
      <c r="E173" t="str">
        <f t="shared" si="4"/>
        <v>No</v>
      </c>
      <c r="F173" s="11"/>
      <c r="G173" s="10" t="b">
        <f t="shared" si="5"/>
        <v>0</v>
      </c>
    </row>
    <row r="174" spans="1:7" x14ac:dyDescent="0.3">
      <c r="A174" s="4" t="s">
        <v>1663</v>
      </c>
      <c r="B174" s="2" t="s">
        <v>1664</v>
      </c>
      <c r="C174" s="2" t="s">
        <v>1665</v>
      </c>
      <c r="D174" s="12" t="s">
        <v>1632</v>
      </c>
      <c r="E174" t="str">
        <f t="shared" si="4"/>
        <v>No</v>
      </c>
      <c r="F174" s="11"/>
      <c r="G174" s="10" t="b">
        <f t="shared" si="5"/>
        <v>0</v>
      </c>
    </row>
    <row r="175" spans="1:7" x14ac:dyDescent="0.3">
      <c r="A175" s="4" t="s">
        <v>1666</v>
      </c>
      <c r="B175" s="2" t="s">
        <v>1667</v>
      </c>
      <c r="C175" s="2" t="s">
        <v>1256</v>
      </c>
      <c r="D175" s="12" t="s">
        <v>1668</v>
      </c>
      <c r="E175" t="str">
        <f t="shared" si="4"/>
        <v>No</v>
      </c>
      <c r="F175" s="11"/>
      <c r="G175" s="10" t="b">
        <f t="shared" si="5"/>
        <v>0</v>
      </c>
    </row>
    <row r="176" spans="1:7" x14ac:dyDescent="0.3">
      <c r="A176" s="4" t="s">
        <v>1669</v>
      </c>
      <c r="B176" s="2" t="s">
        <v>1670</v>
      </c>
      <c r="C176" s="2" t="s">
        <v>1671</v>
      </c>
      <c r="D176" s="12" t="s">
        <v>1672</v>
      </c>
      <c r="E176" t="str">
        <f t="shared" si="4"/>
        <v>No</v>
      </c>
      <c r="F176" s="11"/>
      <c r="G176" s="10" t="b">
        <f t="shared" si="5"/>
        <v>0</v>
      </c>
    </row>
    <row r="177" spans="1:7" x14ac:dyDescent="0.3">
      <c r="A177" s="4" t="s">
        <v>1673</v>
      </c>
      <c r="B177" s="2" t="s">
        <v>1674</v>
      </c>
      <c r="C177" s="2" t="s">
        <v>975</v>
      </c>
      <c r="D177" s="12" t="s">
        <v>1261</v>
      </c>
      <c r="E177" t="str">
        <f t="shared" si="4"/>
        <v>No</v>
      </c>
      <c r="F177" s="11"/>
      <c r="G177" s="10" t="b">
        <f t="shared" si="5"/>
        <v>0</v>
      </c>
    </row>
    <row r="178" spans="1:7" x14ac:dyDescent="0.3">
      <c r="A178" s="4" t="s">
        <v>1675</v>
      </c>
      <c r="B178" s="2" t="s">
        <v>1244</v>
      </c>
      <c r="C178" s="2" t="s">
        <v>970</v>
      </c>
      <c r="D178" s="12" t="s">
        <v>1676</v>
      </c>
      <c r="E178" t="str">
        <f t="shared" si="4"/>
        <v>YES</v>
      </c>
      <c r="F178" s="11" t="b">
        <v>1</v>
      </c>
      <c r="G178" s="10" t="b">
        <f t="shared" si="5"/>
        <v>1</v>
      </c>
    </row>
    <row r="179" spans="1:7" x14ac:dyDescent="0.3">
      <c r="A179" s="4" t="s">
        <v>1677</v>
      </c>
      <c r="B179" s="2" t="s">
        <v>1678</v>
      </c>
      <c r="C179" s="2" t="s">
        <v>1464</v>
      </c>
      <c r="D179" s="12" t="s">
        <v>1465</v>
      </c>
      <c r="E179" t="str">
        <f t="shared" si="4"/>
        <v>No</v>
      </c>
      <c r="F179" s="11"/>
      <c r="G179" s="10" t="b">
        <f t="shared" si="5"/>
        <v>0</v>
      </c>
    </row>
    <row r="180" spans="1:7" x14ac:dyDescent="0.3">
      <c r="A180" s="4" t="s">
        <v>1679</v>
      </c>
      <c r="B180" s="2" t="s">
        <v>1680</v>
      </c>
      <c r="C180" s="2" t="s">
        <v>1460</v>
      </c>
      <c r="D180" s="12" t="s">
        <v>1461</v>
      </c>
      <c r="E180" t="str">
        <f t="shared" si="4"/>
        <v>No</v>
      </c>
      <c r="F180" s="11"/>
      <c r="G180" s="10" t="b">
        <f t="shared" si="5"/>
        <v>0</v>
      </c>
    </row>
    <row r="181" spans="1:7" x14ac:dyDescent="0.3">
      <c r="A181" s="4" t="s">
        <v>1681</v>
      </c>
      <c r="B181" s="2" t="s">
        <v>1682</v>
      </c>
      <c r="C181" s="2" t="s">
        <v>1468</v>
      </c>
      <c r="D181" s="12" t="s">
        <v>1469</v>
      </c>
      <c r="E181" t="str">
        <f t="shared" si="4"/>
        <v>No</v>
      </c>
      <c r="F181" s="11"/>
      <c r="G181" s="10" t="b">
        <f t="shared" si="5"/>
        <v>0</v>
      </c>
    </row>
    <row r="182" spans="1:7" x14ac:dyDescent="0.3">
      <c r="A182" s="4" t="s">
        <v>1683</v>
      </c>
      <c r="B182" s="2" t="s">
        <v>1684</v>
      </c>
      <c r="C182" s="2" t="s">
        <v>1460</v>
      </c>
      <c r="D182" s="12" t="s">
        <v>1352</v>
      </c>
      <c r="E182" t="str">
        <f t="shared" si="4"/>
        <v>No</v>
      </c>
      <c r="F182" s="11"/>
      <c r="G182" s="10" t="b">
        <f t="shared" si="5"/>
        <v>0</v>
      </c>
    </row>
    <row r="183" spans="1:7" x14ac:dyDescent="0.3">
      <c r="A183" s="4" t="s">
        <v>1685</v>
      </c>
      <c r="B183" s="2" t="s">
        <v>1686</v>
      </c>
      <c r="C183" s="2" t="s">
        <v>1460</v>
      </c>
      <c r="D183" s="12" t="s">
        <v>1687</v>
      </c>
      <c r="E183" t="str">
        <f t="shared" si="4"/>
        <v>No</v>
      </c>
      <c r="F183" s="11"/>
      <c r="G183" s="10" t="b">
        <f t="shared" si="5"/>
        <v>0</v>
      </c>
    </row>
    <row r="184" spans="1:7" x14ac:dyDescent="0.3">
      <c r="A184" s="4" t="s">
        <v>1688</v>
      </c>
      <c r="B184" s="2" t="s">
        <v>1689</v>
      </c>
      <c r="C184" s="2" t="s">
        <v>1690</v>
      </c>
      <c r="D184" s="12" t="s">
        <v>1691</v>
      </c>
      <c r="E184" t="str">
        <f t="shared" si="4"/>
        <v>No</v>
      </c>
      <c r="F184" s="11"/>
      <c r="G184" s="10" t="b">
        <f t="shared" si="5"/>
        <v>0</v>
      </c>
    </row>
    <row r="185" spans="1:7" x14ac:dyDescent="0.3">
      <c r="A185" s="4" t="s">
        <v>1692</v>
      </c>
      <c r="B185" s="2" t="s">
        <v>1693</v>
      </c>
      <c r="C185" s="2" t="s">
        <v>1452</v>
      </c>
      <c r="D185" s="12" t="s">
        <v>1453</v>
      </c>
      <c r="E185" t="str">
        <f t="shared" si="4"/>
        <v>No</v>
      </c>
      <c r="F185" s="11"/>
      <c r="G185" s="10" t="b">
        <f t="shared" si="5"/>
        <v>0</v>
      </c>
    </row>
    <row r="186" spans="1:7" x14ac:dyDescent="0.3">
      <c r="A186" s="4" t="s">
        <v>1694</v>
      </c>
      <c r="B186" s="2" t="s">
        <v>1604</v>
      </c>
      <c r="C186" s="2" t="s">
        <v>1294</v>
      </c>
      <c r="D186" s="12" t="s">
        <v>1605</v>
      </c>
      <c r="E186" t="str">
        <f t="shared" si="4"/>
        <v>No</v>
      </c>
      <c r="F186" s="11"/>
      <c r="G186" s="10" t="b">
        <f t="shared" si="5"/>
        <v>0</v>
      </c>
    </row>
    <row r="187" spans="1:7" x14ac:dyDescent="0.3">
      <c r="A187" s="4" t="s">
        <v>1695</v>
      </c>
      <c r="B187" s="2" t="s">
        <v>635</v>
      </c>
      <c r="C187" s="2" t="s">
        <v>1303</v>
      </c>
      <c r="D187" s="12" t="s">
        <v>1514</v>
      </c>
      <c r="E187" t="str">
        <f t="shared" si="4"/>
        <v>YES</v>
      </c>
      <c r="F187" s="11" t="b">
        <v>1</v>
      </c>
      <c r="G187" s="10" t="b">
        <f t="shared" si="5"/>
        <v>1</v>
      </c>
    </row>
    <row r="188" spans="1:7" x14ac:dyDescent="0.3">
      <c r="A188" s="4" t="s">
        <v>1696</v>
      </c>
      <c r="B188" s="2" t="s">
        <v>1551</v>
      </c>
      <c r="C188" s="2" t="s">
        <v>965</v>
      </c>
      <c r="D188" s="12" t="s">
        <v>1354</v>
      </c>
      <c r="E188" t="str">
        <f t="shared" si="4"/>
        <v>No</v>
      </c>
      <c r="F188" s="11"/>
      <c r="G188" s="10" t="b">
        <f t="shared" si="5"/>
        <v>0</v>
      </c>
    </row>
    <row r="189" spans="1:7" x14ac:dyDescent="0.3">
      <c r="A189" s="4" t="s">
        <v>1697</v>
      </c>
      <c r="B189" s="2" t="s">
        <v>1554</v>
      </c>
      <c r="C189" s="2" t="s">
        <v>965</v>
      </c>
      <c r="D189" s="12" t="s">
        <v>1356</v>
      </c>
      <c r="E189" t="str">
        <f t="shared" si="4"/>
        <v>No</v>
      </c>
      <c r="F189" s="11"/>
      <c r="G189" s="10" t="b">
        <f t="shared" si="5"/>
        <v>0</v>
      </c>
    </row>
    <row r="190" spans="1:7" x14ac:dyDescent="0.3">
      <c r="A190" s="4" t="s">
        <v>1698</v>
      </c>
      <c r="B190" s="2" t="s">
        <v>919</v>
      </c>
      <c r="C190" s="2" t="s">
        <v>965</v>
      </c>
      <c r="D190" s="12" t="s">
        <v>1356</v>
      </c>
      <c r="E190" t="str">
        <f t="shared" si="4"/>
        <v>No</v>
      </c>
      <c r="F190" s="11"/>
      <c r="G190" s="10" t="b">
        <f t="shared" si="5"/>
        <v>0</v>
      </c>
    </row>
    <row r="191" spans="1:7" x14ac:dyDescent="0.3">
      <c r="A191" s="4" t="s">
        <v>1699</v>
      </c>
      <c r="B191" s="2" t="s">
        <v>1700</v>
      </c>
      <c r="C191" s="2" t="s">
        <v>1256</v>
      </c>
      <c r="D191" s="12" t="s">
        <v>1701</v>
      </c>
      <c r="E191" t="str">
        <f t="shared" si="4"/>
        <v>No</v>
      </c>
      <c r="F191" s="11"/>
      <c r="G191" s="10" t="b">
        <f t="shared" si="5"/>
        <v>0</v>
      </c>
    </row>
    <row r="192" spans="1:7" x14ac:dyDescent="0.3">
      <c r="A192" s="4" t="s">
        <v>1702</v>
      </c>
      <c r="B192" s="2" t="s">
        <v>1703</v>
      </c>
      <c r="C192" s="2" t="s">
        <v>1256</v>
      </c>
      <c r="D192" s="12" t="s">
        <v>1704</v>
      </c>
      <c r="E192" t="str">
        <f t="shared" si="4"/>
        <v>No</v>
      </c>
      <c r="F192" s="11"/>
      <c r="G192" s="10" t="b">
        <f t="shared" si="5"/>
        <v>0</v>
      </c>
    </row>
    <row r="193" spans="1:7" x14ac:dyDescent="0.3">
      <c r="A193" s="4" t="s">
        <v>1705</v>
      </c>
      <c r="B193" s="2" t="s">
        <v>1706</v>
      </c>
      <c r="C193" s="2" t="s">
        <v>1707</v>
      </c>
      <c r="D193" s="12" t="s">
        <v>1368</v>
      </c>
      <c r="E193" t="str">
        <f t="shared" si="4"/>
        <v>No</v>
      </c>
      <c r="F193" s="11"/>
      <c r="G193" s="10" t="b">
        <f t="shared" si="5"/>
        <v>0</v>
      </c>
    </row>
    <row r="194" spans="1:7" x14ac:dyDescent="0.3">
      <c r="A194" s="4" t="s">
        <v>1708</v>
      </c>
      <c r="B194" s="2" t="s">
        <v>1709</v>
      </c>
      <c r="C194" s="2" t="s">
        <v>1710</v>
      </c>
      <c r="D194" s="12" t="s">
        <v>1711</v>
      </c>
      <c r="E194" t="str">
        <f t="shared" ref="E194:E257" si="6">IF(F194, "YES", "No")</f>
        <v>No</v>
      </c>
      <c r="F194" s="11"/>
      <c r="G194" s="10" t="b">
        <f t="shared" ref="G194:G257" si="7">IF(COUNTIF($J$3:$J$100, B194) &gt; 0, TRUE, FALSE)</f>
        <v>0</v>
      </c>
    </row>
    <row r="195" spans="1:7" x14ac:dyDescent="0.3">
      <c r="A195" s="4" t="s">
        <v>1712</v>
      </c>
      <c r="B195" s="2" t="s">
        <v>1713</v>
      </c>
      <c r="C195" s="2" t="s">
        <v>1714</v>
      </c>
      <c r="D195" s="12" t="s">
        <v>1401</v>
      </c>
      <c r="E195" t="str">
        <f t="shared" si="6"/>
        <v>No</v>
      </c>
      <c r="F195" s="11"/>
      <c r="G195" s="10" t="b">
        <f t="shared" si="7"/>
        <v>0</v>
      </c>
    </row>
    <row r="196" spans="1:7" x14ac:dyDescent="0.3">
      <c r="A196" s="4" t="s">
        <v>1715</v>
      </c>
      <c r="B196" s="2" t="s">
        <v>1716</v>
      </c>
      <c r="C196" s="2" t="s">
        <v>1714</v>
      </c>
      <c r="D196" s="12" t="s">
        <v>1404</v>
      </c>
      <c r="E196" t="str">
        <f t="shared" si="6"/>
        <v>No</v>
      </c>
      <c r="F196" s="11"/>
      <c r="G196" s="10" t="b">
        <f t="shared" si="7"/>
        <v>0</v>
      </c>
    </row>
    <row r="197" spans="1:7" x14ac:dyDescent="0.3">
      <c r="A197" s="4" t="s">
        <v>1717</v>
      </c>
      <c r="B197" s="2" t="s">
        <v>1718</v>
      </c>
      <c r="C197" s="2" t="s">
        <v>1719</v>
      </c>
      <c r="D197" s="12" t="s">
        <v>1720</v>
      </c>
      <c r="E197" t="str">
        <f t="shared" si="6"/>
        <v>No</v>
      </c>
      <c r="F197" s="11"/>
      <c r="G197" s="10" t="b">
        <f t="shared" si="7"/>
        <v>0</v>
      </c>
    </row>
    <row r="198" spans="1:7" x14ac:dyDescent="0.3">
      <c r="A198" s="4" t="s">
        <v>1721</v>
      </c>
      <c r="B198" s="2" t="s">
        <v>1722</v>
      </c>
      <c r="C198" s="2" t="s">
        <v>1723</v>
      </c>
      <c r="D198" s="12" t="s">
        <v>1724</v>
      </c>
      <c r="E198" t="str">
        <f t="shared" si="6"/>
        <v>No</v>
      </c>
      <c r="F198" s="11"/>
      <c r="G198" s="10" t="b">
        <f t="shared" si="7"/>
        <v>0</v>
      </c>
    </row>
    <row r="199" spans="1:7" x14ac:dyDescent="0.3">
      <c r="A199" s="4" t="s">
        <v>1725</v>
      </c>
      <c r="B199" s="2" t="s">
        <v>1726</v>
      </c>
      <c r="C199" s="2" t="s">
        <v>1406</v>
      </c>
      <c r="D199" s="12" t="s">
        <v>1321</v>
      </c>
      <c r="E199" t="str">
        <f t="shared" si="6"/>
        <v>No</v>
      </c>
      <c r="F199" s="11"/>
      <c r="G199" s="10" t="b">
        <f t="shared" si="7"/>
        <v>0</v>
      </c>
    </row>
    <row r="200" spans="1:7" x14ac:dyDescent="0.3">
      <c r="A200" s="4" t="s">
        <v>1727</v>
      </c>
      <c r="B200" s="2" t="s">
        <v>1728</v>
      </c>
      <c r="C200" s="2" t="s">
        <v>975</v>
      </c>
      <c r="D200" s="12" t="s">
        <v>1261</v>
      </c>
      <c r="E200" t="str">
        <f t="shared" si="6"/>
        <v>No</v>
      </c>
      <c r="F200" s="11"/>
      <c r="G200" s="10" t="b">
        <f t="shared" si="7"/>
        <v>0</v>
      </c>
    </row>
    <row r="201" spans="1:7" x14ac:dyDescent="0.3">
      <c r="A201" s="4" t="s">
        <v>1729</v>
      </c>
      <c r="B201" s="2" t="s">
        <v>29</v>
      </c>
      <c r="C201" s="2" t="s">
        <v>975</v>
      </c>
      <c r="D201" s="12" t="s">
        <v>1730</v>
      </c>
      <c r="E201" t="str">
        <f t="shared" si="6"/>
        <v>YES</v>
      </c>
      <c r="F201" s="11" t="b">
        <v>1</v>
      </c>
      <c r="G201" s="10" t="b">
        <f t="shared" si="7"/>
        <v>1</v>
      </c>
    </row>
    <row r="202" spans="1:7" x14ac:dyDescent="0.3">
      <c r="A202" s="4" t="s">
        <v>1731</v>
      </c>
      <c r="B202" s="2" t="s">
        <v>1247</v>
      </c>
      <c r="C202" s="2" t="s">
        <v>1732</v>
      </c>
      <c r="D202" s="12" t="s">
        <v>1733</v>
      </c>
      <c r="E202" t="str">
        <f t="shared" si="6"/>
        <v>YES</v>
      </c>
      <c r="F202" s="11" t="b">
        <v>1</v>
      </c>
      <c r="G202" s="10" t="b">
        <f t="shared" si="7"/>
        <v>1</v>
      </c>
    </row>
    <row r="203" spans="1:7" x14ac:dyDescent="0.3">
      <c r="A203" s="4" t="s">
        <v>1734</v>
      </c>
      <c r="B203" s="2" t="s">
        <v>1735</v>
      </c>
      <c r="C203" s="2" t="s">
        <v>1732</v>
      </c>
      <c r="D203" s="12" t="s">
        <v>1736</v>
      </c>
      <c r="E203" t="str">
        <f t="shared" si="6"/>
        <v>No</v>
      </c>
      <c r="F203" s="11"/>
      <c r="G203" s="10" t="b">
        <f t="shared" si="7"/>
        <v>0</v>
      </c>
    </row>
    <row r="204" spans="1:7" x14ac:dyDescent="0.3">
      <c r="A204" s="4" t="s">
        <v>1737</v>
      </c>
      <c r="B204" s="2" t="s">
        <v>1738</v>
      </c>
      <c r="C204" s="2" t="s">
        <v>970</v>
      </c>
      <c r="D204" s="12" t="s">
        <v>1676</v>
      </c>
      <c r="E204" t="str">
        <f t="shared" si="6"/>
        <v>No</v>
      </c>
      <c r="F204" s="11"/>
      <c r="G204" s="10" t="b">
        <f t="shared" si="7"/>
        <v>0</v>
      </c>
    </row>
    <row r="205" spans="1:7" x14ac:dyDescent="0.3">
      <c r="A205" s="4" t="s">
        <v>1739</v>
      </c>
      <c r="B205" s="2" t="s">
        <v>43</v>
      </c>
      <c r="C205" s="2" t="s">
        <v>970</v>
      </c>
      <c r="D205" s="12" t="s">
        <v>1736</v>
      </c>
      <c r="E205" t="str">
        <f t="shared" si="6"/>
        <v>No</v>
      </c>
      <c r="F205" s="11"/>
      <c r="G205" s="10" t="b">
        <f t="shared" si="7"/>
        <v>0</v>
      </c>
    </row>
    <row r="206" spans="1:7" x14ac:dyDescent="0.3">
      <c r="A206" s="4" t="s">
        <v>1740</v>
      </c>
      <c r="B206" s="2" t="s">
        <v>761</v>
      </c>
      <c r="C206" s="2" t="s">
        <v>975</v>
      </c>
      <c r="D206" s="12" t="s">
        <v>1741</v>
      </c>
      <c r="E206" t="str">
        <f t="shared" si="6"/>
        <v>No</v>
      </c>
      <c r="F206" s="11"/>
      <c r="G206" s="10" t="b">
        <f t="shared" si="7"/>
        <v>0</v>
      </c>
    </row>
    <row r="207" spans="1:7" x14ac:dyDescent="0.3">
      <c r="A207" s="4" t="s">
        <v>1742</v>
      </c>
      <c r="B207" s="2" t="s">
        <v>1743</v>
      </c>
      <c r="C207" s="2" t="s">
        <v>1744</v>
      </c>
      <c r="D207" s="12" t="s">
        <v>1745</v>
      </c>
      <c r="E207" t="str">
        <f t="shared" si="6"/>
        <v>No</v>
      </c>
      <c r="F207" s="11"/>
      <c r="G207" s="10" t="b">
        <f t="shared" si="7"/>
        <v>0</v>
      </c>
    </row>
    <row r="208" spans="1:7" x14ac:dyDescent="0.3">
      <c r="A208" s="4" t="s">
        <v>1746</v>
      </c>
      <c r="B208" s="2" t="s">
        <v>172</v>
      </c>
      <c r="C208" s="2" t="s">
        <v>975</v>
      </c>
      <c r="D208" s="12" t="s">
        <v>1730</v>
      </c>
      <c r="E208" t="str">
        <f t="shared" si="6"/>
        <v>No</v>
      </c>
      <c r="F208" s="11"/>
      <c r="G208" s="10" t="b">
        <f t="shared" si="7"/>
        <v>0</v>
      </c>
    </row>
    <row r="209" spans="1:7" x14ac:dyDescent="0.3">
      <c r="A209" s="4" t="s">
        <v>1747</v>
      </c>
      <c r="B209" s="2" t="s">
        <v>895</v>
      </c>
      <c r="C209" s="2" t="s">
        <v>970</v>
      </c>
      <c r="D209" s="12" t="s">
        <v>1736</v>
      </c>
      <c r="E209" t="str">
        <f t="shared" si="6"/>
        <v>No</v>
      </c>
      <c r="F209" s="11"/>
      <c r="G209" s="10" t="b">
        <f t="shared" si="7"/>
        <v>0</v>
      </c>
    </row>
    <row r="210" spans="1:7" x14ac:dyDescent="0.3">
      <c r="A210" s="4" t="s">
        <v>1748</v>
      </c>
      <c r="B210" s="2" t="s">
        <v>1749</v>
      </c>
      <c r="C210" s="2" t="s">
        <v>969</v>
      </c>
      <c r="D210" s="12" t="s">
        <v>1584</v>
      </c>
      <c r="E210" t="str">
        <f t="shared" si="6"/>
        <v>No</v>
      </c>
      <c r="F210" s="11"/>
      <c r="G210" s="10" t="b">
        <f t="shared" si="7"/>
        <v>0</v>
      </c>
    </row>
    <row r="211" spans="1:7" x14ac:dyDescent="0.3">
      <c r="A211" s="4" t="s">
        <v>1750</v>
      </c>
      <c r="B211" s="2" t="s">
        <v>1575</v>
      </c>
      <c r="C211" s="2" t="s">
        <v>1375</v>
      </c>
      <c r="D211" s="12" t="s">
        <v>1376</v>
      </c>
      <c r="E211" t="str">
        <f t="shared" si="6"/>
        <v>No</v>
      </c>
      <c r="F211" s="11"/>
      <c r="G211" s="10" t="b">
        <f t="shared" si="7"/>
        <v>0</v>
      </c>
    </row>
    <row r="212" spans="1:7" x14ac:dyDescent="0.3">
      <c r="A212" s="4" t="s">
        <v>1751</v>
      </c>
      <c r="B212" s="2" t="s">
        <v>1609</v>
      </c>
      <c r="C212" s="2" t="s">
        <v>1294</v>
      </c>
      <c r="D212" s="12" t="s">
        <v>1605</v>
      </c>
      <c r="E212" t="str">
        <f t="shared" si="6"/>
        <v>No</v>
      </c>
      <c r="F212" s="11"/>
      <c r="G212" s="10" t="b">
        <f t="shared" si="7"/>
        <v>0</v>
      </c>
    </row>
    <row r="213" spans="1:7" x14ac:dyDescent="0.3">
      <c r="A213" s="4" t="s">
        <v>1752</v>
      </c>
      <c r="B213" s="2" t="s">
        <v>1519</v>
      </c>
      <c r="C213" s="2" t="s">
        <v>973</v>
      </c>
      <c r="D213" s="12" t="s">
        <v>1395</v>
      </c>
      <c r="E213" t="str">
        <f t="shared" si="6"/>
        <v>No</v>
      </c>
      <c r="F213" s="11"/>
      <c r="G213" s="10" t="b">
        <f t="shared" si="7"/>
        <v>0</v>
      </c>
    </row>
    <row r="214" spans="1:7" x14ac:dyDescent="0.3">
      <c r="A214" s="4" t="s">
        <v>1753</v>
      </c>
      <c r="B214" s="2" t="s">
        <v>1535</v>
      </c>
      <c r="C214" s="2" t="s">
        <v>1294</v>
      </c>
      <c r="D214" s="12" t="s">
        <v>1295</v>
      </c>
      <c r="E214" t="str">
        <f t="shared" si="6"/>
        <v>No</v>
      </c>
      <c r="F214" s="11"/>
      <c r="G214" s="10" t="b">
        <f t="shared" si="7"/>
        <v>0</v>
      </c>
    </row>
    <row r="215" spans="1:7" x14ac:dyDescent="0.3">
      <c r="A215" s="4" t="s">
        <v>1754</v>
      </c>
      <c r="B215" s="2" t="s">
        <v>1755</v>
      </c>
      <c r="C215" s="2" t="s">
        <v>1756</v>
      </c>
      <c r="D215" s="12" t="s">
        <v>1401</v>
      </c>
      <c r="E215" t="str">
        <f t="shared" si="6"/>
        <v>No</v>
      </c>
      <c r="F215" s="11"/>
      <c r="G215" s="10" t="b">
        <f t="shared" si="7"/>
        <v>0</v>
      </c>
    </row>
    <row r="216" spans="1:7" x14ac:dyDescent="0.3">
      <c r="A216" s="4" t="s">
        <v>1757</v>
      </c>
      <c r="B216" s="2" t="s">
        <v>1758</v>
      </c>
      <c r="C216" s="2" t="s">
        <v>1756</v>
      </c>
      <c r="D216" s="12" t="s">
        <v>1404</v>
      </c>
      <c r="E216" t="str">
        <f t="shared" si="6"/>
        <v>No</v>
      </c>
      <c r="F216" s="11"/>
      <c r="G216" s="10" t="b">
        <f t="shared" si="7"/>
        <v>0</v>
      </c>
    </row>
    <row r="217" spans="1:7" x14ac:dyDescent="0.3">
      <c r="A217" s="4" t="s">
        <v>1759</v>
      </c>
      <c r="B217" s="2" t="s">
        <v>1527</v>
      </c>
      <c r="C217" s="2" t="s">
        <v>967</v>
      </c>
      <c r="D217" s="12" t="s">
        <v>1371</v>
      </c>
      <c r="E217" t="str">
        <f t="shared" si="6"/>
        <v>No</v>
      </c>
      <c r="F217" s="11"/>
      <c r="G217" s="10" t="b">
        <f t="shared" si="7"/>
        <v>0</v>
      </c>
    </row>
    <row r="218" spans="1:7" x14ac:dyDescent="0.3">
      <c r="A218" s="4" t="s">
        <v>1760</v>
      </c>
      <c r="B218" s="2" t="s">
        <v>1761</v>
      </c>
      <c r="C218" s="2" t="s">
        <v>1256</v>
      </c>
      <c r="D218" s="12" t="s">
        <v>1704</v>
      </c>
      <c r="E218" t="str">
        <f t="shared" si="6"/>
        <v>No</v>
      </c>
      <c r="F218" s="11"/>
      <c r="G218" s="10" t="b">
        <f t="shared" si="7"/>
        <v>0</v>
      </c>
    </row>
    <row r="219" spans="1:7" x14ac:dyDescent="0.3">
      <c r="A219" s="4" t="s">
        <v>1762</v>
      </c>
      <c r="B219" s="2" t="s">
        <v>1763</v>
      </c>
      <c r="C219" s="2" t="s">
        <v>1256</v>
      </c>
      <c r="D219" s="12" t="s">
        <v>1704</v>
      </c>
      <c r="E219" t="str">
        <f t="shared" si="6"/>
        <v>No</v>
      </c>
      <c r="F219" s="11"/>
      <c r="G219" s="10" t="b">
        <f t="shared" si="7"/>
        <v>0</v>
      </c>
    </row>
    <row r="220" spans="1:7" x14ac:dyDescent="0.3">
      <c r="A220" s="4" t="s">
        <v>1764</v>
      </c>
      <c r="B220" s="2" t="s">
        <v>1765</v>
      </c>
      <c r="C220" s="2" t="s">
        <v>1766</v>
      </c>
      <c r="D220" s="12" t="s">
        <v>1767</v>
      </c>
      <c r="E220" t="str">
        <f t="shared" si="6"/>
        <v>No</v>
      </c>
      <c r="F220" s="11"/>
      <c r="G220" s="10" t="b">
        <f t="shared" si="7"/>
        <v>0</v>
      </c>
    </row>
    <row r="221" spans="1:7" x14ac:dyDescent="0.3">
      <c r="A221" s="4" t="s">
        <v>1768</v>
      </c>
      <c r="B221" s="2" t="s">
        <v>236</v>
      </c>
      <c r="C221" s="2" t="s">
        <v>1439</v>
      </c>
      <c r="D221" s="12" t="s">
        <v>1266</v>
      </c>
      <c r="E221" t="str">
        <f t="shared" si="6"/>
        <v>YES</v>
      </c>
      <c r="F221" s="11" t="b">
        <v>1</v>
      </c>
      <c r="G221" s="10" t="b">
        <f t="shared" si="7"/>
        <v>1</v>
      </c>
    </row>
    <row r="222" spans="1:7" x14ac:dyDescent="0.3">
      <c r="A222" s="4" t="s">
        <v>1769</v>
      </c>
      <c r="B222" s="2" t="s">
        <v>1508</v>
      </c>
      <c r="C222" s="2" t="s">
        <v>1375</v>
      </c>
      <c r="D222" s="12" t="s">
        <v>1379</v>
      </c>
      <c r="E222" t="str">
        <f t="shared" si="6"/>
        <v>No</v>
      </c>
      <c r="F222" s="11"/>
      <c r="G222" s="10" t="b">
        <f t="shared" si="7"/>
        <v>0</v>
      </c>
    </row>
    <row r="223" spans="1:7" x14ac:dyDescent="0.3">
      <c r="A223" s="4" t="s">
        <v>1770</v>
      </c>
      <c r="B223" s="2" t="s">
        <v>1510</v>
      </c>
      <c r="C223" s="2" t="s">
        <v>1375</v>
      </c>
      <c r="D223" s="12" t="s">
        <v>1379</v>
      </c>
      <c r="E223" t="str">
        <f t="shared" si="6"/>
        <v>No</v>
      </c>
      <c r="F223" s="11"/>
      <c r="G223" s="10" t="b">
        <f t="shared" si="7"/>
        <v>0</v>
      </c>
    </row>
    <row r="224" spans="1:7" x14ac:dyDescent="0.3">
      <c r="A224" s="4" t="s">
        <v>1771</v>
      </c>
      <c r="B224" s="2" t="s">
        <v>1248</v>
      </c>
      <c r="C224" s="2" t="s">
        <v>1625</v>
      </c>
      <c r="D224" s="12" t="s">
        <v>1628</v>
      </c>
      <c r="E224" t="str">
        <f t="shared" si="6"/>
        <v>YES</v>
      </c>
      <c r="F224" s="11" t="b">
        <v>1</v>
      </c>
      <c r="G224" s="10" t="b">
        <f t="shared" si="7"/>
        <v>1</v>
      </c>
    </row>
    <row r="225" spans="1:7" x14ac:dyDescent="0.3">
      <c r="A225" s="4" t="s">
        <v>1772</v>
      </c>
      <c r="B225" s="2" t="s">
        <v>910</v>
      </c>
      <c r="C225" s="2" t="s">
        <v>1773</v>
      </c>
      <c r="D225" s="12" t="s">
        <v>1774</v>
      </c>
      <c r="E225" t="str">
        <f t="shared" si="6"/>
        <v>No</v>
      </c>
      <c r="F225" s="11"/>
      <c r="G225" s="10" t="b">
        <f t="shared" si="7"/>
        <v>0</v>
      </c>
    </row>
    <row r="226" spans="1:7" x14ac:dyDescent="0.3">
      <c r="A226" s="4" t="s">
        <v>1775</v>
      </c>
      <c r="B226" s="2" t="s">
        <v>1776</v>
      </c>
      <c r="C226" s="2" t="s">
        <v>1773</v>
      </c>
      <c r="D226" s="12" t="s">
        <v>1774</v>
      </c>
      <c r="E226" t="str">
        <f t="shared" si="6"/>
        <v>No</v>
      </c>
      <c r="F226" s="11"/>
      <c r="G226" s="10" t="b">
        <f t="shared" si="7"/>
        <v>0</v>
      </c>
    </row>
    <row r="227" spans="1:7" x14ac:dyDescent="0.3">
      <c r="A227" s="4" t="s">
        <v>1777</v>
      </c>
      <c r="B227" s="2" t="s">
        <v>1778</v>
      </c>
      <c r="C227" s="2" t="s">
        <v>1766</v>
      </c>
      <c r="D227" s="12" t="s">
        <v>1779</v>
      </c>
      <c r="E227" t="str">
        <f t="shared" si="6"/>
        <v>No</v>
      </c>
      <c r="F227" s="11"/>
      <c r="G227" s="10" t="b">
        <f t="shared" si="7"/>
        <v>0</v>
      </c>
    </row>
    <row r="228" spans="1:7" x14ac:dyDescent="0.3">
      <c r="A228" s="4" t="s">
        <v>1780</v>
      </c>
      <c r="B228" s="2" t="s">
        <v>1781</v>
      </c>
      <c r="C228" s="2" t="s">
        <v>1766</v>
      </c>
      <c r="D228" s="12" t="s">
        <v>1779</v>
      </c>
      <c r="E228" t="str">
        <f t="shared" si="6"/>
        <v>No</v>
      </c>
      <c r="F228" s="11"/>
      <c r="G228" s="10" t="b">
        <f t="shared" si="7"/>
        <v>0</v>
      </c>
    </row>
    <row r="229" spans="1:7" x14ac:dyDescent="0.3">
      <c r="A229" s="4" t="s">
        <v>1782</v>
      </c>
      <c r="B229" s="2" t="s">
        <v>1783</v>
      </c>
      <c r="C229" s="2" t="s">
        <v>1784</v>
      </c>
      <c r="D229" s="12" t="s">
        <v>1401</v>
      </c>
      <c r="E229" t="str">
        <f t="shared" si="6"/>
        <v>No</v>
      </c>
      <c r="F229" s="11"/>
      <c r="G229" s="10" t="b">
        <f t="shared" si="7"/>
        <v>0</v>
      </c>
    </row>
    <row r="230" spans="1:7" x14ac:dyDescent="0.3">
      <c r="A230" s="4" t="s">
        <v>1785</v>
      </c>
      <c r="B230" s="2" t="s">
        <v>1786</v>
      </c>
      <c r="C230" s="2" t="s">
        <v>1723</v>
      </c>
      <c r="D230" s="12" t="s">
        <v>1724</v>
      </c>
      <c r="E230" t="str">
        <f t="shared" si="6"/>
        <v>No</v>
      </c>
      <c r="F230" s="11"/>
      <c r="G230" s="10" t="b">
        <f t="shared" si="7"/>
        <v>0</v>
      </c>
    </row>
    <row r="231" spans="1:7" x14ac:dyDescent="0.3">
      <c r="A231" s="4" t="s">
        <v>1787</v>
      </c>
      <c r="B231" s="2" t="s">
        <v>1788</v>
      </c>
      <c r="C231" s="2" t="s">
        <v>1789</v>
      </c>
      <c r="D231" s="12" t="s">
        <v>1790</v>
      </c>
      <c r="E231" t="str">
        <f t="shared" si="6"/>
        <v>No</v>
      </c>
      <c r="F231" s="11"/>
      <c r="G231" s="10" t="b">
        <f t="shared" si="7"/>
        <v>0</v>
      </c>
    </row>
    <row r="232" spans="1:7" x14ac:dyDescent="0.3">
      <c r="A232" s="4" t="s">
        <v>1791</v>
      </c>
      <c r="B232" s="2" t="s">
        <v>1792</v>
      </c>
      <c r="C232" s="2" t="s">
        <v>1793</v>
      </c>
      <c r="D232" s="12" t="s">
        <v>1368</v>
      </c>
      <c r="E232" t="str">
        <f t="shared" si="6"/>
        <v>No</v>
      </c>
      <c r="F232" s="11"/>
      <c r="G232" s="10" t="b">
        <f t="shared" si="7"/>
        <v>0</v>
      </c>
    </row>
    <row r="233" spans="1:7" x14ac:dyDescent="0.3">
      <c r="A233" s="4" t="s">
        <v>1794</v>
      </c>
      <c r="B233" s="2" t="s">
        <v>1795</v>
      </c>
      <c r="C233" s="2" t="s">
        <v>1796</v>
      </c>
      <c r="D233" s="12" t="s">
        <v>1797</v>
      </c>
      <c r="E233" t="str">
        <f t="shared" si="6"/>
        <v>No</v>
      </c>
      <c r="F233" s="11"/>
      <c r="G233" s="10" t="b">
        <f t="shared" si="7"/>
        <v>0</v>
      </c>
    </row>
    <row r="234" spans="1:7" x14ac:dyDescent="0.3">
      <c r="A234" s="4" t="s">
        <v>1798</v>
      </c>
      <c r="B234" s="2" t="s">
        <v>1799</v>
      </c>
      <c r="C234" s="2" t="s">
        <v>1719</v>
      </c>
      <c r="D234" s="12" t="s">
        <v>1800</v>
      </c>
      <c r="E234" t="str">
        <f t="shared" si="6"/>
        <v>No</v>
      </c>
      <c r="F234" s="11"/>
      <c r="G234" s="10" t="b">
        <f t="shared" si="7"/>
        <v>0</v>
      </c>
    </row>
    <row r="235" spans="1:7" x14ac:dyDescent="0.3">
      <c r="A235" s="4" t="s">
        <v>1801</v>
      </c>
      <c r="B235" s="2" t="s">
        <v>1802</v>
      </c>
      <c r="C235" s="2" t="s">
        <v>1719</v>
      </c>
      <c r="D235" s="12" t="s">
        <v>1800</v>
      </c>
      <c r="E235" t="str">
        <f t="shared" si="6"/>
        <v>No</v>
      </c>
      <c r="F235" s="11"/>
      <c r="G235" s="10" t="b">
        <f t="shared" si="7"/>
        <v>0</v>
      </c>
    </row>
    <row r="236" spans="1:7" x14ac:dyDescent="0.3">
      <c r="A236" s="4" t="s">
        <v>1803</v>
      </c>
      <c r="B236" s="2" t="s">
        <v>1804</v>
      </c>
      <c r="C236" s="2" t="s">
        <v>1719</v>
      </c>
      <c r="D236" s="12" t="s">
        <v>1354</v>
      </c>
      <c r="E236" t="str">
        <f t="shared" si="6"/>
        <v>No</v>
      </c>
      <c r="F236" s="11"/>
      <c r="G236" s="10" t="b">
        <f t="shared" si="7"/>
        <v>0</v>
      </c>
    </row>
    <row r="237" spans="1:7" x14ac:dyDescent="0.3">
      <c r="A237" s="4" t="s">
        <v>1805</v>
      </c>
      <c r="B237" s="2" t="s">
        <v>1806</v>
      </c>
      <c r="C237" s="2" t="s">
        <v>1719</v>
      </c>
      <c r="D237" s="12" t="s">
        <v>1807</v>
      </c>
      <c r="E237" t="str">
        <f t="shared" si="6"/>
        <v>No</v>
      </c>
      <c r="F237" s="11"/>
      <c r="G237" s="10" t="b">
        <f t="shared" si="7"/>
        <v>0</v>
      </c>
    </row>
    <row r="238" spans="1:7" x14ac:dyDescent="0.3">
      <c r="A238" s="4" t="s">
        <v>1808</v>
      </c>
      <c r="B238" s="2" t="s">
        <v>1809</v>
      </c>
      <c r="C238" s="2" t="s">
        <v>1406</v>
      </c>
      <c r="D238" s="12" t="s">
        <v>1321</v>
      </c>
      <c r="E238" t="str">
        <f t="shared" si="6"/>
        <v>No</v>
      </c>
      <c r="F238" s="11"/>
      <c r="G238" s="10" t="b">
        <f t="shared" si="7"/>
        <v>0</v>
      </c>
    </row>
    <row r="239" spans="1:7" x14ac:dyDescent="0.3">
      <c r="A239" s="4" t="s">
        <v>1810</v>
      </c>
      <c r="B239" s="2" t="s">
        <v>1811</v>
      </c>
      <c r="C239" s="2" t="s">
        <v>1406</v>
      </c>
      <c r="D239" s="12" t="s">
        <v>1321</v>
      </c>
      <c r="E239" t="str">
        <f t="shared" si="6"/>
        <v>No</v>
      </c>
      <c r="F239" s="11"/>
      <c r="G239" s="10" t="b">
        <f t="shared" si="7"/>
        <v>0</v>
      </c>
    </row>
    <row r="240" spans="1:7" x14ac:dyDescent="0.3">
      <c r="A240" s="4" t="s">
        <v>1812</v>
      </c>
      <c r="B240" s="2" t="s">
        <v>1813</v>
      </c>
      <c r="C240" s="2" t="s">
        <v>1406</v>
      </c>
      <c r="D240" s="12" t="s">
        <v>1321</v>
      </c>
      <c r="E240" t="str">
        <f t="shared" si="6"/>
        <v>No</v>
      </c>
      <c r="F240" s="11"/>
      <c r="G240" s="10" t="b">
        <f t="shared" si="7"/>
        <v>0</v>
      </c>
    </row>
    <row r="241" spans="1:7" x14ac:dyDescent="0.3">
      <c r="A241" s="4" t="s">
        <v>1814</v>
      </c>
      <c r="B241" s="2" t="s">
        <v>1815</v>
      </c>
      <c r="C241" s="2" t="s">
        <v>1320</v>
      </c>
      <c r="D241" s="12" t="s">
        <v>1321</v>
      </c>
      <c r="E241" t="str">
        <f t="shared" si="6"/>
        <v>No</v>
      </c>
      <c r="F241" s="11"/>
      <c r="G241" s="10" t="b">
        <f t="shared" si="7"/>
        <v>0</v>
      </c>
    </row>
    <row r="242" spans="1:7" x14ac:dyDescent="0.3">
      <c r="A242" s="4" t="s">
        <v>1816</v>
      </c>
      <c r="B242" s="2" t="s">
        <v>1817</v>
      </c>
      <c r="C242" s="2" t="s">
        <v>1256</v>
      </c>
      <c r="D242" s="12" t="s">
        <v>1704</v>
      </c>
      <c r="E242" t="str">
        <f t="shared" si="6"/>
        <v>No</v>
      </c>
      <c r="F242" s="11"/>
      <c r="G242" s="10" t="b">
        <f t="shared" si="7"/>
        <v>0</v>
      </c>
    </row>
    <row r="243" spans="1:7" x14ac:dyDescent="0.3">
      <c r="A243" s="4" t="s">
        <v>1818</v>
      </c>
      <c r="B243" s="2" t="s">
        <v>1819</v>
      </c>
      <c r="C243" s="2" t="s">
        <v>1256</v>
      </c>
      <c r="D243" s="12" t="s">
        <v>1704</v>
      </c>
      <c r="E243" t="str">
        <f t="shared" si="6"/>
        <v>No</v>
      </c>
      <c r="F243" s="11"/>
      <c r="G243" s="10" t="b">
        <f t="shared" si="7"/>
        <v>0</v>
      </c>
    </row>
    <row r="244" spans="1:7" x14ac:dyDescent="0.3">
      <c r="A244" s="4" t="s">
        <v>1820</v>
      </c>
      <c r="B244" s="2" t="s">
        <v>1821</v>
      </c>
      <c r="C244" s="2" t="s">
        <v>1320</v>
      </c>
      <c r="D244" s="12" t="s">
        <v>1321</v>
      </c>
      <c r="E244" t="str">
        <f t="shared" si="6"/>
        <v>No</v>
      </c>
      <c r="F244" s="11"/>
      <c r="G244" s="10" t="b">
        <f t="shared" si="7"/>
        <v>0</v>
      </c>
    </row>
    <row r="245" spans="1:7" x14ac:dyDescent="0.3">
      <c r="A245" s="4" t="s">
        <v>1822</v>
      </c>
      <c r="B245" s="2" t="s">
        <v>1823</v>
      </c>
      <c r="C245" s="2" t="s">
        <v>1329</v>
      </c>
      <c r="D245" s="12" t="s">
        <v>1330</v>
      </c>
      <c r="E245" t="str">
        <f t="shared" si="6"/>
        <v>No</v>
      </c>
      <c r="F245" s="11"/>
      <c r="G245" s="10" t="b">
        <f t="shared" si="7"/>
        <v>0</v>
      </c>
    </row>
    <row r="246" spans="1:7" x14ac:dyDescent="0.3">
      <c r="A246" s="4" t="s">
        <v>1824</v>
      </c>
      <c r="B246" s="2" t="s">
        <v>1825</v>
      </c>
      <c r="C246" s="2" t="s">
        <v>1568</v>
      </c>
      <c r="D246" s="12" t="s">
        <v>1826</v>
      </c>
      <c r="E246" t="str">
        <f t="shared" si="6"/>
        <v>No</v>
      </c>
      <c r="F246" s="11"/>
      <c r="G246" s="10" t="b">
        <f t="shared" si="7"/>
        <v>0</v>
      </c>
    </row>
    <row r="247" spans="1:7" x14ac:dyDescent="0.3">
      <c r="A247" s="4" t="s">
        <v>1827</v>
      </c>
      <c r="B247" s="2" t="s">
        <v>1828</v>
      </c>
      <c r="C247" s="2" t="s">
        <v>1707</v>
      </c>
      <c r="D247" s="12" t="s">
        <v>1829</v>
      </c>
      <c r="E247" t="str">
        <f t="shared" si="6"/>
        <v>No</v>
      </c>
      <c r="F247" s="11"/>
      <c r="G247" s="10" t="b">
        <f t="shared" si="7"/>
        <v>0</v>
      </c>
    </row>
    <row r="248" spans="1:7" x14ac:dyDescent="0.3">
      <c r="A248" s="4" t="s">
        <v>1830</v>
      </c>
      <c r="B248" s="2" t="s">
        <v>1831</v>
      </c>
      <c r="C248" s="2" t="s">
        <v>1832</v>
      </c>
      <c r="D248" s="12" t="s">
        <v>1833</v>
      </c>
      <c r="E248" t="str">
        <f t="shared" si="6"/>
        <v>No</v>
      </c>
      <c r="F248" s="11"/>
      <c r="G248" s="10" t="b">
        <f t="shared" si="7"/>
        <v>0</v>
      </c>
    </row>
    <row r="249" spans="1:7" x14ac:dyDescent="0.3">
      <c r="A249" s="4" t="s">
        <v>1834</v>
      </c>
      <c r="B249" s="2" t="s">
        <v>1835</v>
      </c>
      <c r="C249" s="2" t="s">
        <v>1836</v>
      </c>
      <c r="D249" s="12" t="s">
        <v>1525</v>
      </c>
      <c r="E249" t="str">
        <f t="shared" si="6"/>
        <v>No</v>
      </c>
      <c r="F249" s="11"/>
      <c r="G249" s="10" t="b">
        <f t="shared" si="7"/>
        <v>0</v>
      </c>
    </row>
    <row r="250" spans="1:7" x14ac:dyDescent="0.3">
      <c r="A250" s="4" t="s">
        <v>1837</v>
      </c>
      <c r="B250" s="2" t="s">
        <v>1838</v>
      </c>
      <c r="C250" s="2" t="s">
        <v>1839</v>
      </c>
      <c r="D250" s="12" t="s">
        <v>1840</v>
      </c>
      <c r="E250" t="str">
        <f t="shared" si="6"/>
        <v>No</v>
      </c>
      <c r="F250" s="11"/>
      <c r="G250" s="10" t="b">
        <f t="shared" si="7"/>
        <v>0</v>
      </c>
    </row>
    <row r="251" spans="1:7" x14ac:dyDescent="0.3">
      <c r="A251" s="4" t="s">
        <v>1841</v>
      </c>
      <c r="B251" s="2" t="s">
        <v>1842</v>
      </c>
      <c r="C251" s="2" t="s">
        <v>1843</v>
      </c>
      <c r="D251" s="12" t="s">
        <v>1844</v>
      </c>
      <c r="E251" t="str">
        <f t="shared" si="6"/>
        <v>No</v>
      </c>
      <c r="F251" s="11"/>
      <c r="G251" s="10" t="b">
        <f t="shared" si="7"/>
        <v>0</v>
      </c>
    </row>
    <row r="252" spans="1:7" x14ac:dyDescent="0.3">
      <c r="A252" s="4" t="s">
        <v>1845</v>
      </c>
      <c r="B252" s="2" t="s">
        <v>1516</v>
      </c>
      <c r="C252" s="2" t="s">
        <v>973</v>
      </c>
      <c r="D252" s="12" t="s">
        <v>1517</v>
      </c>
      <c r="E252" t="str">
        <f t="shared" si="6"/>
        <v>No</v>
      </c>
      <c r="F252" s="11"/>
      <c r="G252" s="10" t="b">
        <f t="shared" si="7"/>
        <v>0</v>
      </c>
    </row>
    <row r="253" spans="1:7" x14ac:dyDescent="0.3">
      <c r="A253" s="4" t="s">
        <v>1846</v>
      </c>
      <c r="B253" s="2" t="s">
        <v>1521</v>
      </c>
      <c r="C253" s="2" t="s">
        <v>973</v>
      </c>
      <c r="D253" s="12" t="s">
        <v>1395</v>
      </c>
      <c r="E253" t="str">
        <f t="shared" si="6"/>
        <v>No</v>
      </c>
      <c r="F253" s="11"/>
      <c r="G253" s="10" t="b">
        <f t="shared" si="7"/>
        <v>0</v>
      </c>
    </row>
    <row r="254" spans="1:7" x14ac:dyDescent="0.3">
      <c r="A254" s="4" t="s">
        <v>1847</v>
      </c>
      <c r="B254" s="2" t="s">
        <v>938</v>
      </c>
      <c r="C254" s="2" t="s">
        <v>967</v>
      </c>
      <c r="D254" s="12" t="s">
        <v>1525</v>
      </c>
      <c r="E254" t="str">
        <f t="shared" si="6"/>
        <v>No</v>
      </c>
      <c r="F254" s="11"/>
      <c r="G254" s="10" t="b">
        <f t="shared" si="7"/>
        <v>0</v>
      </c>
    </row>
    <row r="255" spans="1:7" x14ac:dyDescent="0.3">
      <c r="A255" s="4" t="s">
        <v>1848</v>
      </c>
      <c r="B255" s="2" t="s">
        <v>1529</v>
      </c>
      <c r="C255" s="2" t="s">
        <v>967</v>
      </c>
      <c r="D255" s="12" t="s">
        <v>1371</v>
      </c>
      <c r="E255" t="str">
        <f t="shared" si="6"/>
        <v>No</v>
      </c>
      <c r="F255" s="11"/>
      <c r="G255" s="10" t="b">
        <f t="shared" si="7"/>
        <v>0</v>
      </c>
    </row>
    <row r="256" spans="1:7" x14ac:dyDescent="0.3">
      <c r="A256" s="4" t="s">
        <v>1849</v>
      </c>
      <c r="B256" s="2" t="s">
        <v>1531</v>
      </c>
      <c r="C256" s="2" t="s">
        <v>967</v>
      </c>
      <c r="D256" s="12" t="s">
        <v>1371</v>
      </c>
      <c r="E256" t="str">
        <f t="shared" si="6"/>
        <v>No</v>
      </c>
      <c r="F256" s="11"/>
      <c r="G256" s="10" t="b">
        <f t="shared" si="7"/>
        <v>0</v>
      </c>
    </row>
    <row r="257" spans="1:7" x14ac:dyDescent="0.3">
      <c r="A257" s="4" t="s">
        <v>1850</v>
      </c>
      <c r="B257" s="2" t="s">
        <v>1541</v>
      </c>
      <c r="C257" s="2" t="s">
        <v>967</v>
      </c>
      <c r="D257" s="12" t="s">
        <v>1542</v>
      </c>
      <c r="E257" t="str">
        <f t="shared" si="6"/>
        <v>No</v>
      </c>
      <c r="F257" s="11"/>
      <c r="G257" s="10" t="b">
        <f t="shared" si="7"/>
        <v>0</v>
      </c>
    </row>
    <row r="258" spans="1:7" x14ac:dyDescent="0.3">
      <c r="A258" s="4" t="s">
        <v>1851</v>
      </c>
      <c r="B258" s="2" t="s">
        <v>1544</v>
      </c>
      <c r="C258" s="2" t="s">
        <v>967</v>
      </c>
      <c r="D258" s="12" t="s">
        <v>1545</v>
      </c>
      <c r="E258" t="str">
        <f t="shared" ref="E258:E321" si="8">IF(F258, "YES", "No")</f>
        <v>No</v>
      </c>
      <c r="F258" s="11"/>
      <c r="G258" s="10" t="b">
        <f t="shared" ref="G258:G321" si="9">IF(COUNTIF($J$3:$J$100, B258) &gt; 0, TRUE, FALSE)</f>
        <v>0</v>
      </c>
    </row>
    <row r="259" spans="1:7" x14ac:dyDescent="0.3">
      <c r="A259" s="4" t="s">
        <v>1852</v>
      </c>
      <c r="B259" s="2" t="s">
        <v>1547</v>
      </c>
      <c r="C259" s="2" t="s">
        <v>967</v>
      </c>
      <c r="D259" s="12" t="s">
        <v>1433</v>
      </c>
      <c r="E259" t="str">
        <f t="shared" si="8"/>
        <v>No</v>
      </c>
      <c r="F259" s="11"/>
      <c r="G259" s="10" t="b">
        <f t="shared" si="9"/>
        <v>0</v>
      </c>
    </row>
    <row r="260" spans="1:7" x14ac:dyDescent="0.3">
      <c r="A260" s="4" t="s">
        <v>1853</v>
      </c>
      <c r="B260" s="2" t="s">
        <v>1549</v>
      </c>
      <c r="C260" s="2" t="s">
        <v>967</v>
      </c>
      <c r="D260" s="12" t="s">
        <v>1433</v>
      </c>
      <c r="E260" t="str">
        <f t="shared" si="8"/>
        <v>No</v>
      </c>
      <c r="F260" s="11"/>
      <c r="G260" s="10" t="b">
        <f t="shared" si="9"/>
        <v>0</v>
      </c>
    </row>
    <row r="261" spans="1:7" x14ac:dyDescent="0.3">
      <c r="A261" s="4" t="s">
        <v>1854</v>
      </c>
      <c r="B261" s="2" t="s">
        <v>1855</v>
      </c>
      <c r="C261" s="2" t="s">
        <v>1856</v>
      </c>
      <c r="D261" s="12" t="s">
        <v>1857</v>
      </c>
      <c r="E261" t="str">
        <f t="shared" si="8"/>
        <v>No</v>
      </c>
      <c r="F261" s="11"/>
      <c r="G261" s="10" t="b">
        <f t="shared" si="9"/>
        <v>0</v>
      </c>
    </row>
    <row r="262" spans="1:7" x14ac:dyDescent="0.3">
      <c r="A262" s="4" t="s">
        <v>1858</v>
      </c>
      <c r="B262" s="2" t="s">
        <v>1859</v>
      </c>
      <c r="C262" s="2" t="s">
        <v>1625</v>
      </c>
      <c r="D262" s="12" t="s">
        <v>1860</v>
      </c>
      <c r="E262" t="str">
        <f t="shared" si="8"/>
        <v>No</v>
      </c>
      <c r="F262" s="11"/>
      <c r="G262" s="10" t="b">
        <f t="shared" si="9"/>
        <v>0</v>
      </c>
    </row>
    <row r="263" spans="1:7" x14ac:dyDescent="0.3">
      <c r="A263" s="4" t="s">
        <v>1861</v>
      </c>
      <c r="B263" s="2" t="s">
        <v>1862</v>
      </c>
      <c r="C263" s="2" t="s">
        <v>1710</v>
      </c>
      <c r="D263" s="12" t="s">
        <v>1863</v>
      </c>
      <c r="E263" t="str">
        <f t="shared" si="8"/>
        <v>No</v>
      </c>
      <c r="F263" s="11"/>
      <c r="G263" s="10" t="b">
        <f t="shared" si="9"/>
        <v>0</v>
      </c>
    </row>
    <row r="264" spans="1:7" x14ac:dyDescent="0.3">
      <c r="A264" s="4" t="s">
        <v>1864</v>
      </c>
      <c r="B264" s="2" t="s">
        <v>1865</v>
      </c>
      <c r="C264" s="2" t="s">
        <v>1856</v>
      </c>
      <c r="D264" s="12" t="s">
        <v>1857</v>
      </c>
      <c r="E264" t="str">
        <f t="shared" si="8"/>
        <v>No</v>
      </c>
      <c r="F264" s="11"/>
      <c r="G264" s="10" t="b">
        <f t="shared" si="9"/>
        <v>0</v>
      </c>
    </row>
    <row r="265" spans="1:7" x14ac:dyDescent="0.3">
      <c r="A265" s="4" t="s">
        <v>1866</v>
      </c>
      <c r="B265" s="2" t="s">
        <v>1867</v>
      </c>
      <c r="C265" s="2" t="s">
        <v>1856</v>
      </c>
      <c r="D265" s="12" t="s">
        <v>1857</v>
      </c>
      <c r="E265" t="str">
        <f t="shared" si="8"/>
        <v>No</v>
      </c>
      <c r="F265" s="11"/>
      <c r="G265" s="10" t="b">
        <f t="shared" si="9"/>
        <v>0</v>
      </c>
    </row>
    <row r="266" spans="1:7" x14ac:dyDescent="0.3">
      <c r="A266" s="4" t="s">
        <v>1868</v>
      </c>
      <c r="B266" s="2" t="s">
        <v>1271</v>
      </c>
      <c r="C266" s="2" t="s">
        <v>1869</v>
      </c>
      <c r="D266" s="12" t="s">
        <v>1870</v>
      </c>
      <c r="E266" t="str">
        <f t="shared" si="8"/>
        <v>YES</v>
      </c>
      <c r="F266" s="11" t="b">
        <v>1</v>
      </c>
      <c r="G266" s="10" t="b">
        <f t="shared" si="9"/>
        <v>1</v>
      </c>
    </row>
    <row r="267" spans="1:7" x14ac:dyDescent="0.3">
      <c r="A267" s="4" t="s">
        <v>1871</v>
      </c>
      <c r="B267" s="2" t="s">
        <v>1872</v>
      </c>
      <c r="C267" s="2" t="s">
        <v>1869</v>
      </c>
      <c r="D267" s="12" t="s">
        <v>1870</v>
      </c>
      <c r="E267" t="str">
        <f t="shared" si="8"/>
        <v>No</v>
      </c>
      <c r="F267" s="11"/>
      <c r="G267" s="10" t="b">
        <f t="shared" si="9"/>
        <v>0</v>
      </c>
    </row>
    <row r="268" spans="1:7" x14ac:dyDescent="0.3">
      <c r="A268" s="4" t="s">
        <v>1873</v>
      </c>
      <c r="B268" s="2" t="s">
        <v>1874</v>
      </c>
      <c r="C268" s="2" t="s">
        <v>1568</v>
      </c>
      <c r="D268" s="12" t="s">
        <v>1392</v>
      </c>
      <c r="E268" t="str">
        <f t="shared" si="8"/>
        <v>No</v>
      </c>
      <c r="F268" s="11"/>
      <c r="G268" s="10" t="b">
        <f t="shared" si="9"/>
        <v>0</v>
      </c>
    </row>
    <row r="269" spans="1:7" x14ac:dyDescent="0.3">
      <c r="A269" s="4" t="s">
        <v>1875</v>
      </c>
      <c r="B269" s="2" t="s">
        <v>1876</v>
      </c>
      <c r="C269" s="2" t="s">
        <v>1710</v>
      </c>
      <c r="D269" s="12" t="s">
        <v>1877</v>
      </c>
      <c r="E269" t="str">
        <f t="shared" si="8"/>
        <v>No</v>
      </c>
      <c r="F269" s="11"/>
      <c r="G269" s="10" t="b">
        <f t="shared" si="9"/>
        <v>0</v>
      </c>
    </row>
    <row r="270" spans="1:7" x14ac:dyDescent="0.3">
      <c r="A270" s="4" t="s">
        <v>1878</v>
      </c>
      <c r="B270" s="2" t="s">
        <v>1879</v>
      </c>
      <c r="C270" s="2" t="s">
        <v>1880</v>
      </c>
      <c r="D270" s="12" t="s">
        <v>1404</v>
      </c>
      <c r="E270" t="str">
        <f t="shared" si="8"/>
        <v>No</v>
      </c>
      <c r="F270" s="11"/>
      <c r="G270" s="10" t="b">
        <f t="shared" si="9"/>
        <v>0</v>
      </c>
    </row>
    <row r="271" spans="1:7" x14ac:dyDescent="0.3">
      <c r="A271" s="4" t="s">
        <v>1881</v>
      </c>
      <c r="B271" s="2" t="s">
        <v>1882</v>
      </c>
      <c r="C271" s="2" t="s">
        <v>1647</v>
      </c>
      <c r="D271" s="12" t="s">
        <v>1500</v>
      </c>
      <c r="E271" t="str">
        <f t="shared" si="8"/>
        <v>No</v>
      </c>
      <c r="F271" s="11"/>
      <c r="G271" s="10" t="b">
        <f t="shared" si="9"/>
        <v>0</v>
      </c>
    </row>
    <row r="272" spans="1:7" x14ac:dyDescent="0.3">
      <c r="A272" s="4" t="s">
        <v>1883</v>
      </c>
      <c r="B272" s="2" t="s">
        <v>1884</v>
      </c>
      <c r="C272" s="2" t="s">
        <v>1647</v>
      </c>
      <c r="D272" s="12" t="s">
        <v>1648</v>
      </c>
      <c r="E272" t="str">
        <f t="shared" si="8"/>
        <v>No</v>
      </c>
      <c r="F272" s="11"/>
      <c r="G272" s="10" t="b">
        <f t="shared" si="9"/>
        <v>0</v>
      </c>
    </row>
    <row r="273" spans="1:7" x14ac:dyDescent="0.3">
      <c r="A273" s="4" t="s">
        <v>1885</v>
      </c>
      <c r="B273" s="2" t="s">
        <v>1886</v>
      </c>
      <c r="C273" s="2" t="s">
        <v>1887</v>
      </c>
      <c r="D273" s="12" t="s">
        <v>1888</v>
      </c>
      <c r="E273" t="str">
        <f t="shared" si="8"/>
        <v>No</v>
      </c>
      <c r="F273" s="11"/>
      <c r="G273" s="10" t="b">
        <f t="shared" si="9"/>
        <v>0</v>
      </c>
    </row>
    <row r="274" spans="1:7" x14ac:dyDescent="0.3">
      <c r="A274" s="4" t="s">
        <v>1889</v>
      </c>
      <c r="B274" s="2" t="s">
        <v>1890</v>
      </c>
      <c r="C274" s="2" t="s">
        <v>1256</v>
      </c>
      <c r="D274" s="12" t="s">
        <v>1668</v>
      </c>
      <c r="E274" t="str">
        <f t="shared" si="8"/>
        <v>No</v>
      </c>
      <c r="F274" s="11"/>
      <c r="G274" s="10" t="b">
        <f t="shared" si="9"/>
        <v>0</v>
      </c>
    </row>
    <row r="275" spans="1:7" x14ac:dyDescent="0.3">
      <c r="A275" s="4" t="s">
        <v>1891</v>
      </c>
      <c r="B275" s="2" t="s">
        <v>1892</v>
      </c>
      <c r="C275" s="2" t="s">
        <v>1893</v>
      </c>
      <c r="D275" s="12" t="s">
        <v>1894</v>
      </c>
      <c r="E275" t="str">
        <f t="shared" si="8"/>
        <v>No</v>
      </c>
      <c r="F275" s="11"/>
      <c r="G275" s="10" t="b">
        <f t="shared" si="9"/>
        <v>0</v>
      </c>
    </row>
    <row r="276" spans="1:7" x14ac:dyDescent="0.3">
      <c r="A276" s="4" t="s">
        <v>1895</v>
      </c>
      <c r="B276" s="2" t="s">
        <v>1896</v>
      </c>
      <c r="C276" s="2" t="s">
        <v>1843</v>
      </c>
      <c r="D276" s="12" t="s">
        <v>1897</v>
      </c>
      <c r="E276" t="str">
        <f t="shared" si="8"/>
        <v>No</v>
      </c>
      <c r="F276" s="11"/>
      <c r="G276" s="10" t="b">
        <f t="shared" si="9"/>
        <v>0</v>
      </c>
    </row>
    <row r="277" spans="1:7" x14ac:dyDescent="0.3">
      <c r="A277" s="4" t="s">
        <v>1898</v>
      </c>
      <c r="B277" s="2" t="s">
        <v>1899</v>
      </c>
      <c r="C277" s="2" t="s">
        <v>1843</v>
      </c>
      <c r="D277" s="12" t="s">
        <v>1897</v>
      </c>
      <c r="E277" t="str">
        <f t="shared" si="8"/>
        <v>No</v>
      </c>
      <c r="F277" s="11"/>
      <c r="G277" s="10" t="b">
        <f t="shared" si="9"/>
        <v>0</v>
      </c>
    </row>
    <row r="278" spans="1:7" x14ac:dyDescent="0.3">
      <c r="A278" s="4" t="s">
        <v>1900</v>
      </c>
      <c r="B278" s="2" t="s">
        <v>1901</v>
      </c>
      <c r="C278" s="2" t="s">
        <v>1902</v>
      </c>
      <c r="D278" s="12" t="s">
        <v>1903</v>
      </c>
      <c r="E278" t="str">
        <f t="shared" si="8"/>
        <v>No</v>
      </c>
      <c r="F278" s="11"/>
      <c r="G278" s="10" t="b">
        <f t="shared" si="9"/>
        <v>0</v>
      </c>
    </row>
    <row r="279" spans="1:7" x14ac:dyDescent="0.3">
      <c r="A279" s="4" t="s">
        <v>1904</v>
      </c>
      <c r="B279" s="2" t="s">
        <v>1905</v>
      </c>
      <c r="C279" s="2" t="s">
        <v>1843</v>
      </c>
      <c r="D279" s="12" t="s">
        <v>1897</v>
      </c>
      <c r="E279" t="str">
        <f t="shared" si="8"/>
        <v>No</v>
      </c>
      <c r="F279" s="11"/>
      <c r="G279" s="10" t="b">
        <f t="shared" si="9"/>
        <v>0</v>
      </c>
    </row>
    <row r="280" spans="1:7" x14ac:dyDescent="0.3">
      <c r="A280" s="4" t="s">
        <v>1906</v>
      </c>
      <c r="B280" s="2" t="s">
        <v>1907</v>
      </c>
      <c r="C280" s="2" t="s">
        <v>1256</v>
      </c>
      <c r="D280" s="12" t="s">
        <v>1668</v>
      </c>
      <c r="E280" t="str">
        <f t="shared" si="8"/>
        <v>No</v>
      </c>
      <c r="F280" s="11"/>
      <c r="G280" s="10" t="b">
        <f t="shared" si="9"/>
        <v>0</v>
      </c>
    </row>
    <row r="281" spans="1:7" x14ac:dyDescent="0.3">
      <c r="A281" s="4" t="s">
        <v>1908</v>
      </c>
      <c r="B281" s="2" t="s">
        <v>1909</v>
      </c>
      <c r="C281" s="2" t="s">
        <v>1329</v>
      </c>
      <c r="D281" s="12" t="s">
        <v>1433</v>
      </c>
      <c r="E281" t="str">
        <f t="shared" si="8"/>
        <v>No</v>
      </c>
      <c r="F281" s="11"/>
      <c r="G281" s="10" t="b">
        <f t="shared" si="9"/>
        <v>0</v>
      </c>
    </row>
    <row r="282" spans="1:7" x14ac:dyDescent="0.3">
      <c r="A282" s="4" t="s">
        <v>1910</v>
      </c>
      <c r="B282" s="2" t="s">
        <v>1911</v>
      </c>
      <c r="C282" s="2" t="s">
        <v>1329</v>
      </c>
      <c r="D282" s="12" t="s">
        <v>1433</v>
      </c>
      <c r="E282" t="str">
        <f t="shared" si="8"/>
        <v>No</v>
      </c>
      <c r="F282" s="11"/>
      <c r="G282" s="10" t="b">
        <f t="shared" si="9"/>
        <v>0</v>
      </c>
    </row>
    <row r="283" spans="1:7" x14ac:dyDescent="0.3">
      <c r="A283" s="4" t="s">
        <v>1912</v>
      </c>
      <c r="B283" s="2" t="s">
        <v>1913</v>
      </c>
      <c r="C283" s="2" t="s">
        <v>1329</v>
      </c>
      <c r="D283" s="12" t="s">
        <v>1330</v>
      </c>
      <c r="E283" t="str">
        <f t="shared" si="8"/>
        <v>No</v>
      </c>
      <c r="F283" s="11"/>
      <c r="G283" s="10" t="b">
        <f t="shared" si="9"/>
        <v>0</v>
      </c>
    </row>
    <row r="284" spans="1:7" x14ac:dyDescent="0.3">
      <c r="A284" s="4" t="s">
        <v>1914</v>
      </c>
      <c r="B284" s="2" t="s">
        <v>1915</v>
      </c>
      <c r="C284" s="2" t="s">
        <v>1916</v>
      </c>
      <c r="D284" s="12" t="s">
        <v>1917</v>
      </c>
      <c r="E284" t="str">
        <f t="shared" si="8"/>
        <v>No</v>
      </c>
      <c r="F284" s="11"/>
      <c r="G284" s="10" t="b">
        <f t="shared" si="9"/>
        <v>0</v>
      </c>
    </row>
    <row r="285" spans="1:7" x14ac:dyDescent="0.3">
      <c r="A285" s="4" t="s">
        <v>1918</v>
      </c>
      <c r="B285" s="2" t="s">
        <v>1919</v>
      </c>
      <c r="C285" s="2" t="s">
        <v>1916</v>
      </c>
      <c r="D285" s="12" t="s">
        <v>1920</v>
      </c>
      <c r="E285" t="str">
        <f t="shared" si="8"/>
        <v>No</v>
      </c>
      <c r="F285" s="11"/>
      <c r="G285" s="10" t="b">
        <f t="shared" si="9"/>
        <v>0</v>
      </c>
    </row>
    <row r="286" spans="1:7" x14ac:dyDescent="0.3">
      <c r="A286" s="4" t="s">
        <v>1921</v>
      </c>
      <c r="B286" s="2" t="s">
        <v>1922</v>
      </c>
      <c r="C286" s="2" t="s">
        <v>1832</v>
      </c>
      <c r="D286" s="12" t="s">
        <v>1833</v>
      </c>
      <c r="E286" t="str">
        <f t="shared" si="8"/>
        <v>No</v>
      </c>
      <c r="F286" s="11"/>
      <c r="G286" s="10" t="b">
        <f t="shared" si="9"/>
        <v>0</v>
      </c>
    </row>
    <row r="287" spans="1:7" x14ac:dyDescent="0.3">
      <c r="A287" s="4" t="s">
        <v>1923</v>
      </c>
      <c r="B287" s="2" t="s">
        <v>1924</v>
      </c>
      <c r="C287" s="2" t="s">
        <v>1436</v>
      </c>
      <c r="D287" s="12" t="s">
        <v>1925</v>
      </c>
      <c r="E287" t="str">
        <f t="shared" si="8"/>
        <v>No</v>
      </c>
      <c r="F287" s="11"/>
      <c r="G287" s="10" t="b">
        <f t="shared" si="9"/>
        <v>0</v>
      </c>
    </row>
    <row r="288" spans="1:7" x14ac:dyDescent="0.3">
      <c r="A288" s="4" t="s">
        <v>1926</v>
      </c>
      <c r="B288" s="2" t="s">
        <v>1927</v>
      </c>
      <c r="C288" s="2" t="s">
        <v>1329</v>
      </c>
      <c r="D288" s="12" t="s">
        <v>1928</v>
      </c>
      <c r="E288" t="str">
        <f t="shared" si="8"/>
        <v>No</v>
      </c>
      <c r="F288" s="11"/>
      <c r="G288" s="10" t="b">
        <f t="shared" si="9"/>
        <v>0</v>
      </c>
    </row>
    <row r="289" spans="1:7" x14ac:dyDescent="0.3">
      <c r="A289" s="4" t="s">
        <v>1929</v>
      </c>
      <c r="B289" s="2" t="s">
        <v>1930</v>
      </c>
      <c r="C289" s="2" t="s">
        <v>1329</v>
      </c>
      <c r="D289" s="12" t="s">
        <v>1395</v>
      </c>
      <c r="E289" t="str">
        <f t="shared" si="8"/>
        <v>No</v>
      </c>
      <c r="F289" s="11"/>
      <c r="G289" s="10" t="b">
        <f t="shared" si="9"/>
        <v>0</v>
      </c>
    </row>
    <row r="290" spans="1:7" x14ac:dyDescent="0.3">
      <c r="A290" s="4" t="s">
        <v>1931</v>
      </c>
      <c r="B290" s="2" t="s">
        <v>1932</v>
      </c>
      <c r="C290" s="2" t="s">
        <v>1436</v>
      </c>
      <c r="D290" s="12" t="s">
        <v>1925</v>
      </c>
      <c r="E290" t="str">
        <f t="shared" si="8"/>
        <v>No</v>
      </c>
      <c r="F290" s="11"/>
      <c r="G290" s="10" t="b">
        <f t="shared" si="9"/>
        <v>0</v>
      </c>
    </row>
    <row r="291" spans="1:7" x14ac:dyDescent="0.3">
      <c r="A291" s="4" t="s">
        <v>1933</v>
      </c>
      <c r="B291" s="2" t="s">
        <v>1934</v>
      </c>
      <c r="C291" s="2" t="s">
        <v>1893</v>
      </c>
      <c r="D291" s="12" t="s">
        <v>1935</v>
      </c>
      <c r="E291" t="str">
        <f t="shared" si="8"/>
        <v>No</v>
      </c>
      <c r="F291" s="11"/>
      <c r="G291" s="10" t="b">
        <f t="shared" si="9"/>
        <v>0</v>
      </c>
    </row>
    <row r="292" spans="1:7" x14ac:dyDescent="0.3">
      <c r="A292" s="4" t="s">
        <v>1936</v>
      </c>
      <c r="B292" s="2" t="s">
        <v>1937</v>
      </c>
      <c r="C292" s="2" t="s">
        <v>1719</v>
      </c>
      <c r="D292" s="12" t="s">
        <v>1720</v>
      </c>
      <c r="E292" t="str">
        <f t="shared" si="8"/>
        <v>No</v>
      </c>
      <c r="F292" s="11"/>
      <c r="G292" s="10" t="b">
        <f t="shared" si="9"/>
        <v>0</v>
      </c>
    </row>
    <row r="293" spans="1:7" x14ac:dyDescent="0.3">
      <c r="A293" s="4" t="s">
        <v>1938</v>
      </c>
      <c r="B293" s="2" t="s">
        <v>1939</v>
      </c>
      <c r="C293" s="2" t="s">
        <v>1843</v>
      </c>
      <c r="D293" s="12" t="s">
        <v>1940</v>
      </c>
      <c r="E293" t="str">
        <f t="shared" si="8"/>
        <v>No</v>
      </c>
      <c r="F293" s="11"/>
      <c r="G293" s="10" t="b">
        <f t="shared" si="9"/>
        <v>0</v>
      </c>
    </row>
    <row r="294" spans="1:7" x14ac:dyDescent="0.3">
      <c r="A294" s="4" t="s">
        <v>1941</v>
      </c>
      <c r="B294" s="2" t="s">
        <v>1942</v>
      </c>
      <c r="C294" s="2" t="s">
        <v>1843</v>
      </c>
      <c r="D294" s="12" t="s">
        <v>1940</v>
      </c>
      <c r="E294" t="str">
        <f t="shared" si="8"/>
        <v>No</v>
      </c>
      <c r="F294" s="11"/>
      <c r="G294" s="10" t="b">
        <f t="shared" si="9"/>
        <v>0</v>
      </c>
    </row>
    <row r="295" spans="1:7" x14ac:dyDescent="0.3">
      <c r="A295" s="4" t="s">
        <v>1943</v>
      </c>
      <c r="B295" s="2" t="s">
        <v>1944</v>
      </c>
      <c r="C295" s="2" t="s">
        <v>1843</v>
      </c>
      <c r="D295" s="12" t="s">
        <v>1648</v>
      </c>
      <c r="E295" t="str">
        <f t="shared" si="8"/>
        <v>No</v>
      </c>
      <c r="F295" s="11"/>
      <c r="G295" s="10" t="b">
        <f t="shared" si="9"/>
        <v>0</v>
      </c>
    </row>
    <row r="296" spans="1:7" x14ac:dyDescent="0.3">
      <c r="A296" s="4" t="s">
        <v>1945</v>
      </c>
      <c r="B296" s="2" t="s">
        <v>1946</v>
      </c>
      <c r="C296" s="2" t="s">
        <v>1329</v>
      </c>
      <c r="D296" s="12" t="s">
        <v>1465</v>
      </c>
      <c r="E296" t="str">
        <f t="shared" si="8"/>
        <v>No</v>
      </c>
      <c r="F296" s="11"/>
      <c r="G296" s="10" t="b">
        <f t="shared" si="9"/>
        <v>0</v>
      </c>
    </row>
    <row r="297" spans="1:7" x14ac:dyDescent="0.3">
      <c r="A297" s="4" t="s">
        <v>1947</v>
      </c>
      <c r="B297" s="2" t="s">
        <v>1948</v>
      </c>
      <c r="C297" s="2" t="s">
        <v>1329</v>
      </c>
      <c r="D297" s="12" t="s">
        <v>1465</v>
      </c>
      <c r="E297" t="str">
        <f t="shared" si="8"/>
        <v>No</v>
      </c>
      <c r="F297" s="11"/>
      <c r="G297" s="10" t="b">
        <f t="shared" si="9"/>
        <v>0</v>
      </c>
    </row>
    <row r="298" spans="1:7" x14ac:dyDescent="0.3">
      <c r="A298" s="4" t="s">
        <v>1949</v>
      </c>
      <c r="B298" s="2" t="s">
        <v>44</v>
      </c>
      <c r="C298" s="2" t="s">
        <v>1793</v>
      </c>
      <c r="D298" s="12" t="s">
        <v>1368</v>
      </c>
      <c r="E298" t="str">
        <f t="shared" si="8"/>
        <v>No</v>
      </c>
      <c r="F298" s="11"/>
      <c r="G298" s="10" t="b">
        <f t="shared" si="9"/>
        <v>0</v>
      </c>
    </row>
    <row r="299" spans="1:7" x14ac:dyDescent="0.3">
      <c r="A299" s="4" t="s">
        <v>1950</v>
      </c>
      <c r="B299" s="2" t="s">
        <v>1951</v>
      </c>
      <c r="C299" s="2" t="s">
        <v>1329</v>
      </c>
      <c r="D299" s="12" t="s">
        <v>1952</v>
      </c>
      <c r="E299" t="str">
        <f t="shared" si="8"/>
        <v>No</v>
      </c>
      <c r="F299" s="11"/>
      <c r="G299" s="10" t="b">
        <f t="shared" si="9"/>
        <v>0</v>
      </c>
    </row>
    <row r="300" spans="1:7" x14ac:dyDescent="0.3">
      <c r="A300" s="4" t="s">
        <v>1953</v>
      </c>
      <c r="B300" s="2" t="s">
        <v>1954</v>
      </c>
      <c r="C300" s="2" t="s">
        <v>1916</v>
      </c>
      <c r="D300" s="12" t="s">
        <v>1955</v>
      </c>
      <c r="E300" t="str">
        <f t="shared" si="8"/>
        <v>No</v>
      </c>
      <c r="F300" s="11"/>
      <c r="G300" s="10" t="b">
        <f t="shared" si="9"/>
        <v>0</v>
      </c>
    </row>
    <row r="301" spans="1:7" x14ac:dyDescent="0.3">
      <c r="A301" s="4" t="s">
        <v>1956</v>
      </c>
      <c r="B301" s="2" t="s">
        <v>1957</v>
      </c>
      <c r="C301" s="2" t="s">
        <v>1707</v>
      </c>
      <c r="D301" s="12" t="s">
        <v>1807</v>
      </c>
      <c r="E301" t="str">
        <f t="shared" si="8"/>
        <v>No</v>
      </c>
      <c r="F301" s="11"/>
      <c r="G301" s="10" t="b">
        <f t="shared" si="9"/>
        <v>0</v>
      </c>
    </row>
    <row r="302" spans="1:7" x14ac:dyDescent="0.3">
      <c r="A302" s="4" t="s">
        <v>1958</v>
      </c>
      <c r="B302" s="2" t="s">
        <v>1959</v>
      </c>
      <c r="C302" s="2" t="s">
        <v>1839</v>
      </c>
      <c r="D302" s="12" t="s">
        <v>1840</v>
      </c>
      <c r="E302" t="str">
        <f t="shared" si="8"/>
        <v>No</v>
      </c>
      <c r="F302" s="11"/>
      <c r="G302" s="10" t="b">
        <f t="shared" si="9"/>
        <v>0</v>
      </c>
    </row>
    <row r="303" spans="1:7" x14ac:dyDescent="0.3">
      <c r="A303" s="4" t="s">
        <v>1960</v>
      </c>
      <c r="B303" s="2" t="s">
        <v>1961</v>
      </c>
      <c r="C303" s="2" t="s">
        <v>1962</v>
      </c>
      <c r="D303" s="12" t="s">
        <v>1246</v>
      </c>
      <c r="E303" t="str">
        <f t="shared" si="8"/>
        <v>No</v>
      </c>
      <c r="F303" s="11"/>
      <c r="G303" s="10" t="b">
        <f t="shared" si="9"/>
        <v>0</v>
      </c>
    </row>
    <row r="304" spans="1:7" x14ac:dyDescent="0.3">
      <c r="A304" s="4" t="s">
        <v>1963</v>
      </c>
      <c r="B304" s="2" t="s">
        <v>1964</v>
      </c>
      <c r="C304" s="2" t="s">
        <v>1962</v>
      </c>
      <c r="D304" s="12" t="s">
        <v>1965</v>
      </c>
      <c r="E304" t="str">
        <f t="shared" si="8"/>
        <v>No</v>
      </c>
      <c r="F304" s="11"/>
      <c r="G304" s="10" t="b">
        <f t="shared" si="9"/>
        <v>0</v>
      </c>
    </row>
    <row r="305" spans="1:7" x14ac:dyDescent="0.3">
      <c r="A305" s="4" t="s">
        <v>1966</v>
      </c>
      <c r="B305" s="2" t="s">
        <v>1967</v>
      </c>
      <c r="C305" s="2" t="s">
        <v>1968</v>
      </c>
      <c r="D305" s="12" t="s">
        <v>1969</v>
      </c>
      <c r="E305" t="str">
        <f t="shared" si="8"/>
        <v>No</v>
      </c>
      <c r="F305" s="11"/>
      <c r="G305" s="10" t="b">
        <f t="shared" si="9"/>
        <v>0</v>
      </c>
    </row>
    <row r="306" spans="1:7" x14ac:dyDescent="0.3">
      <c r="A306" s="4" t="s">
        <v>1970</v>
      </c>
      <c r="B306" s="2" t="s">
        <v>1971</v>
      </c>
      <c r="C306" s="2" t="s">
        <v>1719</v>
      </c>
      <c r="D306" s="12" t="s">
        <v>1720</v>
      </c>
      <c r="E306" t="str">
        <f t="shared" si="8"/>
        <v>No</v>
      </c>
      <c r="F306" s="11"/>
      <c r="G306" s="10" t="b">
        <f t="shared" si="9"/>
        <v>0</v>
      </c>
    </row>
    <row r="307" spans="1:7" x14ac:dyDescent="0.3">
      <c r="A307" s="4" t="s">
        <v>1972</v>
      </c>
      <c r="B307" s="2" t="s">
        <v>1973</v>
      </c>
      <c r="C307" s="2" t="s">
        <v>1719</v>
      </c>
      <c r="D307" s="12" t="s">
        <v>1720</v>
      </c>
      <c r="E307" t="str">
        <f t="shared" si="8"/>
        <v>No</v>
      </c>
      <c r="F307" s="11"/>
      <c r="G307" s="10" t="b">
        <f t="shared" si="9"/>
        <v>0</v>
      </c>
    </row>
    <row r="308" spans="1:7" x14ac:dyDescent="0.3">
      <c r="A308" s="4" t="s">
        <v>1974</v>
      </c>
      <c r="B308" s="2" t="s">
        <v>1975</v>
      </c>
      <c r="C308" s="2" t="s">
        <v>1719</v>
      </c>
      <c r="D308" s="12" t="s">
        <v>1720</v>
      </c>
      <c r="E308" t="str">
        <f t="shared" si="8"/>
        <v>No</v>
      </c>
      <c r="F308" s="11"/>
      <c r="G308" s="10" t="b">
        <f t="shared" si="9"/>
        <v>0</v>
      </c>
    </row>
    <row r="309" spans="1:7" x14ac:dyDescent="0.3">
      <c r="A309" s="4" t="s">
        <v>1976</v>
      </c>
      <c r="B309" s="2" t="s">
        <v>1977</v>
      </c>
      <c r="C309" s="2" t="s">
        <v>1256</v>
      </c>
      <c r="D309" s="12" t="s">
        <v>1701</v>
      </c>
      <c r="E309" t="str">
        <f t="shared" si="8"/>
        <v>No</v>
      </c>
      <c r="F309" s="11"/>
      <c r="G309" s="10" t="b">
        <f t="shared" si="9"/>
        <v>0</v>
      </c>
    </row>
    <row r="310" spans="1:7" x14ac:dyDescent="0.3">
      <c r="A310" s="4" t="s">
        <v>1978</v>
      </c>
      <c r="B310" s="2" t="s">
        <v>1979</v>
      </c>
      <c r="C310" s="2" t="s">
        <v>1256</v>
      </c>
      <c r="D310" s="12" t="s">
        <v>1701</v>
      </c>
      <c r="E310" t="str">
        <f t="shared" si="8"/>
        <v>No</v>
      </c>
      <c r="F310" s="11"/>
      <c r="G310" s="10" t="b">
        <f t="shared" si="9"/>
        <v>0</v>
      </c>
    </row>
    <row r="311" spans="1:7" x14ac:dyDescent="0.3">
      <c r="A311" s="4" t="s">
        <v>1980</v>
      </c>
      <c r="B311" s="2" t="s">
        <v>1267</v>
      </c>
      <c r="C311" s="2" t="s">
        <v>1256</v>
      </c>
      <c r="D311" s="12" t="s">
        <v>1701</v>
      </c>
      <c r="E311" t="str">
        <f t="shared" si="8"/>
        <v>YES</v>
      </c>
      <c r="F311" s="11" t="b">
        <v>1</v>
      </c>
      <c r="G311" s="10" t="b">
        <f t="shared" si="9"/>
        <v>1</v>
      </c>
    </row>
    <row r="312" spans="1:7" x14ac:dyDescent="0.3">
      <c r="A312" s="4" t="s">
        <v>1981</v>
      </c>
      <c r="B312" s="2" t="s">
        <v>1982</v>
      </c>
      <c r="C312" s="2" t="s">
        <v>1719</v>
      </c>
      <c r="D312" s="12" t="s">
        <v>1720</v>
      </c>
      <c r="E312" t="str">
        <f t="shared" si="8"/>
        <v>No</v>
      </c>
      <c r="F312" s="11"/>
      <c r="G312" s="10" t="b">
        <f t="shared" si="9"/>
        <v>0</v>
      </c>
    </row>
    <row r="313" spans="1:7" x14ac:dyDescent="0.3">
      <c r="A313" s="4" t="s">
        <v>1983</v>
      </c>
      <c r="B313" s="2" t="s">
        <v>1984</v>
      </c>
      <c r="C313" s="2" t="s">
        <v>1719</v>
      </c>
      <c r="D313" s="12" t="s">
        <v>1985</v>
      </c>
      <c r="E313" t="str">
        <f t="shared" si="8"/>
        <v>No</v>
      </c>
      <c r="F313" s="11"/>
      <c r="G313" s="10" t="b">
        <f t="shared" si="9"/>
        <v>0</v>
      </c>
    </row>
    <row r="314" spans="1:7" x14ac:dyDescent="0.3">
      <c r="A314" s="4" t="s">
        <v>1986</v>
      </c>
      <c r="B314" s="2" t="s">
        <v>1987</v>
      </c>
      <c r="C314" s="2" t="s">
        <v>1719</v>
      </c>
      <c r="D314" s="12" t="s">
        <v>1704</v>
      </c>
      <c r="E314" t="str">
        <f t="shared" si="8"/>
        <v>No</v>
      </c>
      <c r="F314" s="11"/>
      <c r="G314" s="10" t="b">
        <f t="shared" si="9"/>
        <v>0</v>
      </c>
    </row>
    <row r="315" spans="1:7" x14ac:dyDescent="0.3">
      <c r="A315" s="4" t="s">
        <v>1988</v>
      </c>
      <c r="B315" s="2" t="s">
        <v>1989</v>
      </c>
      <c r="C315" s="2" t="s">
        <v>1719</v>
      </c>
      <c r="D315" s="12" t="s">
        <v>1704</v>
      </c>
      <c r="E315" t="str">
        <f t="shared" si="8"/>
        <v>No</v>
      </c>
      <c r="F315" s="11"/>
      <c r="G315" s="10" t="b">
        <f t="shared" si="9"/>
        <v>0</v>
      </c>
    </row>
    <row r="316" spans="1:7" x14ac:dyDescent="0.3">
      <c r="A316" s="4" t="s">
        <v>1990</v>
      </c>
      <c r="B316" s="2" t="s">
        <v>1262</v>
      </c>
      <c r="C316" s="2" t="s">
        <v>1723</v>
      </c>
      <c r="D316" s="12" t="s">
        <v>1724</v>
      </c>
      <c r="E316" t="str">
        <f t="shared" si="8"/>
        <v>YES</v>
      </c>
      <c r="F316" s="11" t="b">
        <v>1</v>
      </c>
      <c r="G316" s="10" t="b">
        <f t="shared" si="9"/>
        <v>1</v>
      </c>
    </row>
    <row r="317" spans="1:7" x14ac:dyDescent="0.3">
      <c r="A317" s="4" t="s">
        <v>1991</v>
      </c>
      <c r="B317" s="2" t="s">
        <v>696</v>
      </c>
      <c r="C317" s="2" t="s">
        <v>1625</v>
      </c>
      <c r="D317" s="12" t="s">
        <v>1525</v>
      </c>
      <c r="E317" t="str">
        <f t="shared" si="8"/>
        <v>YES</v>
      </c>
      <c r="F317" s="11" t="b">
        <v>1</v>
      </c>
      <c r="G317" s="10" t="b">
        <f t="shared" si="9"/>
        <v>1</v>
      </c>
    </row>
    <row r="318" spans="1:7" x14ac:dyDescent="0.3">
      <c r="A318" s="4" t="s">
        <v>1992</v>
      </c>
      <c r="B318" s="2" t="s">
        <v>1993</v>
      </c>
      <c r="C318" s="2" t="s">
        <v>1994</v>
      </c>
      <c r="D318" s="12" t="s">
        <v>1598</v>
      </c>
      <c r="E318" t="str">
        <f t="shared" si="8"/>
        <v>No</v>
      </c>
      <c r="F318" s="11"/>
      <c r="G318" s="10" t="b">
        <f t="shared" si="9"/>
        <v>0</v>
      </c>
    </row>
    <row r="319" spans="1:7" x14ac:dyDescent="0.3">
      <c r="A319" s="4" t="s">
        <v>1995</v>
      </c>
      <c r="B319" s="2" t="s">
        <v>1996</v>
      </c>
      <c r="C319" s="2" t="s">
        <v>1707</v>
      </c>
      <c r="D319" s="12" t="s">
        <v>1829</v>
      </c>
      <c r="E319" t="str">
        <f t="shared" si="8"/>
        <v>No</v>
      </c>
      <c r="F319" s="11"/>
      <c r="G319" s="10" t="b">
        <f t="shared" si="9"/>
        <v>0</v>
      </c>
    </row>
    <row r="320" spans="1:7" x14ac:dyDescent="0.3">
      <c r="A320" s="4" t="s">
        <v>1997</v>
      </c>
      <c r="B320" s="2" t="s">
        <v>1998</v>
      </c>
      <c r="C320" s="2" t="s">
        <v>1707</v>
      </c>
      <c r="D320" s="12" t="s">
        <v>1829</v>
      </c>
      <c r="E320" t="str">
        <f t="shared" si="8"/>
        <v>No</v>
      </c>
      <c r="F320" s="11"/>
      <c r="G320" s="10" t="b">
        <f t="shared" si="9"/>
        <v>0</v>
      </c>
    </row>
    <row r="321" spans="1:7" x14ac:dyDescent="0.3">
      <c r="A321" s="4" t="s">
        <v>1999</v>
      </c>
      <c r="B321" s="2" t="s">
        <v>2000</v>
      </c>
      <c r="C321" s="2" t="s">
        <v>2001</v>
      </c>
      <c r="D321" s="12" t="s">
        <v>1969</v>
      </c>
      <c r="E321" t="str">
        <f t="shared" si="8"/>
        <v>No</v>
      </c>
      <c r="F321" s="11"/>
      <c r="G321" s="10" t="b">
        <f t="shared" si="9"/>
        <v>0</v>
      </c>
    </row>
    <row r="322" spans="1:7" x14ac:dyDescent="0.3">
      <c r="A322" s="4" t="s">
        <v>2002</v>
      </c>
      <c r="B322" s="2" t="s">
        <v>2003</v>
      </c>
      <c r="C322" s="2" t="s">
        <v>1329</v>
      </c>
      <c r="D322" s="12" t="s">
        <v>1330</v>
      </c>
      <c r="E322" t="str">
        <f t="shared" ref="E322:E328" si="10">IF(F322, "YES", "No")</f>
        <v>No</v>
      </c>
      <c r="F322" s="11"/>
      <c r="G322" s="10" t="b">
        <f t="shared" ref="G322:G328" si="11">IF(COUNTIF($J$3:$J$100, B322) &gt; 0, TRUE, FALSE)</f>
        <v>0</v>
      </c>
    </row>
    <row r="323" spans="1:7" x14ac:dyDescent="0.3">
      <c r="A323" s="4" t="s">
        <v>2004</v>
      </c>
      <c r="B323" s="2" t="s">
        <v>2005</v>
      </c>
      <c r="C323" s="2" t="s">
        <v>1707</v>
      </c>
      <c r="D323" s="12" t="s">
        <v>1829</v>
      </c>
      <c r="E323" t="str">
        <f t="shared" si="10"/>
        <v>No</v>
      </c>
      <c r="F323" s="11"/>
      <c r="G323" s="10" t="b">
        <f t="shared" si="11"/>
        <v>0</v>
      </c>
    </row>
    <row r="324" spans="1:7" x14ac:dyDescent="0.3">
      <c r="A324" s="4" t="s">
        <v>2006</v>
      </c>
      <c r="B324" s="2" t="s">
        <v>2007</v>
      </c>
      <c r="C324" s="2" t="s">
        <v>1329</v>
      </c>
      <c r="D324" s="12" t="s">
        <v>1330</v>
      </c>
      <c r="E324" t="str">
        <f t="shared" si="10"/>
        <v>No</v>
      </c>
      <c r="F324" s="11"/>
      <c r="G324" s="10" t="b">
        <f t="shared" si="11"/>
        <v>0</v>
      </c>
    </row>
    <row r="325" spans="1:7" x14ac:dyDescent="0.3">
      <c r="A325" s="4" t="s">
        <v>2008</v>
      </c>
      <c r="B325" s="2" t="s">
        <v>2009</v>
      </c>
      <c r="C325" s="2" t="s">
        <v>2001</v>
      </c>
      <c r="D325" s="12" t="s">
        <v>2010</v>
      </c>
      <c r="E325" t="str">
        <f t="shared" si="10"/>
        <v>No</v>
      </c>
      <c r="F325" s="11"/>
      <c r="G325" s="10" t="b">
        <f t="shared" si="11"/>
        <v>0</v>
      </c>
    </row>
    <row r="326" spans="1:7" x14ac:dyDescent="0.3">
      <c r="A326" s="22" t="s">
        <v>2011</v>
      </c>
      <c r="B326" s="43" t="s">
        <v>2012</v>
      </c>
      <c r="C326" s="43" t="s">
        <v>2013</v>
      </c>
      <c r="D326" s="23" t="s">
        <v>2014</v>
      </c>
      <c r="E326" t="str">
        <f t="shared" si="10"/>
        <v>No</v>
      </c>
      <c r="F326" s="11"/>
      <c r="G326" s="10" t="b">
        <f t="shared" si="11"/>
        <v>0</v>
      </c>
    </row>
    <row r="327" spans="1:7" x14ac:dyDescent="0.3">
      <c r="A327" s="22" t="s">
        <v>2015</v>
      </c>
      <c r="B327" s="43" t="s">
        <v>38</v>
      </c>
      <c r="C327" s="43" t="s">
        <v>2016</v>
      </c>
      <c r="D327" s="23" t="s">
        <v>2017</v>
      </c>
      <c r="E327" t="str">
        <f t="shared" si="10"/>
        <v>No</v>
      </c>
      <c r="F327" s="11"/>
      <c r="G327" s="10" t="b">
        <f t="shared" si="11"/>
        <v>0</v>
      </c>
    </row>
    <row r="328" spans="1:7" x14ac:dyDescent="0.3">
      <c r="A328" s="4" t="s">
        <v>2018</v>
      </c>
      <c r="B328" s="2" t="s">
        <v>1274</v>
      </c>
      <c r="C328" s="2" t="s">
        <v>1587</v>
      </c>
      <c r="D328" s="24" t="s">
        <v>2019</v>
      </c>
      <c r="E328" t="str">
        <f t="shared" si="10"/>
        <v>YES</v>
      </c>
      <c r="F328" s="11" t="b">
        <v>1</v>
      </c>
      <c r="G328" s="10" t="b">
        <f t="shared" si="11"/>
        <v>1</v>
      </c>
    </row>
    <row r="329" spans="1:7" x14ac:dyDescent="0.3">
      <c r="A329" s="22" t="s">
        <v>1420</v>
      </c>
      <c r="B329" s="43" t="s">
        <v>1277</v>
      </c>
      <c r="C329" s="43" t="s">
        <v>1421</v>
      </c>
      <c r="D329" s="49">
        <v>7100000</v>
      </c>
      <c r="E329" t="str">
        <f>IF(F329, "YES", "No")</f>
        <v>YES</v>
      </c>
      <c r="F329" s="11" t="b">
        <v>1</v>
      </c>
      <c r="G329" t="b">
        <f>IF(COUNTIF($J$3:$J$100, B329) &gt; 0, TRUE, FALSE)</f>
        <v>1</v>
      </c>
    </row>
    <row r="330" spans="1:7" x14ac:dyDescent="0.3">
      <c r="A330" s="22" t="s">
        <v>2020</v>
      </c>
      <c r="B330" s="43" t="s">
        <v>1281</v>
      </c>
      <c r="C330" s="43" t="s">
        <v>2021</v>
      </c>
      <c r="D330" s="50">
        <v>1180000</v>
      </c>
      <c r="E330" t="str">
        <f>IF(F330, "YES", "No")</f>
        <v>YES</v>
      </c>
      <c r="F330" s="11" t="b">
        <v>1</v>
      </c>
      <c r="G330" t="b">
        <f>IF(COUNTIF($J$3:$J$100, B330) &gt; 0, TRUE, FALSE)</f>
        <v>1</v>
      </c>
    </row>
    <row r="331" spans="1:7" x14ac:dyDescent="0.3">
      <c r="A331" s="22" t="s">
        <v>1249</v>
      </c>
      <c r="B331" s="43" t="s">
        <v>1285</v>
      </c>
      <c r="C331" s="43" t="s">
        <v>1251</v>
      </c>
      <c r="D331" s="48">
        <v>2720000</v>
      </c>
      <c r="E331" t="str">
        <f>IF(F331, "YES", "No")</f>
        <v>YES</v>
      </c>
      <c r="F331" s="11" t="b">
        <v>1</v>
      </c>
      <c r="G331" t="b">
        <f>IF(COUNTIF($J$3:$J$100, B331) &gt; 0, TRUE, FALSE)</f>
        <v>1</v>
      </c>
    </row>
    <row r="332" spans="1:7" x14ac:dyDescent="0.3">
      <c r="A332" s="22" t="s">
        <v>2022</v>
      </c>
      <c r="B332" s="43" t="s">
        <v>1290</v>
      </c>
      <c r="C332" s="43" t="s">
        <v>2023</v>
      </c>
      <c r="D332" s="48">
        <v>2630000</v>
      </c>
      <c r="E332" t="str">
        <f>IF(F332, "YES", "No")</f>
        <v>YES</v>
      </c>
      <c r="F332" s="11" t="b">
        <v>1</v>
      </c>
      <c r="G332" t="b">
        <f>IF(COUNTIF($J$3:$J$100, B332) &gt; 0, TRUE, FALSE)</f>
        <v>1</v>
      </c>
    </row>
    <row r="333" spans="1:7" x14ac:dyDescent="0.3">
      <c r="A333" s="22" t="s">
        <v>1299</v>
      </c>
      <c r="B333" s="43" t="s">
        <v>1292</v>
      </c>
      <c r="C333" s="43" t="s">
        <v>1300</v>
      </c>
      <c r="D333" s="48">
        <v>1020000</v>
      </c>
      <c r="E333" t="str">
        <f>IF(F333, "YES", "No")</f>
        <v>YES</v>
      </c>
      <c r="F333" s="11" t="b">
        <v>1</v>
      </c>
      <c r="G333" t="b">
        <f>IF(COUNTIF($J$3:$J$100, B333) &gt; 0, TRUE, FALSE)</f>
        <v>1</v>
      </c>
    </row>
  </sheetData>
  <mergeCells count="1">
    <mergeCell ref="J1:J2"/>
  </mergeCells>
  <conditionalFormatting sqref="J42:J1048576 J1:J19 J23:J38">
    <cfRule type="iconSet" priority="397">
      <iconSet iconSet="3Symbols2">
        <cfvo type="percent" val="0"/>
        <cfvo type="percent" val="33"/>
        <cfvo type="percent" val="67"/>
      </iconSet>
    </cfRule>
  </conditionalFormatting>
  <conditionalFormatting sqref="J42:J1048576 J1:J19 J23:J38">
    <cfRule type="duplicateValues" dxfId="17" priority="402"/>
  </conditionalFormatting>
  <dataValidations count="1">
    <dataValidation type="custom" allowBlank="1" showInputMessage="1" showErrorMessage="1" sqref="F2:F333" xr:uid="{579F68EF-7FBE-417B-BE84-35F450C120EF}">
      <formula1>IF(G2, TRUE, FALSE)</formula1>
    </dataValidation>
  </dataValidations>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FCC67-6FF2-473D-BB18-B5B4055BA751}">
  <sheetPr codeName="Sheet9"/>
  <dimension ref="A2:AX3"/>
  <sheetViews>
    <sheetView workbookViewId="0">
      <selection activeCell="I20" sqref="I20"/>
    </sheetView>
  </sheetViews>
  <sheetFormatPr defaultRowHeight="14.4" x14ac:dyDescent="0.3"/>
  <sheetData>
    <row r="2" spans="1:50" ht="18" x14ac:dyDescent="0.35">
      <c r="A2" s="1" t="s">
        <v>17</v>
      </c>
      <c r="B2" s="1"/>
      <c r="C2" s="25">
        <v>9</v>
      </c>
      <c r="D2" s="26" t="str">
        <f>IF($T2="Open Sale", IF(MAX($D1:D$4)+1=0, "", MAX($D1:D$4)+1), "")</f>
        <v/>
      </c>
      <c r="E2" s="26" t="str">
        <f>IF($T2="Pending Allocation", IF(MAX($E1:E$4)+1=0, "", MAX($E1:E$4)+1), "")</f>
        <v/>
      </c>
      <c r="F2" s="27" t="s">
        <v>17</v>
      </c>
      <c r="G2" s="26"/>
      <c r="H2" s="36"/>
      <c r="I2" s="36">
        <v>45748</v>
      </c>
      <c r="J2" s="35" t="e">
        <f>IF(#REF!="", "", IF(_xlfn.XLOOKUP(#REF!, Table1[[Timepiece Reference ]], Table1[CRC STOCK], "Not Found")="YES", "CRC Stock", "Boutique Stock"))</f>
        <v>#REF!</v>
      </c>
      <c r="K2" s="41" t="s">
        <v>6</v>
      </c>
      <c r="L2" s="51" t="s">
        <v>34</v>
      </c>
      <c r="M2" s="42" t="s">
        <v>28</v>
      </c>
      <c r="N2" s="26" t="s">
        <v>21</v>
      </c>
      <c r="O2" s="27" t="s">
        <v>14</v>
      </c>
      <c r="P2" s="26" t="str">
        <f>IFERROR(VLOOKUP(TRIM(O2), Collection!$B$2:$D$1001, 2, FALSE), "")</f>
        <v>Overseas quartz</v>
      </c>
      <c r="Q2" s="28" t="str">
        <f>IFERROR(VLOOKUP(TRIM(O2), Collection!$B$2:$D$1001, 3, FALSE), "")</f>
        <v>62,500 AED</v>
      </c>
      <c r="R2" s="29">
        <f t="shared" ref="R2:R3" si="0">IFERROR(VALUE(SUBSTITUTE(SUBSTITUTE(Q2, "Price", ""), "AED", "")), "")</f>
        <v>62500</v>
      </c>
      <c r="S2" s="30">
        <v>104803556</v>
      </c>
      <c r="T2" s="26" t="s">
        <v>26</v>
      </c>
      <c r="U2" s="31" t="str">
        <f t="shared" ref="U2:U3" si="1" xml:space="preserve"> IF(X2 = "",
     "",
     TEXT(X2, "mmmm"))</f>
        <v/>
      </c>
      <c r="V2" s="38"/>
      <c r="W2" s="32"/>
      <c r="X2" s="32"/>
      <c r="Y2" s="33" t="str">
        <f t="shared" ref="Y2:Y3" ca="1" si="2">IF(H2="", "", IF(T2="Open Sale", IF(TODAY()-H2=0, "0 Days", TEXT(TODAY()-H2, "0") &amp; " Days"), IF(T2="Closed Sale", Y2, "")))</f>
        <v/>
      </c>
      <c r="Z2" s="33" t="str">
        <f t="shared" ref="Z2:Z3" ca="1" si="3">IF(H2="", "", IF(OR(T2="Pending", T2="Pending Allocation"), CONCATENATE(TODAY()-H2, " Days"), IF(T2="Closed", "", "")))</f>
        <v/>
      </c>
      <c r="AA2" s="34" t="str">
        <f t="shared" ref="AA2:AA3" ca="1" si="4">IF(T2="Pending Allocation", IF(I2="", "", TODAY()-I2), "")</f>
        <v/>
      </c>
      <c r="AB2" s="33" t="str">
        <f t="shared" ref="AB2:AB3" ca="1" si="5">IF(T2="Open Sale", TEXT(TODAY()-I2, "0"),
   IF(T2="Pending", "",
      IF(T2="Closed Sale", "", "")))</f>
        <v/>
      </c>
      <c r="AC2" s="27"/>
      <c r="AD2" s="26" t="s">
        <v>2024</v>
      </c>
      <c r="AE2" s="26" t="s">
        <v>2025</v>
      </c>
      <c r="AF2" s="26"/>
      <c r="AG2" s="37" t="str">
        <f t="shared" ref="AG2:AG3" si="6">TEXT(I2, "mmmm yyyy")</f>
        <v>April 2025</v>
      </c>
      <c r="AH2" s="37" t="e">
        <f>IF(AND(#REF!="Open Sale",#REF!="High"),TEXT(#REF!, "[$-en-us]mmmm"),"")</f>
        <v>#REF!</v>
      </c>
      <c r="AI2" s="39" t="str">
        <f>IFERROR(VALUE(SUBSTITUTE(#REF!," AED","")),"")</f>
        <v/>
      </c>
      <c r="AJ2" s="39" t="str">
        <f>IFERROR(VALUE(LEFT(#REF!,FIND(" ",#REF!)-1)),"")</f>
        <v/>
      </c>
      <c r="AK2" s="39" t="str">
        <f>IFERROR(VALUE(_xlfn.TEXTBEFORE(#REF!," AED")),"")</f>
        <v/>
      </c>
      <c r="AL2" s="1"/>
      <c r="AM2" s="1"/>
      <c r="AN2" s="1"/>
      <c r="AO2" s="1"/>
      <c r="AP2" s="1"/>
      <c r="AQ2" s="1"/>
      <c r="AR2" s="1"/>
      <c r="AS2" s="1"/>
      <c r="AT2" s="1"/>
      <c r="AU2" s="1"/>
      <c r="AV2" s="1"/>
      <c r="AW2" s="1"/>
      <c r="AX2" s="1"/>
    </row>
    <row r="3" spans="1:50" ht="18" x14ac:dyDescent="0.35">
      <c r="A3" s="1" t="s">
        <v>17</v>
      </c>
      <c r="B3" s="1"/>
      <c r="C3" s="25">
        <v>10</v>
      </c>
      <c r="D3" s="26" t="str">
        <f>IF($T3="Open Sale", IF(MAX($D2:D$4)+1=0, "", MAX($D2:D$4)+1), "")</f>
        <v/>
      </c>
      <c r="E3" s="26" t="str">
        <f>IF($T3="Pending Allocation", IF(MAX($E2:E$4)+1=0, "", MAX($E2:E$4)+1), "")</f>
        <v/>
      </c>
      <c r="F3" s="27" t="s">
        <v>17</v>
      </c>
      <c r="G3" s="26" t="s">
        <v>2026</v>
      </c>
      <c r="H3" s="36">
        <v>45750</v>
      </c>
      <c r="I3" s="36">
        <v>45750</v>
      </c>
      <c r="J3" s="35" t="e">
        <f>IF(#REF!="", "", IF(_xlfn.XLOOKUP(#REF!, Table1[[Timepiece Reference ]], Table1[CRC STOCK], "Not Found")="YES", "CRC Stock", "Boutique Stock"))</f>
        <v>#REF!</v>
      </c>
      <c r="K3" s="41" t="s">
        <v>6</v>
      </c>
      <c r="L3" s="51" t="s">
        <v>34</v>
      </c>
      <c r="M3" s="42" t="s">
        <v>28</v>
      </c>
      <c r="N3" s="26" t="s">
        <v>31</v>
      </c>
      <c r="O3" s="27" t="s">
        <v>2027</v>
      </c>
      <c r="P3" s="26" t="str">
        <f>IFERROR(VLOOKUP(TRIM(O3), Collection!$B$2:$D$1001, 2, FALSE), "")</f>
        <v>Overseas self-winding</v>
      </c>
      <c r="Q3" s="28" t="str">
        <f>IFERROR(VLOOKUP(TRIM(O3), Collection!$B$2:$D$1001, 3, FALSE), "")</f>
        <v>94,500 AED</v>
      </c>
      <c r="R3" s="29">
        <f t="shared" si="0"/>
        <v>94500</v>
      </c>
      <c r="S3" s="30">
        <v>104989923</v>
      </c>
      <c r="T3" s="26" t="s">
        <v>26</v>
      </c>
      <c r="U3" s="31" t="str">
        <f t="shared" si="1"/>
        <v/>
      </c>
      <c r="V3" s="38"/>
      <c r="W3" s="32"/>
      <c r="X3" s="32"/>
      <c r="Y3" s="33" t="str">
        <f t="shared" ca="1" si="2"/>
        <v/>
      </c>
      <c r="Z3" s="33" t="str">
        <f t="shared" ca="1" si="3"/>
        <v/>
      </c>
      <c r="AA3" s="34" t="str">
        <f t="shared" ca="1" si="4"/>
        <v/>
      </c>
      <c r="AB3" s="33" t="str">
        <f t="shared" ca="1" si="5"/>
        <v/>
      </c>
      <c r="AC3" s="27" t="s">
        <v>2028</v>
      </c>
      <c r="AD3" s="26" t="s">
        <v>2024</v>
      </c>
      <c r="AE3" s="26" t="s">
        <v>2029</v>
      </c>
      <c r="AF3" s="26" t="s">
        <v>2030</v>
      </c>
      <c r="AG3" s="37" t="str">
        <f t="shared" si="6"/>
        <v>April 2025</v>
      </c>
      <c r="AH3" s="37" t="e">
        <f>IF(AND(#REF!="Open Sale",#REF!="High"),TEXT(#REF!, "[$-en-us]mmmm"),"")</f>
        <v>#REF!</v>
      </c>
      <c r="AI3" s="39" t="str">
        <f>IFERROR(VALUE(SUBSTITUTE(#REF!," AED","")),"")</f>
        <v/>
      </c>
      <c r="AJ3" s="39" t="str">
        <f>IFERROR(VALUE(LEFT(#REF!,FIND(" ",#REF!)-1)),"")</f>
        <v/>
      </c>
      <c r="AK3" s="39" t="str">
        <f>IFERROR(VALUE(_xlfn.TEXTBEFORE(#REF!," AED")),"")</f>
        <v/>
      </c>
      <c r="AL3" s="1"/>
      <c r="AM3" s="1"/>
      <c r="AN3" s="1"/>
      <c r="AO3" s="1"/>
      <c r="AP3" s="1"/>
      <c r="AQ3" s="1"/>
      <c r="AR3" s="1"/>
      <c r="AS3" s="1"/>
      <c r="AT3" s="1"/>
      <c r="AU3" s="1"/>
      <c r="AV3" s="1"/>
      <c r="AW3" s="1"/>
      <c r="AX3" s="1"/>
    </row>
  </sheetData>
  <conditionalFormatting sqref="M2:M3">
    <cfRule type="containsText" dxfId="5" priority="1" operator="containsText" text="High">
      <formula>NOT(ISERROR(SEARCH("High",M2)))</formula>
    </cfRule>
  </conditionalFormatting>
  <conditionalFormatting sqref="T2:T3">
    <cfRule type="cellIs" dxfId="4" priority="2" operator="equal">
      <formula>"Closed"</formula>
    </cfRule>
    <cfRule type="cellIs" dxfId="3" priority="3" operator="equal">
      <formula>"Open Sale"</formula>
    </cfRule>
    <cfRule type="cellIs" dxfId="2" priority="4" operator="equal">
      <formula>"Pending Allocation"</formula>
    </cfRule>
    <cfRule type="cellIs" dxfId="1" priority="5" operator="equal">
      <formula>"transferred"</formula>
    </cfRule>
    <cfRule type="cellIs" dxfId="0" priority="6" operator="equal">
      <formula>"Sold"</formula>
    </cfRule>
  </conditionalFormatting>
  <dataValidations count="7">
    <dataValidation type="list" allowBlank="1" showInputMessage="1" showErrorMessage="1" sqref="K2:K3" xr:uid="{2E1B55AB-4515-4E0A-B7BC-BB0A2D155804}">
      <formula1>"CRC Stock, Boutique Stock"</formula1>
    </dataValidation>
    <dataValidation type="list" allowBlank="1" showInputMessage="1" showErrorMessage="1" sqref="L2:L3" xr:uid="{3DDC40C9-BE9A-43A7-9C8A-6D39D50CCC4C}">
      <formula1>"Awaiting HQ Approval, Approved by HQ, Allocation Confirmed, Allocation Closed (Sold),Currently Under Review"</formula1>
    </dataValidation>
    <dataValidation type="list" allowBlank="1" showInputMessage="1" showErrorMessage="1" sqref="M2:M3" xr:uid="{12DC51D2-2B94-4B9A-9CF1-1516A0C3E17E}">
      <formula1>$AV$7:$AV$9</formula1>
    </dataValidation>
    <dataValidation type="list" allowBlank="1" showInputMessage="1" showErrorMessage="1" sqref="N2:N3" xr:uid="{506C2660-3822-492B-A38C-EA2D56039172}">
      <formula1>"Middle East (UAE),Middle East (KSA),Middle East (Qatar),Middle East (Kuwait)"</formula1>
    </dataValidation>
    <dataValidation type="list" allowBlank="1" showInputMessage="1" showErrorMessage="1" sqref="V2:V3" xr:uid="{3DF9631B-66F2-4651-B901-0C48E75D361B}">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T2:T3" xr:uid="{8D8F3A72-30F1-48CF-8827-3293F1B8A341}">
      <formula1>$AQ$5:$AQ$9</formula1>
    </dataValidation>
    <dataValidation type="list" allowBlank="1" showInputMessage="1" showErrorMessage="1" sqref="F2:F3" xr:uid="{A9932C51-C31F-49B6-B9CC-0EBDD00CFFC6}">
      <formula1>"Maaz,Asma,Riham"</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71331-BD40-43E2-B148-A3B11A5A2F98}">
  <sheetPr codeName="Sheet8"/>
  <dimension ref="HPV349100"/>
  <sheetViews>
    <sheetView workbookViewId="0"/>
  </sheetViews>
  <sheetFormatPr defaultRowHeight="14.4" x14ac:dyDescent="0.3"/>
  <sheetData>
    <row r="349100" spans="5846:5846" x14ac:dyDescent="0.3">
      <c r="HPV349100" t="s">
        <v>2031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08BF23E7EAE44CAC65E620CAA62791" ma:contentTypeVersion="8" ma:contentTypeDescription="Create a new document." ma:contentTypeScope="" ma:versionID="ad3438a86d79e52124de4eecfe9c52db">
  <xsd:schema xmlns:xsd="http://www.w3.org/2001/XMLSchema" xmlns:xs="http://www.w3.org/2001/XMLSchema" xmlns:p="http://schemas.microsoft.com/office/2006/metadata/properties" xmlns:ns2="ce98d050-8481-4fe5-a36a-e643d0d5d457" targetNamespace="http://schemas.microsoft.com/office/2006/metadata/properties" ma:root="true" ma:fieldsID="8b779be1ec8b5f79d0cbf983f9123459" ns2:_="">
    <xsd:import namespace="ce98d050-8481-4fe5-a36a-e643d0d5d45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98d050-8481-4fe5-a36a-e643d0d5d45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E3E88C-5422-4AFE-828B-FD94B9BAFF1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0DA40EB-96D5-47ED-8746-1580DDEE4F0E}">
  <ds:schemaRefs>
    <ds:schemaRef ds:uri="http://schemas.microsoft.com/sharepoint/v3/contenttype/forms"/>
  </ds:schemaRefs>
</ds:datastoreItem>
</file>

<file path=customXml/itemProps3.xml><?xml version="1.0" encoding="utf-8"?>
<ds:datastoreItem xmlns:ds="http://schemas.openxmlformats.org/officeDocument/2006/customXml" ds:itemID="{7A17B8B0-7DFF-44EE-B015-B1FF6696AB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98d050-8481-4fe5-a36a-e643d0d5d4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94b3f1b2-8b3a-49e3-ba33-8b8fb6d18361}" enabled="0" method="" siteId="{94b3f1b2-8b3a-49e3-ba33-8b8fb6d183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Sheet3</vt:lpstr>
      <vt:lpstr>AirrTable</vt:lpstr>
      <vt:lpstr>Airtable</vt:lpstr>
      <vt:lpstr>Collection</vt:lpstr>
      <vt:lpstr>Closed Sale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 - Sellout Plan Maaz</dc:title>
  <dc:subject/>
  <dc:creator>maaz@crm-me.com</dc:creator>
  <cp:keywords/>
  <dc:description/>
  <cp:lastModifiedBy>Moath Ali Sharif</cp:lastModifiedBy>
  <cp:revision/>
  <dcterms:created xsi:type="dcterms:W3CDTF">2015-04-08T09:49:23Z</dcterms:created>
  <dcterms:modified xsi:type="dcterms:W3CDTF">2025-09-09T09:57:31Z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0x0101008E08BF23E7EAE44CAC65E620CAA62791</vt:lpwstr>
  </property>
  <property fmtid="{D5CDD505-2E9C-101B-9397-08002B2CF9AE}" pid="3" name="ComplianceAssetId">
    <vt:lpwstr/>
  </property>
  <property fmtid="{D5CDD505-2E9C-101B-9397-08002B2CF9AE}" pid="4" name="_ExtendedDescription">
    <vt:lpwstr/>
  </property>
  <property fmtid="{D5CDD505-2E9C-101B-9397-08002B2CF9AE}" pid="5" name="_activity">
    <vt:lpwstr>{"FileActivityType":"9","FileActivityTimeStamp":"2025-04-16T15:03:19.447Z","FileActivityUsersOnPage":[{"DisplayName":"SHARIF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fmtid="{D5CDD505-2E9C-101B-9397-08002B2CF9AE}" pid="6" name="TriggerFlowInfo">
    <vt:lpwstr/>
  </property>
</Properties>
</file>